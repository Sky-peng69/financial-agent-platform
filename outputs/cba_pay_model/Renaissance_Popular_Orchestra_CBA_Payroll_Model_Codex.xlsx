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d8eafbe1e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690f3292c14699"/>
    <x:sheet xmlns:r="http://schemas.openxmlformats.org/officeDocument/2006/relationships" name="Inputs" sheetId="2" r:id="R6cb783582d34473a"/>
    <x:sheet xmlns:r="http://schemas.openxmlformats.org/officeDocument/2006/relationships" name="Roster" sheetId="3" r:id="Ra972ab16a51d47cb"/>
    <x:sheet xmlns:r="http://schemas.openxmlformats.org/officeDocument/2006/relationships" name="Calc" sheetId="4" r:id="Re95bc8d0758f4676"/>
    <x:sheet xmlns:r="http://schemas.openxmlformats.org/officeDocument/2006/relationships" name="Sources" sheetId="5" r:id="Rfa4c7ca234ce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.0%"/>
    <x:numFmt numFmtId="202" formatCode="#,##0"/>
  </x:numFmts>
  <x:fonts count="6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vertical="center"/>
    </x:xf>
    <x:xf numFmtId="201" fontId="5" fillId="3" borderId="4" xfId="0" applyNumberFormat="1" applyFont="1" applyFill="1" applyBorder="1" applyAlignment="1">
      <x:alignment vertical="center"/>
    </x:xf>
    <x:xf numFmtId="202" fontId="5" fillId="3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4ebd9e9b843df" /><Relationship Type="http://schemas.openxmlformats.org/officeDocument/2006/relationships/theme" Target="/xl/theme/theme1.xml" Id="R8b7baab28b894b8c" /><Relationship Type="http://schemas.openxmlformats.org/officeDocument/2006/relationships/sharedStrings" Target="/xl/sharedStrings.xml" Id="R6316b949a8904ddf" /><Relationship Type="http://schemas.openxmlformats.org/officeDocument/2006/relationships/worksheet" Target="/xl/worksheets/sheet1.xml" Id="R0d690f3292c14699" /><Relationship Type="http://schemas.openxmlformats.org/officeDocument/2006/relationships/worksheet" Target="/xl/worksheets/sheet2.xml" Id="R6cb783582d34473a" /><Relationship Type="http://schemas.openxmlformats.org/officeDocument/2006/relationships/worksheet" Target="/xl/worksheets/sheet3.xml" Id="Ra972ab16a51d47cb" /><Relationship Type="http://schemas.openxmlformats.org/officeDocument/2006/relationships/worksheet" Target="/xl/worksheets/sheet4.xml" Id="Re95bc8d0758f4676" /><Relationship Type="http://schemas.openxmlformats.org/officeDocument/2006/relationships/worksheet" Target="/xl/worksheets/sheet5.xml" Id="Rfa4c7ca234ce48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2">
      <x:c r="A2" s="3" t="str">
        <x:v>Renaissance Popular Orchestra CBA payroll cost model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5"/>
    </x:row>
    <x:row r="3">
      <x:c r="A3" t="str">
        <x:v>Current year 2026; forecast years 2027-2028; dollars in USD.</x:v>
      </x:c>
    </x:row>
    <x:row r="5">
      <x:c r="A5" s="1" t="str">
        <x:v>Current year cost by pay type</x:v>
      </x:c>
      <x:c r="B5" s="1" t="str"/>
      <x:c r="C5" s="1" t="str"/>
      <x:c r="D5" s="1" t="str"/>
      <x:c r="E5" s="1" t="str"/>
      <x:c r="F5" s="1" t="str"/>
    </x:row>
    <x:row r="6">
      <x:c r="A6" s="12" t="str">
        <x:v>Pay Type</x:v>
      </x:c>
      <x:c r="B6" s="12" t="str">
        <x:v>Q1:26</x:v>
      </x:c>
      <x:c r="C6" s="12" t="str">
        <x:v>Q2:26</x:v>
      </x:c>
      <x:c r="D6" s="12" t="str">
        <x:v>Q3:26</x:v>
      </x:c>
      <x:c r="E6" s="12" t="str">
        <x:v>Q4:26</x:v>
      </x:c>
      <x:c r="F6" s="12" t="str">
        <x:v>FY:26</x:v>
      </x:c>
    </x:row>
    <x:row r="7">
      <x:c r="A7" s="14" t="str">
        <x:v>Minimum Weekly Scale</x:v>
      </x:c>
      <x:c r="B7" s="20" t="n">
        <x:f>SUMIFS(Calc!$M$6:$M$1241,Calc!$A$6:$A$1241,2026,Calc!$B$6:$B$1241,"Q1")</x:f>
        <x:v>3206905</x:v>
      </x:c>
      <x:c r="C7" s="20" t="n">
        <x:f>SUMIFS(Calc!$M$6:$M$1241,Calc!$A$6:$A$1241,2026,Calc!$B$6:$B$1241,"Q2")</x:f>
        <x:v>3206905</x:v>
      </x:c>
      <x:c r="D7" s="20" t="n">
        <x:f>SUMIFS(Calc!$M$6:$M$1241,Calc!$A$6:$A$1241,2026,Calc!$B$6:$B$1241,"Q3")</x:f>
        <x:v>3206905</x:v>
      </x:c>
      <x:c r="E7" s="20" t="n">
        <x:f>SUMIFS(Calc!$M$6:$M$1241,Calc!$A$6:$A$1241,2026,Calc!$B$6:$B$1241,"Q4")</x:f>
        <x:v>3206905</x:v>
      </x:c>
      <x:c r="F7" s="20" t="n">
        <x:f>SUM(B7:E7)</x:f>
        <x:v>12827620</x:v>
      </x:c>
    </x:row>
    <x:row r="8">
      <x:c r="A8" s="14" t="str">
        <x:v>Overscale</x:v>
      </x:c>
      <x:c r="B8" s="20" t="n">
        <x:f>SUMIFS(Calc!$N$6:$N$1241,Calc!$A$6:$A$1241,2026,Calc!$B$6:$B$1241,"Q1")</x:f>
        <x:v>379618.98</x:v>
      </x:c>
      <x:c r="C8" s="20" t="n">
        <x:f>SUMIFS(Calc!$N$6:$N$1241,Calc!$A$6:$A$1241,2026,Calc!$B$6:$B$1241,"Q2")</x:f>
        <x:v>379618.98</x:v>
      </x:c>
      <x:c r="D8" s="20" t="n">
        <x:f>SUMIFS(Calc!$N$6:$N$1241,Calc!$A$6:$A$1241,2026,Calc!$B$6:$B$1241,"Q3")</x:f>
        <x:v>379618.98</x:v>
      </x:c>
      <x:c r="E8" s="20" t="n">
        <x:f>SUMIFS(Calc!$N$6:$N$1241,Calc!$A$6:$A$1241,2026,Calc!$B$6:$B$1241,"Q4")</x:f>
        <x:v>379618.98</x:v>
      </x:c>
      <x:c r="F8" s="20" t="n">
        <x:f>SUM(B8:E8)</x:f>
        <x:v>1518475.92</x:v>
      </x:c>
    </x:row>
    <x:row r="9">
      <x:c r="A9" s="14" t="str">
        <x:v>Principal Pay</x:v>
      </x:c>
      <x:c r="B9" s="20" t="n">
        <x:f>SUMIFS(Calc!$O$6:$O$1241,Calc!$A$6:$A$1241,2026,Calc!$B$6:$B$1241,"Q1")</x:f>
        <x:v>87178</x:v>
      </x:c>
      <x:c r="C9" s="20" t="n">
        <x:f>SUMIFS(Calc!$O$6:$O$1241,Calc!$A$6:$A$1241,2026,Calc!$B$6:$B$1241,"Q2")</x:f>
        <x:v>87178</x:v>
      </x:c>
      <x:c r="D9" s="20" t="n">
        <x:f>SUMIFS(Calc!$O$6:$O$1241,Calc!$A$6:$A$1241,2026,Calc!$B$6:$B$1241,"Q3")</x:f>
        <x:v>87178</x:v>
      </x:c>
      <x:c r="E9" s="20" t="n">
        <x:f>SUMIFS(Calc!$O$6:$O$1241,Calc!$A$6:$A$1241,2026,Calc!$B$6:$B$1241,"Q4")</x:f>
        <x:v>87178</x:v>
      </x:c>
      <x:c r="F9" s="20" t="n">
        <x:f>SUM(B9:E9)</x:f>
        <x:v>348712</x:v>
      </x:c>
    </x:row>
    <x:row r="10">
      <x:c r="A10" s="14" t="str">
        <x:v>Media Exploitation Fee</x:v>
      </x:c>
      <x:c r="B10" s="20" t="n">
        <x:f>SUMIFS(Calc!$Q$6:$Q$1241,Calc!$A$6:$A$1241,2026,Calc!$B$6:$B$1241,"Q1")</x:f>
        <x:v>40170</x:v>
      </x:c>
      <x:c r="C10" s="20" t="n">
        <x:f>SUMIFS(Calc!$Q$6:$Q$1241,Calc!$A$6:$A$1241,2026,Calc!$B$6:$B$1241,"Q2")</x:f>
        <x:v>40170</x:v>
      </x:c>
      <x:c r="D10" s="20" t="n">
        <x:f>SUMIFS(Calc!$Q$6:$Q$1241,Calc!$A$6:$A$1241,2026,Calc!$B$6:$B$1241,"Q3")</x:f>
        <x:v>40170</x:v>
      </x:c>
      <x:c r="E10" s="20" t="n">
        <x:f>SUMIFS(Calc!$Q$6:$Q$1241,Calc!$A$6:$A$1241,2026,Calc!$B$6:$B$1241,"Q4")</x:f>
        <x:v>0</x:v>
      </x:c>
      <x:c r="F10" s="20" t="n">
        <x:f>SUM(B10:E10)</x:f>
        <x:v>120510</x:v>
      </x:c>
    </x:row>
    <x:row r="11">
      <x:c r="A11" s="14" t="str">
        <x:v>Seniority Pay</x:v>
      </x:c>
      <x:c r="B11" s="20" t="n">
        <x:f>SUMIFS(Calc!$P$6:$P$1241,Calc!$A$6:$A$1241,2026,Calc!$B$6:$B$1241,"Q1")</x:f>
        <x:v>92560</x:v>
      </x:c>
      <x:c r="C11" s="20" t="n">
        <x:f>SUMIFS(Calc!$P$6:$P$1241,Calc!$A$6:$A$1241,2026,Calc!$B$6:$B$1241,"Q2")</x:f>
        <x:v>92560</x:v>
      </x:c>
      <x:c r="D11" s="20" t="n">
        <x:f>SUMIFS(Calc!$P$6:$P$1241,Calc!$A$6:$A$1241,2026,Calc!$B$6:$B$1241,"Q3")</x:f>
        <x:v>92560</x:v>
      </x:c>
      <x:c r="E11" s="20" t="n">
        <x:f>SUMIFS(Calc!$P$6:$P$1241,Calc!$A$6:$A$1241,2026,Calc!$B$6:$B$1241,"Q4")</x:f>
        <x:v>92560</x:v>
      </x:c>
      <x:c r="F11" s="20" t="n">
        <x:f>SUM(B11:E11)</x:f>
        <x:v>370240</x:v>
      </x:c>
    </x:row>
    <x:row r="12">
      <x:c r="A12" s="14" t="str">
        <x:v>Payroll Tax</x:v>
      </x:c>
      <x:c r="B12" s="20" t="n">
        <x:f>SUMIFS(Calc!$V$6:$V$1241,Calc!$A$6:$A$1241,2026,Calc!$B$6:$B$1241,"Q1")</x:f>
        <x:v>341662.04647</x:v>
      </x:c>
      <x:c r="C12" s="20" t="n">
        <x:f>SUMIFS(Calc!$V$6:$V$1241,Calc!$A$6:$A$1241,2026,Calc!$B$6:$B$1241,"Q2")</x:f>
        <x:v>291192.04646999994</x:v>
      </x:c>
      <x:c r="D12" s="20" t="n">
        <x:f>SUMIFS(Calc!$V$6:$V$1241,Calc!$A$6:$A$1241,2026,Calc!$B$6:$B$1241,"Q3")</x:f>
        <x:v>259944.82518999994</x:v>
      </x:c>
      <x:c r="E12" s="20" t="n">
        <x:f>SUMIFS(Calc!$V$6:$V$1241,Calc!$A$6:$A$1241,2026,Calc!$B$6:$B$1241,"Q4")</x:f>
        <x:v>142527.69771000004</x:v>
      </x:c>
      <x:c r="F12" s="20" t="n">
        <x:f>SUM(B12:E12)</x:f>
        <x:v>1035326.6158399999</x:v>
      </x:c>
    </x:row>
    <x:row r="13">
      <x:c r="A13" s="14" t="str">
        <x:v>Total Compensation Cost</x:v>
      </x:c>
      <x:c r="B13" s="20" t="n">
        <x:f>SUMIFS(Calc!$W$6:$W$1241,Calc!$A$6:$A$1241,2026,Calc!$B$6:$B$1241,"Q1")</x:f>
        <x:v>4148094.02647</x:v>
      </x:c>
      <x:c r="C13" s="20" t="n">
        <x:f>SUMIFS(Calc!$W$6:$W$1241,Calc!$A$6:$A$1241,2026,Calc!$B$6:$B$1241,"Q2")</x:f>
        <x:v>4097624.0264699995</x:v>
      </x:c>
      <x:c r="D13" s="20" t="n">
        <x:f>SUMIFS(Calc!$W$6:$W$1241,Calc!$A$6:$A$1241,2026,Calc!$B$6:$B$1241,"Q3")</x:f>
        <x:v>4066376.80519</x:v>
      </x:c>
      <x:c r="E13" s="20" t="n">
        <x:f>SUMIFS(Calc!$W$6:$W$1241,Calc!$A$6:$A$1241,2026,Calc!$B$6:$B$1241,"Q4")</x:f>
        <x:v>3908789.6777100014</x:v>
      </x:c>
      <x:c r="F13" s="20" t="n">
        <x:f>SUM(B13:E13)</x:f>
        <x:v>16220884.535840001</x:v>
      </x:c>
    </x:row>
    <x:row r="16">
      <x:c r="A16" s="1" t="str">
        <x:v>Forecast and Y/Y growth</x:v>
      </x:c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</x:row>
    <x:row r="17">
      <x:c r="A17" s="12" t="str">
        <x:v>Pay Type</x:v>
      </x:c>
      <x:c r="B17" s="12" t="str">
        <x:v>Q1:27</x:v>
      </x:c>
      <x:c r="C17" s="12" t="str">
        <x:v>Y/Y</x:v>
      </x:c>
      <x:c r="D17" s="12" t="str">
        <x:v>Q2:27</x:v>
      </x:c>
      <x:c r="E17" s="12" t="str">
        <x:v>Y/Y</x:v>
      </x:c>
      <x:c r="F17" s="12" t="str">
        <x:v>Q3:27</x:v>
      </x:c>
      <x:c r="G17" s="12" t="str">
        <x:v>Y/Y</x:v>
      </x:c>
      <x:c r="H17" s="12" t="str">
        <x:v>Q4:27</x:v>
      </x:c>
      <x:c r="I17" s="12" t="str">
        <x:v>Y/Y</x:v>
      </x:c>
      <x:c r="J17" s="12" t="str">
        <x:v>FY:27</x:v>
      </x:c>
      <x:c r="K17" s="12" t="str">
        <x:v>Y/Y</x:v>
      </x:c>
    </x:row>
    <x:row r="18">
      <x:c r="A18" s="14" t="str">
        <x:v>Minimum Weekly Scale</x:v>
      </x:c>
      <x:c r="B18" s="20" t="n">
        <x:f>SUMIFS(Calc!$M$6:$M$1241,Calc!$A$6:$A$1241,2027,Calc!$B$6:$B$1241,"Q1")</x:f>
        <x:v>3206905</x:v>
      </x:c>
      <x:c r="C18" s="22" t="n">
        <x:f>IFERROR(B18/B7-1,0)</x:f>
        <x:v>0</x:v>
      </x:c>
      <x:c r="D18" s="20" t="n">
        <x:f>SUMIFS(Calc!$M$6:$M$1241,Calc!$A$6:$A$1241,2027,Calc!$B$6:$B$1241,"Q2")</x:f>
        <x:v>3206905</x:v>
      </x:c>
      <x:c r="E18" s="22" t="n">
        <x:f>IFERROR(D18/C7-1,0)</x:f>
        <x:v>0</x:v>
      </x:c>
      <x:c r="F18" s="20" t="n">
        <x:f>SUMIFS(Calc!$M$6:$M$1241,Calc!$A$6:$A$1241,2027,Calc!$B$6:$B$1241,"Q3")</x:f>
        <x:v>3206905</x:v>
      </x:c>
      <x:c r="G18" s="22" t="n">
        <x:f>IFERROR(F18/D7-1,0)</x:f>
        <x:v>0</x:v>
      </x:c>
      <x:c r="H18" s="20" t="n">
        <x:f>SUMIFS(Calc!$M$6:$M$1241,Calc!$A$6:$A$1241,2027,Calc!$B$6:$B$1241,"Q4")</x:f>
        <x:v>3206905</x:v>
      </x:c>
      <x:c r="I18" s="22" t="n">
        <x:f>IFERROR(H18/E7-1,0)</x:f>
        <x:v>0</x:v>
      </x:c>
      <x:c r="J18" s="20" t="n">
        <x:f>SUM(B18,D18,F18,H18)</x:f>
        <x:v>12827620</x:v>
      </x:c>
      <x:c r="K18" s="22" t="n">
        <x:f>IFERROR(J18/F7-1,0)</x:f>
        <x:v>0</x:v>
      </x:c>
    </x:row>
    <x:row r="19">
      <x:c r="A19" s="14" t="str">
        <x:v>Overscale</x:v>
      </x:c>
      <x:c r="B19" s="20" t="n">
        <x:f>SUMIFS(Calc!$N$6:$N$1241,Calc!$A$6:$A$1241,2027,Calc!$B$6:$B$1241,"Q1")</x:f>
        <x:v>379618.98</x:v>
      </x:c>
      <x:c r="C19" s="22" t="n">
        <x:f>IFERROR(B19/B8-1,0)</x:f>
        <x:v>0</x:v>
      </x:c>
      <x:c r="D19" s="20" t="n">
        <x:f>SUMIFS(Calc!$N$6:$N$1241,Calc!$A$6:$A$1241,2027,Calc!$B$6:$B$1241,"Q2")</x:f>
        <x:v>379618.98</x:v>
      </x:c>
      <x:c r="E19" s="22" t="n">
        <x:f>IFERROR(D19/C8-1,0)</x:f>
        <x:v>0</x:v>
      </x:c>
      <x:c r="F19" s="20" t="n">
        <x:f>SUMIFS(Calc!$N$6:$N$1241,Calc!$A$6:$A$1241,2027,Calc!$B$6:$B$1241,"Q3")</x:f>
        <x:v>379618.98</x:v>
      </x:c>
      <x:c r="G19" s="22" t="n">
        <x:f>IFERROR(F19/D8-1,0)</x:f>
        <x:v>0</x:v>
      </x:c>
      <x:c r="H19" s="20" t="n">
        <x:f>SUMIFS(Calc!$N$6:$N$1241,Calc!$A$6:$A$1241,2027,Calc!$B$6:$B$1241,"Q4")</x:f>
        <x:v>379618.98</x:v>
      </x:c>
      <x:c r="I19" s="22" t="n">
        <x:f>IFERROR(H19/E8-1,0)</x:f>
        <x:v>0</x:v>
      </x:c>
      <x:c r="J19" s="20" t="n">
        <x:f>SUM(B19,D19,F19,H19)</x:f>
        <x:v>1518475.92</x:v>
      </x:c>
      <x:c r="K19" s="22" t="n">
        <x:f>IFERROR(J19/F8-1,0)</x:f>
        <x:v>0</x:v>
      </x:c>
    </x:row>
    <x:row r="20">
      <x:c r="A20" s="14" t="str">
        <x:v>Principal Pay</x:v>
      </x:c>
      <x:c r="B20" s="20" t="n">
        <x:f>SUMIFS(Calc!$O$6:$O$1241,Calc!$A$6:$A$1241,2027,Calc!$B$6:$B$1241,"Q1")</x:f>
        <x:v>87178</x:v>
      </x:c>
      <x:c r="C20" s="22" t="n">
        <x:f>IFERROR(B20/B9-1,0)</x:f>
        <x:v>0</x:v>
      </x:c>
      <x:c r="D20" s="20" t="n">
        <x:f>SUMIFS(Calc!$O$6:$O$1241,Calc!$A$6:$A$1241,2027,Calc!$B$6:$B$1241,"Q2")</x:f>
        <x:v>87178</x:v>
      </x:c>
      <x:c r="E20" s="22" t="n">
        <x:f>IFERROR(D20/C9-1,0)</x:f>
        <x:v>0</x:v>
      </x:c>
      <x:c r="F20" s="20" t="n">
        <x:f>SUMIFS(Calc!$O$6:$O$1241,Calc!$A$6:$A$1241,2027,Calc!$B$6:$B$1241,"Q3")</x:f>
        <x:v>87178</x:v>
      </x:c>
      <x:c r="G20" s="22" t="n">
        <x:f>IFERROR(F20/D9-1,0)</x:f>
        <x:v>0</x:v>
      </x:c>
      <x:c r="H20" s="20" t="n">
        <x:f>SUMIFS(Calc!$O$6:$O$1241,Calc!$A$6:$A$1241,2027,Calc!$B$6:$B$1241,"Q4")</x:f>
        <x:v>87178</x:v>
      </x:c>
      <x:c r="I20" s="22" t="n">
        <x:f>IFERROR(H20/E9-1,0)</x:f>
        <x:v>0</x:v>
      </x:c>
      <x:c r="J20" s="20" t="n">
        <x:f>SUM(B20,D20,F20,H20)</x:f>
        <x:v>348712</x:v>
      </x:c>
      <x:c r="K20" s="22" t="n">
        <x:f>IFERROR(J20/F9-1,0)</x:f>
        <x:v>0</x:v>
      </x:c>
    </x:row>
    <x:row r="21">
      <x:c r="A21" s="14" t="str">
        <x:v>Media Exploitation Fee</x:v>
      </x:c>
      <x:c r="B21" s="20" t="n">
        <x:f>SUMIFS(Calc!$Q$6:$Q$1241,Calc!$A$6:$A$1241,2027,Calc!$B$6:$B$1241,"Q1")</x:f>
        <x:v>40170</x:v>
      </x:c>
      <x:c r="C21" s="22" t="n">
        <x:f>IFERROR(B21/B10-1,0)</x:f>
        <x:v>0</x:v>
      </x:c>
      <x:c r="D21" s="20" t="n">
        <x:f>SUMIFS(Calc!$Q$6:$Q$1241,Calc!$A$6:$A$1241,2027,Calc!$B$6:$B$1241,"Q2")</x:f>
        <x:v>40170</x:v>
      </x:c>
      <x:c r="E21" s="22" t="n">
        <x:f>IFERROR(D21/C10-1,0)</x:f>
        <x:v>0</x:v>
      </x:c>
      <x:c r="F21" s="20" t="n">
        <x:f>SUMIFS(Calc!$Q$6:$Q$1241,Calc!$A$6:$A$1241,2027,Calc!$B$6:$B$1241,"Q3")</x:f>
        <x:v>40170</x:v>
      </x:c>
      <x:c r="G21" s="22" t="n">
        <x:f>IFERROR(F21/D10-1,0)</x:f>
        <x:v>0</x:v>
      </x:c>
      <x:c r="H21" s="20" t="n">
        <x:f>SUMIFS(Calc!$Q$6:$Q$1241,Calc!$A$6:$A$1241,2027,Calc!$B$6:$B$1241,"Q4")</x:f>
        <x:v>0</x:v>
      </x:c>
      <x:c r="I21" s="22" t="n">
        <x:f>IFERROR(H21/E10-1,0)</x:f>
        <x:v>0</x:v>
      </x:c>
      <x:c r="J21" s="20" t="n">
        <x:f>SUM(B21,D21,F21,H21)</x:f>
        <x:v>120510</x:v>
      </x:c>
      <x:c r="K21" s="22" t="n">
        <x:f>IFERROR(J21/F10-1,0)</x:f>
        <x:v>0</x:v>
      </x:c>
    </x:row>
    <x:row r="22">
      <x:c r="A22" s="14" t="str">
        <x:v>Seniority Pay</x:v>
      </x:c>
      <x:c r="B22" s="20" t="n">
        <x:f>SUMIFS(Calc!$P$6:$P$1241,Calc!$A$6:$A$1241,2027,Calc!$B$6:$B$1241,"Q1")</x:f>
        <x:v>92560</x:v>
      </x:c>
      <x:c r="C22" s="22" t="n">
        <x:f>IFERROR(B22/B11-1,0)</x:f>
        <x:v>0</x:v>
      </x:c>
      <x:c r="D22" s="20" t="n">
        <x:f>SUMIFS(Calc!$P$6:$P$1241,Calc!$A$6:$A$1241,2027,Calc!$B$6:$B$1241,"Q2")</x:f>
        <x:v>92560</x:v>
      </x:c>
      <x:c r="E22" s="22" t="n">
        <x:f>IFERROR(D22/C11-1,0)</x:f>
        <x:v>0</x:v>
      </x:c>
      <x:c r="F22" s="20" t="n">
        <x:f>SUMIFS(Calc!$P$6:$P$1241,Calc!$A$6:$A$1241,2027,Calc!$B$6:$B$1241,"Q3")</x:f>
        <x:v>92560</x:v>
      </x:c>
      <x:c r="G22" s="22" t="n">
        <x:f>IFERROR(F22/D11-1,0)</x:f>
        <x:v>0</x:v>
      </x:c>
      <x:c r="H22" s="20" t="n">
        <x:f>SUMIFS(Calc!$P$6:$P$1241,Calc!$A$6:$A$1241,2027,Calc!$B$6:$B$1241,"Q4")</x:f>
        <x:v>92560</x:v>
      </x:c>
      <x:c r="I22" s="22" t="n">
        <x:f>IFERROR(H22/E11-1,0)</x:f>
        <x:v>0</x:v>
      </x:c>
      <x:c r="J22" s="20" t="n">
        <x:f>SUM(B22,D22,F22,H22)</x:f>
        <x:v>370240</x:v>
      </x:c>
      <x:c r="K22" s="22" t="n">
        <x:f>IFERROR(J22/F11-1,0)</x:f>
        <x:v>0</x:v>
      </x:c>
    </x:row>
    <x:row r="23">
      <x:c r="A23" s="14" t="str">
        <x:v>Payroll Tax</x:v>
      </x:c>
      <x:c r="B23" s="20" t="n">
        <x:f>SUMIFS(Calc!$V$6:$V$1241,Calc!$A$6:$A$1241,2027,Calc!$B$6:$B$1241,"Q1")</x:f>
        <x:v>341662.04647</x:v>
      </x:c>
      <x:c r="C23" s="22" t="n">
        <x:f>IFERROR(B23/B12-1,0)</x:f>
        <x:v>0</x:v>
      </x:c>
      <x:c r="D23" s="20" t="n">
        <x:f>SUMIFS(Calc!$V$6:$V$1241,Calc!$A$6:$A$1241,2027,Calc!$B$6:$B$1241,"Q2")</x:f>
        <x:v>291192.04646999994</x:v>
      </x:c>
      <x:c r="E23" s="22" t="n">
        <x:f>IFERROR(D23/C12-1,0)</x:f>
        <x:v>0</x:v>
      </x:c>
      <x:c r="F23" s="20" t="n">
        <x:f>SUMIFS(Calc!$V$6:$V$1241,Calc!$A$6:$A$1241,2027,Calc!$B$6:$B$1241,"Q3")</x:f>
        <x:v>259944.82518999994</x:v>
      </x:c>
      <x:c r="G23" s="22" t="n">
        <x:f>IFERROR(F23/D12-1,0)</x:f>
        <x:v>0</x:v>
      </x:c>
      <x:c r="H23" s="20" t="n">
        <x:f>SUMIFS(Calc!$V$6:$V$1241,Calc!$A$6:$A$1241,2027,Calc!$B$6:$B$1241,"Q4")</x:f>
        <x:v>142527.69771000004</x:v>
      </x:c>
      <x:c r="I23" s="22" t="n">
        <x:f>IFERROR(H23/E12-1,0)</x:f>
        <x:v>0</x:v>
      </x:c>
      <x:c r="J23" s="20" t="n">
        <x:f>SUM(B23,D23,F23,H23)</x:f>
        <x:v>1035326.6158399999</x:v>
      </x:c>
      <x:c r="K23" s="22" t="n">
        <x:f>IFERROR(J23/F12-1,0)</x:f>
        <x:v>0</x:v>
      </x:c>
    </x:row>
    <x:row r="24">
      <x:c r="A24" s="14" t="str">
        <x:v>Total Compensation Cost</x:v>
      </x:c>
      <x:c r="B24" s="20" t="n">
        <x:f>SUMIFS(Calc!$W$6:$W$1241,Calc!$A$6:$A$1241,2027,Calc!$B$6:$B$1241,"Q1")</x:f>
        <x:v>4148094.02647</x:v>
      </x:c>
      <x:c r="C24" s="22" t="n">
        <x:f>IFERROR(B24/B13-1,0)</x:f>
        <x:v>0</x:v>
      </x:c>
      <x:c r="D24" s="20" t="n">
        <x:f>SUMIFS(Calc!$W$6:$W$1241,Calc!$A$6:$A$1241,2027,Calc!$B$6:$B$1241,"Q2")</x:f>
        <x:v>4097624.0264699995</x:v>
      </x:c>
      <x:c r="E24" s="22" t="n">
        <x:f>IFERROR(D24/C13-1,0)</x:f>
        <x:v>0</x:v>
      </x:c>
      <x:c r="F24" s="20" t="n">
        <x:f>SUMIFS(Calc!$W$6:$W$1241,Calc!$A$6:$A$1241,2027,Calc!$B$6:$B$1241,"Q3")</x:f>
        <x:v>4066376.80519</x:v>
      </x:c>
      <x:c r="G24" s="22" t="n">
        <x:f>IFERROR(F24/D13-1,0)</x:f>
        <x:v>0</x:v>
      </x:c>
      <x:c r="H24" s="20" t="n">
        <x:f>SUMIFS(Calc!$W$6:$W$1241,Calc!$A$6:$A$1241,2027,Calc!$B$6:$B$1241,"Q4")</x:f>
        <x:v>3908789.6777100014</x:v>
      </x:c>
      <x:c r="I24" s="22" t="n">
        <x:f>IFERROR(H24/E13-1,0)</x:f>
        <x:v>0</x:v>
      </x:c>
      <x:c r="J24" s="20" t="n">
        <x:f>SUM(B24,D24,F24,H24)</x:f>
        <x:v>16220884.535840001</x:v>
      </x:c>
      <x:c r="K24" s="22" t="n">
        <x:f>IFERROR(J24/F13-1,0)</x:f>
        <x:v>0</x:v>
      </x:c>
    </x:row>
    <x:row r="27">
      <x:c r="A27" s="1" t="str">
        <x:v>Forecast and Y/Y growth</x:v>
      </x:c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</x:row>
    <x:row r="28">
      <x:c r="A28" s="12" t="str">
        <x:v>Pay Type</x:v>
      </x:c>
      <x:c r="B28" s="12" t="str">
        <x:v>Q1:28</x:v>
      </x:c>
      <x:c r="C28" s="12" t="str">
        <x:v>Y/Y</x:v>
      </x:c>
      <x:c r="D28" s="12" t="str">
        <x:v>Q2:28</x:v>
      </x:c>
      <x:c r="E28" s="12" t="str">
        <x:v>Y/Y</x:v>
      </x:c>
      <x:c r="F28" s="12" t="str">
        <x:v>Q3:28</x:v>
      </x:c>
      <x:c r="G28" s="12" t="str">
        <x:v>Y/Y</x:v>
      </x:c>
      <x:c r="H28" s="12" t="str">
        <x:v>Q4:28</x:v>
      </x:c>
      <x:c r="I28" s="12" t="str">
        <x:v>Y/Y</x:v>
      </x:c>
      <x:c r="J28" s="12" t="str">
        <x:v>FY:28</x:v>
      </x:c>
      <x:c r="K28" s="12" t="str">
        <x:v>Y/Y</x:v>
      </x:c>
    </x:row>
    <x:row r="29">
      <x:c r="A29" s="14" t="str">
        <x:v>Minimum Weekly Scale</x:v>
      </x:c>
      <x:c r="B29" s="20" t="n">
        <x:f>SUMIFS(Calc!$M$6:$M$1241,Calc!$A$6:$A$1241,2028,Calc!$B$6:$B$1241,"Q1")</x:f>
        <x:v>3206905</x:v>
      </x:c>
      <x:c r="C29" s="22" t="n">
        <x:f>IFERROR(B29/B18-1,0)</x:f>
        <x:v>0</x:v>
      </x:c>
      <x:c r="D29" s="20" t="n">
        <x:f>SUMIFS(Calc!$M$6:$M$1241,Calc!$A$6:$A$1241,2028,Calc!$B$6:$B$1241,"Q2")</x:f>
        <x:v>3206905</x:v>
      </x:c>
      <x:c r="E29" s="22" t="n">
        <x:f>IFERROR(D29/D18-1,0)</x:f>
        <x:v>0</x:v>
      </x:c>
      <x:c r="F29" s="20" t="n">
        <x:f>SUMIFS(Calc!$M$6:$M$1241,Calc!$A$6:$A$1241,2028,Calc!$B$6:$B$1241,"Q3")</x:f>
        <x:v>3206905</x:v>
      </x:c>
      <x:c r="G29" s="22" t="n">
        <x:f>IFERROR(F29/F18-1,0)</x:f>
        <x:v>0</x:v>
      </x:c>
      <x:c r="H29" s="20" t="n">
        <x:f>SUMIFS(Calc!$M$6:$M$1241,Calc!$A$6:$A$1241,2028,Calc!$B$6:$B$1241,"Q4")</x:f>
        <x:v>3206905</x:v>
      </x:c>
      <x:c r="I29" s="22" t="n">
        <x:f>IFERROR(H29/H18-1,0)</x:f>
        <x:v>0</x:v>
      </x:c>
      <x:c r="J29" s="20" t="n">
        <x:f>SUM(B29,D29,F29,H29)</x:f>
        <x:v>12827620</x:v>
      </x:c>
      <x:c r="K29" s="22" t="n">
        <x:f>IFERROR(J29/J18-1,0)</x:f>
        <x:v>0</x:v>
      </x:c>
    </x:row>
    <x:row r="30">
      <x:c r="A30" s="14" t="str">
        <x:v>Overscale</x:v>
      </x:c>
      <x:c r="B30" s="20" t="n">
        <x:f>SUMIFS(Calc!$N$6:$N$1241,Calc!$A$6:$A$1241,2028,Calc!$B$6:$B$1241,"Q1")</x:f>
        <x:v>379618.98</x:v>
      </x:c>
      <x:c r="C30" s="22" t="n">
        <x:f>IFERROR(B30/B19-1,0)</x:f>
        <x:v>0</x:v>
      </x:c>
      <x:c r="D30" s="20" t="n">
        <x:f>SUMIFS(Calc!$N$6:$N$1241,Calc!$A$6:$A$1241,2028,Calc!$B$6:$B$1241,"Q2")</x:f>
        <x:v>379618.98</x:v>
      </x:c>
      <x:c r="E30" s="22" t="n">
        <x:f>IFERROR(D30/D19-1,0)</x:f>
        <x:v>0</x:v>
      </x:c>
      <x:c r="F30" s="20" t="n">
        <x:f>SUMIFS(Calc!$N$6:$N$1241,Calc!$A$6:$A$1241,2028,Calc!$B$6:$B$1241,"Q3")</x:f>
        <x:v>379618.98</x:v>
      </x:c>
      <x:c r="G30" s="22" t="n">
        <x:f>IFERROR(F30/F19-1,0)</x:f>
        <x:v>0</x:v>
      </x:c>
      <x:c r="H30" s="20" t="n">
        <x:f>SUMIFS(Calc!$N$6:$N$1241,Calc!$A$6:$A$1241,2028,Calc!$B$6:$B$1241,"Q4")</x:f>
        <x:v>379618.98</x:v>
      </x:c>
      <x:c r="I30" s="22" t="n">
        <x:f>IFERROR(H30/H19-1,0)</x:f>
        <x:v>0</x:v>
      </x:c>
      <x:c r="J30" s="20" t="n">
        <x:f>SUM(B30,D30,F30,H30)</x:f>
        <x:v>1518475.92</x:v>
      </x:c>
      <x:c r="K30" s="22" t="n">
        <x:f>IFERROR(J30/J19-1,0)</x:f>
        <x:v>0</x:v>
      </x:c>
    </x:row>
    <x:row r="31">
      <x:c r="A31" s="14" t="str">
        <x:v>Principal Pay</x:v>
      </x:c>
      <x:c r="B31" s="20" t="n">
        <x:f>SUMIFS(Calc!$O$6:$O$1241,Calc!$A$6:$A$1241,2028,Calc!$B$6:$B$1241,"Q1")</x:f>
        <x:v>87178</x:v>
      </x:c>
      <x:c r="C31" s="22" t="n">
        <x:f>IFERROR(B31/B20-1,0)</x:f>
        <x:v>0</x:v>
      </x:c>
      <x:c r="D31" s="20" t="n">
        <x:f>SUMIFS(Calc!$O$6:$O$1241,Calc!$A$6:$A$1241,2028,Calc!$B$6:$B$1241,"Q2")</x:f>
        <x:v>87178</x:v>
      </x:c>
      <x:c r="E31" s="22" t="n">
        <x:f>IFERROR(D31/D20-1,0)</x:f>
        <x:v>0</x:v>
      </x:c>
      <x:c r="F31" s="20" t="n">
        <x:f>SUMIFS(Calc!$O$6:$O$1241,Calc!$A$6:$A$1241,2028,Calc!$B$6:$B$1241,"Q3")</x:f>
        <x:v>87178</x:v>
      </x:c>
      <x:c r="G31" s="22" t="n">
        <x:f>IFERROR(F31/F20-1,0)</x:f>
        <x:v>0</x:v>
      </x:c>
      <x:c r="H31" s="20" t="n">
        <x:f>SUMIFS(Calc!$O$6:$O$1241,Calc!$A$6:$A$1241,2028,Calc!$B$6:$B$1241,"Q4")</x:f>
        <x:v>87178</x:v>
      </x:c>
      <x:c r="I31" s="22" t="n">
        <x:f>IFERROR(H31/H20-1,0)</x:f>
        <x:v>0</x:v>
      </x:c>
      <x:c r="J31" s="20" t="n">
        <x:f>SUM(B31,D31,F31,H31)</x:f>
        <x:v>348712</x:v>
      </x:c>
      <x:c r="K31" s="22" t="n">
        <x:f>IFERROR(J31/J20-1,0)</x:f>
        <x:v>0</x:v>
      </x:c>
    </x:row>
    <x:row r="32">
      <x:c r="A32" s="14" t="str">
        <x:v>Media Exploitation Fee</x:v>
      </x:c>
      <x:c r="B32" s="20" t="n">
        <x:f>SUMIFS(Calc!$Q$6:$Q$1241,Calc!$A$6:$A$1241,2028,Calc!$B$6:$B$1241,"Q1")</x:f>
        <x:v>40170</x:v>
      </x:c>
      <x:c r="C32" s="22" t="n">
        <x:f>IFERROR(B32/B21-1,0)</x:f>
        <x:v>0</x:v>
      </x:c>
      <x:c r="D32" s="20" t="n">
        <x:f>SUMIFS(Calc!$Q$6:$Q$1241,Calc!$A$6:$A$1241,2028,Calc!$B$6:$B$1241,"Q2")</x:f>
        <x:v>40170</x:v>
      </x:c>
      <x:c r="E32" s="22" t="n">
        <x:f>IFERROR(D32/D21-1,0)</x:f>
        <x:v>0</x:v>
      </x:c>
      <x:c r="F32" s="20" t="n">
        <x:f>SUMIFS(Calc!$Q$6:$Q$1241,Calc!$A$6:$A$1241,2028,Calc!$B$6:$B$1241,"Q3")</x:f>
        <x:v>40170</x:v>
      </x:c>
      <x:c r="G32" s="22" t="n">
        <x:f>IFERROR(F32/F21-1,0)</x:f>
        <x:v>0</x:v>
      </x:c>
      <x:c r="H32" s="20" t="n">
        <x:f>SUMIFS(Calc!$Q$6:$Q$1241,Calc!$A$6:$A$1241,2028,Calc!$B$6:$B$1241,"Q4")</x:f>
        <x:v>0</x:v>
      </x:c>
      <x:c r="I32" s="22" t="n">
        <x:f>IFERROR(H32/H21-1,0)</x:f>
        <x:v>0</x:v>
      </x:c>
      <x:c r="J32" s="20" t="n">
        <x:f>SUM(B32,D32,F32,H32)</x:f>
        <x:v>120510</x:v>
      </x:c>
      <x:c r="K32" s="22" t="n">
        <x:f>IFERROR(J32/J21-1,0)</x:f>
        <x:v>0</x:v>
      </x:c>
    </x:row>
    <x:row r="33">
      <x:c r="A33" s="14" t="str">
        <x:v>Seniority Pay</x:v>
      </x:c>
      <x:c r="B33" s="20" t="n">
        <x:f>SUMIFS(Calc!$P$6:$P$1241,Calc!$A$6:$A$1241,2028,Calc!$B$6:$B$1241,"Q1")</x:f>
        <x:v>92560</x:v>
      </x:c>
      <x:c r="C33" s="22" t="n">
        <x:f>IFERROR(B33/B22-1,0)</x:f>
        <x:v>0</x:v>
      </x:c>
      <x:c r="D33" s="20" t="n">
        <x:f>SUMIFS(Calc!$P$6:$P$1241,Calc!$A$6:$A$1241,2028,Calc!$B$6:$B$1241,"Q2")</x:f>
        <x:v>92560</x:v>
      </x:c>
      <x:c r="E33" s="22" t="n">
        <x:f>IFERROR(D33/D22-1,0)</x:f>
        <x:v>0</x:v>
      </x:c>
      <x:c r="F33" s="20" t="n">
        <x:f>SUMIFS(Calc!$P$6:$P$1241,Calc!$A$6:$A$1241,2028,Calc!$B$6:$B$1241,"Q3")</x:f>
        <x:v>92560</x:v>
      </x:c>
      <x:c r="G33" s="22" t="n">
        <x:f>IFERROR(F33/F22-1,0)</x:f>
        <x:v>0</x:v>
      </x:c>
      <x:c r="H33" s="20" t="n">
        <x:f>SUMIFS(Calc!$P$6:$P$1241,Calc!$A$6:$A$1241,2028,Calc!$B$6:$B$1241,"Q4")</x:f>
        <x:v>92560</x:v>
      </x:c>
      <x:c r="I33" s="22" t="n">
        <x:f>IFERROR(H33/H22-1,0)</x:f>
        <x:v>0</x:v>
      </x:c>
      <x:c r="J33" s="20" t="n">
        <x:f>SUM(B33,D33,F33,H33)</x:f>
        <x:v>370240</x:v>
      </x:c>
      <x:c r="K33" s="22" t="n">
        <x:f>IFERROR(J33/J22-1,0)</x:f>
        <x:v>0</x:v>
      </x:c>
    </x:row>
    <x:row r="34">
      <x:c r="A34" s="14" t="str">
        <x:v>Payroll Tax</x:v>
      </x:c>
      <x:c r="B34" s="20" t="n">
        <x:f>SUMIFS(Calc!$V$6:$V$1241,Calc!$A$6:$A$1241,2028,Calc!$B$6:$B$1241,"Q1")</x:f>
        <x:v>341662.04647</x:v>
      </x:c>
      <x:c r="C34" s="22" t="n">
        <x:f>IFERROR(B34/B23-1,0)</x:f>
        <x:v>0</x:v>
      </x:c>
      <x:c r="D34" s="20" t="n">
        <x:f>SUMIFS(Calc!$V$6:$V$1241,Calc!$A$6:$A$1241,2028,Calc!$B$6:$B$1241,"Q2")</x:f>
        <x:v>291192.04646999994</x:v>
      </x:c>
      <x:c r="E34" s="22" t="n">
        <x:f>IFERROR(D34/D23-1,0)</x:f>
        <x:v>0</x:v>
      </x:c>
      <x:c r="F34" s="20" t="n">
        <x:f>SUMIFS(Calc!$V$6:$V$1241,Calc!$A$6:$A$1241,2028,Calc!$B$6:$B$1241,"Q3")</x:f>
        <x:v>259944.82518999994</x:v>
      </x:c>
      <x:c r="G34" s="22" t="n">
        <x:f>IFERROR(F34/F23-1,0)</x:f>
        <x:v>0</x:v>
      </x:c>
      <x:c r="H34" s="20" t="n">
        <x:f>SUMIFS(Calc!$V$6:$V$1241,Calc!$A$6:$A$1241,2028,Calc!$B$6:$B$1241,"Q4")</x:f>
        <x:v>142527.69771000004</x:v>
      </x:c>
      <x:c r="I34" s="22" t="n">
        <x:f>IFERROR(H34/H23-1,0)</x:f>
        <x:v>0</x:v>
      </x:c>
      <x:c r="J34" s="20" t="n">
        <x:f>SUM(B34,D34,F34,H34)</x:f>
        <x:v>1035326.6158399999</x:v>
      </x:c>
      <x:c r="K34" s="22" t="n">
        <x:f>IFERROR(J34/J23-1,0)</x:f>
        <x:v>0</x:v>
      </x:c>
    </x:row>
    <x:row r="35">
      <x:c r="A35" s="14" t="str">
        <x:v>Total Compensation Cost</x:v>
      </x:c>
      <x:c r="B35" s="20" t="n">
        <x:f>SUMIFS(Calc!$W$6:$W$1241,Calc!$A$6:$A$1241,2028,Calc!$B$6:$B$1241,"Q1")</x:f>
        <x:v>4148094.02647</x:v>
      </x:c>
      <x:c r="C35" s="22" t="n">
        <x:f>IFERROR(B35/B24-1,0)</x:f>
        <x:v>0</x:v>
      </x:c>
      <x:c r="D35" s="20" t="n">
        <x:f>SUMIFS(Calc!$W$6:$W$1241,Calc!$A$6:$A$1241,2028,Calc!$B$6:$B$1241,"Q2")</x:f>
        <x:v>4097624.0264699995</x:v>
      </x:c>
      <x:c r="E35" s="22" t="n">
        <x:f>IFERROR(D35/D24-1,0)</x:f>
        <x:v>0</x:v>
      </x:c>
      <x:c r="F35" s="20" t="n">
        <x:f>SUMIFS(Calc!$W$6:$W$1241,Calc!$A$6:$A$1241,2028,Calc!$B$6:$B$1241,"Q3")</x:f>
        <x:v>4066376.80519</x:v>
      </x:c>
      <x:c r="G35" s="22" t="n">
        <x:f>IFERROR(F35/F24-1,0)</x:f>
        <x:v>0</x:v>
      </x:c>
      <x:c r="H35" s="20" t="n">
        <x:f>SUMIFS(Calc!$W$6:$W$1241,Calc!$A$6:$A$1241,2028,Calc!$B$6:$B$1241,"Q4")</x:f>
        <x:v>3908789.6777100014</x:v>
      </x:c>
      <x:c r="I35" s="22" t="n">
        <x:f>IFERROR(H35/H24-1,0)</x:f>
        <x:v>0</x:v>
      </x:c>
      <x:c r="J35" s="20" t="n">
        <x:f>SUM(B35,D35,F35,H35)</x:f>
        <x:v>16220884.535840001</x:v>
      </x:c>
      <x:c r="K35" s="22" t="n">
        <x:f>IFERROR(J35/J24-1,0)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  <x:col min="7" max="7" width="34" hidden="0" customWidth="1"/>
    <x:col min="8" max="8" width="12" hidden="0" customWidth="1"/>
  </x:cols>
  <x:sheetData>
    <x:row r="2">
      <x:c r="A2" s="3" t="str">
        <x:v>Renaissance Popular Orchestra CBA payroll assumptions</x:v>
      </x:c>
      <x:c r="B2" s="4"/>
      <x:c r="C2" s="4"/>
      <x:c r="D2" s="4"/>
      <x:c r="E2" s="4"/>
      <x:c r="F2" s="4"/>
      <x:c r="G2" s="4"/>
      <x:c r="H2" s="5"/>
    </x:row>
    <x:row r="3">
      <x:c r="A3" t="str">
        <x:v>Editable inputs are shaded yellow. Annual driver columns feed the current year and two forecast years.</x:v>
      </x:c>
    </x:row>
    <x:row r="5">
      <x:c r="A5" s="12" t="str">
        <x:v>Driver</x:v>
      </x:c>
      <x:c r="B5" s="12" t="n">
        <x:v>2026</x:v>
      </x:c>
      <x:c r="C5" s="12" t="n">
        <x:v>2027</x:v>
      </x:c>
      <x:c r="D5" s="12" t="n">
        <x:v>2028</x:v>
      </x:c>
      <x:c r="E5" s="12" t="str">
        <x:v>Unit</x:v>
      </x:c>
      <x:c r="F5" s="12" t="str">
        <x:v>Source</x:v>
      </x:c>
      <x:c r="G5" s="12" t="str">
        <x:v>Notes</x:v>
      </x:c>
      <x:c r="H5" s="12" t="str">
        <x:v>Editable</x:v>
      </x:c>
    </x:row>
    <x:row r="6">
      <x:c r="A6" s="14" t="str">
        <x:v>Base year</x:v>
      </x:c>
      <x:c r="B6" s="14" t="n">
        <x:v>2026</x:v>
      </x:c>
      <x:c r="C6" s="14" t="n">
        <x:v>2027</x:v>
      </x:c>
      <x:c r="D6" s="14" t="n">
        <x:v>2028</x:v>
      </x:c>
      <x:c r="E6" s="14" t="str">
        <x:v>Year</x:v>
      </x:c>
      <x:c r="F6" s="14" t="str">
        <x:v>Model assumption</x:v>
      </x:c>
      <x:c r="G6" s="14" t="str">
        <x:v>Current calendar year based on build date</x:v>
      </x:c>
      <x:c r="H6" s="14" t="str">
        <x:v>No</x:v>
      </x:c>
    </x:row>
    <x:row r="7">
      <x:c r="A7" s="14" t="str">
        <x:v>Quarter weeks</x:v>
      </x:c>
      <x:c r="B7" s="16" t="n">
        <x:v>13</x:v>
      </x:c>
      <x:c r="C7" s="16" t="n">
        <x:v>13</x:v>
      </x:c>
      <x:c r="D7" s="16" t="n">
        <x:v>13</x:v>
      </x:c>
      <x:c r="E7" s="14" t="str">
        <x:v>Weeks</x:v>
      </x:c>
      <x:c r="F7" s="14" t="str">
        <x:v>Model assumption</x:v>
      </x:c>
      <x:c r="G7" s="14" t="str">
        <x:v>13 weeks per quarter</x:v>
      </x:c>
      <x:c r="H7" s="14" t="str">
        <x:v>Yes</x:v>
      </x:c>
    </x:row>
    <x:row r="8">
      <x:c r="A8" s="14" t="str">
        <x:v>Minimum Weekly Scale</x:v>
      </x:c>
      <x:c r="B8" s="17" t="n">
        <x:v>2395</x:v>
      </x:c>
      <x:c r="C8" s="17" t="n">
        <x:v>2395</x:v>
      </x:c>
      <x:c r="D8" s="17" t="n">
        <x:v>2395</x:v>
      </x:c>
      <x:c r="E8" s="14" t="str">
        <x:v>$ / week</x:v>
      </x:c>
      <x:c r="F8" s="14" t="str">
        <x:v>Assumptions sheet</x:v>
      </x:c>
      <x:c r="G8" s="14" t="str">
        <x:v>Base weekly pay for all musicians</x:v>
      </x:c>
      <x:c r="H8" s="14" t="str">
        <x:v>Yes</x:v>
      </x:c>
    </x:row>
    <x:row r="9">
      <x:c r="A9" s="14" t="str">
        <x:v>Overscale growth</x:v>
      </x:c>
      <x:c r="B9" s="18" t="n">
        <x:v>0</x:v>
      </x:c>
      <x:c r="C9" s="18" t="n">
        <x:v>0</x:v>
      </x:c>
      <x:c r="D9" s="18" t="n">
        <x:v>0</x:v>
      </x:c>
      <x:c r="E9" s="14" t="str">
        <x:v>%</x:v>
      </x:c>
      <x:c r="F9" s="14" t="str">
        <x:v>Model input</x:v>
      </x:c>
      <x:c r="G9" s="14" t="str">
        <x:v>Applies to roster overscale by year</x:v>
      </x:c>
      <x:c r="H9" s="14" t="str">
        <x:v>Yes</x:v>
      </x:c>
    </x:row>
    <x:row r="10">
      <x:c r="A10" s="14" t="str">
        <x:v>Principal premium</x:v>
      </x:c>
      <x:c r="B10" s="18" t="n">
        <x:v>0.2</x:v>
      </x:c>
      <x:c r="C10" s="18" t="n">
        <x:v>0.2</x:v>
      </x:c>
      <x:c r="D10" s="18" t="n">
        <x:v>0.2</x:v>
      </x:c>
      <x:c r="E10" s="14" t="str">
        <x:v>% of MWS</x:v>
      </x:c>
      <x:c r="F10" s="14" t="str">
        <x:v>Assumptions sheet</x:v>
      </x:c>
      <x:c r="G10" s="14" t="str">
        <x:v>Paid unless roster note says overscale includes principal pay</x:v>
      </x:c>
      <x:c r="H10" s="14" t="str">
        <x:v>Yes</x:v>
      </x:c>
    </x:row>
    <x:row r="11">
      <x:c r="A11" s="14" t="str">
        <x:v>Associate Principal premium</x:v>
      </x:c>
      <x:c r="B11" s="18" t="n">
        <x:v>0.1</x:v>
      </x:c>
      <x:c r="C11" s="18" t="n">
        <x:v>0.1</x:v>
      </x:c>
      <x:c r="D11" s="18" t="n">
        <x:v>0.1</x:v>
      </x:c>
      <x:c r="E11" s="14" t="str">
        <x:v>% of MWS</x:v>
      </x:c>
      <x:c r="F11" s="14" t="str">
        <x:v>Assumptions sheet</x:v>
      </x:c>
      <x:c r="G11" s="14" t="str">
        <x:v>Paid unless roster note says overscale includes principal pay</x:v>
      </x:c>
      <x:c r="H11" s="14" t="str">
        <x:v>Yes</x:v>
      </x:c>
    </x:row>
    <x:row r="12">
      <x:c r="A12" s="14" t="str">
        <x:v>Assistant Principal premium</x:v>
      </x:c>
      <x:c r="B12" s="18" t="n">
        <x:v>0.1</x:v>
      </x:c>
      <x:c r="C12" s="18" t="n">
        <x:v>0.1</x:v>
      </x:c>
      <x:c r="D12" s="18" t="n">
        <x:v>0.1</x:v>
      </x:c>
      <x:c r="E12" s="14" t="str">
        <x:v>% of MWS</x:v>
      </x:c>
      <x:c r="F12" s="14" t="str">
        <x:v>Assumptions sheet</x:v>
      </x:c>
      <x:c r="G12" s="14" t="str">
        <x:v>Paid unless roster note says overscale includes principal pay</x:v>
      </x:c>
      <x:c r="H12" s="14" t="str">
        <x:v>Yes</x:v>
      </x:c>
    </x:row>
    <x:row r="13">
      <x:c r="A13" s="14" t="str">
        <x:v>Media weekly fee</x:v>
      </x:c>
      <x:c r="B13" s="17" t="n">
        <x:v>30</x:v>
      </x:c>
      <x:c r="C13" s="17" t="n">
        <x:v>30</x:v>
      </x:c>
      <x:c r="D13" s="17" t="n">
        <x:v>30</x:v>
      </x:c>
      <x:c r="E13" s="14" t="str">
        <x:v>$ / week</x:v>
      </x:c>
      <x:c r="F13" s="14" t="str">
        <x:v>Assumptions sheet</x:v>
      </x:c>
      <x:c r="G13" s="14" t="str">
        <x:v>Paid for first 39 weeks</x:v>
      </x:c>
      <x:c r="H13" s="14" t="str">
        <x:v>Yes</x:v>
      </x:c>
    </x:row>
    <x:row r="14">
      <x:c r="A14" s="14" t="str">
        <x:v>Media paid weeks</x:v>
      </x:c>
      <x:c r="B14" s="19" t="n">
        <x:v>39</x:v>
      </x:c>
      <x:c r="C14" s="19" t="n">
        <x:v>39</x:v>
      </x:c>
      <x:c r="D14" s="19" t="n">
        <x:v>39</x:v>
      </x:c>
      <x:c r="E14" s="14" t="str">
        <x:v>Weeks</x:v>
      </x:c>
      <x:c r="F14" s="14" t="str">
        <x:v>Assumptions sheet</x:v>
      </x:c>
      <x:c r="G14" s="14" t="str">
        <x:v>Applied to Q1-Q3 in the model</x:v>
      </x:c>
      <x:c r="H14" s="14" t="str">
        <x:v>Yes</x:v>
      </x:c>
    </x:row>
    <x:row r="15">
      <x:c r="A15" s="14" t="str">
        <x:v>Seniority 5-9 years</x:v>
      </x:c>
      <x:c r="B15" s="17" t="n">
        <x:v>50</x:v>
      </x:c>
      <x:c r="C15" s="17" t="n">
        <x:v>50</x:v>
      </x:c>
      <x:c r="D15" s="17" t="n">
        <x:v>50</x:v>
      </x:c>
      <x:c r="E15" s="14" t="str">
        <x:v>$ / week</x:v>
      </x:c>
      <x:c r="F15" s="14" t="str">
        <x:v>Assumptions sheet</x:v>
      </x:c>
      <x:c r="G15" s="14" t="str">
        <x:v>Seniority band</x:v>
      </x:c>
      <x:c r="H15" s="14" t="str">
        <x:v>Yes</x:v>
      </x:c>
    </x:row>
    <x:row r="16">
      <x:c r="A16" s="14" t="str">
        <x:v>Seniority 10-14 years</x:v>
      </x:c>
      <x:c r="B16" s="17" t="n">
        <x:v>60</x:v>
      </x:c>
      <x:c r="C16" s="17" t="n">
        <x:v>60</x:v>
      </x:c>
      <x:c r="D16" s="17" t="n">
        <x:v>60</x:v>
      </x:c>
      <x:c r="E16" s="14" t="str">
        <x:v>$ / week</x:v>
      </x:c>
      <x:c r="F16" s="14" t="str">
        <x:v>Assumptions sheet</x:v>
      </x:c>
      <x:c r="G16" s="14" t="str">
        <x:v>Seniority band</x:v>
      </x:c>
      <x:c r="H16" s="14" t="str">
        <x:v>Yes</x:v>
      </x:c>
    </x:row>
    <x:row r="17">
      <x:c r="A17" s="14" t="str">
        <x:v>Seniority 15-19 years</x:v>
      </x:c>
      <x:c r="B17" s="17" t="n">
        <x:v>70</x:v>
      </x:c>
      <x:c r="C17" s="17" t="n">
        <x:v>70</x:v>
      </x:c>
      <x:c r="D17" s="17" t="n">
        <x:v>70</x:v>
      </x:c>
      <x:c r="E17" s="14" t="str">
        <x:v>$ / week</x:v>
      </x:c>
      <x:c r="F17" s="14" t="str">
        <x:v>Assumptions sheet</x:v>
      </x:c>
      <x:c r="G17" s="14" t="str">
        <x:v>Seniority band</x:v>
      </x:c>
      <x:c r="H17" s="14" t="str">
        <x:v>Yes</x:v>
      </x:c>
    </x:row>
    <x:row r="18">
      <x:c r="A18" s="14" t="str">
        <x:v>Seniority 20-24 years</x:v>
      </x:c>
      <x:c r="B18" s="17" t="n">
        <x:v>80</x:v>
      </x:c>
      <x:c r="C18" s="17" t="n">
        <x:v>80</x:v>
      </x:c>
      <x:c r="D18" s="17" t="n">
        <x:v>80</x:v>
      </x:c>
      <x:c r="E18" s="14" t="str">
        <x:v>$ / week</x:v>
      </x:c>
      <x:c r="F18" s="14" t="str">
        <x:v>Assumptions sheet</x:v>
      </x:c>
      <x:c r="G18" s="14" t="str">
        <x:v>Seniority band</x:v>
      </x:c>
      <x:c r="H18" s="14" t="str">
        <x:v>Yes</x:v>
      </x:c>
    </x:row>
    <x:row r="19">
      <x:c r="A19" s="14" t="str">
        <x:v>Seniority 25+ years</x:v>
      </x:c>
      <x:c r="B19" s="17" t="n">
        <x:v>90</x:v>
      </x:c>
      <x:c r="C19" s="17" t="n">
        <x:v>90</x:v>
      </x:c>
      <x:c r="D19" s="17" t="n">
        <x:v>90</x:v>
      </x:c>
      <x:c r="E19" s="14" t="str">
        <x:v>$ / week</x:v>
      </x:c>
      <x:c r="F19" s="14" t="str">
        <x:v>Assumptions sheet</x:v>
      </x:c>
      <x:c r="G19" s="14" t="str">
        <x:v>Seniority band</x:v>
      </x:c>
      <x:c r="H19" s="14" t="str">
        <x:v>Yes</x:v>
      </x:c>
    </x:row>
    <x:row r="20">
      <x:c r="A20" s="14" t="str">
        <x:v>Payroll tax threshold 1</x:v>
      </x:c>
      <x:c r="B20" s="17" t="n">
        <x:v>7000</x:v>
      </x:c>
      <x:c r="C20" s="17" t="n">
        <x:v>7000</x:v>
      </x:c>
      <x:c r="D20" s="17" t="n">
        <x:v>7000</x:v>
      </x:c>
      <x:c r="E20" s="14" t="str">
        <x:v>$ annual wages</x:v>
      </x:c>
      <x:c r="F20" s="14" t="str">
        <x:v>Assumptions sheet</x:v>
      </x:c>
      <x:c r="G20" s="14" t="str">
        <x:v>First tax tier ceiling</x:v>
      </x:c>
      <x:c r="H20" s="14" t="str">
        <x:v>Yes</x:v>
      </x:c>
    </x:row>
    <x:row r="21">
      <x:c r="A21" s="14" t="str">
        <x:v>Payroll tax threshold 2</x:v>
      </x:c>
      <x:c r="B21" s="17" t="n">
        <x:v>119741</x:v>
      </x:c>
      <x:c r="C21" s="17" t="n">
        <x:v>119741</x:v>
      </x:c>
      <x:c r="D21" s="17" t="n">
        <x:v>119741</x:v>
      </x:c>
      <x:c r="E21" s="14" t="str">
        <x:v>$ annual wages</x:v>
      </x:c>
      <x:c r="F21" s="14" t="str">
        <x:v>Assumptions sheet</x:v>
      </x:c>
      <x:c r="G21" s="14" t="str">
        <x:v>FICA withholding limit</x:v>
      </x:c>
      <x:c r="H21" s="14" t="str">
        <x:v>Yes</x:v>
      </x:c>
    </x:row>
    <x:row r="22">
      <x:c r="A22" s="14" t="str">
        <x:v>Payroll tax rate 1</x:v>
      </x:c>
      <x:c r="B22" s="18" t="n">
        <x:v>0.1465</x:v>
      </x:c>
      <x:c r="C22" s="18" t="n">
        <x:v>0.1465</x:v>
      </x:c>
      <x:c r="D22" s="18" t="n">
        <x:v>0.1465</x:v>
      </x:c>
      <x:c r="E22" s="14" t="str">
        <x:v>%</x:v>
      </x:c>
      <x:c r="F22" s="14" t="str">
        <x:v>Assumptions sheet</x:v>
      </x:c>
      <x:c r="G22" s="14" t="str">
        <x:v>Tax rate up to threshold 1</x:v>
      </x:c>
      <x:c r="H22" s="14" t="str">
        <x:v>Yes</x:v>
      </x:c>
    </x:row>
    <x:row r="23">
      <x:c r="A23" s="14" t="str">
        <x:v>Payroll tax rate 2</x:v>
      </x:c>
      <x:c r="B23" s="18" t="n">
        <x:v>0.0765</x:v>
      </x:c>
      <x:c r="C23" s="18" t="n">
        <x:v>0.0765</x:v>
      </x:c>
      <x:c r="D23" s="18" t="n">
        <x:v>0.0765</x:v>
      </x:c>
      <x:c r="E23" s="14" t="str">
        <x:v>%</x:v>
      </x:c>
      <x:c r="F23" s="14" t="str">
        <x:v>Assumptions sheet</x:v>
      </x:c>
      <x:c r="G23" s="14" t="str">
        <x:v>Tax rate threshold 1 to threshold 2</x:v>
      </x:c>
      <x:c r="H23" s="14" t="str">
        <x:v>Yes</x:v>
      </x:c>
    </x:row>
    <x:row r="24">
      <x:c r="A24" s="14" t="str">
        <x:v>Payroll tax rate 3</x:v>
      </x:c>
      <x:c r="B24" s="18" t="n">
        <x:v>0.0145</x:v>
      </x:c>
      <x:c r="C24" s="18" t="n">
        <x:v>0.0145</x:v>
      </x:c>
      <x:c r="D24" s="18" t="n">
        <x:v>0.0145</x:v>
      </x:c>
      <x:c r="E24" s="14" t="str">
        <x:v>%</x:v>
      </x:c>
      <x:c r="F24" s="14" t="str">
        <x:v>Assumptions sheet</x:v>
      </x:c>
      <x:c r="G24" s="14" t="str">
        <x:v>Tax rate above threshold 2</x:v>
      </x:c>
      <x:c r="H24" s="14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5" hidden="0" customWidth="1"/>
    <x:col min="4" max="4" width="15" hidden="0" customWidth="1"/>
    <x:col min="5" max="5" width="36" hidden="0" customWidth="1"/>
    <x:col min="6" max="6" width="22" hidden="0" customWidth="1"/>
  </x:cols>
  <x:sheetData>
    <x:row r="1">
      <x:c r="E1" s="21"/>
    </x:row>
    <x:row r="2">
      <x:c r="A2" s="3" t="str">
        <x:v>Personnel roster</x:v>
      </x:c>
      <x:c r="B2" s="4"/>
      <x:c r="C2" s="4"/>
      <x:c r="D2" s="4"/>
      <x:c r="E2" s="4"/>
      <x:c r="F2" s="5"/>
    </x:row>
    <x:row r="3">
      <x:c r="A3" t="str">
        <x:v>Source roster imported from attachment. Principal included flag is derived from notes.</x:v>
      </x:c>
    </x:row>
    <x:row r="5">
      <x:c r="A5" s="12" t="str">
        <x:v>Employee #</x:v>
      </x:c>
      <x:c r="B5" s="12" t="str">
        <x:v>Titled Position</x:v>
      </x:c>
      <x:c r="C5" s="12" t="str">
        <x:v>Overscale</x:v>
      </x:c>
      <x:c r="D5" s="12" t="str">
        <x:v>Years of Service</x:v>
      </x:c>
      <x:c r="E5" s="12" t="str">
        <x:v>Notes</x:v>
      </x:c>
      <x:c r="F5" s="12" t="str">
        <x:v>Principal Included in Overscale</x:v>
      </x:c>
    </x:row>
    <x:row r="6">
      <x:c r="A6" s="14" t="n">
        <x:v>1</x:v>
      </x:c>
      <x:c r="B6" s="14" t="str">
        <x:v>Principal</x:v>
      </x:c>
      <x:c r="C6" s="20" t="n">
        <x:v>300</x:v>
      </x:c>
      <x:c r="D6" s="14" t="n">
        <x:v>0</x:v>
      </x:c>
      <x:c r="E6" s="14" t="str"/>
      <x:c r="F6" s="14" t="str">
        <x:v>No</x:v>
      </x:c>
    </x:row>
    <x:row r="7">
      <x:c r="A7" s="14" t="n">
        <x:v>2</x:v>
      </x:c>
      <x:c r="B7" s="14" t="str"/>
      <x:c r="C7" s="20" t="n">
        <x:v>0</x:v>
      </x:c>
      <x:c r="D7" s="14" t="n">
        <x:v>8</x:v>
      </x:c>
      <x:c r="E7" s="14" t="str"/>
      <x:c r="F7" s="14" t="str">
        <x:v>No</x:v>
      </x:c>
    </x:row>
    <x:row r="8">
      <x:c r="A8" s="14" t="n">
        <x:v>3</x:v>
      </x:c>
      <x:c r="B8" s="14" t="str">
        <x:v>Principal</x:v>
      </x:c>
      <x:c r="C8" s="20" t="n">
        <x:v>500</x:v>
      </x:c>
      <x:c r="D8" s="14" t="n">
        <x:v>12</x:v>
      </x:c>
      <x:c r="E8" s="14" t="str"/>
      <x:c r="F8" s="14" t="str">
        <x:v>No</x:v>
      </x:c>
    </x:row>
    <x:row r="9">
      <x:c r="A9" s="14" t="n">
        <x:v>4</x:v>
      </x:c>
      <x:c r="B9" s="14" t="str"/>
      <x:c r="C9" s="20" t="n">
        <x:v>50</x:v>
      </x:c>
      <x:c r="D9" s="14" t="n">
        <x:v>36</x:v>
      </x:c>
      <x:c r="E9" s="14" t="str"/>
      <x:c r="F9" s="14" t="str">
        <x:v>No</x:v>
      </x:c>
    </x:row>
    <x:row r="10">
      <x:c r="A10" s="14" t="n">
        <x:v>5</x:v>
      </x:c>
      <x:c r="B10" s="14" t="str">
        <x:v>Associate Principal</x:v>
      </x:c>
      <x:c r="C10" s="20" t="n">
        <x:v>350</x:v>
      </x:c>
      <x:c r="D10" s="14" t="n">
        <x:v>24</x:v>
      </x:c>
      <x:c r="E10" s="14" t="str">
        <x:v>此金额已包含 Principal Pay（首席加成）</x:v>
      </x:c>
      <x:c r="F10" s="14" t="str">
        <x:v>Yes</x:v>
      </x:c>
    </x:row>
    <x:row r="11">
      <x:c r="A11" s="14" t="n">
        <x:v>6</x:v>
      </x:c>
      <x:c r="B11" s="14" t="str">
        <x:v>Principal</x:v>
      </x:c>
      <x:c r="C11" s="20" t="n">
        <x:v>1500</x:v>
      </x:c>
      <x:c r="D11" s="14" t="n">
        <x:v>13</x:v>
      </x:c>
      <x:c r="E11" s="14" t="str"/>
      <x:c r="F11" s="14" t="str">
        <x:v>No</x:v>
      </x:c>
    </x:row>
    <x:row r="12">
      <x:c r="A12" s="14" t="n">
        <x:v>7</x:v>
      </x:c>
      <x:c r="B12" s="14" t="str">
        <x:v>Principal</x:v>
      </x:c>
      <x:c r="C12" s="20" t="n">
        <x:v>1400</x:v>
      </x:c>
      <x:c r="D12" s="14" t="n">
        <x:v>7</x:v>
      </x:c>
      <x:c r="E12" s="14" t="str"/>
      <x:c r="F12" s="14" t="str">
        <x:v>No</x:v>
      </x:c>
    </x:row>
    <x:row r="13">
      <x:c r="A13" s="14" t="n">
        <x:v>8</x:v>
      </x:c>
      <x:c r="B13" s="14" t="str">
        <x:v>Principal</x:v>
      </x:c>
      <x:c r="C13" s="20" t="n">
        <x:v>700</x:v>
      </x:c>
      <x:c r="D13" s="14" t="n">
        <x:v>9</x:v>
      </x:c>
      <x:c r="E13" s="14" t="str"/>
      <x:c r="F13" s="14" t="str">
        <x:v>No</x:v>
      </x:c>
    </x:row>
    <x:row r="14">
      <x:c r="A14" s="14" t="n">
        <x:v>9</x:v>
      </x:c>
      <x:c r="B14" s="14" t="str"/>
      <x:c r="C14" s="20" t="n">
        <x:v>40</x:v>
      </x:c>
      <x:c r="D14" s="14" t="n">
        <x:v>22</x:v>
      </x:c>
      <x:c r="E14" s="14" t="str"/>
      <x:c r="F14" s="14" t="str">
        <x:v>No</x:v>
      </x:c>
    </x:row>
    <x:row r="15">
      <x:c r="A15" s="14" t="n">
        <x:v>10</x:v>
      </x:c>
      <x:c r="B15" s="14" t="str">
        <x:v>Associate Principal</x:v>
      </x:c>
      <x:c r="C15" s="20" t="n">
        <x:v>0</x:v>
      </x:c>
      <x:c r="D15" s="14" t="n">
        <x:v>34</x:v>
      </x:c>
      <x:c r="E15" s="14" t="str"/>
      <x:c r="F15" s="14" t="str">
        <x:v>No</x:v>
      </x:c>
    </x:row>
    <x:row r="16">
      <x:c r="A16" s="14" t="n">
        <x:v>11</x:v>
      </x:c>
      <x:c r="B16" s="14" t="str"/>
      <x:c r="C16" s="20" t="n">
        <x:v>150</x:v>
      </x:c>
      <x:c r="D16" s="14" t="n">
        <x:v>25</x:v>
      </x:c>
      <x:c r="E16" s="14" t="str"/>
      <x:c r="F16" s="14" t="str">
        <x:v>No</x:v>
      </x:c>
    </x:row>
    <x:row r="17">
      <x:c r="A17" s="14" t="n">
        <x:v>12</x:v>
      </x:c>
      <x:c r="B17" s="14" t="str"/>
      <x:c r="C17" s="20" t="n">
        <x:v>50</x:v>
      </x:c>
      <x:c r="D17" s="14" t="n">
        <x:v>34</x:v>
      </x:c>
      <x:c r="E17" s="14" t="str"/>
      <x:c r="F17" s="14" t="str">
        <x:v>No</x:v>
      </x:c>
    </x:row>
    <x:row r="18">
      <x:c r="A18" s="14" t="n">
        <x:v>13</x:v>
      </x:c>
      <x:c r="B18" s="14" t="str">
        <x:v>Associate Principal</x:v>
      </x:c>
      <x:c r="C18" s="20" t="n">
        <x:v>350</x:v>
      </x:c>
      <x:c r="D18" s="14" t="n">
        <x:v>8</x:v>
      </x:c>
      <x:c r="E18" s="14" t="str"/>
      <x:c r="F18" s="14" t="str">
        <x:v>No</x:v>
      </x:c>
    </x:row>
    <x:row r="19">
      <x:c r="A19" s="14" t="n">
        <x:v>14</x:v>
      </x:c>
      <x:c r="B19" s="14" t="str">
        <x:v>Associate Principal</x:v>
      </x:c>
      <x:c r="C19" s="20" t="n">
        <x:v>650</x:v>
      </x:c>
      <x:c r="D19" s="14" t="n">
        <x:v>5</x:v>
      </x:c>
      <x:c r="E19" s="14" t="str"/>
      <x:c r="F19" s="14" t="str">
        <x:v>No</x:v>
      </x:c>
    </x:row>
    <x:row r="20">
      <x:c r="A20" s="14" t="n">
        <x:v>15</x:v>
      </x:c>
      <x:c r="B20" s="14" t="str"/>
      <x:c r="C20" s="20" t="n">
        <x:v>30</x:v>
      </x:c>
      <x:c r="D20" s="14" t="n">
        <x:v>23</x:v>
      </x:c>
      <x:c r="E20" s="14" t="str"/>
      <x:c r="F20" s="14" t="str">
        <x:v>No</x:v>
      </x:c>
    </x:row>
    <x:row r="21">
      <x:c r="A21" s="14" t="n">
        <x:v>16</x:v>
      </x:c>
      <x:c r="B21" s="14" t="str"/>
      <x:c r="C21" s="20" t="n">
        <x:v>0</x:v>
      </x:c>
      <x:c r="D21" s="14" t="n">
        <x:v>5</x:v>
      </x:c>
      <x:c r="E21" s="14" t="str"/>
      <x:c r="F21" s="14" t="str">
        <x:v>No</x:v>
      </x:c>
    </x:row>
    <x:row r="22">
      <x:c r="A22" s="14" t="n">
        <x:v>17</x:v>
      </x:c>
      <x:c r="B22" s="14" t="str"/>
      <x:c r="C22" s="20" t="n">
        <x:v>20</x:v>
      </x:c>
      <x:c r="D22" s="14" t="n">
        <x:v>12</x:v>
      </x:c>
      <x:c r="E22" s="14" t="str"/>
      <x:c r="F22" s="14" t="str">
        <x:v>No</x:v>
      </x:c>
    </x:row>
    <x:row r="23">
      <x:c r="A23" s="14" t="n">
        <x:v>18</x:v>
      </x:c>
      <x:c r="B23" s="14" t="str"/>
      <x:c r="C23" s="20" t="n">
        <x:v>0</x:v>
      </x:c>
      <x:c r="D23" s="14" t="n">
        <x:v>12</x:v>
      </x:c>
      <x:c r="E23" s="14" t="str"/>
      <x:c r="F23" s="14" t="str">
        <x:v>No</x:v>
      </x:c>
    </x:row>
    <x:row r="24">
      <x:c r="A24" s="14" t="n">
        <x:v>19</x:v>
      </x:c>
      <x:c r="B24" s="14" t="str"/>
      <x:c r="C24" s="20" t="n">
        <x:v>60</x:v>
      </x:c>
      <x:c r="D24" s="14" t="n">
        <x:v>0</x:v>
      </x:c>
      <x:c r="E24" s="14" t="str"/>
      <x:c r="F24" s="14" t="str">
        <x:v>No</x:v>
      </x:c>
    </x:row>
    <x:row r="25">
      <x:c r="A25" s="14" t="n">
        <x:v>20</x:v>
      </x:c>
      <x:c r="B25" s="14" t="str">
        <x:v>Associate Principal</x:v>
      </x:c>
      <x:c r="C25" s="20" t="n">
        <x:v>300</x:v>
      </x:c>
      <x:c r="D25" s="14" t="n">
        <x:v>30</x:v>
      </x:c>
      <x:c r="E25" s="14" t="str">
        <x:v>此金额已包含 Principal Pay（首席加成）</x:v>
      </x:c>
      <x:c r="F25" s="14" t="str">
        <x:v>Yes</x:v>
      </x:c>
    </x:row>
    <x:row r="26">
      <x:c r="A26" s="14" t="n">
        <x:v>21</x:v>
      </x:c>
      <x:c r="B26" s="14" t="str"/>
      <x:c r="C26" s="20" t="n">
        <x:v>40</x:v>
      </x:c>
      <x:c r="D26" s="14" t="n">
        <x:v>32</x:v>
      </x:c>
      <x:c r="E26" s="14" t="str"/>
      <x:c r="F26" s="14" t="str">
        <x:v>No</x:v>
      </x:c>
    </x:row>
    <x:row r="27">
      <x:c r="A27" s="14" t="n">
        <x:v>22</x:v>
      </x:c>
      <x:c r="B27" s="14" t="str">
        <x:v>Principal</x:v>
      </x:c>
      <x:c r="C27" s="20" t="n">
        <x:v>800</x:v>
      </x:c>
      <x:c r="D27" s="14" t="n">
        <x:v>6</x:v>
      </x:c>
      <x:c r="E27" s="14" t="str"/>
      <x:c r="F27" s="14" t="str">
        <x:v>No</x:v>
      </x:c>
    </x:row>
    <x:row r="28">
      <x:c r="A28" s="14" t="n">
        <x:v>23</x:v>
      </x:c>
      <x:c r="B28" s="14" t="str"/>
      <x:c r="C28" s="20" t="n">
        <x:v>400</x:v>
      </x:c>
      <x:c r="D28" s="14" t="n">
        <x:v>7</x:v>
      </x:c>
      <x:c r="E28" s="14" t="str"/>
      <x:c r="F28" s="14" t="str">
        <x:v>No</x:v>
      </x:c>
    </x:row>
    <x:row r="29">
      <x:c r="A29" s="14" t="n">
        <x:v>24</x:v>
      </x:c>
      <x:c r="B29" s="14" t="str">
        <x:v>Assistant Principal</x:v>
      </x:c>
      <x:c r="C29" s="20" t="n">
        <x:v>0</x:v>
      </x:c>
      <x:c r="D29" s="14" t="n">
        <x:v>32</x:v>
      </x:c>
      <x:c r="E29" s="14" t="str"/>
      <x:c r="F29" s="14" t="str">
        <x:v>No</x:v>
      </x:c>
    </x:row>
    <x:row r="30">
      <x:c r="A30" s="14" t="n">
        <x:v>25</x:v>
      </x:c>
      <x:c r="B30" s="14" t="str"/>
      <x:c r="C30" s="20" t="n">
        <x:v>20</x:v>
      </x:c>
      <x:c r="D30" s="14" t="n">
        <x:v>13</x:v>
      </x:c>
      <x:c r="E30" s="14" t="str"/>
      <x:c r="F30" s="14" t="str">
        <x:v>No</x:v>
      </x:c>
    </x:row>
    <x:row r="31">
      <x:c r="A31" s="14" t="n">
        <x:v>26</x:v>
      </x:c>
      <x:c r="B31" s="14" t="str"/>
      <x:c r="C31" s="20" t="n">
        <x:v>60</x:v>
      </x:c>
      <x:c r="D31" s="14" t="n">
        <x:v>39</x:v>
      </x:c>
      <x:c r="E31" s="14" t="str"/>
      <x:c r="F31" s="14" t="str">
        <x:v>No</x:v>
      </x:c>
    </x:row>
    <x:row r="32">
      <x:c r="A32" s="14" t="n">
        <x:v>27</x:v>
      </x:c>
      <x:c r="B32" s="14" t="str">
        <x:v>Assistant Principal</x:v>
      </x:c>
      <x:c r="C32" s="20" t="n">
        <x:v>0</x:v>
      </x:c>
      <x:c r="D32" s="14" t="n">
        <x:v>0</x:v>
      </x:c>
      <x:c r="E32" s="14" t="str"/>
      <x:c r="F32" s="14" t="str">
        <x:v>No</x:v>
      </x:c>
    </x:row>
    <x:row r="33">
      <x:c r="A33" s="14" t="n">
        <x:v>28</x:v>
      </x:c>
      <x:c r="B33" s="14" t="str"/>
      <x:c r="C33" s="20" t="n">
        <x:v>240</x:v>
      </x:c>
      <x:c r="D33" s="14" t="n">
        <x:v>33</x:v>
      </x:c>
      <x:c r="E33" s="14" t="str"/>
      <x:c r="F33" s="14" t="str">
        <x:v>No</x:v>
      </x:c>
    </x:row>
    <x:row r="34">
      <x:c r="A34" s="14" t="n">
        <x:v>29</x:v>
      </x:c>
      <x:c r="B34" s="14" t="str">
        <x:v>Assistant Principal</x:v>
      </x:c>
      <x:c r="C34" s="20" t="n">
        <x:v>0</x:v>
      </x:c>
      <x:c r="D34" s="14" t="n">
        <x:v>39</x:v>
      </x:c>
      <x:c r="E34" s="14" t="str"/>
      <x:c r="F34" s="14" t="str">
        <x:v>No</x:v>
      </x:c>
    </x:row>
    <x:row r="35">
      <x:c r="A35" s="14" t="n">
        <x:v>30</x:v>
      </x:c>
      <x:c r="B35" s="14" t="str"/>
      <x:c r="C35" s="20" t="n">
        <x:v>60</x:v>
      </x:c>
      <x:c r="D35" s="14" t="n">
        <x:v>22</x:v>
      </x:c>
      <x:c r="E35" s="14" t="str"/>
      <x:c r="F35" s="14" t="str">
        <x:v>No</x:v>
      </x:c>
    </x:row>
    <x:row r="36">
      <x:c r="A36" s="14" t="n">
        <x:v>31</x:v>
      </x:c>
      <x:c r="B36" s="14" t="str">
        <x:v>Associate Principal</x:v>
      </x:c>
      <x:c r="C36" s="20" t="n">
        <x:v>775</x:v>
      </x:c>
      <x:c r="D36" s="14" t="n">
        <x:v>2</x:v>
      </x:c>
      <x:c r="E36" s="14" t="str">
        <x:v>此金额已包含 Principal Pay（首席加成）</x:v>
      </x:c>
      <x:c r="F36" s="14" t="str">
        <x:v>Yes</x:v>
      </x:c>
    </x:row>
    <x:row r="37">
      <x:c r="A37" s="14" t="n">
        <x:v>32</x:v>
      </x:c>
      <x:c r="B37" s="14" t="str"/>
      <x:c r="C37" s="20" t="n">
        <x:v>90</x:v>
      </x:c>
      <x:c r="D37" s="14" t="n">
        <x:v>23</x:v>
      </x:c>
      <x:c r="E37" s="14" t="str"/>
      <x:c r="F37" s="14" t="str">
        <x:v>No</x:v>
      </x:c>
    </x:row>
    <x:row r="38">
      <x:c r="A38" s="14" t="n">
        <x:v>33</x:v>
      </x:c>
      <x:c r="B38" s="14" t="str"/>
      <x:c r="C38" s="20" t="n">
        <x:v>60</x:v>
      </x:c>
      <x:c r="D38" s="14" t="n">
        <x:v>32</x:v>
      </x:c>
      <x:c r="E38" s="14" t="str"/>
      <x:c r="F38" s="14" t="str">
        <x:v>No</x:v>
      </x:c>
    </x:row>
    <x:row r="39">
      <x:c r="A39" s="14" t="n">
        <x:v>34</x:v>
      </x:c>
      <x:c r="B39" s="14" t="str"/>
      <x:c r="C39" s="20" t="n">
        <x:v>40</x:v>
      </x:c>
      <x:c r="D39" s="14" t="n">
        <x:v>36</x:v>
      </x:c>
      <x:c r="E39" s="14" t="str"/>
      <x:c r="F39" s="14" t="str">
        <x:v>No</x:v>
      </x:c>
    </x:row>
    <x:row r="40">
      <x:c r="A40" s="14" t="n">
        <x:v>35</x:v>
      </x:c>
      <x:c r="B40" s="14" t="str"/>
      <x:c r="C40" s="20" t="n">
        <x:v>30</x:v>
      </x:c>
      <x:c r="D40" s="14" t="n">
        <x:v>0</x:v>
      </x:c>
      <x:c r="E40" s="14" t="str"/>
      <x:c r="F40" s="14" t="str">
        <x:v>No</x:v>
      </x:c>
    </x:row>
    <x:row r="41">
      <x:c r="A41" s="14" t="n">
        <x:v>36</x:v>
      </x:c>
      <x:c r="B41" s="14" t="str"/>
      <x:c r="C41" s="20" t="n">
        <x:v>50</x:v>
      </x:c>
      <x:c r="D41" s="14" t="n">
        <x:v>36</x:v>
      </x:c>
      <x:c r="E41" s="14" t="str"/>
      <x:c r="F41" s="14" t="str">
        <x:v>No</x:v>
      </x:c>
    </x:row>
    <x:row r="42">
      <x:c r="A42" s="14" t="n">
        <x:v>37</x:v>
      </x:c>
      <x:c r="B42" s="14" t="str"/>
      <x:c r="C42" s="20" t="n">
        <x:v>300</x:v>
      </x:c>
      <x:c r="D42" s="14" t="n">
        <x:v>32</x:v>
      </x:c>
      <x:c r="E42" s="14" t="str"/>
      <x:c r="F42" s="14" t="str">
        <x:v>No</x:v>
      </x:c>
    </x:row>
    <x:row r="43">
      <x:c r="A43" s="14" t="n">
        <x:v>38</x:v>
      </x:c>
      <x:c r="B43" s="14" t="str">
        <x:v>Principal</x:v>
      </x:c>
      <x:c r="C43" s="20" t="n">
        <x:v>700</x:v>
      </x:c>
      <x:c r="D43" s="14" t="n">
        <x:v>37</x:v>
      </x:c>
      <x:c r="E43" s="14" t="str"/>
      <x:c r="F43" s="14" t="str">
        <x:v>No</x:v>
      </x:c>
    </x:row>
    <x:row r="44">
      <x:c r="A44" s="14" t="n">
        <x:v>39</x:v>
      </x:c>
      <x:c r="B44" s="14" t="str"/>
      <x:c r="C44" s="20" t="n">
        <x:v>70</x:v>
      </x:c>
      <x:c r="D44" s="14" t="n">
        <x:v>41</x:v>
      </x:c>
      <x:c r="E44" s="14" t="str"/>
      <x:c r="F44" s="14" t="str">
        <x:v>No</x:v>
      </x:c>
    </x:row>
    <x:row r="45">
      <x:c r="A45" s="14" t="n">
        <x:v>40</x:v>
      </x:c>
      <x:c r="B45" s="14" t="str"/>
      <x:c r="C45" s="20" t="n">
        <x:v>94</x:v>
      </x:c>
      <x:c r="D45" s="14" t="n">
        <x:v>40</x:v>
      </x:c>
      <x:c r="E45" s="14" t="str"/>
      <x:c r="F45" s="14" t="str">
        <x:v>No</x:v>
      </x:c>
    </x:row>
    <x:row r="46">
      <x:c r="A46" s="14" t="n">
        <x:v>41</x:v>
      </x:c>
      <x:c r="B46" s="14" t="str">
        <x:v>Principal</x:v>
      </x:c>
      <x:c r="C46" s="20" t="n">
        <x:v>600</x:v>
      </x:c>
      <x:c r="D46" s="14" t="n">
        <x:v>1</x:v>
      </x:c>
      <x:c r="E46" s="14" t="str">
        <x:v>此金额已包含 Principal Pay（首席加成）</x:v>
      </x:c>
      <x:c r="F46" s="14" t="str">
        <x:v>Yes</x:v>
      </x:c>
    </x:row>
    <x:row r="47">
      <x:c r="A47" s="14" t="n">
        <x:v>42</x:v>
      </x:c>
      <x:c r="B47" s="14" t="str">
        <x:v>Principal</x:v>
      </x:c>
      <x:c r="C47" s="20" t="n">
        <x:v>1500</x:v>
      </x:c>
      <x:c r="D47" s="14" t="n">
        <x:v>6</x:v>
      </x:c>
      <x:c r="E47" s="14" t="str">
        <x:v>此金额已包含 Principal Pay（首席加成）</x:v>
      </x:c>
      <x:c r="F47" s="14" t="str">
        <x:v>Yes</x:v>
      </x:c>
    </x:row>
    <x:row r="48">
      <x:c r="A48" s="14" t="n">
        <x:v>43</x:v>
      </x:c>
      <x:c r="B48" s="14" t="str"/>
      <x:c r="C48" s="20" t="n">
        <x:v>20</x:v>
      </x:c>
      <x:c r="D48" s="14" t="n">
        <x:v>9</x:v>
      </x:c>
      <x:c r="E48" s="14" t="str"/>
      <x:c r="F48" s="14" t="str">
        <x:v>No</x:v>
      </x:c>
    </x:row>
    <x:row r="49">
      <x:c r="A49" s="14" t="n">
        <x:v>44</x:v>
      </x:c>
      <x:c r="B49" s="14" t="str"/>
      <x:c r="C49" s="20" t="n">
        <x:v>35</x:v>
      </x:c>
      <x:c r="D49" s="14" t="n">
        <x:v>16</x:v>
      </x:c>
      <x:c r="E49" s="14" t="str"/>
      <x:c r="F49" s="14" t="str">
        <x:v>No</x:v>
      </x:c>
    </x:row>
    <x:row r="50">
      <x:c r="A50" s="14" t="n">
        <x:v>45</x:v>
      </x:c>
      <x:c r="B50" s="14" t="str">
        <x:v>Principal</x:v>
      </x:c>
      <x:c r="C50" s="20" t="n">
        <x:v>1500</x:v>
      </x:c>
      <x:c r="D50" s="14" t="n">
        <x:v>15</x:v>
      </x:c>
      <x:c r="E50" s="14" t="str"/>
      <x:c r="F50" s="14" t="str">
        <x:v>No</x:v>
      </x:c>
    </x:row>
    <x:row r="51">
      <x:c r="A51" s="14" t="n">
        <x:v>46</x:v>
      </x:c>
      <x:c r="B51" s="14" t="str"/>
      <x:c r="C51" s="20" t="n">
        <x:v>20</x:v>
      </x:c>
      <x:c r="D51" s="14" t="n">
        <x:v>3</x:v>
      </x:c>
      <x:c r="E51" s="14" t="str"/>
      <x:c r="F51" s="14" t="str">
        <x:v>No</x:v>
      </x:c>
    </x:row>
    <x:row r="52">
      <x:c r="A52" s="14" t="n">
        <x:v>47</x:v>
      </x:c>
      <x:c r="B52" s="14" t="str">
        <x:v>Assistant Principal</x:v>
      </x:c>
      <x:c r="C52" s="20" t="n">
        <x:v>0</x:v>
      </x:c>
      <x:c r="D52" s="14" t="n">
        <x:v>6</x:v>
      </x:c>
      <x:c r="E52" s="14" t="str"/>
      <x:c r="F52" s="14" t="str">
        <x:v>No</x:v>
      </x:c>
    </x:row>
    <x:row r="53">
      <x:c r="A53" s="14" t="n">
        <x:v>48</x:v>
      </x:c>
      <x:c r="B53" s="14" t="str">
        <x:v>Principal</x:v>
      </x:c>
      <x:c r="C53" s="20" t="n">
        <x:v>0</x:v>
      </x:c>
      <x:c r="D53" s="14" t="n">
        <x:v>44</x:v>
      </x:c>
      <x:c r="E53" s="14" t="str"/>
      <x:c r="F53" s="14" t="str">
        <x:v>No</x:v>
      </x:c>
    </x:row>
    <x:row r="54">
      <x:c r="A54" s="14" t="n">
        <x:v>49</x:v>
      </x:c>
      <x:c r="B54" s="14" t="str"/>
      <x:c r="C54" s="20" t="n">
        <x:v>30</x:v>
      </x:c>
      <x:c r="D54" s="14" t="n">
        <x:v>5</x:v>
      </x:c>
      <x:c r="E54" s="14" t="str"/>
      <x:c r="F54" s="14" t="str">
        <x:v>No</x:v>
      </x:c>
    </x:row>
    <x:row r="55">
      <x:c r="A55" s="14" t="n">
        <x:v>50</x:v>
      </x:c>
      <x:c r="B55" s="14" t="str"/>
      <x:c r="C55" s="20" t="n">
        <x:v>20</x:v>
      </x:c>
      <x:c r="D55" s="14" t="n">
        <x:v>38</x:v>
      </x:c>
      <x:c r="E55" s="14" t="str"/>
      <x:c r="F55" s="14" t="str">
        <x:v>No</x:v>
      </x:c>
    </x:row>
    <x:row r="56">
      <x:c r="A56" s="14" t="n">
        <x:v>51</x:v>
      </x:c>
      <x:c r="B56" s="14" t="str"/>
      <x:c r="C56" s="20" t="n">
        <x:v>40</x:v>
      </x:c>
      <x:c r="D56" s="14" t="n">
        <x:v>18</x:v>
      </x:c>
      <x:c r="E56" s="14" t="str"/>
      <x:c r="F56" s="14" t="str">
        <x:v>No</x:v>
      </x:c>
    </x:row>
    <x:row r="57">
      <x:c r="A57" s="14" t="n">
        <x:v>52</x:v>
      </x:c>
      <x:c r="B57" s="14" t="str"/>
      <x:c r="C57" s="20" t="n">
        <x:v>90</x:v>
      </x:c>
      <x:c r="D57" s="14" t="n">
        <x:v>16</x:v>
      </x:c>
      <x:c r="E57" s="14" t="str"/>
      <x:c r="F57" s="14" t="str">
        <x:v>No</x:v>
      </x:c>
    </x:row>
    <x:row r="58">
      <x:c r="A58" s="14" t="n">
        <x:v>53</x:v>
      </x:c>
      <x:c r="B58" s="14" t="str"/>
      <x:c r="C58" s="20" t="n">
        <x:v>60</x:v>
      </x:c>
      <x:c r="D58" s="14" t="n">
        <x:v>21</x:v>
      </x:c>
      <x:c r="E58" s="14" t="str"/>
      <x:c r="F58" s="14" t="str">
        <x:v>No</x:v>
      </x:c>
    </x:row>
    <x:row r="59">
      <x:c r="A59" s="14" t="n">
        <x:v>54</x:v>
      </x:c>
      <x:c r="B59" s="14" t="str"/>
      <x:c r="C59" s="20" t="n">
        <x:v>35</x:v>
      </x:c>
      <x:c r="D59" s="14" t="n">
        <x:v>24</x:v>
      </x:c>
      <x:c r="E59" s="14" t="str"/>
      <x:c r="F59" s="14" t="str">
        <x:v>No</x:v>
      </x:c>
    </x:row>
    <x:row r="60">
      <x:c r="A60" s="14" t="n">
        <x:v>55</x:v>
      </x:c>
      <x:c r="B60" s="14" t="str"/>
      <x:c r="C60" s="20" t="n">
        <x:v>40</x:v>
      </x:c>
      <x:c r="D60" s="14" t="n">
        <x:v>25</x:v>
      </x:c>
      <x:c r="E60" s="14" t="str"/>
      <x:c r="F60" s="14" t="str">
        <x:v>No</x:v>
      </x:c>
    </x:row>
    <x:row r="61">
      <x:c r="A61" s="14" t="n">
        <x:v>56</x:v>
      </x:c>
      <x:c r="B61" s="14" t="str">
        <x:v>Associate Principal</x:v>
      </x:c>
      <x:c r="C61" s="20" t="n">
        <x:v>400</x:v>
      </x:c>
      <x:c r="D61" s="14" t="n">
        <x:v>21</x:v>
      </x:c>
      <x:c r="E61" s="14" t="str"/>
      <x:c r="F61" s="14" t="str">
        <x:v>No</x:v>
      </x:c>
    </x:row>
    <x:row r="62">
      <x:c r="A62" s="14" t="n">
        <x:v>57</x:v>
      </x:c>
      <x:c r="B62" s="14" t="str"/>
      <x:c r="C62" s="20" t="n">
        <x:v>75</x:v>
      </x:c>
      <x:c r="D62" s="14" t="n">
        <x:v>24</x:v>
      </x:c>
      <x:c r="E62" s="14" t="str"/>
      <x:c r="F62" s="14" t="str">
        <x:v>No</x:v>
      </x:c>
    </x:row>
    <x:row r="63">
      <x:c r="A63" s="14" t="n">
        <x:v>58</x:v>
      </x:c>
      <x:c r="B63" s="14" t="str"/>
      <x:c r="C63" s="20" t="n">
        <x:v>20</x:v>
      </x:c>
      <x:c r="D63" s="14" t="n">
        <x:v>11</x:v>
      </x:c>
      <x:c r="E63" s="14" t="str"/>
      <x:c r="F63" s="14" t="str">
        <x:v>No</x:v>
      </x:c>
    </x:row>
    <x:row r="64">
      <x:c r="A64" s="14" t="n">
        <x:v>59</x:v>
      </x:c>
      <x:c r="B64" s="14" t="str"/>
      <x:c r="C64" s="20" t="n">
        <x:v>40</x:v>
      </x:c>
      <x:c r="D64" s="14" t="n">
        <x:v>33</x:v>
      </x:c>
      <x:c r="E64" s="14" t="str"/>
      <x:c r="F64" s="14" t="str">
        <x:v>No</x:v>
      </x:c>
    </x:row>
    <x:row r="65">
      <x:c r="A65" s="14" t="n">
        <x:v>60</x:v>
      </x:c>
      <x:c r="B65" s="14" t="str"/>
      <x:c r="C65" s="20" t="n">
        <x:v>50</x:v>
      </x:c>
      <x:c r="D65" s="14" t="n">
        <x:v>33</x:v>
      </x:c>
      <x:c r="E65" s="14" t="str"/>
      <x:c r="F65" s="14" t="str">
        <x:v>No</x:v>
      </x:c>
    </x:row>
    <x:row r="66">
      <x:c r="A66" s="14" t="n">
        <x:v>61</x:v>
      </x:c>
      <x:c r="B66" s="14" t="str">
        <x:v>Associate Principal</x:v>
      </x:c>
      <x:c r="C66" s="20" t="n">
        <x:v>450</x:v>
      </x:c>
      <x:c r="D66" s="14" t="n">
        <x:v>30</x:v>
      </x:c>
      <x:c r="E66" s="14" t="str"/>
      <x:c r="F66" s="14" t="str">
        <x:v>No</x:v>
      </x:c>
    </x:row>
    <x:row r="67">
      <x:c r="A67" s="14" t="n">
        <x:v>62</x:v>
      </x:c>
      <x:c r="B67" s="14" t="str"/>
      <x:c r="C67" s="20" t="n">
        <x:v>50</x:v>
      </x:c>
      <x:c r="D67" s="14" t="n">
        <x:v>25</x:v>
      </x:c>
      <x:c r="E67" s="14" t="str"/>
      <x:c r="F67" s="14" t="str">
        <x:v>No</x:v>
      </x:c>
    </x:row>
    <x:row r="68">
      <x:c r="A68" s="14" t="n">
        <x:v>63</x:v>
      </x:c>
      <x:c r="B68" s="14" t="str"/>
      <x:c r="C68" s="20" t="n">
        <x:v>80</x:v>
      </x:c>
      <x:c r="D68" s="14" t="n">
        <x:v>27</x:v>
      </x:c>
      <x:c r="E68" s="14" t="str"/>
      <x:c r="F68" s="14" t="str">
        <x:v>No</x:v>
      </x:c>
    </x:row>
    <x:row r="69">
      <x:c r="A69" s="14" t="n">
        <x:v>64</x:v>
      </x:c>
      <x:c r="B69" s="14" t="str"/>
      <x:c r="C69" s="20" t="n">
        <x:v>50</x:v>
      </x:c>
      <x:c r="D69" s="14" t="n">
        <x:v>30</x:v>
      </x:c>
      <x:c r="E69" s="14" t="str"/>
      <x:c r="F69" s="14" t="str">
        <x:v>No</x:v>
      </x:c>
    </x:row>
    <x:row r="70">
      <x:c r="A70" s="14" t="n">
        <x:v>65</x:v>
      </x:c>
      <x:c r="B70" s="14" t="str"/>
      <x:c r="C70" s="20" t="n">
        <x:v>0</x:v>
      </x:c>
      <x:c r="D70" s="14" t="n">
        <x:v>0</x:v>
      </x:c>
      <x:c r="E70" s="14" t="str"/>
      <x:c r="F70" s="14" t="str">
        <x:v>No</x:v>
      </x:c>
    </x:row>
    <x:row r="71">
      <x:c r="A71" s="14" t="n">
        <x:v>66</x:v>
      </x:c>
      <x:c r="B71" s="14" t="str"/>
      <x:c r="C71" s="20" t="n">
        <x:v>65</x:v>
      </x:c>
      <x:c r="D71" s="14" t="n">
        <x:v>17</x:v>
      </x:c>
      <x:c r="E71" s="14" t="str"/>
      <x:c r="F71" s="14" t="str">
        <x:v>No</x:v>
      </x:c>
    </x:row>
    <x:row r="72">
      <x:c r="A72" s="14" t="n">
        <x:v>67</x:v>
      </x:c>
      <x:c r="B72" s="14" t="str"/>
      <x:c r="C72" s="20" t="n">
        <x:v>20</x:v>
      </x:c>
      <x:c r="D72" s="14" t="n">
        <x:v>16</x:v>
      </x:c>
      <x:c r="E72" s="14" t="str"/>
      <x:c r="F72" s="14" t="str">
        <x:v>No</x:v>
      </x:c>
    </x:row>
    <x:row r="73">
      <x:c r="A73" s="14" t="n">
        <x:v>68</x:v>
      </x:c>
      <x:c r="B73" s="14" t="str">
        <x:v>Principal</x:v>
      </x:c>
      <x:c r="C73" s="20" t="n">
        <x:v>1400</x:v>
      </x:c>
      <x:c r="D73" s="14" t="n">
        <x:v>37</x:v>
      </x:c>
      <x:c r="E73" s="14" t="str">
        <x:v>此金额已包含 Principal Pay（首席加成）</x:v>
      </x:c>
      <x:c r="F73" s="14" t="str">
        <x:v>Yes</x:v>
      </x:c>
    </x:row>
    <x:row r="74">
      <x:c r="A74" s="14" t="n">
        <x:v>69</x:v>
      </x:c>
      <x:c r="B74" s="14" t="str"/>
      <x:c r="C74" s="20" t="n">
        <x:v>550</x:v>
      </x:c>
      <x:c r="D74" s="14" t="n">
        <x:v>19</x:v>
      </x:c>
      <x:c r="E74" s="14" t="str"/>
      <x:c r="F74" s="14" t="str">
        <x:v>No</x:v>
      </x:c>
    </x:row>
    <x:row r="75">
      <x:c r="A75" s="14" t="n">
        <x:v>70</x:v>
      </x:c>
      <x:c r="B75" s="14" t="str">
        <x:v>Principal</x:v>
      </x:c>
      <x:c r="C75" s="20" t="n">
        <x:v>1300</x:v>
      </x:c>
      <x:c r="D75" s="14" t="n">
        <x:v>10</x:v>
      </x:c>
      <x:c r="E75" s="14" t="str">
        <x:v>此金额已包含 Principal Pay（首席加成）</x:v>
      </x:c>
      <x:c r="F75" s="14" t="str">
        <x:v>Yes</x:v>
      </x:c>
    </x:row>
    <x:row r="76">
      <x:c r="A76" s="14" t="n">
        <x:v>71</x:v>
      </x:c>
      <x:c r="B76" s="14" t="str"/>
      <x:c r="C76" s="20" t="n">
        <x:v>50</x:v>
      </x:c>
      <x:c r="D76" s="14" t="n">
        <x:v>32</x:v>
      </x:c>
      <x:c r="E76" s="14" t="str"/>
      <x:c r="F76" s="14" t="str">
        <x:v>No</x:v>
      </x:c>
    </x:row>
    <x:row r="77">
      <x:c r="A77" s="14" t="n">
        <x:v>72</x:v>
      </x:c>
      <x:c r="B77" s="14" t="str"/>
      <x:c r="C77" s="20" t="n">
        <x:v>150</x:v>
      </x:c>
      <x:c r="D77" s="14" t="n">
        <x:v>23</x:v>
      </x:c>
      <x:c r="E77" s="14" t="str"/>
      <x:c r="F77" s="14" t="str">
        <x:v>No</x:v>
      </x:c>
    </x:row>
    <x:row r="78">
      <x:c r="A78" s="14" t="n">
        <x:v>73</x:v>
      </x:c>
      <x:c r="B78" s="14" t="str">
        <x:v>Principal</x:v>
      </x:c>
      <x:c r="C78" s="20" t="n">
        <x:v>600</x:v>
      </x:c>
      <x:c r="D78" s="14" t="n">
        <x:v>33</x:v>
      </x:c>
      <x:c r="E78" s="14" t="str">
        <x:v>此金额已包含 Principal Pay（首席加成）</x:v>
      </x:c>
      <x:c r="F78" s="14" t="str">
        <x:v>Yes</x:v>
      </x:c>
    </x:row>
    <x:row r="79">
      <x:c r="A79" s="14" t="n">
        <x:v>74</x:v>
      </x:c>
      <x:c r="B79" s="14" t="str"/>
      <x:c r="C79" s="20" t="n">
        <x:v>75</x:v>
      </x:c>
      <x:c r="D79" s="14" t="n">
        <x:v>30</x:v>
      </x:c>
      <x:c r="E79" s="14" t="str"/>
      <x:c r="F79" s="14" t="str">
        <x:v>No</x:v>
      </x:c>
    </x:row>
    <x:row r="80">
      <x:c r="A80" s="14" t="n">
        <x:v>75</x:v>
      </x:c>
      <x:c r="B80" s="14" t="str">
        <x:v>Associate Principal</x:v>
      </x:c>
      <x:c r="C80" s="20" t="n">
        <x:v>350</x:v>
      </x:c>
      <x:c r="D80" s="14" t="n">
        <x:v>26</x:v>
      </x:c>
      <x:c r="E80" s="14" t="str">
        <x:v>此金额已包含 Principal Pay（首席加成）</x:v>
      </x:c>
      <x:c r="F80" s="14" t="str">
        <x:v>Yes</x:v>
      </x:c>
    </x:row>
    <x:row r="81">
      <x:c r="A81" s="14" t="n">
        <x:v>76</x:v>
      </x:c>
      <x:c r="B81" s="14" t="str"/>
      <x:c r="C81" s="20" t="n">
        <x:v>60</x:v>
      </x:c>
      <x:c r="D81" s="14" t="n">
        <x:v>40</x:v>
      </x:c>
      <x:c r="E81" s="14" t="str"/>
      <x:c r="F81" s="14" t="str">
        <x:v>No</x:v>
      </x:c>
    </x:row>
    <x:row r="82">
      <x:c r="A82" s="14" t="n">
        <x:v>77</x:v>
      </x:c>
      <x:c r="B82" s="14" t="str"/>
      <x:c r="C82" s="20" t="n">
        <x:v>50</x:v>
      </x:c>
      <x:c r="D82" s="14" t="n">
        <x:v>25</x:v>
      </x:c>
      <x:c r="E82" s="14" t="str"/>
      <x:c r="F82" s="14" t="str">
        <x:v>No</x:v>
      </x:c>
    </x:row>
    <x:row r="83">
      <x:c r="A83" s="14" t="n">
        <x:v>78</x:v>
      </x:c>
      <x:c r="B83" s="14" t="str"/>
      <x:c r="C83" s="20" t="n">
        <x:v>75</x:v>
      </x:c>
      <x:c r="D83" s="14" t="n">
        <x:v>40</x:v>
      </x:c>
      <x:c r="E83" s="14" t="str"/>
      <x:c r="F83" s="14" t="str">
        <x:v>No</x:v>
      </x:c>
    </x:row>
    <x:row r="84">
      <x:c r="A84" s="14" t="n">
        <x:v>79</x:v>
      </x:c>
      <x:c r="B84" s="14" t="str"/>
      <x:c r="C84" s="20" t="n">
        <x:v>20</x:v>
      </x:c>
      <x:c r="D84" s="14" t="n">
        <x:v>5</x:v>
      </x:c>
      <x:c r="E84" s="14" t="str"/>
      <x:c r="F84" s="14" t="str">
        <x:v>No</x:v>
      </x:c>
    </x:row>
    <x:row r="85">
      <x:c r="A85" s="14" t="n">
        <x:v>80</x:v>
      </x:c>
      <x:c r="B85" s="14" t="str"/>
      <x:c r="C85" s="20" t="n">
        <x:v>60</x:v>
      </x:c>
      <x:c r="D85" s="14" t="n">
        <x:v>32</x:v>
      </x:c>
      <x:c r="E85" s="14" t="str"/>
      <x:c r="F85" s="14" t="str">
        <x:v>No</x:v>
      </x:c>
    </x:row>
    <x:row r="86">
      <x:c r="A86" s="14" t="n">
        <x:v>81</x:v>
      </x:c>
      <x:c r="B86" s="14" t="str"/>
      <x:c r="C86" s="20" t="n">
        <x:v>400</x:v>
      </x:c>
      <x:c r="D86" s="14" t="n">
        <x:v>27</x:v>
      </x:c>
      <x:c r="E86" s="14" t="str"/>
      <x:c r="F86" s="14" t="str">
        <x:v>No</x:v>
      </x:c>
    </x:row>
    <x:row r="87">
      <x:c r="A87" s="14" t="n">
        <x:v>82</x:v>
      </x:c>
      <x:c r="B87" s="14" t="str"/>
      <x:c r="C87" s="20" t="n">
        <x:v>100</x:v>
      </x:c>
      <x:c r="D87" s="14" t="n">
        <x:v>32</x:v>
      </x:c>
      <x:c r="E87" s="14" t="str"/>
      <x:c r="F87" s="14" t="str">
        <x:v>No</x:v>
      </x:c>
    </x:row>
    <x:row r="88">
      <x:c r="A88" s="14" t="n">
        <x:v>83</x:v>
      </x:c>
      <x:c r="B88" s="14" t="str"/>
      <x:c r="C88" s="20" t="n">
        <x:v>125</x:v>
      </x:c>
      <x:c r="D88" s="14" t="n">
        <x:v>28</x:v>
      </x:c>
      <x:c r="E88" s="14" t="str"/>
      <x:c r="F88" s="14" t="str">
        <x:v>No</x:v>
      </x:c>
    </x:row>
    <x:row r="89">
      <x:c r="A89" s="14" t="n">
        <x:v>84</x:v>
      </x:c>
      <x:c r="B89" s="14" t="str"/>
      <x:c r="C89" s="20" t="n">
        <x:v>60</x:v>
      </x:c>
      <x:c r="D89" s="14" t="n">
        <x:v>14</x:v>
      </x:c>
      <x:c r="E89" s="14" t="str"/>
      <x:c r="F89" s="14" t="str">
        <x:v>No</x:v>
      </x:c>
    </x:row>
    <x:row r="90">
      <x:c r="A90" s="14" t="n">
        <x:v>85</x:v>
      </x:c>
      <x:c r="B90" s="14" t="str"/>
      <x:c r="C90" s="20" t="n">
        <x:v>204</x:v>
      </x:c>
      <x:c r="D90" s="14" t="n">
        <x:v>36</x:v>
      </x:c>
      <x:c r="E90" s="14" t="str"/>
      <x:c r="F90" s="14" t="str">
        <x:v>No</x:v>
      </x:c>
    </x:row>
    <x:row r="91">
      <x:c r="A91" s="14" t="n">
        <x:v>86</x:v>
      </x:c>
      <x:c r="B91" s="14" t="str"/>
      <x:c r="C91" s="20" t="n">
        <x:v>75</x:v>
      </x:c>
      <x:c r="D91" s="14" t="n">
        <x:v>41</x:v>
      </x:c>
      <x:c r="E91" s="14" t="str"/>
      <x:c r="F91" s="14" t="str">
        <x:v>No</x:v>
      </x:c>
    </x:row>
    <x:row r="92">
      <x:c r="A92" s="14" t="n">
        <x:v>87</x:v>
      </x:c>
      <x:c r="B92" s="14" t="str">
        <x:v>Principal</x:v>
      </x:c>
      <x:c r="C92" s="20" t="n">
        <x:v>1500</x:v>
      </x:c>
      <x:c r="D92" s="14" t="n">
        <x:v>34</x:v>
      </x:c>
      <x:c r="E92" s="14" t="str">
        <x:v>此金额已包含 Principal Pay（首席加成）</x:v>
      </x:c>
      <x:c r="F92" s="14" t="str">
        <x:v>Yes</x:v>
      </x:c>
    </x:row>
    <x:row r="93">
      <x:c r="A93" s="14" t="n">
        <x:v>88</x:v>
      </x:c>
      <x:c r="B93" s="14" t="str">
        <x:v>Assistant Principal</x:v>
      </x:c>
      <x:c r="C93" s="20" t="n">
        <x:v>0</x:v>
      </x:c>
      <x:c r="D93" s="14" t="n">
        <x:v>34</x:v>
      </x:c>
      <x:c r="E93" s="14" t="str"/>
      <x:c r="F93" s="14" t="str">
        <x:v>No</x:v>
      </x:c>
    </x:row>
    <x:row r="94">
      <x:c r="A94" s="14" t="n">
        <x:v>89</x:v>
      </x:c>
      <x:c r="B94" s="14" t="str"/>
      <x:c r="C94" s="20" t="n">
        <x:v>160</x:v>
      </x:c>
      <x:c r="D94" s="14" t="n">
        <x:v>5</x:v>
      </x:c>
      <x:c r="E94" s="14" t="str"/>
      <x:c r="F94" s="14" t="str">
        <x:v>No</x:v>
      </x:c>
    </x:row>
    <x:row r="95">
      <x:c r="A95" s="14" t="n">
        <x:v>90</x:v>
      </x:c>
      <x:c r="B95" s="14" t="str"/>
      <x:c r="C95" s="20" t="n">
        <x:v>60</x:v>
      </x:c>
      <x:c r="D95" s="14" t="n">
        <x:v>34</x:v>
      </x:c>
      <x:c r="E95" s="14" t="str"/>
      <x:c r="F95" s="14" t="str">
        <x:v>No</x:v>
      </x:c>
    </x:row>
    <x:row r="96">
      <x:c r="A96" s="14" t="n">
        <x:v>91</x:v>
      </x:c>
      <x:c r="B96" s="14" t="str">
        <x:v>Principal</x:v>
      </x:c>
      <x:c r="C96" s="20" t="n">
        <x:v>1700</x:v>
      </x:c>
      <x:c r="D96" s="14" t="n">
        <x:v>5</x:v>
      </x:c>
      <x:c r="E96" s="14" t="str">
        <x:v>此金额已包含 Principal Pay（首席加成）</x:v>
      </x:c>
      <x:c r="F96" s="14" t="str">
        <x:v>Yes</x:v>
      </x:c>
    </x:row>
    <x:row r="97">
      <x:c r="A97" s="14" t="n">
        <x:v>92</x:v>
      </x:c>
      <x:c r="B97" s="14" t="str">
        <x:v>Associate Principal</x:v>
      </x:c>
      <x:c r="C97" s="20" t="n">
        <x:v>400</x:v>
      </x:c>
      <x:c r="D97" s="14" t="n">
        <x:v>42</x:v>
      </x:c>
      <x:c r="E97" s="14" t="str">
        <x:v>此金额已包含 Principal Pay（首席加成）</x:v>
      </x:c>
      <x:c r="F97" s="14" t="str">
        <x:v>Yes</x:v>
      </x:c>
    </x:row>
    <x:row r="98">
      <x:c r="A98" s="14" t="n">
        <x:v>93</x:v>
      </x:c>
      <x:c r="B98" s="14" t="str">
        <x:v>Principal</x:v>
      </x:c>
      <x:c r="C98" s="20" t="n">
        <x:v>1400</x:v>
      </x:c>
      <x:c r="D98" s="14" t="n">
        <x:v>34</x:v>
      </x:c>
      <x:c r="E98" s="14" t="str">
        <x:v>此金额已包含 Principal Pay（首席加成）</x:v>
      </x:c>
      <x:c r="F98" s="14" t="str">
        <x:v>Yes</x:v>
      </x:c>
    </x:row>
    <x:row r="99">
      <x:c r="A99" s="14" t="n">
        <x:v>94</x:v>
      </x:c>
      <x:c r="B99" s="14" t="str"/>
      <x:c r="C99" s="20" t="n">
        <x:v>110</x:v>
      </x:c>
      <x:c r="D99" s="14" t="n">
        <x:v>22</x:v>
      </x:c>
      <x:c r="E99" s="14" t="str"/>
      <x:c r="F99" s="14" t="str">
        <x:v>No</x:v>
      </x:c>
    </x:row>
    <x:row r="100">
      <x:c r="A100" s="14" t="n">
        <x:v>95</x:v>
      </x:c>
      <x:c r="B100" s="14" t="str"/>
      <x:c r="C100" s="20" t="n">
        <x:v>200</x:v>
      </x:c>
      <x:c r="D100" s="14" t="n">
        <x:v>21</x:v>
      </x:c>
      <x:c r="E100" s="14" t="str"/>
      <x:c r="F100" s="14" t="str">
        <x:v>No</x:v>
      </x:c>
    </x:row>
    <x:row r="101">
      <x:c r="A101" s="14" t="n">
        <x:v>96</x:v>
      </x:c>
      <x:c r="B101" s="14" t="str"/>
      <x:c r="C101" s="20" t="n">
        <x:v>120</x:v>
      </x:c>
      <x:c r="D101" s="14" t="n">
        <x:v>15</x:v>
      </x:c>
      <x:c r="E101" s="14" t="str"/>
      <x:c r="F101" s="14" t="str">
        <x:v>No</x:v>
      </x:c>
    </x:row>
    <x:row r="102">
      <x:c r="A102" s="14" t="n">
        <x:v>97</x:v>
      </x:c>
      <x:c r="B102" s="14" t="str"/>
      <x:c r="C102" s="20" t="n">
        <x:v>75</x:v>
      </x:c>
      <x:c r="D102" s="14" t="n">
        <x:v>28</x:v>
      </x:c>
      <x:c r="E102" s="14" t="str"/>
      <x:c r="F102" s="14" t="str">
        <x:v>No</x:v>
      </x:c>
    </x:row>
    <x:row r="103">
      <x:c r="A103" s="14" t="n">
        <x:v>98</x:v>
      </x:c>
      <x:c r="B103" s="14" t="str">
        <x:v>Principal</x:v>
      </x:c>
      <x:c r="C103" s="20" t="n">
        <x:v>800</x:v>
      </x:c>
      <x:c r="D103" s="14" t="n">
        <x:v>12</x:v>
      </x:c>
      <x:c r="E103" s="14" t="str">
        <x:v>此金额已包含 Principal Pay（首席加成）</x:v>
      </x:c>
      <x:c r="F103" s="14" t="str">
        <x:v>Yes</x:v>
      </x:c>
    </x:row>
    <x:row r="104">
      <x:c r="A104" s="14" t="n">
        <x:v>99</x:v>
      </x:c>
      <x:c r="B104" s="14" t="str">
        <x:v>Associate Principal</x:v>
      </x:c>
      <x:c r="C104" s="20" t="n">
        <x:v>753.46</x:v>
      </x:c>
      <x:c r="D104" s="14" t="n">
        <x:v>14</x:v>
      </x:c>
      <x:c r="E104" s="14" t="str">
        <x:v>此金额已包含 Principal Pay（首席加成）</x:v>
      </x:c>
      <x:c r="F104" s="14" t="str">
        <x:v>Yes</x:v>
      </x:c>
    </x:row>
    <x:row r="105">
      <x:c r="A105" s="14" t="n">
        <x:v>100</x:v>
      </x:c>
      <x:c r="B105" s="14" t="str">
        <x:v>Associate Principal</x:v>
      </x:c>
      <x:c r="C105" s="20" t="n">
        <x:v>600</x:v>
      </x:c>
      <x:c r="D105" s="14" t="n">
        <x:v>7</x:v>
      </x:c>
      <x:c r="E105" s="14" t="str">
        <x:v>此金额已包含 Principal Pay（首席加成）</x:v>
      </x:c>
      <x:c r="F105" s="14" t="str">
        <x:v>Yes</x:v>
      </x:c>
    </x:row>
    <x:row r="106">
      <x:c r="A106" s="14" t="n">
        <x:v>101</x:v>
      </x:c>
      <x:c r="B106" s="14" t="str"/>
      <x:c r="C106" s="20" t="n">
        <x:v>30</x:v>
      </x:c>
      <x:c r="D106" s="14" t="n">
        <x:v>2</x:v>
      </x:c>
      <x:c r="E106" s="14" t="str"/>
      <x:c r="F106" s="14" t="str">
        <x:v>No</x:v>
      </x:c>
    </x:row>
    <x:row r="107">
      <x:c r="A107" s="14" t="n">
        <x:v>102</x:v>
      </x:c>
      <x:c r="B107" s="14" t="str"/>
      <x:c r="C107" s="20" t="n">
        <x:v>20</x:v>
      </x:c>
      <x:c r="D107" s="14" t="n">
        <x:v>13</x:v>
      </x:c>
      <x:c r="E107" s="14" t="str"/>
      <x:c r="F107" s="14" t="str">
        <x:v>No</x:v>
      </x:c>
    </x:row>
    <x:row r="108">
      <x:c r="A108" s="14" t="n">
        <x:v>103</x:v>
      </x:c>
      <x:c r="B108" s="14" t="str"/>
      <x:c r="C108" s="20" t="n">
        <x:v>0</x:v>
      </x:c>
      <x:c r="D108" s="14" t="n">
        <x:v>2</x:v>
      </x:c>
      <x:c r="E108" s="14" t="str"/>
      <x:c r="F108" s="14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2">
      <x:c r="A2" s="3" t="str">
        <x:v>Payroll calculation detail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5"/>
    </x:row>
    <x:row r="3">
      <x:c r="A3" t="str">
        <x:v>Each row calculates one employee, year and quarter. Payroll tax is based on cumulative annual wages.</x:v>
      </x:c>
    </x:row>
    <x:row r="5">
      <x:c r="A5" s="12" t="str">
        <x:v>Year</x:v>
      </x:c>
      <x:c r="B5" s="12" t="str">
        <x:v>Quarter</x:v>
      </x:c>
      <x:c r="C5" s="12" t="str">
        <x:v>Quarter #</x:v>
      </x:c>
      <x:c r="D5" s="12" t="str">
        <x:v>Employee #</x:v>
      </x:c>
      <x:c r="E5" s="12" t="str">
        <x:v>Titled Position</x:v>
      </x:c>
      <x:c r="F5" s="12" t="str">
        <x:v>Principal Included</x:v>
      </x:c>
      <x:c r="G5" s="12" t="str">
        <x:v>Weeks</x:v>
      </x:c>
      <x:c r="H5" s="12" t="str">
        <x:v>Media Weeks</x:v>
      </x:c>
      <x:c r="I5" s="12" t="str">
        <x:v>MWS Rate</x:v>
      </x:c>
      <x:c r="J5" s="12" t="str">
        <x:v>Overscale Rate</x:v>
      </x:c>
      <x:c r="K5" s="12" t="str">
        <x:v>Principal Weekly</x:v>
      </x:c>
      <x:c r="L5" s="12" t="str">
        <x:v>Seniority Weekly</x:v>
      </x:c>
      <x:c r="M5" s="12" t="str">
        <x:v>MWS Pay</x:v>
      </x:c>
      <x:c r="N5" s="12" t="str">
        <x:v>Overscale Pay</x:v>
      </x:c>
      <x:c r="O5" s="12" t="str">
        <x:v>Principal Pay</x:v>
      </x:c>
      <x:c r="P5" s="12" t="str">
        <x:v>Seniority Pay</x:v>
      </x:c>
      <x:c r="Q5" s="12" t="str">
        <x:v>Media Fee</x:v>
      </x:c>
      <x:c r="R5" s="12" t="str">
        <x:v>Gross Wages</x:v>
      </x:c>
      <x:c r="S5" s="12" t="str">
        <x:v>Cumulative Wages</x:v>
      </x:c>
      <x:c r="T5" s="12" t="str">
        <x:v>Cumulative Tax</x:v>
      </x:c>
      <x:c r="U5" s="12" t="str">
        <x:v>Prior Tax</x:v>
      </x:c>
      <x:c r="V5" s="12" t="str">
        <x:v>Payroll Tax</x:v>
      </x:c>
      <x:c r="W5" s="12" t="str">
        <x:v>Total Cost</x:v>
      </x:c>
      <x:c r="X5" s="12" t="str">
        <x:v>Check</x:v>
      </x:c>
    </x:row>
    <x:row r="6">
      <x:c r="A6" s="14" t="n">
        <x:v>2026</x:v>
      </x:c>
      <x:c r="B6" s="14" t="str">
        <x:v>Q1</x:v>
      </x:c>
      <x:c r="C6" s="14" t="n">
        <x:v>1</x:v>
      </x:c>
      <x:c r="D6" s="14" t="n">
        <x:v>1</x:v>
      </x:c>
      <x:c r="E6" s="14" t="str">
        <x:f>INDEX(Roster!$B$6:$B$108,MATCH(D6,Roster!$A$6:$A$108,0))</x:f>
        <x:v>Principal</x:v>
      </x:c>
      <x:c r="F6" s="14" t="str">
        <x:f>INDEX(Roster!$F$6:$F$108,MATCH(D6,Roster!$A$6:$A$108,0))</x:f>
        <x:v>No</x:v>
      </x:c>
      <x:c r="G6" s="14" t="n">
        <x:f>INDEX(Inputs!$B$7:$D$7,1,MATCH(A6,Inputs!$B$6:$D$6,0))</x:f>
        <x:v>13</x:v>
      </x:c>
      <x:c r="H6" s="14" t="n">
        <x:f>MIN(=INDEX(Inputs!$B$7:$D$7,1,MATCH(A6,Inputs!$B$6:$D$6,0)),MAX(0,INDEX(Inputs!$B$14:$D$14,1,MATCH(A6,Inputs!$B$6:$D$6,0))-(C6-1)*=INDEX(Inputs!$B$7:$D$7,1,MATCH(A6,Inputs!$B$6:$D$6,0))))</x:f>
        <x:v>13</x:v>
      </x:c>
      <x:c r="I6" s="20" t="n">
        <x:f>INDEX(Inputs!$B$8:$D$8,1,MATCH(A6,Inputs!$B$6:$D$6,0))</x:f>
        <x:v>2395</x:v>
      </x:c>
      <x:c r="J6" s="20" t="n">
        <x:f>INDEX(Roster!$C$6:$C$108,MATCH(D6,Roster!$A$6:$A$108,0))*(1+INDEX(Inputs!$B$9:$D$9,1,MATCH(A6,Inputs!$B$6:$D$6,0)))</x:f>
        <x:v>300</x:v>
      </x:c>
      <x:c r="K6" s="20" t="n">
        <x:f>IF(=INDEX(Roster!$F$6:$F$108,MATCH(D6,Roster!$A$6:$A$108,0))="Yes",0,=INDEX(Inputs!$B$8:$D$8,1,MATCH(A6,Inputs!$B$6:$D$6,0))*IF(=INDEX(Roster!$B$6:$B$108,MATCH(D6,Roster!$A$6:$A$108,0))="Principal",INDEX(Inputs!$B$10:$D$10,1,MATCH(A6,Inputs!$B$6:$D$6,0)),IF(=INDEX(Roster!$B$6:$B$108,MATCH(D6,Roster!$A$6:$A$108,0))="Associate Principal",INDEX(Inputs!$B$11:$D$11,1,MATCH(A6,Inputs!$B$6:$D$6,0)),IF(=INDEX(Roster!$B$6:$B$108,MATCH(D6,Roster!$A$6:$A$108,0))="Assistant Principal",INDEX(Inputs!$B$12:$D$12,1,MATCH(A6,Inputs!$B$6:$D$6,0)),0))))</x:f>
        <x:v>479</x:v>
      </x:c>
      <x:c r="L6" s="20" t="n">
        <x:f>IF(INDEX(Roster!$D$6:$D$108,MATCH(D6,Roster!$A$6:$A$108,0))&gt;=25,INDEX(Inputs!$B$19:$D$19,1,MATCH(A6,Inputs!$B$6:$D$6,0)),IF(INDEX(Roster!$D$6:$D$108,MATCH(D6,Roster!$A$6:$A$108,0))&gt;=20,INDEX(Inputs!$B$18:$D$18,1,MATCH(A6,Inputs!$B$6:$D$6,0)),IF(INDEX(Roster!$D$6:$D$108,MATCH(D6,Roster!$A$6:$A$108,0))&gt;=15,INDEX(Inputs!$B$17:$D$17,1,MATCH(A6,Inputs!$B$6:$D$6,0)),IF(INDEX(Roster!$D$6:$D$108,MATCH(D6,Roster!$A$6:$A$108,0))&gt;=10,INDEX(Inputs!$B$16:$D$16,1,MATCH(A6,Inputs!$B$6:$D$6,0)),IF(INDEX(Roster!$D$6:$D$108,MATCH(D6,Roster!$A$6:$A$108,0))&gt;=5,INDEX(Inputs!$B$15:$D$15,1,MATCH(A6,Inputs!$B$6:$D$6,0)),0)))))</x:f>
        <x:v>0</x:v>
      </x:c>
      <x:c r="M6" s="20" t="n">
        <x:f>G6*I6</x:f>
        <x:v>31135</x:v>
      </x:c>
      <x:c r="N6" s="20" t="n">
        <x:f>G6*J6</x:f>
        <x:v>3900</x:v>
      </x:c>
      <x:c r="O6" s="20" t="n">
        <x:f>G6*K6</x:f>
        <x:v>6227</x:v>
      </x:c>
      <x:c r="P6" s="20" t="n">
        <x:f>G6*L6</x:f>
        <x:v>0</x:v>
      </x:c>
      <x:c r="Q6" s="20" t="n">
        <x:f>H6*INDEX(Inputs!$B$13:$D$13,1,MATCH(A6,Inputs!$B$6:$D$6,0))</x:f>
        <x:v>390</x:v>
      </x:c>
      <x:c r="R6" s="20" t="n">
        <x:f>SUM(M6:Q6)</x:f>
        <x:v>41652</x:v>
      </x:c>
      <x:c r="S6" s="20" t="n">
        <x:f>R6</x:f>
        <x:v>41652</x:v>
      </x:c>
      <x:c r="T6" s="20" t="n">
        <x:f>MIN(S6,INDEX(Inputs!$B$20:$D$20,1,MATCH(A6,Inputs!$B$6:$D$6,0)))*INDEX(Inputs!$B$22:$D$22,1,MATCH(A6,Inputs!$B$6:$D$6,0))+MAX(MIN(S6,INDEX(Inputs!$B$21:$D$21,1,MATCH(A6,Inputs!$B$6:$D$6,0)))-INDEX(Inputs!$B$20:$D$20,1,MATCH(A6,Inputs!$B$6:$D$6,0)),0)*INDEX(Inputs!$B$23:$D$23,1,MATCH(A6,Inputs!$B$6:$D$6,0))+MAX(S6-INDEX(Inputs!$B$21:$D$21,1,MATCH(A6,Inputs!$B$6:$D$6,0)),0)*INDEX(Inputs!$B$24:$D$24,1,MATCH(A6,Inputs!$B$6:$D$6,0))</x:f>
        <x:v>3676.378</x:v>
      </x:c>
      <x:c r="U6" s="20" t="n">
        <x:f>0</x:f>
        <x:v>0</x:v>
      </x:c>
      <x:c r="V6" s="20" t="n">
        <x:f>T6-U6</x:f>
        <x:v>3676.378</x:v>
      </x:c>
      <x:c r="W6" s="20" t="n">
        <x:f>R6+V6</x:f>
        <x:v>45328.378</x:v>
      </x:c>
      <x:c r="X6" s="14" t="str">
        <x:f>IF(ABS(W6-SUM(M6:Q6)-V6)&lt;0.01,"OK","Check")</x:f>
        <x:v>OK</x:v>
      </x:c>
    </x:row>
    <x:row r="7">
      <x:c r="A7" s="14" t="n">
        <x:v>2026</x:v>
      </x:c>
      <x:c r="B7" s="14" t="str">
        <x:v>Q2</x:v>
      </x:c>
      <x:c r="C7" s="14" t="n">
        <x:v>2</x:v>
      </x:c>
      <x:c r="D7" s="14" t="n">
        <x:v>1</x:v>
      </x:c>
      <x:c r="E7" s="14" t="str">
        <x:f>INDEX(Roster!$B$6:$B$108,MATCH(D7,Roster!$A$6:$A$108,0))</x:f>
        <x:v>Principal</x:v>
      </x:c>
      <x:c r="F7" s="14" t="str">
        <x:f>INDEX(Roster!$F$6:$F$108,MATCH(D7,Roster!$A$6:$A$108,0))</x:f>
        <x:v>No</x:v>
      </x:c>
      <x:c r="G7" s="14" t="n">
        <x:f>INDEX(Inputs!$B$7:$D$7,1,MATCH(A7,Inputs!$B$6:$D$6,0))</x:f>
        <x:v>13</x:v>
      </x:c>
      <x:c r="H7" s="14" t="n">
        <x:f>MIN(=INDEX(Inputs!$B$7:$D$7,1,MATCH(A7,Inputs!$B$6:$D$6,0)),MAX(0,INDEX(Inputs!$B$14:$D$14,1,MATCH(A7,Inputs!$B$6:$D$6,0))-(C7-1)*=INDEX(Inputs!$B$7:$D$7,1,MATCH(A7,Inputs!$B$6:$D$6,0))))</x:f>
        <x:v>13</x:v>
      </x:c>
      <x:c r="I7" s="20" t="n">
        <x:f>INDEX(Inputs!$B$8:$D$8,1,MATCH(A7,Inputs!$B$6:$D$6,0))</x:f>
        <x:v>2395</x:v>
      </x:c>
      <x:c r="J7" s="20" t="n">
        <x:f>INDEX(Roster!$C$6:$C$108,MATCH(D7,Roster!$A$6:$A$108,0))*(1+INDEX(Inputs!$B$9:$D$9,1,MATCH(A7,Inputs!$B$6:$D$6,0)))</x:f>
        <x:v>300</x:v>
      </x:c>
      <x:c r="K7" s="20" t="n">
        <x:f>IF(=INDEX(Roster!$F$6:$F$108,MATCH(D7,Roster!$A$6:$A$108,0))="Yes",0,=INDEX(Inputs!$B$8:$D$8,1,MATCH(A7,Inputs!$B$6:$D$6,0))*IF(=INDEX(Roster!$B$6:$B$108,MATCH(D7,Roster!$A$6:$A$108,0))="Principal",INDEX(Inputs!$B$10:$D$10,1,MATCH(A7,Inputs!$B$6:$D$6,0)),IF(=INDEX(Roster!$B$6:$B$108,MATCH(D7,Roster!$A$6:$A$108,0))="Associate Principal",INDEX(Inputs!$B$11:$D$11,1,MATCH(A7,Inputs!$B$6:$D$6,0)),IF(=INDEX(Roster!$B$6:$B$108,MATCH(D7,Roster!$A$6:$A$108,0))="Assistant Principal",INDEX(Inputs!$B$12:$D$12,1,MATCH(A7,Inputs!$B$6:$D$6,0)),0))))</x:f>
        <x:v>479</x:v>
      </x:c>
      <x:c r="L7" s="20" t="n">
        <x:f>IF(INDEX(Roster!$D$6:$D$108,MATCH(D7,Roster!$A$6:$A$108,0))&gt;=25,INDEX(Inputs!$B$19:$D$19,1,MATCH(A7,Inputs!$B$6:$D$6,0)),IF(INDEX(Roster!$D$6:$D$108,MATCH(D7,Roster!$A$6:$A$108,0))&gt;=20,INDEX(Inputs!$B$18:$D$18,1,MATCH(A7,Inputs!$B$6:$D$6,0)),IF(INDEX(Roster!$D$6:$D$108,MATCH(D7,Roster!$A$6:$A$108,0))&gt;=15,INDEX(Inputs!$B$17:$D$17,1,MATCH(A7,Inputs!$B$6:$D$6,0)),IF(INDEX(Roster!$D$6:$D$108,MATCH(D7,Roster!$A$6:$A$108,0))&gt;=10,INDEX(Inputs!$B$16:$D$16,1,MATCH(A7,Inputs!$B$6:$D$6,0)),IF(INDEX(Roster!$D$6:$D$108,MATCH(D7,Roster!$A$6:$A$108,0))&gt;=5,INDEX(Inputs!$B$15:$D$15,1,MATCH(A7,Inputs!$B$6:$D$6,0)),0)))))</x:f>
        <x:v>0</x:v>
      </x:c>
      <x:c r="M7" s="20" t="n">
        <x:f>G7*I7</x:f>
        <x:v>31135</x:v>
      </x:c>
      <x:c r="N7" s="20" t="n">
        <x:f>G7*J7</x:f>
        <x:v>3900</x:v>
      </x:c>
      <x:c r="O7" s="20" t="n">
        <x:f>G7*K7</x:f>
        <x:v>6227</x:v>
      </x:c>
      <x:c r="P7" s="20" t="n">
        <x:f>G7*L7</x:f>
        <x:v>0</x:v>
      </x:c>
      <x:c r="Q7" s="20" t="n">
        <x:f>H7*INDEX(Inputs!$B$13:$D$13,1,MATCH(A7,Inputs!$B$6:$D$6,0))</x:f>
        <x:v>390</x:v>
      </x:c>
      <x:c r="R7" s="20" t="n">
        <x:f>SUM(M7:Q7)</x:f>
        <x:v>41652</x:v>
      </x:c>
      <x:c r="S7" s="20" t="n">
        <x:f>IF(AND(A6=A7,D6=D7),S6+R7,R7)</x:f>
        <x:v>83304</x:v>
      </x:c>
      <x:c r="T7" s="20" t="n">
        <x:f>MIN(S7,INDEX(Inputs!$B$20:$D$20,1,MATCH(A7,Inputs!$B$6:$D$6,0)))*INDEX(Inputs!$B$22:$D$22,1,MATCH(A7,Inputs!$B$6:$D$6,0))+MAX(MIN(S7,INDEX(Inputs!$B$21:$D$21,1,MATCH(A7,Inputs!$B$6:$D$6,0)))-INDEX(Inputs!$B$20:$D$20,1,MATCH(A7,Inputs!$B$6:$D$6,0)),0)*INDEX(Inputs!$B$23:$D$23,1,MATCH(A7,Inputs!$B$6:$D$6,0))+MAX(S7-INDEX(Inputs!$B$21:$D$21,1,MATCH(A7,Inputs!$B$6:$D$6,0)),0)*INDEX(Inputs!$B$24:$D$24,1,MATCH(A7,Inputs!$B$6:$D$6,0))</x:f>
        <x:v>6862.756</x:v>
      </x:c>
      <x:c r="U7" s="20" t="n">
        <x:f>IF(AND(A6=A7,D6=D7),T6,0)</x:f>
        <x:v>3676.378</x:v>
      </x:c>
      <x:c r="V7" s="20" t="n">
        <x:f>T7-U7</x:f>
        <x:v>3186.378</x:v>
      </x:c>
      <x:c r="W7" s="20" t="n">
        <x:f>R7+V7</x:f>
        <x:v>44838.378</x:v>
      </x:c>
      <x:c r="X7" s="14" t="str">
        <x:f>IF(ABS(W7-SUM(M7:Q7)-V7)&lt;0.01,"OK","Check")</x:f>
        <x:v>OK</x:v>
      </x:c>
    </x:row>
    <x:row r="8">
      <x:c r="A8" s="14" t="n">
        <x:v>2026</x:v>
      </x:c>
      <x:c r="B8" s="14" t="str">
        <x:v>Q3</x:v>
      </x:c>
      <x:c r="C8" s="14" t="n">
        <x:v>3</x:v>
      </x:c>
      <x:c r="D8" s="14" t="n">
        <x:v>1</x:v>
      </x:c>
      <x:c r="E8" s="14" t="str">
        <x:f>INDEX(Roster!$B$6:$B$108,MATCH(D8,Roster!$A$6:$A$108,0))</x:f>
        <x:v>Principal</x:v>
      </x:c>
      <x:c r="F8" s="14" t="str">
        <x:f>INDEX(Roster!$F$6:$F$108,MATCH(D8,Roster!$A$6:$A$108,0))</x:f>
        <x:v>No</x:v>
      </x:c>
      <x:c r="G8" s="14" t="n">
        <x:f>INDEX(Inputs!$B$7:$D$7,1,MATCH(A8,Inputs!$B$6:$D$6,0))</x:f>
        <x:v>13</x:v>
      </x:c>
      <x:c r="H8" s="14" t="n">
        <x:f>MIN(=INDEX(Inputs!$B$7:$D$7,1,MATCH(A8,Inputs!$B$6:$D$6,0)),MAX(0,INDEX(Inputs!$B$14:$D$14,1,MATCH(A8,Inputs!$B$6:$D$6,0))-(C8-1)*=INDEX(Inputs!$B$7:$D$7,1,MATCH(A8,Inputs!$B$6:$D$6,0))))</x:f>
        <x:v>13</x:v>
      </x:c>
      <x:c r="I8" s="20" t="n">
        <x:f>INDEX(Inputs!$B$8:$D$8,1,MATCH(A8,Inputs!$B$6:$D$6,0))</x:f>
        <x:v>2395</x:v>
      </x:c>
      <x:c r="J8" s="20" t="n">
        <x:f>INDEX(Roster!$C$6:$C$108,MATCH(D8,Roster!$A$6:$A$108,0))*(1+INDEX(Inputs!$B$9:$D$9,1,MATCH(A8,Inputs!$B$6:$D$6,0)))</x:f>
        <x:v>300</x:v>
      </x:c>
      <x:c r="K8" s="20" t="n">
        <x:f>IF(=INDEX(Roster!$F$6:$F$108,MATCH(D8,Roster!$A$6:$A$108,0))="Yes",0,=INDEX(Inputs!$B$8:$D$8,1,MATCH(A8,Inputs!$B$6:$D$6,0))*IF(=INDEX(Roster!$B$6:$B$108,MATCH(D8,Roster!$A$6:$A$108,0))="Principal",INDEX(Inputs!$B$10:$D$10,1,MATCH(A8,Inputs!$B$6:$D$6,0)),IF(=INDEX(Roster!$B$6:$B$108,MATCH(D8,Roster!$A$6:$A$108,0))="Associate Principal",INDEX(Inputs!$B$11:$D$11,1,MATCH(A8,Inputs!$B$6:$D$6,0)),IF(=INDEX(Roster!$B$6:$B$108,MATCH(D8,Roster!$A$6:$A$108,0))="Assistant Principal",INDEX(Inputs!$B$12:$D$12,1,MATCH(A8,Inputs!$B$6:$D$6,0)),0))))</x:f>
        <x:v>479</x:v>
      </x:c>
      <x:c r="L8" s="20" t="n">
        <x:f>IF(INDEX(Roster!$D$6:$D$108,MATCH(D8,Roster!$A$6:$A$108,0))&gt;=25,INDEX(Inputs!$B$19:$D$19,1,MATCH(A8,Inputs!$B$6:$D$6,0)),IF(INDEX(Roster!$D$6:$D$108,MATCH(D8,Roster!$A$6:$A$108,0))&gt;=20,INDEX(Inputs!$B$18:$D$18,1,MATCH(A8,Inputs!$B$6:$D$6,0)),IF(INDEX(Roster!$D$6:$D$108,MATCH(D8,Roster!$A$6:$A$108,0))&gt;=15,INDEX(Inputs!$B$17:$D$17,1,MATCH(A8,Inputs!$B$6:$D$6,0)),IF(INDEX(Roster!$D$6:$D$108,MATCH(D8,Roster!$A$6:$A$108,0))&gt;=10,INDEX(Inputs!$B$16:$D$16,1,MATCH(A8,Inputs!$B$6:$D$6,0)),IF(INDEX(Roster!$D$6:$D$108,MATCH(D8,Roster!$A$6:$A$108,0))&gt;=5,INDEX(Inputs!$B$15:$D$15,1,MATCH(A8,Inputs!$B$6:$D$6,0)),0)))))</x:f>
        <x:v>0</x:v>
      </x:c>
      <x:c r="M8" s="20" t="n">
        <x:f>G8*I8</x:f>
        <x:v>31135</x:v>
      </x:c>
      <x:c r="N8" s="20" t="n">
        <x:f>G8*J8</x:f>
        <x:v>3900</x:v>
      </x:c>
      <x:c r="O8" s="20" t="n">
        <x:f>G8*K8</x:f>
        <x:v>6227</x:v>
      </x:c>
      <x:c r="P8" s="20" t="n">
        <x:f>G8*L8</x:f>
        <x:v>0</x:v>
      </x:c>
      <x:c r="Q8" s="20" t="n">
        <x:f>H8*INDEX(Inputs!$B$13:$D$13,1,MATCH(A8,Inputs!$B$6:$D$6,0))</x:f>
        <x:v>390</x:v>
      </x:c>
      <x:c r="R8" s="20" t="n">
        <x:f>SUM(M8:Q8)</x:f>
        <x:v>41652</x:v>
      </x:c>
      <x:c r="S8" s="20" t="n">
        <x:f>IF(AND(A7=A8,D7=D8),S7+R8,R8)</x:f>
        <x:v>124956</x:v>
      </x:c>
      <x:c r="T8" s="20" t="n">
        <x:f>MIN(S8,INDEX(Inputs!$B$20:$D$20,1,MATCH(A8,Inputs!$B$6:$D$6,0)))*INDEX(Inputs!$B$22:$D$22,1,MATCH(A8,Inputs!$B$6:$D$6,0))+MAX(MIN(S8,INDEX(Inputs!$B$21:$D$21,1,MATCH(A8,Inputs!$B$6:$D$6,0)))-INDEX(Inputs!$B$20:$D$20,1,MATCH(A8,Inputs!$B$6:$D$6,0)),0)*INDEX(Inputs!$B$23:$D$23,1,MATCH(A8,Inputs!$B$6:$D$6,0))+MAX(S8-INDEX(Inputs!$B$21:$D$21,1,MATCH(A8,Inputs!$B$6:$D$6,0)),0)*INDEX(Inputs!$B$24:$D$24,1,MATCH(A8,Inputs!$B$6:$D$6,0))</x:f>
        <x:v>9725.804</x:v>
      </x:c>
      <x:c r="U8" s="20" t="n">
        <x:f>IF(AND(A7=A8,D7=D8),T7,0)</x:f>
        <x:v>6862.756</x:v>
      </x:c>
      <x:c r="V8" s="20" t="n">
        <x:f>T8-U8</x:f>
        <x:v>2863.048</x:v>
      </x:c>
      <x:c r="W8" s="20" t="n">
        <x:f>R8+V8</x:f>
        <x:v>44515.048</x:v>
      </x:c>
      <x:c r="X8" s="14" t="str">
        <x:f>IF(ABS(W8-SUM(M8:Q8)-V8)&lt;0.01,"OK","Check")</x:f>
        <x:v>OK</x:v>
      </x:c>
    </x:row>
    <x:row r="9">
      <x:c r="A9" s="14" t="n">
        <x:v>2026</x:v>
      </x:c>
      <x:c r="B9" s="14" t="str">
        <x:v>Q4</x:v>
      </x:c>
      <x:c r="C9" s="14" t="n">
        <x:v>4</x:v>
      </x:c>
      <x:c r="D9" s="14" t="n">
        <x:v>1</x:v>
      </x:c>
      <x:c r="E9" s="14" t="str">
        <x:f>INDEX(Roster!$B$6:$B$108,MATCH(D9,Roster!$A$6:$A$108,0))</x:f>
        <x:v>Principal</x:v>
      </x:c>
      <x:c r="F9" s="14" t="str">
        <x:f>INDEX(Roster!$F$6:$F$108,MATCH(D9,Roster!$A$6:$A$108,0))</x:f>
        <x:v>No</x:v>
      </x:c>
      <x:c r="G9" s="14" t="n">
        <x:f>INDEX(Inputs!$B$7:$D$7,1,MATCH(A9,Inputs!$B$6:$D$6,0))</x:f>
        <x:v>13</x:v>
      </x:c>
      <x:c r="H9" s="14" t="n">
        <x:f>MIN(=INDEX(Inputs!$B$7:$D$7,1,MATCH(A9,Inputs!$B$6:$D$6,0)),MAX(0,INDEX(Inputs!$B$14:$D$14,1,MATCH(A9,Inputs!$B$6:$D$6,0))-(C9-1)*=INDEX(Inputs!$B$7:$D$7,1,MATCH(A9,Inputs!$B$6:$D$6,0))))</x:f>
        <x:v>0</x:v>
      </x:c>
      <x:c r="I9" s="20" t="n">
        <x:f>INDEX(Inputs!$B$8:$D$8,1,MATCH(A9,Inputs!$B$6:$D$6,0))</x:f>
        <x:v>2395</x:v>
      </x:c>
      <x:c r="J9" s="20" t="n">
        <x:f>INDEX(Roster!$C$6:$C$108,MATCH(D9,Roster!$A$6:$A$108,0))*(1+INDEX(Inputs!$B$9:$D$9,1,MATCH(A9,Inputs!$B$6:$D$6,0)))</x:f>
        <x:v>300</x:v>
      </x:c>
      <x:c r="K9" s="20" t="n">
        <x:f>IF(=INDEX(Roster!$F$6:$F$108,MATCH(D9,Roster!$A$6:$A$108,0))="Yes",0,=INDEX(Inputs!$B$8:$D$8,1,MATCH(A9,Inputs!$B$6:$D$6,0))*IF(=INDEX(Roster!$B$6:$B$108,MATCH(D9,Roster!$A$6:$A$108,0))="Principal",INDEX(Inputs!$B$10:$D$10,1,MATCH(A9,Inputs!$B$6:$D$6,0)),IF(=INDEX(Roster!$B$6:$B$108,MATCH(D9,Roster!$A$6:$A$108,0))="Associate Principal",INDEX(Inputs!$B$11:$D$11,1,MATCH(A9,Inputs!$B$6:$D$6,0)),IF(=INDEX(Roster!$B$6:$B$108,MATCH(D9,Roster!$A$6:$A$108,0))="Assistant Principal",INDEX(Inputs!$B$12:$D$12,1,MATCH(A9,Inputs!$B$6:$D$6,0)),0))))</x:f>
        <x:v>479</x:v>
      </x:c>
      <x:c r="L9" s="20" t="n">
        <x:f>IF(INDEX(Roster!$D$6:$D$108,MATCH(D9,Roster!$A$6:$A$108,0))&gt;=25,INDEX(Inputs!$B$19:$D$19,1,MATCH(A9,Inputs!$B$6:$D$6,0)),IF(INDEX(Roster!$D$6:$D$108,MATCH(D9,Roster!$A$6:$A$108,0))&gt;=20,INDEX(Inputs!$B$18:$D$18,1,MATCH(A9,Inputs!$B$6:$D$6,0)),IF(INDEX(Roster!$D$6:$D$108,MATCH(D9,Roster!$A$6:$A$108,0))&gt;=15,INDEX(Inputs!$B$17:$D$17,1,MATCH(A9,Inputs!$B$6:$D$6,0)),IF(INDEX(Roster!$D$6:$D$108,MATCH(D9,Roster!$A$6:$A$108,0))&gt;=10,INDEX(Inputs!$B$16:$D$16,1,MATCH(A9,Inputs!$B$6:$D$6,0)),IF(INDEX(Roster!$D$6:$D$108,MATCH(D9,Roster!$A$6:$A$108,0))&gt;=5,INDEX(Inputs!$B$15:$D$15,1,MATCH(A9,Inputs!$B$6:$D$6,0)),0)))))</x:f>
        <x:v>0</x:v>
      </x:c>
      <x:c r="M9" s="20" t="n">
        <x:f>G9*I9</x:f>
        <x:v>31135</x:v>
      </x:c>
      <x:c r="N9" s="20" t="n">
        <x:f>G9*J9</x:f>
        <x:v>3900</x:v>
      </x:c>
      <x:c r="O9" s="20" t="n">
        <x:f>G9*K9</x:f>
        <x:v>6227</x:v>
      </x:c>
      <x:c r="P9" s="20" t="n">
        <x:f>G9*L9</x:f>
        <x:v>0</x:v>
      </x:c>
      <x:c r="Q9" s="20" t="n">
        <x:f>H9*INDEX(Inputs!$B$13:$D$13,1,MATCH(A9,Inputs!$B$6:$D$6,0))</x:f>
        <x:v>0</x:v>
      </x:c>
      <x:c r="R9" s="20" t="n">
        <x:f>SUM(M9:Q9)</x:f>
        <x:v>41262</x:v>
      </x:c>
      <x:c r="S9" s="20" t="n">
        <x:f>IF(AND(A8=A9,D8=D9),S8+R9,R9)</x:f>
        <x:v>166218</x:v>
      </x:c>
      <x:c r="T9" s="20" t="n">
        <x:f>MIN(S9,INDEX(Inputs!$B$20:$D$20,1,MATCH(A9,Inputs!$B$6:$D$6,0)))*INDEX(Inputs!$B$22:$D$22,1,MATCH(A9,Inputs!$B$6:$D$6,0))+MAX(MIN(S9,INDEX(Inputs!$B$21:$D$21,1,MATCH(A9,Inputs!$B$6:$D$6,0)))-INDEX(Inputs!$B$20:$D$20,1,MATCH(A9,Inputs!$B$6:$D$6,0)),0)*INDEX(Inputs!$B$23:$D$23,1,MATCH(A9,Inputs!$B$6:$D$6,0))+MAX(S9-INDEX(Inputs!$B$21:$D$21,1,MATCH(A9,Inputs!$B$6:$D$6,0)),0)*INDEX(Inputs!$B$24:$D$24,1,MATCH(A9,Inputs!$B$6:$D$6,0))</x:f>
        <x:v>10324.103</x:v>
      </x:c>
      <x:c r="U9" s="20" t="n">
        <x:f>IF(AND(A8=A9,D8=D9),T8,0)</x:f>
        <x:v>9725.804</x:v>
      </x:c>
      <x:c r="V9" s="20" t="n">
        <x:f>T9-U9</x:f>
        <x:v>598.2989999999991</x:v>
      </x:c>
      <x:c r="W9" s="20" t="n">
        <x:f>R9+V9</x:f>
        <x:v>41860.299</x:v>
      </x:c>
      <x:c r="X9" s="14" t="str">
        <x:f>IF(ABS(W9-SUM(M9:Q9)-V9)&lt;0.01,"OK","Check")</x:f>
        <x:v>OK</x:v>
      </x:c>
    </x:row>
    <x:row r="10">
      <x:c r="A10" s="14" t="n">
        <x:v>2026</x:v>
      </x:c>
      <x:c r="B10" s="14" t="str">
        <x:v>Q1</x:v>
      </x:c>
      <x:c r="C10" s="14" t="n">
        <x:v>1</x:v>
      </x:c>
      <x:c r="D10" s="14" t="n">
        <x:v>2</x:v>
      </x:c>
      <x:c r="E10" s="14" t="str">
        <x:f>INDEX(Roster!$B$6:$B$108,MATCH(D10,Roster!$A$6:$A$108,0))</x:f>
      </x:c>
      <x:c r="F10" s="14" t="str">
        <x:f>INDEX(Roster!$F$6:$F$108,MATCH(D10,Roster!$A$6:$A$108,0))</x:f>
        <x:v>No</x:v>
      </x:c>
      <x:c r="G10" s="14" t="n">
        <x:f>INDEX(Inputs!$B$7:$D$7,1,MATCH(A10,Inputs!$B$6:$D$6,0))</x:f>
        <x:v>13</x:v>
      </x:c>
      <x:c r="H10" s="14" t="n">
        <x:f>MIN(=INDEX(Inputs!$B$7:$D$7,1,MATCH(A10,Inputs!$B$6:$D$6,0)),MAX(0,INDEX(Inputs!$B$14:$D$14,1,MATCH(A10,Inputs!$B$6:$D$6,0))-(C10-1)*=INDEX(Inputs!$B$7:$D$7,1,MATCH(A10,Inputs!$B$6:$D$6,0))))</x:f>
        <x:v>13</x:v>
      </x:c>
      <x:c r="I10" s="20" t="n">
        <x:f>INDEX(Inputs!$B$8:$D$8,1,MATCH(A10,Inputs!$B$6:$D$6,0))</x:f>
        <x:v>2395</x:v>
      </x:c>
      <x:c r="J10" s="20" t="n">
        <x:f>INDEX(Roster!$C$6:$C$108,MATCH(D10,Roster!$A$6:$A$108,0))*(1+INDEX(Inputs!$B$9:$D$9,1,MATCH(A10,Inputs!$B$6:$D$6,0)))</x:f>
        <x:v>0</x:v>
      </x:c>
      <x:c r="K10" s="20" t="n">
        <x:f>IF(=INDEX(Roster!$F$6:$F$108,MATCH(D10,Roster!$A$6:$A$108,0))="Yes",0,=INDEX(Inputs!$B$8:$D$8,1,MATCH(A10,Inputs!$B$6:$D$6,0))*IF(=INDEX(Roster!$B$6:$B$108,MATCH(D10,Roster!$A$6:$A$108,0))="Principal",INDEX(Inputs!$B$10:$D$10,1,MATCH(A10,Inputs!$B$6:$D$6,0)),IF(=INDEX(Roster!$B$6:$B$108,MATCH(D10,Roster!$A$6:$A$108,0))="Associate Principal",INDEX(Inputs!$B$11:$D$11,1,MATCH(A10,Inputs!$B$6:$D$6,0)),IF(=INDEX(Roster!$B$6:$B$108,MATCH(D10,Roster!$A$6:$A$108,0))="Assistant Principal",INDEX(Inputs!$B$12:$D$12,1,MATCH(A10,Inputs!$B$6:$D$6,0)),0))))</x:f>
        <x:v>0</x:v>
      </x:c>
      <x:c r="L10" s="20" t="n">
        <x:f>IF(INDEX(Roster!$D$6:$D$108,MATCH(D10,Roster!$A$6:$A$108,0))&gt;=25,INDEX(Inputs!$B$19:$D$19,1,MATCH(A10,Inputs!$B$6:$D$6,0)),IF(INDEX(Roster!$D$6:$D$108,MATCH(D10,Roster!$A$6:$A$108,0))&gt;=20,INDEX(Inputs!$B$18:$D$18,1,MATCH(A10,Inputs!$B$6:$D$6,0)),IF(INDEX(Roster!$D$6:$D$108,MATCH(D10,Roster!$A$6:$A$108,0))&gt;=15,INDEX(Inputs!$B$17:$D$17,1,MATCH(A10,Inputs!$B$6:$D$6,0)),IF(INDEX(Roster!$D$6:$D$108,MATCH(D10,Roster!$A$6:$A$108,0))&gt;=10,INDEX(Inputs!$B$16:$D$16,1,MATCH(A10,Inputs!$B$6:$D$6,0)),IF(INDEX(Roster!$D$6:$D$108,MATCH(D10,Roster!$A$6:$A$108,0))&gt;=5,INDEX(Inputs!$B$15:$D$15,1,MATCH(A10,Inputs!$B$6:$D$6,0)),0)))))</x:f>
        <x:v>50</x:v>
      </x:c>
      <x:c r="M10" s="20" t="n">
        <x:f>G10*I10</x:f>
        <x:v>31135</x:v>
      </x:c>
      <x:c r="N10" s="20" t="n">
        <x:f>G10*J10</x:f>
        <x:v>0</x:v>
      </x:c>
      <x:c r="O10" s="20" t="n">
        <x:f>G10*K10</x:f>
        <x:v>0</x:v>
      </x:c>
      <x:c r="P10" s="20" t="n">
        <x:f>G10*L10</x:f>
        <x:v>650</x:v>
      </x:c>
      <x:c r="Q10" s="20" t="n">
        <x:f>H10*INDEX(Inputs!$B$13:$D$13,1,MATCH(A10,Inputs!$B$6:$D$6,0))</x:f>
        <x:v>390</x:v>
      </x:c>
      <x:c r="R10" s="20" t="n">
        <x:f>SUM(M10:Q10)</x:f>
        <x:v>32175</x:v>
      </x:c>
      <x:c r="S10" s="20" t="n">
        <x:f>IF(AND(A9=A10,D9=D10),S9+R10,R10)</x:f>
        <x:v>32175</x:v>
      </x:c>
      <x:c r="T10" s="20" t="n">
        <x:f>MIN(S10,INDEX(Inputs!$B$20:$D$20,1,MATCH(A10,Inputs!$B$6:$D$6,0)))*INDEX(Inputs!$B$22:$D$22,1,MATCH(A10,Inputs!$B$6:$D$6,0))+MAX(MIN(S10,INDEX(Inputs!$B$21:$D$21,1,MATCH(A10,Inputs!$B$6:$D$6,0)))-INDEX(Inputs!$B$20:$D$20,1,MATCH(A10,Inputs!$B$6:$D$6,0)),0)*INDEX(Inputs!$B$23:$D$23,1,MATCH(A10,Inputs!$B$6:$D$6,0))+MAX(S10-INDEX(Inputs!$B$21:$D$21,1,MATCH(A10,Inputs!$B$6:$D$6,0)),0)*INDEX(Inputs!$B$24:$D$24,1,MATCH(A10,Inputs!$B$6:$D$6,0))</x:f>
        <x:v>2951.3875</x:v>
      </x:c>
      <x:c r="U10" s="20" t="n">
        <x:f>IF(AND(A9=A10,D9=D10),T9,0)</x:f>
        <x:v>0</x:v>
      </x:c>
      <x:c r="V10" s="20" t="n">
        <x:f>T10-U10</x:f>
        <x:v>2951.3875</x:v>
      </x:c>
      <x:c r="W10" s="20" t="n">
        <x:f>R10+V10</x:f>
        <x:v>35126.3875</x:v>
      </x:c>
      <x:c r="X10" s="14" t="str">
        <x:f>IF(ABS(W10-SUM(M10:Q10)-V10)&lt;0.01,"OK","Check")</x:f>
        <x:v>OK</x:v>
      </x:c>
    </x:row>
    <x:row r="11">
      <x:c r="A11" s="14" t="n">
        <x:v>2026</x:v>
      </x:c>
      <x:c r="B11" s="14" t="str">
        <x:v>Q2</x:v>
      </x:c>
      <x:c r="C11" s="14" t="n">
        <x:v>2</x:v>
      </x:c>
      <x:c r="D11" s="14" t="n">
        <x:v>2</x:v>
      </x:c>
      <x:c r="E11" s="14" t="str">
        <x:f>INDEX(Roster!$B$6:$B$108,MATCH(D11,Roster!$A$6:$A$108,0))</x:f>
      </x:c>
      <x:c r="F11" s="14" t="str">
        <x:f>INDEX(Roster!$F$6:$F$108,MATCH(D11,Roster!$A$6:$A$108,0))</x:f>
        <x:v>No</x:v>
      </x:c>
      <x:c r="G11" s="14" t="n">
        <x:f>INDEX(Inputs!$B$7:$D$7,1,MATCH(A11,Inputs!$B$6:$D$6,0))</x:f>
        <x:v>13</x:v>
      </x:c>
      <x:c r="H11" s="14" t="n">
        <x:f>MIN(=INDEX(Inputs!$B$7:$D$7,1,MATCH(A11,Inputs!$B$6:$D$6,0)),MAX(0,INDEX(Inputs!$B$14:$D$14,1,MATCH(A11,Inputs!$B$6:$D$6,0))-(C11-1)*=INDEX(Inputs!$B$7:$D$7,1,MATCH(A11,Inputs!$B$6:$D$6,0))))</x:f>
        <x:v>13</x:v>
      </x:c>
      <x:c r="I11" s="20" t="n">
        <x:f>INDEX(Inputs!$B$8:$D$8,1,MATCH(A11,Inputs!$B$6:$D$6,0))</x:f>
        <x:v>2395</x:v>
      </x:c>
      <x:c r="J11" s="20" t="n">
        <x:f>INDEX(Roster!$C$6:$C$108,MATCH(D11,Roster!$A$6:$A$108,0))*(1+INDEX(Inputs!$B$9:$D$9,1,MATCH(A11,Inputs!$B$6:$D$6,0)))</x:f>
        <x:v>0</x:v>
      </x:c>
      <x:c r="K11" s="20" t="n">
        <x:f>IF(=INDEX(Roster!$F$6:$F$108,MATCH(D11,Roster!$A$6:$A$108,0))="Yes",0,=INDEX(Inputs!$B$8:$D$8,1,MATCH(A11,Inputs!$B$6:$D$6,0))*IF(=INDEX(Roster!$B$6:$B$108,MATCH(D11,Roster!$A$6:$A$108,0))="Principal",INDEX(Inputs!$B$10:$D$10,1,MATCH(A11,Inputs!$B$6:$D$6,0)),IF(=INDEX(Roster!$B$6:$B$108,MATCH(D11,Roster!$A$6:$A$108,0))="Associate Principal",INDEX(Inputs!$B$11:$D$11,1,MATCH(A11,Inputs!$B$6:$D$6,0)),IF(=INDEX(Roster!$B$6:$B$108,MATCH(D11,Roster!$A$6:$A$108,0))="Assistant Principal",INDEX(Inputs!$B$12:$D$12,1,MATCH(A11,Inputs!$B$6:$D$6,0)),0))))</x:f>
        <x:v>0</x:v>
      </x:c>
      <x:c r="L11" s="20" t="n">
        <x:f>IF(INDEX(Roster!$D$6:$D$108,MATCH(D11,Roster!$A$6:$A$108,0))&gt;=25,INDEX(Inputs!$B$19:$D$19,1,MATCH(A11,Inputs!$B$6:$D$6,0)),IF(INDEX(Roster!$D$6:$D$108,MATCH(D11,Roster!$A$6:$A$108,0))&gt;=20,INDEX(Inputs!$B$18:$D$18,1,MATCH(A11,Inputs!$B$6:$D$6,0)),IF(INDEX(Roster!$D$6:$D$108,MATCH(D11,Roster!$A$6:$A$108,0))&gt;=15,INDEX(Inputs!$B$17:$D$17,1,MATCH(A11,Inputs!$B$6:$D$6,0)),IF(INDEX(Roster!$D$6:$D$108,MATCH(D11,Roster!$A$6:$A$108,0))&gt;=10,INDEX(Inputs!$B$16:$D$16,1,MATCH(A11,Inputs!$B$6:$D$6,0)),IF(INDEX(Roster!$D$6:$D$108,MATCH(D11,Roster!$A$6:$A$108,0))&gt;=5,INDEX(Inputs!$B$15:$D$15,1,MATCH(A11,Inputs!$B$6:$D$6,0)),0)))))</x:f>
        <x:v>50</x:v>
      </x:c>
      <x:c r="M11" s="20" t="n">
        <x:f>G11*I11</x:f>
        <x:v>31135</x:v>
      </x:c>
      <x:c r="N11" s="20" t="n">
        <x:f>G11*J11</x:f>
        <x:v>0</x:v>
      </x:c>
      <x:c r="O11" s="20" t="n">
        <x:f>G11*K11</x:f>
        <x:v>0</x:v>
      </x:c>
      <x:c r="P11" s="20" t="n">
        <x:f>G11*L11</x:f>
        <x:v>650</x:v>
      </x:c>
      <x:c r="Q11" s="20" t="n">
        <x:f>H11*INDEX(Inputs!$B$13:$D$13,1,MATCH(A11,Inputs!$B$6:$D$6,0))</x:f>
        <x:v>390</x:v>
      </x:c>
      <x:c r="R11" s="20" t="n">
        <x:f>SUM(M11:Q11)</x:f>
        <x:v>32175</x:v>
      </x:c>
      <x:c r="S11" s="20" t="n">
        <x:f>IF(AND(A10=A11,D10=D11),S10+R11,R11)</x:f>
        <x:v>64350</x:v>
      </x:c>
      <x:c r="T11" s="20" t="n">
        <x:f>MIN(S11,INDEX(Inputs!$B$20:$D$20,1,MATCH(A11,Inputs!$B$6:$D$6,0)))*INDEX(Inputs!$B$22:$D$22,1,MATCH(A11,Inputs!$B$6:$D$6,0))+MAX(MIN(S11,INDEX(Inputs!$B$21:$D$21,1,MATCH(A11,Inputs!$B$6:$D$6,0)))-INDEX(Inputs!$B$20:$D$20,1,MATCH(A11,Inputs!$B$6:$D$6,0)),0)*INDEX(Inputs!$B$23:$D$23,1,MATCH(A11,Inputs!$B$6:$D$6,0))+MAX(S11-INDEX(Inputs!$B$21:$D$21,1,MATCH(A11,Inputs!$B$6:$D$6,0)),0)*INDEX(Inputs!$B$24:$D$24,1,MATCH(A11,Inputs!$B$6:$D$6,0))</x:f>
        <x:v>5412.775</x:v>
      </x:c>
      <x:c r="U11" s="20" t="n">
        <x:f>IF(AND(A10=A11,D10=D11),T10,0)</x:f>
        <x:v>2951.3875</x:v>
      </x:c>
      <x:c r="V11" s="20" t="n">
        <x:f>T11-U11</x:f>
        <x:v>2461.3875</x:v>
      </x:c>
      <x:c r="W11" s="20" t="n">
        <x:f>R11+V11</x:f>
        <x:v>34636.3875</x:v>
      </x:c>
      <x:c r="X11" s="14" t="str">
        <x:f>IF(ABS(W11-SUM(M11:Q11)-V11)&lt;0.01,"OK","Check")</x:f>
        <x:v>OK</x:v>
      </x:c>
    </x:row>
    <x:row r="12">
      <x:c r="A12" s="14" t="n">
        <x:v>2026</x:v>
      </x:c>
      <x:c r="B12" s="14" t="str">
        <x:v>Q3</x:v>
      </x:c>
      <x:c r="C12" s="14" t="n">
        <x:v>3</x:v>
      </x:c>
      <x:c r="D12" s="14" t="n">
        <x:v>2</x:v>
      </x:c>
      <x:c r="E12" s="14" t="str">
        <x:f>INDEX(Roster!$B$6:$B$108,MATCH(D12,Roster!$A$6:$A$108,0))</x:f>
      </x:c>
      <x:c r="F12" s="14" t="str">
        <x:f>INDEX(Roster!$F$6:$F$108,MATCH(D12,Roster!$A$6:$A$108,0))</x:f>
        <x:v>No</x:v>
      </x:c>
      <x:c r="G12" s="14" t="n">
        <x:f>INDEX(Inputs!$B$7:$D$7,1,MATCH(A12,Inputs!$B$6:$D$6,0))</x:f>
        <x:v>13</x:v>
      </x:c>
      <x:c r="H12" s="14" t="n">
        <x:f>MIN(=INDEX(Inputs!$B$7:$D$7,1,MATCH(A12,Inputs!$B$6:$D$6,0)),MAX(0,INDEX(Inputs!$B$14:$D$14,1,MATCH(A12,Inputs!$B$6:$D$6,0))-(C12-1)*=INDEX(Inputs!$B$7:$D$7,1,MATCH(A12,Inputs!$B$6:$D$6,0))))</x:f>
        <x:v>13</x:v>
      </x:c>
      <x:c r="I12" s="20" t="n">
        <x:f>INDEX(Inputs!$B$8:$D$8,1,MATCH(A12,Inputs!$B$6:$D$6,0))</x:f>
        <x:v>2395</x:v>
      </x:c>
      <x:c r="J12" s="20" t="n">
        <x:f>INDEX(Roster!$C$6:$C$108,MATCH(D12,Roster!$A$6:$A$108,0))*(1+INDEX(Inputs!$B$9:$D$9,1,MATCH(A12,Inputs!$B$6:$D$6,0)))</x:f>
        <x:v>0</x:v>
      </x:c>
      <x:c r="K12" s="20" t="n">
        <x:f>IF(=INDEX(Roster!$F$6:$F$108,MATCH(D12,Roster!$A$6:$A$108,0))="Yes",0,=INDEX(Inputs!$B$8:$D$8,1,MATCH(A12,Inputs!$B$6:$D$6,0))*IF(=INDEX(Roster!$B$6:$B$108,MATCH(D12,Roster!$A$6:$A$108,0))="Principal",INDEX(Inputs!$B$10:$D$10,1,MATCH(A12,Inputs!$B$6:$D$6,0)),IF(=INDEX(Roster!$B$6:$B$108,MATCH(D12,Roster!$A$6:$A$108,0))="Associate Principal",INDEX(Inputs!$B$11:$D$11,1,MATCH(A12,Inputs!$B$6:$D$6,0)),IF(=INDEX(Roster!$B$6:$B$108,MATCH(D12,Roster!$A$6:$A$108,0))="Assistant Principal",INDEX(Inputs!$B$12:$D$12,1,MATCH(A12,Inputs!$B$6:$D$6,0)),0))))</x:f>
        <x:v>0</x:v>
      </x:c>
      <x:c r="L12" s="20" t="n">
        <x:f>IF(INDEX(Roster!$D$6:$D$108,MATCH(D12,Roster!$A$6:$A$108,0))&gt;=25,INDEX(Inputs!$B$19:$D$19,1,MATCH(A12,Inputs!$B$6:$D$6,0)),IF(INDEX(Roster!$D$6:$D$108,MATCH(D12,Roster!$A$6:$A$108,0))&gt;=20,INDEX(Inputs!$B$18:$D$18,1,MATCH(A12,Inputs!$B$6:$D$6,0)),IF(INDEX(Roster!$D$6:$D$108,MATCH(D12,Roster!$A$6:$A$108,0))&gt;=15,INDEX(Inputs!$B$17:$D$17,1,MATCH(A12,Inputs!$B$6:$D$6,0)),IF(INDEX(Roster!$D$6:$D$108,MATCH(D12,Roster!$A$6:$A$108,0))&gt;=10,INDEX(Inputs!$B$16:$D$16,1,MATCH(A12,Inputs!$B$6:$D$6,0)),IF(INDEX(Roster!$D$6:$D$108,MATCH(D12,Roster!$A$6:$A$108,0))&gt;=5,INDEX(Inputs!$B$15:$D$15,1,MATCH(A12,Inputs!$B$6:$D$6,0)),0)))))</x:f>
        <x:v>50</x:v>
      </x:c>
      <x:c r="M12" s="20" t="n">
        <x:f>G12*I12</x:f>
        <x:v>31135</x:v>
      </x:c>
      <x:c r="N12" s="20" t="n">
        <x:f>G12*J12</x:f>
        <x:v>0</x:v>
      </x:c>
      <x:c r="O12" s="20" t="n">
        <x:f>G12*K12</x:f>
        <x:v>0</x:v>
      </x:c>
      <x:c r="P12" s="20" t="n">
        <x:f>G12*L12</x:f>
        <x:v>650</x:v>
      </x:c>
      <x:c r="Q12" s="20" t="n">
        <x:f>H12*INDEX(Inputs!$B$13:$D$13,1,MATCH(A12,Inputs!$B$6:$D$6,0))</x:f>
        <x:v>390</x:v>
      </x:c>
      <x:c r="R12" s="20" t="n">
        <x:f>SUM(M12:Q12)</x:f>
        <x:v>32175</x:v>
      </x:c>
      <x:c r="S12" s="20" t="n">
        <x:f>IF(AND(A11=A12,D11=D12),S11+R12,R12)</x:f>
        <x:v>96525</x:v>
      </x:c>
      <x:c r="T12" s="20" t="n">
        <x:f>MIN(S12,INDEX(Inputs!$B$20:$D$20,1,MATCH(A12,Inputs!$B$6:$D$6,0)))*INDEX(Inputs!$B$22:$D$22,1,MATCH(A12,Inputs!$B$6:$D$6,0))+MAX(MIN(S12,INDEX(Inputs!$B$21:$D$21,1,MATCH(A12,Inputs!$B$6:$D$6,0)))-INDEX(Inputs!$B$20:$D$20,1,MATCH(A12,Inputs!$B$6:$D$6,0)),0)*INDEX(Inputs!$B$23:$D$23,1,MATCH(A12,Inputs!$B$6:$D$6,0))+MAX(S12-INDEX(Inputs!$B$21:$D$21,1,MATCH(A12,Inputs!$B$6:$D$6,0)),0)*INDEX(Inputs!$B$24:$D$24,1,MATCH(A12,Inputs!$B$6:$D$6,0))</x:f>
        <x:v>7874.162499999999</x:v>
      </x:c>
      <x:c r="U12" s="20" t="n">
        <x:f>IF(AND(A11=A12,D11=D12),T11,0)</x:f>
        <x:v>5412.775</x:v>
      </x:c>
      <x:c r="V12" s="20" t="n">
        <x:f>T12-U12</x:f>
        <x:v>2461.3875</x:v>
      </x:c>
      <x:c r="W12" s="20" t="n">
        <x:f>R12+V12</x:f>
        <x:v>34636.3875</x:v>
      </x:c>
      <x:c r="X12" s="14" t="str">
        <x:f>IF(ABS(W12-SUM(M12:Q12)-V12)&lt;0.01,"OK","Check")</x:f>
        <x:v>OK</x:v>
      </x:c>
    </x:row>
    <x:row r="13">
      <x:c r="A13" s="14" t="n">
        <x:v>2026</x:v>
      </x:c>
      <x:c r="B13" s="14" t="str">
        <x:v>Q4</x:v>
      </x:c>
      <x:c r="C13" s="14" t="n">
        <x:v>4</x:v>
      </x:c>
      <x:c r="D13" s="14" t="n">
        <x:v>2</x:v>
      </x:c>
      <x:c r="E13" s="14" t="str">
        <x:f>INDEX(Roster!$B$6:$B$108,MATCH(D13,Roster!$A$6:$A$108,0))</x:f>
      </x:c>
      <x:c r="F13" s="14" t="str">
        <x:f>INDEX(Roster!$F$6:$F$108,MATCH(D13,Roster!$A$6:$A$108,0))</x:f>
        <x:v>No</x:v>
      </x:c>
      <x:c r="G13" s="14" t="n">
        <x:f>INDEX(Inputs!$B$7:$D$7,1,MATCH(A13,Inputs!$B$6:$D$6,0))</x:f>
        <x:v>13</x:v>
      </x:c>
      <x:c r="H13" s="14" t="n">
        <x:f>MIN(=INDEX(Inputs!$B$7:$D$7,1,MATCH(A13,Inputs!$B$6:$D$6,0)),MAX(0,INDEX(Inputs!$B$14:$D$14,1,MATCH(A13,Inputs!$B$6:$D$6,0))-(C13-1)*=INDEX(Inputs!$B$7:$D$7,1,MATCH(A13,Inputs!$B$6:$D$6,0))))</x:f>
        <x:v>0</x:v>
      </x:c>
      <x:c r="I13" s="20" t="n">
        <x:f>INDEX(Inputs!$B$8:$D$8,1,MATCH(A13,Inputs!$B$6:$D$6,0))</x:f>
        <x:v>2395</x:v>
      </x:c>
      <x:c r="J13" s="20" t="n">
        <x:f>INDEX(Roster!$C$6:$C$108,MATCH(D13,Roster!$A$6:$A$108,0))*(1+INDEX(Inputs!$B$9:$D$9,1,MATCH(A13,Inputs!$B$6:$D$6,0)))</x:f>
        <x:v>0</x:v>
      </x:c>
      <x:c r="K13" s="20" t="n">
        <x:f>IF(=INDEX(Roster!$F$6:$F$108,MATCH(D13,Roster!$A$6:$A$108,0))="Yes",0,=INDEX(Inputs!$B$8:$D$8,1,MATCH(A13,Inputs!$B$6:$D$6,0))*IF(=INDEX(Roster!$B$6:$B$108,MATCH(D13,Roster!$A$6:$A$108,0))="Principal",INDEX(Inputs!$B$10:$D$10,1,MATCH(A13,Inputs!$B$6:$D$6,0)),IF(=INDEX(Roster!$B$6:$B$108,MATCH(D13,Roster!$A$6:$A$108,0))="Associate Principal",INDEX(Inputs!$B$11:$D$11,1,MATCH(A13,Inputs!$B$6:$D$6,0)),IF(=INDEX(Roster!$B$6:$B$108,MATCH(D13,Roster!$A$6:$A$108,0))="Assistant Principal",INDEX(Inputs!$B$12:$D$12,1,MATCH(A13,Inputs!$B$6:$D$6,0)),0))))</x:f>
        <x:v>0</x:v>
      </x:c>
      <x:c r="L13" s="20" t="n">
        <x:f>IF(INDEX(Roster!$D$6:$D$108,MATCH(D13,Roster!$A$6:$A$108,0))&gt;=25,INDEX(Inputs!$B$19:$D$19,1,MATCH(A13,Inputs!$B$6:$D$6,0)),IF(INDEX(Roster!$D$6:$D$108,MATCH(D13,Roster!$A$6:$A$108,0))&gt;=20,INDEX(Inputs!$B$18:$D$18,1,MATCH(A13,Inputs!$B$6:$D$6,0)),IF(INDEX(Roster!$D$6:$D$108,MATCH(D13,Roster!$A$6:$A$108,0))&gt;=15,INDEX(Inputs!$B$17:$D$17,1,MATCH(A13,Inputs!$B$6:$D$6,0)),IF(INDEX(Roster!$D$6:$D$108,MATCH(D13,Roster!$A$6:$A$108,0))&gt;=10,INDEX(Inputs!$B$16:$D$16,1,MATCH(A13,Inputs!$B$6:$D$6,0)),IF(INDEX(Roster!$D$6:$D$108,MATCH(D13,Roster!$A$6:$A$108,0))&gt;=5,INDEX(Inputs!$B$15:$D$15,1,MATCH(A13,Inputs!$B$6:$D$6,0)),0)))))</x:f>
        <x:v>50</x:v>
      </x:c>
      <x:c r="M13" s="20" t="n">
        <x:f>G13*I13</x:f>
        <x:v>31135</x:v>
      </x:c>
      <x:c r="N13" s="20" t="n">
        <x:f>G13*J13</x:f>
        <x:v>0</x:v>
      </x:c>
      <x:c r="O13" s="20" t="n">
        <x:f>G13*K13</x:f>
        <x:v>0</x:v>
      </x:c>
      <x:c r="P13" s="20" t="n">
        <x:f>G13*L13</x:f>
        <x:v>650</x:v>
      </x:c>
      <x:c r="Q13" s="20" t="n">
        <x:f>H13*INDEX(Inputs!$B$13:$D$13,1,MATCH(A13,Inputs!$B$6:$D$6,0))</x:f>
        <x:v>0</x:v>
      </x:c>
      <x:c r="R13" s="20" t="n">
        <x:f>SUM(M13:Q13)</x:f>
        <x:v>31785</x:v>
      </x:c>
      <x:c r="S13" s="20" t="n">
        <x:f>IF(AND(A12=A13,D12=D13),S12+R13,R13)</x:f>
        <x:v>128310</x:v>
      </x:c>
      <x:c r="T13" s="20" t="n">
        <x:f>MIN(S13,INDEX(Inputs!$B$20:$D$20,1,MATCH(A13,Inputs!$B$6:$D$6,0)))*INDEX(Inputs!$B$22:$D$22,1,MATCH(A13,Inputs!$B$6:$D$6,0))+MAX(MIN(S13,INDEX(Inputs!$B$21:$D$21,1,MATCH(A13,Inputs!$B$6:$D$6,0)))-INDEX(Inputs!$B$20:$D$20,1,MATCH(A13,Inputs!$B$6:$D$6,0)),0)*INDEX(Inputs!$B$23:$D$23,1,MATCH(A13,Inputs!$B$6:$D$6,0))+MAX(S13-INDEX(Inputs!$B$21:$D$21,1,MATCH(A13,Inputs!$B$6:$D$6,0)),0)*INDEX(Inputs!$B$24:$D$24,1,MATCH(A13,Inputs!$B$6:$D$6,0))</x:f>
        <x:v>9774.437</x:v>
      </x:c>
      <x:c r="U13" s="20" t="n">
        <x:f>IF(AND(A12=A13,D12=D13),T12,0)</x:f>
        <x:v>7874.162499999999</x:v>
      </x:c>
      <x:c r="V13" s="20" t="n">
        <x:f>T13-U13</x:f>
        <x:v>1900.2745000000004</x:v>
      </x:c>
      <x:c r="W13" s="20" t="n">
        <x:f>R13+V13</x:f>
        <x:v>33685.2745</x:v>
      </x:c>
      <x:c r="X13" s="14" t="str">
        <x:f>IF(ABS(W13-SUM(M13:Q13)-V13)&lt;0.01,"OK","Check")</x:f>
        <x:v>OK</x:v>
      </x:c>
    </x:row>
    <x:row r="14">
      <x:c r="A14" s="14" t="n">
        <x:v>2026</x:v>
      </x:c>
      <x:c r="B14" s="14" t="str">
        <x:v>Q1</x:v>
      </x:c>
      <x:c r="C14" s="14" t="n">
        <x:v>1</x:v>
      </x:c>
      <x:c r="D14" s="14" t="n">
        <x:v>3</x:v>
      </x:c>
      <x:c r="E14" s="14" t="str">
        <x:f>INDEX(Roster!$B$6:$B$108,MATCH(D14,Roster!$A$6:$A$108,0))</x:f>
        <x:v>Principal</x:v>
      </x:c>
      <x:c r="F14" s="14" t="str">
        <x:f>INDEX(Roster!$F$6:$F$108,MATCH(D14,Roster!$A$6:$A$108,0))</x:f>
        <x:v>No</x:v>
      </x:c>
      <x:c r="G14" s="14" t="n">
        <x:f>INDEX(Inputs!$B$7:$D$7,1,MATCH(A14,Inputs!$B$6:$D$6,0))</x:f>
        <x:v>13</x:v>
      </x:c>
      <x:c r="H14" s="14" t="n">
        <x:f>MIN(=INDEX(Inputs!$B$7:$D$7,1,MATCH(A14,Inputs!$B$6:$D$6,0)),MAX(0,INDEX(Inputs!$B$14:$D$14,1,MATCH(A14,Inputs!$B$6:$D$6,0))-(C14-1)*=INDEX(Inputs!$B$7:$D$7,1,MATCH(A14,Inputs!$B$6:$D$6,0))))</x:f>
        <x:v>13</x:v>
      </x:c>
      <x:c r="I14" s="20" t="n">
        <x:f>INDEX(Inputs!$B$8:$D$8,1,MATCH(A14,Inputs!$B$6:$D$6,0))</x:f>
        <x:v>2395</x:v>
      </x:c>
      <x:c r="J14" s="20" t="n">
        <x:f>INDEX(Roster!$C$6:$C$108,MATCH(D14,Roster!$A$6:$A$108,0))*(1+INDEX(Inputs!$B$9:$D$9,1,MATCH(A14,Inputs!$B$6:$D$6,0)))</x:f>
        <x:v>500</x:v>
      </x:c>
      <x:c r="K14" s="20" t="n">
        <x:f>IF(=INDEX(Roster!$F$6:$F$108,MATCH(D14,Roster!$A$6:$A$108,0))="Yes",0,=INDEX(Inputs!$B$8:$D$8,1,MATCH(A14,Inputs!$B$6:$D$6,0))*IF(=INDEX(Roster!$B$6:$B$108,MATCH(D14,Roster!$A$6:$A$108,0))="Principal",INDEX(Inputs!$B$10:$D$10,1,MATCH(A14,Inputs!$B$6:$D$6,0)),IF(=INDEX(Roster!$B$6:$B$108,MATCH(D14,Roster!$A$6:$A$108,0))="Associate Principal",INDEX(Inputs!$B$11:$D$11,1,MATCH(A14,Inputs!$B$6:$D$6,0)),IF(=INDEX(Roster!$B$6:$B$108,MATCH(D14,Roster!$A$6:$A$108,0))="Assistant Principal",INDEX(Inputs!$B$12:$D$12,1,MATCH(A14,Inputs!$B$6:$D$6,0)),0))))</x:f>
        <x:v>479</x:v>
      </x:c>
      <x:c r="L14" s="20" t="n">
        <x:f>IF(INDEX(Roster!$D$6:$D$108,MATCH(D14,Roster!$A$6:$A$108,0))&gt;=25,INDEX(Inputs!$B$19:$D$19,1,MATCH(A14,Inputs!$B$6:$D$6,0)),IF(INDEX(Roster!$D$6:$D$108,MATCH(D14,Roster!$A$6:$A$108,0))&gt;=20,INDEX(Inputs!$B$18:$D$18,1,MATCH(A14,Inputs!$B$6:$D$6,0)),IF(INDEX(Roster!$D$6:$D$108,MATCH(D14,Roster!$A$6:$A$108,0))&gt;=15,INDEX(Inputs!$B$17:$D$17,1,MATCH(A14,Inputs!$B$6:$D$6,0)),IF(INDEX(Roster!$D$6:$D$108,MATCH(D14,Roster!$A$6:$A$108,0))&gt;=10,INDEX(Inputs!$B$16:$D$16,1,MATCH(A14,Inputs!$B$6:$D$6,0)),IF(INDEX(Roster!$D$6:$D$108,MATCH(D14,Roster!$A$6:$A$108,0))&gt;=5,INDEX(Inputs!$B$15:$D$15,1,MATCH(A14,Inputs!$B$6:$D$6,0)),0)))))</x:f>
        <x:v>60</x:v>
      </x:c>
      <x:c r="M14" s="20" t="n">
        <x:f>G14*I14</x:f>
        <x:v>31135</x:v>
      </x:c>
      <x:c r="N14" s="20" t="n">
        <x:f>G14*J14</x:f>
        <x:v>6500</x:v>
      </x:c>
      <x:c r="O14" s="20" t="n">
        <x:f>G14*K14</x:f>
        <x:v>6227</x:v>
      </x:c>
      <x:c r="P14" s="20" t="n">
        <x:f>G14*L14</x:f>
        <x:v>780</x:v>
      </x:c>
      <x:c r="Q14" s="20" t="n">
        <x:f>H14*INDEX(Inputs!$B$13:$D$13,1,MATCH(A14,Inputs!$B$6:$D$6,0))</x:f>
        <x:v>390</x:v>
      </x:c>
      <x:c r="R14" s="20" t="n">
        <x:f>SUM(M14:Q14)</x:f>
        <x:v>45032</x:v>
      </x:c>
      <x:c r="S14" s="20" t="n">
        <x:f>IF(AND(A13=A14,D13=D14),S13+R14,R14)</x:f>
        <x:v>45032</x:v>
      </x:c>
      <x:c r="T14" s="20" t="n">
        <x:f>MIN(S14,INDEX(Inputs!$B$20:$D$20,1,MATCH(A14,Inputs!$B$6:$D$6,0)))*INDEX(Inputs!$B$22:$D$22,1,MATCH(A14,Inputs!$B$6:$D$6,0))+MAX(MIN(S14,INDEX(Inputs!$B$21:$D$21,1,MATCH(A14,Inputs!$B$6:$D$6,0)))-INDEX(Inputs!$B$20:$D$20,1,MATCH(A14,Inputs!$B$6:$D$6,0)),0)*INDEX(Inputs!$B$23:$D$23,1,MATCH(A14,Inputs!$B$6:$D$6,0))+MAX(S14-INDEX(Inputs!$B$21:$D$21,1,MATCH(A14,Inputs!$B$6:$D$6,0)),0)*INDEX(Inputs!$B$24:$D$24,1,MATCH(A14,Inputs!$B$6:$D$6,0))</x:f>
        <x:v>3934.948</x:v>
      </x:c>
      <x:c r="U14" s="20" t="n">
        <x:f>IF(AND(A13=A14,D13=D14),T13,0)</x:f>
        <x:v>0</x:v>
      </x:c>
      <x:c r="V14" s="20" t="n">
        <x:f>T14-U14</x:f>
        <x:v>3934.948</x:v>
      </x:c>
      <x:c r="W14" s="20" t="n">
        <x:f>R14+V14</x:f>
        <x:v>48966.948</x:v>
      </x:c>
      <x:c r="X14" s="14" t="str">
        <x:f>IF(ABS(W14-SUM(M14:Q14)-V14)&lt;0.01,"OK","Check")</x:f>
        <x:v>OK</x:v>
      </x:c>
    </x:row>
    <x:row r="15">
      <x:c r="A15" s="14" t="n">
        <x:v>2026</x:v>
      </x:c>
      <x:c r="B15" s="14" t="str">
        <x:v>Q2</x:v>
      </x:c>
      <x:c r="C15" s="14" t="n">
        <x:v>2</x:v>
      </x:c>
      <x:c r="D15" s="14" t="n">
        <x:v>3</x:v>
      </x:c>
      <x:c r="E15" s="14" t="str">
        <x:f>INDEX(Roster!$B$6:$B$108,MATCH(D15,Roster!$A$6:$A$108,0))</x:f>
        <x:v>Principal</x:v>
      </x:c>
      <x:c r="F15" s="14" t="str">
        <x:f>INDEX(Roster!$F$6:$F$108,MATCH(D15,Roster!$A$6:$A$108,0))</x:f>
        <x:v>No</x:v>
      </x:c>
      <x:c r="G15" s="14" t="n">
        <x:f>INDEX(Inputs!$B$7:$D$7,1,MATCH(A15,Inputs!$B$6:$D$6,0))</x:f>
        <x:v>13</x:v>
      </x:c>
      <x:c r="H15" s="14" t="n">
        <x:f>MIN(=INDEX(Inputs!$B$7:$D$7,1,MATCH(A15,Inputs!$B$6:$D$6,0)),MAX(0,INDEX(Inputs!$B$14:$D$14,1,MATCH(A15,Inputs!$B$6:$D$6,0))-(C15-1)*=INDEX(Inputs!$B$7:$D$7,1,MATCH(A15,Inputs!$B$6:$D$6,0))))</x:f>
        <x:v>13</x:v>
      </x:c>
      <x:c r="I15" s="20" t="n">
        <x:f>INDEX(Inputs!$B$8:$D$8,1,MATCH(A15,Inputs!$B$6:$D$6,0))</x:f>
        <x:v>2395</x:v>
      </x:c>
      <x:c r="J15" s="20" t="n">
        <x:f>INDEX(Roster!$C$6:$C$108,MATCH(D15,Roster!$A$6:$A$108,0))*(1+INDEX(Inputs!$B$9:$D$9,1,MATCH(A15,Inputs!$B$6:$D$6,0)))</x:f>
        <x:v>500</x:v>
      </x:c>
      <x:c r="K15" s="20" t="n">
        <x:f>IF(=INDEX(Roster!$F$6:$F$108,MATCH(D15,Roster!$A$6:$A$108,0))="Yes",0,=INDEX(Inputs!$B$8:$D$8,1,MATCH(A15,Inputs!$B$6:$D$6,0))*IF(=INDEX(Roster!$B$6:$B$108,MATCH(D15,Roster!$A$6:$A$108,0))="Principal",INDEX(Inputs!$B$10:$D$10,1,MATCH(A15,Inputs!$B$6:$D$6,0)),IF(=INDEX(Roster!$B$6:$B$108,MATCH(D15,Roster!$A$6:$A$108,0))="Associate Principal",INDEX(Inputs!$B$11:$D$11,1,MATCH(A15,Inputs!$B$6:$D$6,0)),IF(=INDEX(Roster!$B$6:$B$108,MATCH(D15,Roster!$A$6:$A$108,0))="Assistant Principal",INDEX(Inputs!$B$12:$D$12,1,MATCH(A15,Inputs!$B$6:$D$6,0)),0))))</x:f>
        <x:v>479</x:v>
      </x:c>
      <x:c r="L15" s="20" t="n">
        <x:f>IF(INDEX(Roster!$D$6:$D$108,MATCH(D15,Roster!$A$6:$A$108,0))&gt;=25,INDEX(Inputs!$B$19:$D$19,1,MATCH(A15,Inputs!$B$6:$D$6,0)),IF(INDEX(Roster!$D$6:$D$108,MATCH(D15,Roster!$A$6:$A$108,0))&gt;=20,INDEX(Inputs!$B$18:$D$18,1,MATCH(A15,Inputs!$B$6:$D$6,0)),IF(INDEX(Roster!$D$6:$D$108,MATCH(D15,Roster!$A$6:$A$108,0))&gt;=15,INDEX(Inputs!$B$17:$D$17,1,MATCH(A15,Inputs!$B$6:$D$6,0)),IF(INDEX(Roster!$D$6:$D$108,MATCH(D15,Roster!$A$6:$A$108,0))&gt;=10,INDEX(Inputs!$B$16:$D$16,1,MATCH(A15,Inputs!$B$6:$D$6,0)),IF(INDEX(Roster!$D$6:$D$108,MATCH(D15,Roster!$A$6:$A$108,0))&gt;=5,INDEX(Inputs!$B$15:$D$15,1,MATCH(A15,Inputs!$B$6:$D$6,0)),0)))))</x:f>
        <x:v>60</x:v>
      </x:c>
      <x:c r="M15" s="20" t="n">
        <x:f>G15*I15</x:f>
        <x:v>31135</x:v>
      </x:c>
      <x:c r="N15" s="20" t="n">
        <x:f>G15*J15</x:f>
        <x:v>6500</x:v>
      </x:c>
      <x:c r="O15" s="20" t="n">
        <x:f>G15*K15</x:f>
        <x:v>6227</x:v>
      </x:c>
      <x:c r="P15" s="20" t="n">
        <x:f>G15*L15</x:f>
        <x:v>780</x:v>
      </x:c>
      <x:c r="Q15" s="20" t="n">
        <x:f>H15*INDEX(Inputs!$B$13:$D$13,1,MATCH(A15,Inputs!$B$6:$D$6,0))</x:f>
        <x:v>390</x:v>
      </x:c>
      <x:c r="R15" s="20" t="n">
        <x:f>SUM(M15:Q15)</x:f>
        <x:v>45032</x:v>
      </x:c>
      <x:c r="S15" s="20" t="n">
        <x:f>IF(AND(A14=A15,D14=D15),S14+R15,R15)</x:f>
        <x:v>90064</x:v>
      </x:c>
      <x:c r="T15" s="20" t="n">
        <x:f>MIN(S15,INDEX(Inputs!$B$20:$D$20,1,MATCH(A15,Inputs!$B$6:$D$6,0)))*INDEX(Inputs!$B$22:$D$22,1,MATCH(A15,Inputs!$B$6:$D$6,0))+MAX(MIN(S15,INDEX(Inputs!$B$21:$D$21,1,MATCH(A15,Inputs!$B$6:$D$6,0)))-INDEX(Inputs!$B$20:$D$20,1,MATCH(A15,Inputs!$B$6:$D$6,0)),0)*INDEX(Inputs!$B$23:$D$23,1,MATCH(A15,Inputs!$B$6:$D$6,0))+MAX(S15-INDEX(Inputs!$B$21:$D$21,1,MATCH(A15,Inputs!$B$6:$D$6,0)),0)*INDEX(Inputs!$B$24:$D$24,1,MATCH(A15,Inputs!$B$6:$D$6,0))</x:f>
        <x:v>7379.896</x:v>
      </x:c>
      <x:c r="U15" s="20" t="n">
        <x:f>IF(AND(A14=A15,D14=D15),T14,0)</x:f>
        <x:v>3934.948</x:v>
      </x:c>
      <x:c r="V15" s="20" t="n">
        <x:f>T15-U15</x:f>
        <x:v>3444.948</x:v>
      </x:c>
      <x:c r="W15" s="20" t="n">
        <x:f>R15+V15</x:f>
        <x:v>48476.948</x:v>
      </x:c>
      <x:c r="X15" s="14" t="str">
        <x:f>IF(ABS(W15-SUM(M15:Q15)-V15)&lt;0.01,"OK","Check")</x:f>
        <x:v>OK</x:v>
      </x:c>
    </x:row>
    <x:row r="16">
      <x:c r="A16" s="14" t="n">
        <x:v>2026</x:v>
      </x:c>
      <x:c r="B16" s="14" t="str">
        <x:v>Q3</x:v>
      </x:c>
      <x:c r="C16" s="14" t="n">
        <x:v>3</x:v>
      </x:c>
      <x:c r="D16" s="14" t="n">
        <x:v>3</x:v>
      </x:c>
      <x:c r="E16" s="14" t="str">
        <x:f>INDEX(Roster!$B$6:$B$108,MATCH(D16,Roster!$A$6:$A$108,0))</x:f>
        <x:v>Principal</x:v>
      </x:c>
      <x:c r="F16" s="14" t="str">
        <x:f>INDEX(Roster!$F$6:$F$108,MATCH(D16,Roster!$A$6:$A$108,0))</x:f>
        <x:v>No</x:v>
      </x:c>
      <x:c r="G16" s="14" t="n">
        <x:f>INDEX(Inputs!$B$7:$D$7,1,MATCH(A16,Inputs!$B$6:$D$6,0))</x:f>
        <x:v>13</x:v>
      </x:c>
      <x:c r="H16" s="14" t="n">
        <x:f>MIN(=INDEX(Inputs!$B$7:$D$7,1,MATCH(A16,Inputs!$B$6:$D$6,0)),MAX(0,INDEX(Inputs!$B$14:$D$14,1,MATCH(A16,Inputs!$B$6:$D$6,0))-(C16-1)*=INDEX(Inputs!$B$7:$D$7,1,MATCH(A16,Inputs!$B$6:$D$6,0))))</x:f>
        <x:v>13</x:v>
      </x:c>
      <x:c r="I16" s="20" t="n">
        <x:f>INDEX(Inputs!$B$8:$D$8,1,MATCH(A16,Inputs!$B$6:$D$6,0))</x:f>
        <x:v>2395</x:v>
      </x:c>
      <x:c r="J16" s="20" t="n">
        <x:f>INDEX(Roster!$C$6:$C$108,MATCH(D16,Roster!$A$6:$A$108,0))*(1+INDEX(Inputs!$B$9:$D$9,1,MATCH(A16,Inputs!$B$6:$D$6,0)))</x:f>
        <x:v>500</x:v>
      </x:c>
      <x:c r="K16" s="20" t="n">
        <x:f>IF(=INDEX(Roster!$F$6:$F$108,MATCH(D16,Roster!$A$6:$A$108,0))="Yes",0,=INDEX(Inputs!$B$8:$D$8,1,MATCH(A16,Inputs!$B$6:$D$6,0))*IF(=INDEX(Roster!$B$6:$B$108,MATCH(D16,Roster!$A$6:$A$108,0))="Principal",INDEX(Inputs!$B$10:$D$10,1,MATCH(A16,Inputs!$B$6:$D$6,0)),IF(=INDEX(Roster!$B$6:$B$108,MATCH(D16,Roster!$A$6:$A$108,0))="Associate Principal",INDEX(Inputs!$B$11:$D$11,1,MATCH(A16,Inputs!$B$6:$D$6,0)),IF(=INDEX(Roster!$B$6:$B$108,MATCH(D16,Roster!$A$6:$A$108,0))="Assistant Principal",INDEX(Inputs!$B$12:$D$12,1,MATCH(A16,Inputs!$B$6:$D$6,0)),0))))</x:f>
        <x:v>479</x:v>
      </x:c>
      <x:c r="L16" s="20" t="n">
        <x:f>IF(INDEX(Roster!$D$6:$D$108,MATCH(D16,Roster!$A$6:$A$108,0))&gt;=25,INDEX(Inputs!$B$19:$D$19,1,MATCH(A16,Inputs!$B$6:$D$6,0)),IF(INDEX(Roster!$D$6:$D$108,MATCH(D16,Roster!$A$6:$A$108,0))&gt;=20,INDEX(Inputs!$B$18:$D$18,1,MATCH(A16,Inputs!$B$6:$D$6,0)),IF(INDEX(Roster!$D$6:$D$108,MATCH(D16,Roster!$A$6:$A$108,0))&gt;=15,INDEX(Inputs!$B$17:$D$17,1,MATCH(A16,Inputs!$B$6:$D$6,0)),IF(INDEX(Roster!$D$6:$D$108,MATCH(D16,Roster!$A$6:$A$108,0))&gt;=10,INDEX(Inputs!$B$16:$D$16,1,MATCH(A16,Inputs!$B$6:$D$6,0)),IF(INDEX(Roster!$D$6:$D$108,MATCH(D16,Roster!$A$6:$A$108,0))&gt;=5,INDEX(Inputs!$B$15:$D$15,1,MATCH(A16,Inputs!$B$6:$D$6,0)),0)))))</x:f>
        <x:v>60</x:v>
      </x:c>
      <x:c r="M16" s="20" t="n">
        <x:f>G16*I16</x:f>
        <x:v>31135</x:v>
      </x:c>
      <x:c r="N16" s="20" t="n">
        <x:f>G16*J16</x:f>
        <x:v>6500</x:v>
      </x:c>
      <x:c r="O16" s="20" t="n">
        <x:f>G16*K16</x:f>
        <x:v>6227</x:v>
      </x:c>
      <x:c r="P16" s="20" t="n">
        <x:f>G16*L16</x:f>
        <x:v>780</x:v>
      </x:c>
      <x:c r="Q16" s="20" t="n">
        <x:f>H16*INDEX(Inputs!$B$13:$D$13,1,MATCH(A16,Inputs!$B$6:$D$6,0))</x:f>
        <x:v>390</x:v>
      </x:c>
      <x:c r="R16" s="20" t="n">
        <x:f>SUM(M16:Q16)</x:f>
        <x:v>45032</x:v>
      </x:c>
      <x:c r="S16" s="20" t="n">
        <x:f>IF(AND(A15=A16,D15=D16),S15+R16,R16)</x:f>
        <x:v>135096</x:v>
      </x:c>
      <x:c r="T16" s="20" t="n">
        <x:f>MIN(S16,INDEX(Inputs!$B$20:$D$20,1,MATCH(A16,Inputs!$B$6:$D$6,0)))*INDEX(Inputs!$B$22:$D$22,1,MATCH(A16,Inputs!$B$6:$D$6,0))+MAX(MIN(S16,INDEX(Inputs!$B$21:$D$21,1,MATCH(A16,Inputs!$B$6:$D$6,0)))-INDEX(Inputs!$B$20:$D$20,1,MATCH(A16,Inputs!$B$6:$D$6,0)),0)*INDEX(Inputs!$B$23:$D$23,1,MATCH(A16,Inputs!$B$6:$D$6,0))+MAX(S16-INDEX(Inputs!$B$21:$D$21,1,MATCH(A16,Inputs!$B$6:$D$6,0)),0)*INDEX(Inputs!$B$24:$D$24,1,MATCH(A16,Inputs!$B$6:$D$6,0))</x:f>
        <x:v>9872.833999999999</x:v>
      </x:c>
      <x:c r="U16" s="20" t="n">
        <x:f>IF(AND(A15=A16,D15=D16),T15,0)</x:f>
        <x:v>7379.896</x:v>
      </x:c>
      <x:c r="V16" s="20" t="n">
        <x:f>T16-U16</x:f>
        <x:v>2492.937999999999</x:v>
      </x:c>
      <x:c r="W16" s="20" t="n">
        <x:f>R16+V16</x:f>
        <x:v>47524.938</x:v>
      </x:c>
      <x:c r="X16" s="14" t="str">
        <x:f>IF(ABS(W16-SUM(M16:Q16)-V16)&lt;0.01,"OK","Check")</x:f>
        <x:v>OK</x:v>
      </x:c>
    </x:row>
    <x:row r="17">
      <x:c r="A17" s="14" t="n">
        <x:v>2026</x:v>
      </x:c>
      <x:c r="B17" s="14" t="str">
        <x:v>Q4</x:v>
      </x:c>
      <x:c r="C17" s="14" t="n">
        <x:v>4</x:v>
      </x:c>
      <x:c r="D17" s="14" t="n">
        <x:v>3</x:v>
      </x:c>
      <x:c r="E17" s="14" t="str">
        <x:f>INDEX(Roster!$B$6:$B$108,MATCH(D17,Roster!$A$6:$A$108,0))</x:f>
        <x:v>Principal</x:v>
      </x:c>
      <x:c r="F17" s="14" t="str">
        <x:f>INDEX(Roster!$F$6:$F$108,MATCH(D17,Roster!$A$6:$A$108,0))</x:f>
        <x:v>No</x:v>
      </x:c>
      <x:c r="G17" s="14" t="n">
        <x:f>INDEX(Inputs!$B$7:$D$7,1,MATCH(A17,Inputs!$B$6:$D$6,0))</x:f>
        <x:v>13</x:v>
      </x:c>
      <x:c r="H17" s="14" t="n">
        <x:f>MIN(=INDEX(Inputs!$B$7:$D$7,1,MATCH(A17,Inputs!$B$6:$D$6,0)),MAX(0,INDEX(Inputs!$B$14:$D$14,1,MATCH(A17,Inputs!$B$6:$D$6,0))-(C17-1)*=INDEX(Inputs!$B$7:$D$7,1,MATCH(A17,Inputs!$B$6:$D$6,0))))</x:f>
        <x:v>0</x:v>
      </x:c>
      <x:c r="I17" s="20" t="n">
        <x:f>INDEX(Inputs!$B$8:$D$8,1,MATCH(A17,Inputs!$B$6:$D$6,0))</x:f>
        <x:v>2395</x:v>
      </x:c>
      <x:c r="J17" s="20" t="n">
        <x:f>INDEX(Roster!$C$6:$C$108,MATCH(D17,Roster!$A$6:$A$108,0))*(1+INDEX(Inputs!$B$9:$D$9,1,MATCH(A17,Inputs!$B$6:$D$6,0)))</x:f>
        <x:v>500</x:v>
      </x:c>
      <x:c r="K17" s="20" t="n">
        <x:f>IF(=INDEX(Roster!$F$6:$F$108,MATCH(D17,Roster!$A$6:$A$108,0))="Yes",0,=INDEX(Inputs!$B$8:$D$8,1,MATCH(A17,Inputs!$B$6:$D$6,0))*IF(=INDEX(Roster!$B$6:$B$108,MATCH(D17,Roster!$A$6:$A$108,0))="Principal",INDEX(Inputs!$B$10:$D$10,1,MATCH(A17,Inputs!$B$6:$D$6,0)),IF(=INDEX(Roster!$B$6:$B$108,MATCH(D17,Roster!$A$6:$A$108,0))="Associate Principal",INDEX(Inputs!$B$11:$D$11,1,MATCH(A17,Inputs!$B$6:$D$6,0)),IF(=INDEX(Roster!$B$6:$B$108,MATCH(D17,Roster!$A$6:$A$108,0))="Assistant Principal",INDEX(Inputs!$B$12:$D$12,1,MATCH(A17,Inputs!$B$6:$D$6,0)),0))))</x:f>
        <x:v>479</x:v>
      </x:c>
      <x:c r="L17" s="20" t="n">
        <x:f>IF(INDEX(Roster!$D$6:$D$108,MATCH(D17,Roster!$A$6:$A$108,0))&gt;=25,INDEX(Inputs!$B$19:$D$19,1,MATCH(A17,Inputs!$B$6:$D$6,0)),IF(INDEX(Roster!$D$6:$D$108,MATCH(D17,Roster!$A$6:$A$108,0))&gt;=20,INDEX(Inputs!$B$18:$D$18,1,MATCH(A17,Inputs!$B$6:$D$6,0)),IF(INDEX(Roster!$D$6:$D$108,MATCH(D17,Roster!$A$6:$A$108,0))&gt;=15,INDEX(Inputs!$B$17:$D$17,1,MATCH(A17,Inputs!$B$6:$D$6,0)),IF(INDEX(Roster!$D$6:$D$108,MATCH(D17,Roster!$A$6:$A$108,0))&gt;=10,INDEX(Inputs!$B$16:$D$16,1,MATCH(A17,Inputs!$B$6:$D$6,0)),IF(INDEX(Roster!$D$6:$D$108,MATCH(D17,Roster!$A$6:$A$108,0))&gt;=5,INDEX(Inputs!$B$15:$D$15,1,MATCH(A17,Inputs!$B$6:$D$6,0)),0)))))</x:f>
        <x:v>60</x:v>
      </x:c>
      <x:c r="M17" s="20" t="n">
        <x:f>G17*I17</x:f>
        <x:v>31135</x:v>
      </x:c>
      <x:c r="N17" s="20" t="n">
        <x:f>G17*J17</x:f>
        <x:v>6500</x:v>
      </x:c>
      <x:c r="O17" s="20" t="n">
        <x:f>G17*K17</x:f>
        <x:v>6227</x:v>
      </x:c>
      <x:c r="P17" s="20" t="n">
        <x:f>G17*L17</x:f>
        <x:v>780</x:v>
      </x:c>
      <x:c r="Q17" s="20" t="n">
        <x:f>H17*INDEX(Inputs!$B$13:$D$13,1,MATCH(A17,Inputs!$B$6:$D$6,0))</x:f>
        <x:v>0</x:v>
      </x:c>
      <x:c r="R17" s="20" t="n">
        <x:f>SUM(M17:Q17)</x:f>
        <x:v>44642</x:v>
      </x:c>
      <x:c r="S17" s="20" t="n">
        <x:f>IF(AND(A16=A17,D16=D17),S16+R17,R17)</x:f>
        <x:v>179738</x:v>
      </x:c>
      <x:c r="T17" s="20" t="n">
        <x:f>MIN(S17,INDEX(Inputs!$B$20:$D$20,1,MATCH(A17,Inputs!$B$6:$D$6,0)))*INDEX(Inputs!$B$22:$D$22,1,MATCH(A17,Inputs!$B$6:$D$6,0))+MAX(MIN(S17,INDEX(Inputs!$B$21:$D$21,1,MATCH(A17,Inputs!$B$6:$D$6,0)))-INDEX(Inputs!$B$20:$D$20,1,MATCH(A17,Inputs!$B$6:$D$6,0)),0)*INDEX(Inputs!$B$23:$D$23,1,MATCH(A17,Inputs!$B$6:$D$6,0))+MAX(S17-INDEX(Inputs!$B$21:$D$21,1,MATCH(A17,Inputs!$B$6:$D$6,0)),0)*INDEX(Inputs!$B$24:$D$24,1,MATCH(A17,Inputs!$B$6:$D$6,0))</x:f>
        <x:v>10520.143</x:v>
      </x:c>
      <x:c r="U17" s="20" t="n">
        <x:f>IF(AND(A16=A17,D16=D17),T16,0)</x:f>
        <x:v>9872.833999999999</x:v>
      </x:c>
      <x:c r="V17" s="20" t="n">
        <x:f>T17-U17</x:f>
        <x:v>647.3090000000011</x:v>
      </x:c>
      <x:c r="W17" s="20" t="n">
        <x:f>R17+V17</x:f>
        <x:v>45289.309</x:v>
      </x:c>
      <x:c r="X17" s="14" t="str">
        <x:f>IF(ABS(W17-SUM(M17:Q17)-V17)&lt;0.01,"OK","Check")</x:f>
        <x:v>OK</x:v>
      </x:c>
    </x:row>
    <x:row r="18">
      <x:c r="A18" s="14" t="n">
        <x:v>2026</x:v>
      </x:c>
      <x:c r="B18" s="14" t="str">
        <x:v>Q1</x:v>
      </x:c>
      <x:c r="C18" s="14" t="n">
        <x:v>1</x:v>
      </x:c>
      <x:c r="D18" s="14" t="n">
        <x:v>4</x:v>
      </x:c>
      <x:c r="E18" s="14" t="str">
        <x:f>INDEX(Roster!$B$6:$B$108,MATCH(D18,Roster!$A$6:$A$108,0))</x:f>
      </x:c>
      <x:c r="F18" s="14" t="str">
        <x:f>INDEX(Roster!$F$6:$F$108,MATCH(D18,Roster!$A$6:$A$108,0))</x:f>
        <x:v>No</x:v>
      </x:c>
      <x:c r="G18" s="14" t="n">
        <x:f>INDEX(Inputs!$B$7:$D$7,1,MATCH(A18,Inputs!$B$6:$D$6,0))</x:f>
        <x:v>13</x:v>
      </x:c>
      <x:c r="H18" s="14" t="n">
        <x:f>MIN(=INDEX(Inputs!$B$7:$D$7,1,MATCH(A18,Inputs!$B$6:$D$6,0)),MAX(0,INDEX(Inputs!$B$14:$D$14,1,MATCH(A18,Inputs!$B$6:$D$6,0))-(C18-1)*=INDEX(Inputs!$B$7:$D$7,1,MATCH(A18,Inputs!$B$6:$D$6,0))))</x:f>
        <x:v>13</x:v>
      </x:c>
      <x:c r="I18" s="20" t="n">
        <x:f>INDEX(Inputs!$B$8:$D$8,1,MATCH(A18,Inputs!$B$6:$D$6,0))</x:f>
        <x:v>2395</x:v>
      </x:c>
      <x:c r="J18" s="20" t="n">
        <x:f>INDEX(Roster!$C$6:$C$108,MATCH(D18,Roster!$A$6:$A$108,0))*(1+INDEX(Inputs!$B$9:$D$9,1,MATCH(A18,Inputs!$B$6:$D$6,0)))</x:f>
        <x:v>50</x:v>
      </x:c>
      <x:c r="K18" s="20" t="n">
        <x:f>IF(=INDEX(Roster!$F$6:$F$108,MATCH(D18,Roster!$A$6:$A$108,0))="Yes",0,=INDEX(Inputs!$B$8:$D$8,1,MATCH(A18,Inputs!$B$6:$D$6,0))*IF(=INDEX(Roster!$B$6:$B$108,MATCH(D18,Roster!$A$6:$A$108,0))="Principal",INDEX(Inputs!$B$10:$D$10,1,MATCH(A18,Inputs!$B$6:$D$6,0)),IF(=INDEX(Roster!$B$6:$B$108,MATCH(D18,Roster!$A$6:$A$108,0))="Associate Principal",INDEX(Inputs!$B$11:$D$11,1,MATCH(A18,Inputs!$B$6:$D$6,0)),IF(=INDEX(Roster!$B$6:$B$108,MATCH(D18,Roster!$A$6:$A$108,0))="Assistant Principal",INDEX(Inputs!$B$12:$D$12,1,MATCH(A18,Inputs!$B$6:$D$6,0)),0))))</x:f>
        <x:v>0</x:v>
      </x:c>
      <x:c r="L18" s="20" t="n">
        <x:f>IF(INDEX(Roster!$D$6:$D$108,MATCH(D18,Roster!$A$6:$A$108,0))&gt;=25,INDEX(Inputs!$B$19:$D$19,1,MATCH(A18,Inputs!$B$6:$D$6,0)),IF(INDEX(Roster!$D$6:$D$108,MATCH(D18,Roster!$A$6:$A$108,0))&gt;=20,INDEX(Inputs!$B$18:$D$18,1,MATCH(A18,Inputs!$B$6:$D$6,0)),IF(INDEX(Roster!$D$6:$D$108,MATCH(D18,Roster!$A$6:$A$108,0))&gt;=15,INDEX(Inputs!$B$17:$D$17,1,MATCH(A18,Inputs!$B$6:$D$6,0)),IF(INDEX(Roster!$D$6:$D$108,MATCH(D18,Roster!$A$6:$A$108,0))&gt;=10,INDEX(Inputs!$B$16:$D$16,1,MATCH(A18,Inputs!$B$6:$D$6,0)),IF(INDEX(Roster!$D$6:$D$108,MATCH(D18,Roster!$A$6:$A$108,0))&gt;=5,INDEX(Inputs!$B$15:$D$15,1,MATCH(A18,Inputs!$B$6:$D$6,0)),0)))))</x:f>
        <x:v>90</x:v>
      </x:c>
      <x:c r="M18" s="20" t="n">
        <x:f>G18*I18</x:f>
        <x:v>31135</x:v>
      </x:c>
      <x:c r="N18" s="20" t="n">
        <x:f>G18*J18</x:f>
        <x:v>650</x:v>
      </x:c>
      <x:c r="O18" s="20" t="n">
        <x:f>G18*K18</x:f>
        <x:v>0</x:v>
      </x:c>
      <x:c r="P18" s="20" t="n">
        <x:f>G18*L18</x:f>
        <x:v>1170</x:v>
      </x:c>
      <x:c r="Q18" s="20" t="n">
        <x:f>H18*INDEX(Inputs!$B$13:$D$13,1,MATCH(A18,Inputs!$B$6:$D$6,0))</x:f>
        <x:v>390</x:v>
      </x:c>
      <x:c r="R18" s="20" t="n">
        <x:f>SUM(M18:Q18)</x:f>
        <x:v>33345</x:v>
      </x:c>
      <x:c r="S18" s="20" t="n">
        <x:f>IF(AND(A17=A18,D17=D18),S17+R18,R18)</x:f>
        <x:v>33345</x:v>
      </x:c>
      <x:c r="T18" s="20" t="n">
        <x:f>MIN(S18,INDEX(Inputs!$B$20:$D$20,1,MATCH(A18,Inputs!$B$6:$D$6,0)))*INDEX(Inputs!$B$22:$D$22,1,MATCH(A18,Inputs!$B$6:$D$6,0))+MAX(MIN(S18,INDEX(Inputs!$B$21:$D$21,1,MATCH(A18,Inputs!$B$6:$D$6,0)))-INDEX(Inputs!$B$20:$D$20,1,MATCH(A18,Inputs!$B$6:$D$6,0)),0)*INDEX(Inputs!$B$23:$D$23,1,MATCH(A18,Inputs!$B$6:$D$6,0))+MAX(S18-INDEX(Inputs!$B$21:$D$21,1,MATCH(A18,Inputs!$B$6:$D$6,0)),0)*INDEX(Inputs!$B$24:$D$24,1,MATCH(A18,Inputs!$B$6:$D$6,0))</x:f>
        <x:v>3040.8925</x:v>
      </x:c>
      <x:c r="U18" s="20" t="n">
        <x:f>IF(AND(A17=A18,D17=D18),T17,0)</x:f>
        <x:v>0</x:v>
      </x:c>
      <x:c r="V18" s="20" t="n">
        <x:f>T18-U18</x:f>
        <x:v>3040.8925</x:v>
      </x:c>
      <x:c r="W18" s="20" t="n">
        <x:f>R18+V18</x:f>
        <x:v>36385.8925</x:v>
      </x:c>
      <x:c r="X18" s="14" t="str">
        <x:f>IF(ABS(W18-SUM(M18:Q18)-V18)&lt;0.01,"OK","Check")</x:f>
        <x:v>OK</x:v>
      </x:c>
    </x:row>
    <x:row r="19">
      <x:c r="A19" s="14" t="n">
        <x:v>2026</x:v>
      </x:c>
      <x:c r="B19" s="14" t="str">
        <x:v>Q2</x:v>
      </x:c>
      <x:c r="C19" s="14" t="n">
        <x:v>2</x:v>
      </x:c>
      <x:c r="D19" s="14" t="n">
        <x:v>4</x:v>
      </x:c>
      <x:c r="E19" s="14" t="str">
        <x:f>INDEX(Roster!$B$6:$B$108,MATCH(D19,Roster!$A$6:$A$108,0))</x:f>
      </x:c>
      <x:c r="F19" s="14" t="str">
        <x:f>INDEX(Roster!$F$6:$F$108,MATCH(D19,Roster!$A$6:$A$108,0))</x:f>
        <x:v>No</x:v>
      </x:c>
      <x:c r="G19" s="14" t="n">
        <x:f>INDEX(Inputs!$B$7:$D$7,1,MATCH(A19,Inputs!$B$6:$D$6,0))</x:f>
        <x:v>13</x:v>
      </x:c>
      <x:c r="H19" s="14" t="n">
        <x:f>MIN(=INDEX(Inputs!$B$7:$D$7,1,MATCH(A19,Inputs!$B$6:$D$6,0)),MAX(0,INDEX(Inputs!$B$14:$D$14,1,MATCH(A19,Inputs!$B$6:$D$6,0))-(C19-1)*=INDEX(Inputs!$B$7:$D$7,1,MATCH(A19,Inputs!$B$6:$D$6,0))))</x:f>
        <x:v>13</x:v>
      </x:c>
      <x:c r="I19" s="20" t="n">
        <x:f>INDEX(Inputs!$B$8:$D$8,1,MATCH(A19,Inputs!$B$6:$D$6,0))</x:f>
        <x:v>2395</x:v>
      </x:c>
      <x:c r="J19" s="20" t="n">
        <x:f>INDEX(Roster!$C$6:$C$108,MATCH(D19,Roster!$A$6:$A$108,0))*(1+INDEX(Inputs!$B$9:$D$9,1,MATCH(A19,Inputs!$B$6:$D$6,0)))</x:f>
        <x:v>50</x:v>
      </x:c>
      <x:c r="K19" s="20" t="n">
        <x:f>IF(=INDEX(Roster!$F$6:$F$108,MATCH(D19,Roster!$A$6:$A$108,0))="Yes",0,=INDEX(Inputs!$B$8:$D$8,1,MATCH(A19,Inputs!$B$6:$D$6,0))*IF(=INDEX(Roster!$B$6:$B$108,MATCH(D19,Roster!$A$6:$A$108,0))="Principal",INDEX(Inputs!$B$10:$D$10,1,MATCH(A19,Inputs!$B$6:$D$6,0)),IF(=INDEX(Roster!$B$6:$B$108,MATCH(D19,Roster!$A$6:$A$108,0))="Associate Principal",INDEX(Inputs!$B$11:$D$11,1,MATCH(A19,Inputs!$B$6:$D$6,0)),IF(=INDEX(Roster!$B$6:$B$108,MATCH(D19,Roster!$A$6:$A$108,0))="Assistant Principal",INDEX(Inputs!$B$12:$D$12,1,MATCH(A19,Inputs!$B$6:$D$6,0)),0))))</x:f>
        <x:v>0</x:v>
      </x:c>
      <x:c r="L19" s="20" t="n">
        <x:f>IF(INDEX(Roster!$D$6:$D$108,MATCH(D19,Roster!$A$6:$A$108,0))&gt;=25,INDEX(Inputs!$B$19:$D$19,1,MATCH(A19,Inputs!$B$6:$D$6,0)),IF(INDEX(Roster!$D$6:$D$108,MATCH(D19,Roster!$A$6:$A$108,0))&gt;=20,INDEX(Inputs!$B$18:$D$18,1,MATCH(A19,Inputs!$B$6:$D$6,0)),IF(INDEX(Roster!$D$6:$D$108,MATCH(D19,Roster!$A$6:$A$108,0))&gt;=15,INDEX(Inputs!$B$17:$D$17,1,MATCH(A19,Inputs!$B$6:$D$6,0)),IF(INDEX(Roster!$D$6:$D$108,MATCH(D19,Roster!$A$6:$A$108,0))&gt;=10,INDEX(Inputs!$B$16:$D$16,1,MATCH(A19,Inputs!$B$6:$D$6,0)),IF(INDEX(Roster!$D$6:$D$108,MATCH(D19,Roster!$A$6:$A$108,0))&gt;=5,INDEX(Inputs!$B$15:$D$15,1,MATCH(A19,Inputs!$B$6:$D$6,0)),0)))))</x:f>
        <x:v>90</x:v>
      </x:c>
      <x:c r="M19" s="20" t="n">
        <x:f>G19*I19</x:f>
        <x:v>31135</x:v>
      </x:c>
      <x:c r="N19" s="20" t="n">
        <x:f>G19*J19</x:f>
        <x:v>650</x:v>
      </x:c>
      <x:c r="O19" s="20" t="n">
        <x:f>G19*K19</x:f>
        <x:v>0</x:v>
      </x:c>
      <x:c r="P19" s="20" t="n">
        <x:f>G19*L19</x:f>
        <x:v>1170</x:v>
      </x:c>
      <x:c r="Q19" s="20" t="n">
        <x:f>H19*INDEX(Inputs!$B$13:$D$13,1,MATCH(A19,Inputs!$B$6:$D$6,0))</x:f>
        <x:v>390</x:v>
      </x:c>
      <x:c r="R19" s="20" t="n">
        <x:f>SUM(M19:Q19)</x:f>
        <x:v>33345</x:v>
      </x:c>
      <x:c r="S19" s="20" t="n">
        <x:f>IF(AND(A18=A19,D18=D19),S18+R19,R19)</x:f>
        <x:v>66690</x:v>
      </x:c>
      <x:c r="T19" s="20" t="n">
        <x:f>MIN(S19,INDEX(Inputs!$B$20:$D$20,1,MATCH(A19,Inputs!$B$6:$D$6,0)))*INDEX(Inputs!$B$22:$D$22,1,MATCH(A19,Inputs!$B$6:$D$6,0))+MAX(MIN(S19,INDEX(Inputs!$B$21:$D$21,1,MATCH(A19,Inputs!$B$6:$D$6,0)))-INDEX(Inputs!$B$20:$D$20,1,MATCH(A19,Inputs!$B$6:$D$6,0)),0)*INDEX(Inputs!$B$23:$D$23,1,MATCH(A19,Inputs!$B$6:$D$6,0))+MAX(S19-INDEX(Inputs!$B$21:$D$21,1,MATCH(A19,Inputs!$B$6:$D$6,0)),0)*INDEX(Inputs!$B$24:$D$24,1,MATCH(A19,Inputs!$B$6:$D$6,0))</x:f>
        <x:v>5591.785</x:v>
      </x:c>
      <x:c r="U19" s="20" t="n">
        <x:f>IF(AND(A18=A19,D18=D19),T18,0)</x:f>
        <x:v>3040.8925</x:v>
      </x:c>
      <x:c r="V19" s="20" t="n">
        <x:f>T19-U19</x:f>
        <x:v>2550.8925</x:v>
      </x:c>
      <x:c r="W19" s="20" t="n">
        <x:f>R19+V19</x:f>
        <x:v>35895.8925</x:v>
      </x:c>
      <x:c r="X19" s="14" t="str">
        <x:f>IF(ABS(W19-SUM(M19:Q19)-V19)&lt;0.01,"OK","Check")</x:f>
        <x:v>OK</x:v>
      </x:c>
    </x:row>
    <x:row r="20">
      <x:c r="A20" s="14" t="n">
        <x:v>2026</x:v>
      </x:c>
      <x:c r="B20" s="14" t="str">
        <x:v>Q3</x:v>
      </x:c>
      <x:c r="C20" s="14" t="n">
        <x:v>3</x:v>
      </x:c>
      <x:c r="D20" s="14" t="n">
        <x:v>4</x:v>
      </x:c>
      <x:c r="E20" s="14" t="str">
        <x:f>INDEX(Roster!$B$6:$B$108,MATCH(D20,Roster!$A$6:$A$108,0))</x:f>
      </x:c>
      <x:c r="F20" s="14" t="str">
        <x:f>INDEX(Roster!$F$6:$F$108,MATCH(D20,Roster!$A$6:$A$108,0))</x:f>
        <x:v>No</x:v>
      </x:c>
      <x:c r="G20" s="14" t="n">
        <x:f>INDEX(Inputs!$B$7:$D$7,1,MATCH(A20,Inputs!$B$6:$D$6,0))</x:f>
        <x:v>13</x:v>
      </x:c>
      <x:c r="H20" s="14" t="n">
        <x:f>MIN(=INDEX(Inputs!$B$7:$D$7,1,MATCH(A20,Inputs!$B$6:$D$6,0)),MAX(0,INDEX(Inputs!$B$14:$D$14,1,MATCH(A20,Inputs!$B$6:$D$6,0))-(C20-1)*=INDEX(Inputs!$B$7:$D$7,1,MATCH(A20,Inputs!$B$6:$D$6,0))))</x:f>
        <x:v>13</x:v>
      </x:c>
      <x:c r="I20" s="20" t="n">
        <x:f>INDEX(Inputs!$B$8:$D$8,1,MATCH(A20,Inputs!$B$6:$D$6,0))</x:f>
        <x:v>2395</x:v>
      </x:c>
      <x:c r="J20" s="20" t="n">
        <x:f>INDEX(Roster!$C$6:$C$108,MATCH(D20,Roster!$A$6:$A$108,0))*(1+INDEX(Inputs!$B$9:$D$9,1,MATCH(A20,Inputs!$B$6:$D$6,0)))</x:f>
        <x:v>50</x:v>
      </x:c>
      <x:c r="K20" s="20" t="n">
        <x:f>IF(=INDEX(Roster!$F$6:$F$108,MATCH(D20,Roster!$A$6:$A$108,0))="Yes",0,=INDEX(Inputs!$B$8:$D$8,1,MATCH(A20,Inputs!$B$6:$D$6,0))*IF(=INDEX(Roster!$B$6:$B$108,MATCH(D20,Roster!$A$6:$A$108,0))="Principal",INDEX(Inputs!$B$10:$D$10,1,MATCH(A20,Inputs!$B$6:$D$6,0)),IF(=INDEX(Roster!$B$6:$B$108,MATCH(D20,Roster!$A$6:$A$108,0))="Associate Principal",INDEX(Inputs!$B$11:$D$11,1,MATCH(A20,Inputs!$B$6:$D$6,0)),IF(=INDEX(Roster!$B$6:$B$108,MATCH(D20,Roster!$A$6:$A$108,0))="Assistant Principal",INDEX(Inputs!$B$12:$D$12,1,MATCH(A20,Inputs!$B$6:$D$6,0)),0))))</x:f>
        <x:v>0</x:v>
      </x:c>
      <x:c r="L20" s="20" t="n">
        <x:f>IF(INDEX(Roster!$D$6:$D$108,MATCH(D20,Roster!$A$6:$A$108,0))&gt;=25,INDEX(Inputs!$B$19:$D$19,1,MATCH(A20,Inputs!$B$6:$D$6,0)),IF(INDEX(Roster!$D$6:$D$108,MATCH(D20,Roster!$A$6:$A$108,0))&gt;=20,INDEX(Inputs!$B$18:$D$18,1,MATCH(A20,Inputs!$B$6:$D$6,0)),IF(INDEX(Roster!$D$6:$D$108,MATCH(D20,Roster!$A$6:$A$108,0))&gt;=15,INDEX(Inputs!$B$17:$D$17,1,MATCH(A20,Inputs!$B$6:$D$6,0)),IF(INDEX(Roster!$D$6:$D$108,MATCH(D20,Roster!$A$6:$A$108,0))&gt;=10,INDEX(Inputs!$B$16:$D$16,1,MATCH(A20,Inputs!$B$6:$D$6,0)),IF(INDEX(Roster!$D$6:$D$108,MATCH(D20,Roster!$A$6:$A$108,0))&gt;=5,INDEX(Inputs!$B$15:$D$15,1,MATCH(A20,Inputs!$B$6:$D$6,0)),0)))))</x:f>
        <x:v>90</x:v>
      </x:c>
      <x:c r="M20" s="20" t="n">
        <x:f>G20*I20</x:f>
        <x:v>31135</x:v>
      </x:c>
      <x:c r="N20" s="20" t="n">
        <x:f>G20*J20</x:f>
        <x:v>650</x:v>
      </x:c>
      <x:c r="O20" s="20" t="n">
        <x:f>G20*K20</x:f>
        <x:v>0</x:v>
      </x:c>
      <x:c r="P20" s="20" t="n">
        <x:f>G20*L20</x:f>
        <x:v>1170</x:v>
      </x:c>
      <x:c r="Q20" s="20" t="n">
        <x:f>H20*INDEX(Inputs!$B$13:$D$13,1,MATCH(A20,Inputs!$B$6:$D$6,0))</x:f>
        <x:v>390</x:v>
      </x:c>
      <x:c r="R20" s="20" t="n">
        <x:f>SUM(M20:Q20)</x:f>
        <x:v>33345</x:v>
      </x:c>
      <x:c r="S20" s="20" t="n">
        <x:f>IF(AND(A19=A20,D19=D20),S19+R20,R20)</x:f>
        <x:v>100035</x:v>
      </x:c>
      <x:c r="T20" s="20" t="n">
        <x:f>MIN(S20,INDEX(Inputs!$B$20:$D$20,1,MATCH(A20,Inputs!$B$6:$D$6,0)))*INDEX(Inputs!$B$22:$D$22,1,MATCH(A20,Inputs!$B$6:$D$6,0))+MAX(MIN(S20,INDEX(Inputs!$B$21:$D$21,1,MATCH(A20,Inputs!$B$6:$D$6,0)))-INDEX(Inputs!$B$20:$D$20,1,MATCH(A20,Inputs!$B$6:$D$6,0)),0)*INDEX(Inputs!$B$23:$D$23,1,MATCH(A20,Inputs!$B$6:$D$6,0))+MAX(S20-INDEX(Inputs!$B$21:$D$21,1,MATCH(A20,Inputs!$B$6:$D$6,0)),0)*INDEX(Inputs!$B$24:$D$24,1,MATCH(A20,Inputs!$B$6:$D$6,0))</x:f>
        <x:v>8142.6775</x:v>
      </x:c>
      <x:c r="U20" s="20" t="n">
        <x:f>IF(AND(A19=A20,D19=D20),T19,0)</x:f>
        <x:v>5591.785</x:v>
      </x:c>
      <x:c r="V20" s="20" t="n">
        <x:f>T20-U20</x:f>
        <x:v>2550.8925</x:v>
      </x:c>
      <x:c r="W20" s="20" t="n">
        <x:f>R20+V20</x:f>
        <x:v>35895.8925</x:v>
      </x:c>
      <x:c r="X20" s="14" t="str">
        <x:f>IF(ABS(W20-SUM(M20:Q20)-V20)&lt;0.01,"OK","Check")</x:f>
        <x:v>OK</x:v>
      </x:c>
    </x:row>
    <x:row r="21">
      <x:c r="A21" s="14" t="n">
        <x:v>2026</x:v>
      </x:c>
      <x:c r="B21" s="14" t="str">
        <x:v>Q4</x:v>
      </x:c>
      <x:c r="C21" s="14" t="n">
        <x:v>4</x:v>
      </x:c>
      <x:c r="D21" s="14" t="n">
        <x:v>4</x:v>
      </x:c>
      <x:c r="E21" s="14" t="str">
        <x:f>INDEX(Roster!$B$6:$B$108,MATCH(D21,Roster!$A$6:$A$108,0))</x:f>
      </x:c>
      <x:c r="F21" s="14" t="str">
        <x:f>INDEX(Roster!$F$6:$F$108,MATCH(D21,Roster!$A$6:$A$108,0))</x:f>
        <x:v>No</x:v>
      </x:c>
      <x:c r="G21" s="14" t="n">
        <x:f>INDEX(Inputs!$B$7:$D$7,1,MATCH(A21,Inputs!$B$6:$D$6,0))</x:f>
        <x:v>13</x:v>
      </x:c>
      <x:c r="H21" s="14" t="n">
        <x:f>MIN(=INDEX(Inputs!$B$7:$D$7,1,MATCH(A21,Inputs!$B$6:$D$6,0)),MAX(0,INDEX(Inputs!$B$14:$D$14,1,MATCH(A21,Inputs!$B$6:$D$6,0))-(C21-1)*=INDEX(Inputs!$B$7:$D$7,1,MATCH(A21,Inputs!$B$6:$D$6,0))))</x:f>
        <x:v>0</x:v>
      </x:c>
      <x:c r="I21" s="20" t="n">
        <x:f>INDEX(Inputs!$B$8:$D$8,1,MATCH(A21,Inputs!$B$6:$D$6,0))</x:f>
        <x:v>2395</x:v>
      </x:c>
      <x:c r="J21" s="20" t="n">
        <x:f>INDEX(Roster!$C$6:$C$108,MATCH(D21,Roster!$A$6:$A$108,0))*(1+INDEX(Inputs!$B$9:$D$9,1,MATCH(A21,Inputs!$B$6:$D$6,0)))</x:f>
        <x:v>50</x:v>
      </x:c>
      <x:c r="K21" s="20" t="n">
        <x:f>IF(=INDEX(Roster!$F$6:$F$108,MATCH(D21,Roster!$A$6:$A$108,0))="Yes",0,=INDEX(Inputs!$B$8:$D$8,1,MATCH(A21,Inputs!$B$6:$D$6,0))*IF(=INDEX(Roster!$B$6:$B$108,MATCH(D21,Roster!$A$6:$A$108,0))="Principal",INDEX(Inputs!$B$10:$D$10,1,MATCH(A21,Inputs!$B$6:$D$6,0)),IF(=INDEX(Roster!$B$6:$B$108,MATCH(D21,Roster!$A$6:$A$108,0))="Associate Principal",INDEX(Inputs!$B$11:$D$11,1,MATCH(A21,Inputs!$B$6:$D$6,0)),IF(=INDEX(Roster!$B$6:$B$108,MATCH(D21,Roster!$A$6:$A$108,0))="Assistant Principal",INDEX(Inputs!$B$12:$D$12,1,MATCH(A21,Inputs!$B$6:$D$6,0)),0))))</x:f>
        <x:v>0</x:v>
      </x:c>
      <x:c r="L21" s="20" t="n">
        <x:f>IF(INDEX(Roster!$D$6:$D$108,MATCH(D21,Roster!$A$6:$A$108,0))&gt;=25,INDEX(Inputs!$B$19:$D$19,1,MATCH(A21,Inputs!$B$6:$D$6,0)),IF(INDEX(Roster!$D$6:$D$108,MATCH(D21,Roster!$A$6:$A$108,0))&gt;=20,INDEX(Inputs!$B$18:$D$18,1,MATCH(A21,Inputs!$B$6:$D$6,0)),IF(INDEX(Roster!$D$6:$D$108,MATCH(D21,Roster!$A$6:$A$108,0))&gt;=15,INDEX(Inputs!$B$17:$D$17,1,MATCH(A21,Inputs!$B$6:$D$6,0)),IF(INDEX(Roster!$D$6:$D$108,MATCH(D21,Roster!$A$6:$A$108,0))&gt;=10,INDEX(Inputs!$B$16:$D$16,1,MATCH(A21,Inputs!$B$6:$D$6,0)),IF(INDEX(Roster!$D$6:$D$108,MATCH(D21,Roster!$A$6:$A$108,0))&gt;=5,INDEX(Inputs!$B$15:$D$15,1,MATCH(A21,Inputs!$B$6:$D$6,0)),0)))))</x:f>
        <x:v>90</x:v>
      </x:c>
      <x:c r="M21" s="20" t="n">
        <x:f>G21*I21</x:f>
        <x:v>31135</x:v>
      </x:c>
      <x:c r="N21" s="20" t="n">
        <x:f>G21*J21</x:f>
        <x:v>650</x:v>
      </x:c>
      <x:c r="O21" s="20" t="n">
        <x:f>G21*K21</x:f>
        <x:v>0</x:v>
      </x:c>
      <x:c r="P21" s="20" t="n">
        <x:f>G21*L21</x:f>
        <x:v>1170</x:v>
      </x:c>
      <x:c r="Q21" s="20" t="n">
        <x:f>H21*INDEX(Inputs!$B$13:$D$13,1,MATCH(A21,Inputs!$B$6:$D$6,0))</x:f>
        <x:v>0</x:v>
      </x:c>
      <x:c r="R21" s="20" t="n">
        <x:f>SUM(M21:Q21)</x:f>
        <x:v>32955</x:v>
      </x:c>
      <x:c r="S21" s="20" t="n">
        <x:f>IF(AND(A20=A21,D20=D21),S20+R21,R21)</x:f>
        <x:v>132990</x:v>
      </x:c>
      <x:c r="T21" s="20" t="n">
        <x:f>MIN(S21,INDEX(Inputs!$B$20:$D$20,1,MATCH(A21,Inputs!$B$6:$D$6,0)))*INDEX(Inputs!$B$22:$D$22,1,MATCH(A21,Inputs!$B$6:$D$6,0))+MAX(MIN(S21,INDEX(Inputs!$B$21:$D$21,1,MATCH(A21,Inputs!$B$6:$D$6,0)))-INDEX(Inputs!$B$20:$D$20,1,MATCH(A21,Inputs!$B$6:$D$6,0)),0)*INDEX(Inputs!$B$23:$D$23,1,MATCH(A21,Inputs!$B$6:$D$6,0))+MAX(S21-INDEX(Inputs!$B$21:$D$21,1,MATCH(A21,Inputs!$B$6:$D$6,0)),0)*INDEX(Inputs!$B$24:$D$24,1,MATCH(A21,Inputs!$B$6:$D$6,0))</x:f>
        <x:v>9842.297</x:v>
      </x:c>
      <x:c r="U21" s="20" t="n">
        <x:f>IF(AND(A20=A21,D20=D21),T20,0)</x:f>
        <x:v>8142.6775</x:v>
      </x:c>
      <x:c r="V21" s="20" t="n">
        <x:f>T21-U21</x:f>
        <x:v>1699.6195000000007</x:v>
      </x:c>
      <x:c r="W21" s="20" t="n">
        <x:f>R21+V21</x:f>
        <x:v>34654.6195</x:v>
      </x:c>
      <x:c r="X21" s="14" t="str">
        <x:f>IF(ABS(W21-SUM(M21:Q21)-V21)&lt;0.01,"OK","Check")</x:f>
        <x:v>OK</x:v>
      </x:c>
    </x:row>
    <x:row r="22">
      <x:c r="A22" s="14" t="n">
        <x:v>2026</x:v>
      </x:c>
      <x:c r="B22" s="14" t="str">
        <x:v>Q1</x:v>
      </x:c>
      <x:c r="C22" s="14" t="n">
        <x:v>1</x:v>
      </x:c>
      <x:c r="D22" s="14" t="n">
        <x:v>5</x:v>
      </x:c>
      <x:c r="E22" s="14" t="str">
        <x:f>INDEX(Roster!$B$6:$B$108,MATCH(D22,Roster!$A$6:$A$108,0))</x:f>
        <x:v>Associate Principal</x:v>
      </x:c>
      <x:c r="F22" s="14" t="str">
        <x:f>INDEX(Roster!$F$6:$F$108,MATCH(D22,Roster!$A$6:$A$108,0))</x:f>
        <x:v>Yes</x:v>
      </x:c>
      <x:c r="G22" s="14" t="n">
        <x:f>INDEX(Inputs!$B$7:$D$7,1,MATCH(A22,Inputs!$B$6:$D$6,0))</x:f>
        <x:v>13</x:v>
      </x:c>
      <x:c r="H22" s="14" t="n">
        <x:f>MIN(=INDEX(Inputs!$B$7:$D$7,1,MATCH(A22,Inputs!$B$6:$D$6,0)),MAX(0,INDEX(Inputs!$B$14:$D$14,1,MATCH(A22,Inputs!$B$6:$D$6,0))-(C22-1)*=INDEX(Inputs!$B$7:$D$7,1,MATCH(A22,Inputs!$B$6:$D$6,0))))</x:f>
        <x:v>13</x:v>
      </x:c>
      <x:c r="I22" s="20" t="n">
        <x:f>INDEX(Inputs!$B$8:$D$8,1,MATCH(A22,Inputs!$B$6:$D$6,0))</x:f>
        <x:v>2395</x:v>
      </x:c>
      <x:c r="J22" s="20" t="n">
        <x:f>INDEX(Roster!$C$6:$C$108,MATCH(D22,Roster!$A$6:$A$108,0))*(1+INDEX(Inputs!$B$9:$D$9,1,MATCH(A22,Inputs!$B$6:$D$6,0)))</x:f>
        <x:v>350</x:v>
      </x:c>
      <x:c r="K22" s="20" t="n">
        <x:f>IF(=INDEX(Roster!$F$6:$F$108,MATCH(D22,Roster!$A$6:$A$108,0))="Yes",0,=INDEX(Inputs!$B$8:$D$8,1,MATCH(A22,Inputs!$B$6:$D$6,0))*IF(=INDEX(Roster!$B$6:$B$108,MATCH(D22,Roster!$A$6:$A$108,0))="Principal",INDEX(Inputs!$B$10:$D$10,1,MATCH(A22,Inputs!$B$6:$D$6,0)),IF(=INDEX(Roster!$B$6:$B$108,MATCH(D22,Roster!$A$6:$A$108,0))="Associate Principal",INDEX(Inputs!$B$11:$D$11,1,MATCH(A22,Inputs!$B$6:$D$6,0)),IF(=INDEX(Roster!$B$6:$B$108,MATCH(D22,Roster!$A$6:$A$108,0))="Assistant Principal",INDEX(Inputs!$B$12:$D$12,1,MATCH(A22,Inputs!$B$6:$D$6,0)),0))))</x:f>
        <x:v>0</x:v>
      </x:c>
      <x:c r="L22" s="20" t="n">
        <x:f>IF(INDEX(Roster!$D$6:$D$108,MATCH(D22,Roster!$A$6:$A$108,0))&gt;=25,INDEX(Inputs!$B$19:$D$19,1,MATCH(A22,Inputs!$B$6:$D$6,0)),IF(INDEX(Roster!$D$6:$D$108,MATCH(D22,Roster!$A$6:$A$108,0))&gt;=20,INDEX(Inputs!$B$18:$D$18,1,MATCH(A22,Inputs!$B$6:$D$6,0)),IF(INDEX(Roster!$D$6:$D$108,MATCH(D22,Roster!$A$6:$A$108,0))&gt;=15,INDEX(Inputs!$B$17:$D$17,1,MATCH(A22,Inputs!$B$6:$D$6,0)),IF(INDEX(Roster!$D$6:$D$108,MATCH(D22,Roster!$A$6:$A$108,0))&gt;=10,INDEX(Inputs!$B$16:$D$16,1,MATCH(A22,Inputs!$B$6:$D$6,0)),IF(INDEX(Roster!$D$6:$D$108,MATCH(D22,Roster!$A$6:$A$108,0))&gt;=5,INDEX(Inputs!$B$15:$D$15,1,MATCH(A22,Inputs!$B$6:$D$6,0)),0)))))</x:f>
        <x:v>80</x:v>
      </x:c>
      <x:c r="M22" s="20" t="n">
        <x:f>G22*I22</x:f>
        <x:v>31135</x:v>
      </x:c>
      <x:c r="N22" s="20" t="n">
        <x:f>G22*J22</x:f>
        <x:v>4550</x:v>
      </x:c>
      <x:c r="O22" s="20" t="n">
        <x:f>G22*K22</x:f>
        <x:v>0</x:v>
      </x:c>
      <x:c r="P22" s="20" t="n">
        <x:f>G22*L22</x:f>
        <x:v>1040</x:v>
      </x:c>
      <x:c r="Q22" s="20" t="n">
        <x:f>H22*INDEX(Inputs!$B$13:$D$13,1,MATCH(A22,Inputs!$B$6:$D$6,0))</x:f>
        <x:v>390</x:v>
      </x:c>
      <x:c r="R22" s="20" t="n">
        <x:f>SUM(M22:Q22)</x:f>
        <x:v>37115</x:v>
      </x:c>
      <x:c r="S22" s="20" t="n">
        <x:f>IF(AND(A21=A22,D21=D22),S21+R22,R22)</x:f>
        <x:v>37115</x:v>
      </x:c>
      <x:c r="T22" s="20" t="n">
        <x:f>MIN(S22,INDEX(Inputs!$B$20:$D$20,1,MATCH(A22,Inputs!$B$6:$D$6,0)))*INDEX(Inputs!$B$22:$D$22,1,MATCH(A22,Inputs!$B$6:$D$6,0))+MAX(MIN(S22,INDEX(Inputs!$B$21:$D$21,1,MATCH(A22,Inputs!$B$6:$D$6,0)))-INDEX(Inputs!$B$20:$D$20,1,MATCH(A22,Inputs!$B$6:$D$6,0)),0)*INDEX(Inputs!$B$23:$D$23,1,MATCH(A22,Inputs!$B$6:$D$6,0))+MAX(S22-INDEX(Inputs!$B$21:$D$21,1,MATCH(A22,Inputs!$B$6:$D$6,0)),0)*INDEX(Inputs!$B$24:$D$24,1,MATCH(A22,Inputs!$B$6:$D$6,0))</x:f>
        <x:v>3329.2975</x:v>
      </x:c>
      <x:c r="U22" s="20" t="n">
        <x:f>IF(AND(A21=A22,D21=D22),T21,0)</x:f>
        <x:v>0</x:v>
      </x:c>
      <x:c r="V22" s="20" t="n">
        <x:f>T22-U22</x:f>
        <x:v>3329.2975</x:v>
      </x:c>
      <x:c r="W22" s="20" t="n">
        <x:f>R22+V22</x:f>
        <x:v>40444.2975</x:v>
      </x:c>
      <x:c r="X22" s="14" t="str">
        <x:f>IF(ABS(W22-SUM(M22:Q22)-V22)&lt;0.01,"OK","Check")</x:f>
        <x:v>OK</x:v>
      </x:c>
    </x:row>
    <x:row r="23">
      <x:c r="A23" s="14" t="n">
        <x:v>2026</x:v>
      </x:c>
      <x:c r="B23" s="14" t="str">
        <x:v>Q2</x:v>
      </x:c>
      <x:c r="C23" s="14" t="n">
        <x:v>2</x:v>
      </x:c>
      <x:c r="D23" s="14" t="n">
        <x:v>5</x:v>
      </x:c>
      <x:c r="E23" s="14" t="str">
        <x:f>INDEX(Roster!$B$6:$B$108,MATCH(D23,Roster!$A$6:$A$108,0))</x:f>
        <x:v>Associate Principal</x:v>
      </x:c>
      <x:c r="F23" s="14" t="str">
        <x:f>INDEX(Roster!$F$6:$F$108,MATCH(D23,Roster!$A$6:$A$108,0))</x:f>
        <x:v>Yes</x:v>
      </x:c>
      <x:c r="G23" s="14" t="n">
        <x:f>INDEX(Inputs!$B$7:$D$7,1,MATCH(A23,Inputs!$B$6:$D$6,0))</x:f>
        <x:v>13</x:v>
      </x:c>
      <x:c r="H23" s="14" t="n">
        <x:f>MIN(=INDEX(Inputs!$B$7:$D$7,1,MATCH(A23,Inputs!$B$6:$D$6,0)),MAX(0,INDEX(Inputs!$B$14:$D$14,1,MATCH(A23,Inputs!$B$6:$D$6,0))-(C23-1)*=INDEX(Inputs!$B$7:$D$7,1,MATCH(A23,Inputs!$B$6:$D$6,0))))</x:f>
        <x:v>13</x:v>
      </x:c>
      <x:c r="I23" s="20" t="n">
        <x:f>INDEX(Inputs!$B$8:$D$8,1,MATCH(A23,Inputs!$B$6:$D$6,0))</x:f>
        <x:v>2395</x:v>
      </x:c>
      <x:c r="J23" s="20" t="n">
        <x:f>INDEX(Roster!$C$6:$C$108,MATCH(D23,Roster!$A$6:$A$108,0))*(1+INDEX(Inputs!$B$9:$D$9,1,MATCH(A23,Inputs!$B$6:$D$6,0)))</x:f>
        <x:v>350</x:v>
      </x:c>
      <x:c r="K23" s="20" t="n">
        <x:f>IF(=INDEX(Roster!$F$6:$F$108,MATCH(D23,Roster!$A$6:$A$108,0))="Yes",0,=INDEX(Inputs!$B$8:$D$8,1,MATCH(A23,Inputs!$B$6:$D$6,0))*IF(=INDEX(Roster!$B$6:$B$108,MATCH(D23,Roster!$A$6:$A$108,0))="Principal",INDEX(Inputs!$B$10:$D$10,1,MATCH(A23,Inputs!$B$6:$D$6,0)),IF(=INDEX(Roster!$B$6:$B$108,MATCH(D23,Roster!$A$6:$A$108,0))="Associate Principal",INDEX(Inputs!$B$11:$D$11,1,MATCH(A23,Inputs!$B$6:$D$6,0)),IF(=INDEX(Roster!$B$6:$B$108,MATCH(D23,Roster!$A$6:$A$108,0))="Assistant Principal",INDEX(Inputs!$B$12:$D$12,1,MATCH(A23,Inputs!$B$6:$D$6,0)),0))))</x:f>
        <x:v>0</x:v>
      </x:c>
      <x:c r="L23" s="20" t="n">
        <x:f>IF(INDEX(Roster!$D$6:$D$108,MATCH(D23,Roster!$A$6:$A$108,0))&gt;=25,INDEX(Inputs!$B$19:$D$19,1,MATCH(A23,Inputs!$B$6:$D$6,0)),IF(INDEX(Roster!$D$6:$D$108,MATCH(D23,Roster!$A$6:$A$108,0))&gt;=20,INDEX(Inputs!$B$18:$D$18,1,MATCH(A23,Inputs!$B$6:$D$6,0)),IF(INDEX(Roster!$D$6:$D$108,MATCH(D23,Roster!$A$6:$A$108,0))&gt;=15,INDEX(Inputs!$B$17:$D$17,1,MATCH(A23,Inputs!$B$6:$D$6,0)),IF(INDEX(Roster!$D$6:$D$108,MATCH(D23,Roster!$A$6:$A$108,0))&gt;=10,INDEX(Inputs!$B$16:$D$16,1,MATCH(A23,Inputs!$B$6:$D$6,0)),IF(INDEX(Roster!$D$6:$D$108,MATCH(D23,Roster!$A$6:$A$108,0))&gt;=5,INDEX(Inputs!$B$15:$D$15,1,MATCH(A23,Inputs!$B$6:$D$6,0)),0)))))</x:f>
        <x:v>80</x:v>
      </x:c>
      <x:c r="M23" s="20" t="n">
        <x:f>G23*I23</x:f>
        <x:v>31135</x:v>
      </x:c>
      <x:c r="N23" s="20" t="n">
        <x:f>G23*J23</x:f>
        <x:v>4550</x:v>
      </x:c>
      <x:c r="O23" s="20" t="n">
        <x:f>G23*K23</x:f>
        <x:v>0</x:v>
      </x:c>
      <x:c r="P23" s="20" t="n">
        <x:f>G23*L23</x:f>
        <x:v>1040</x:v>
      </x:c>
      <x:c r="Q23" s="20" t="n">
        <x:f>H23*INDEX(Inputs!$B$13:$D$13,1,MATCH(A23,Inputs!$B$6:$D$6,0))</x:f>
        <x:v>390</x:v>
      </x:c>
      <x:c r="R23" s="20" t="n">
        <x:f>SUM(M23:Q23)</x:f>
        <x:v>37115</x:v>
      </x:c>
      <x:c r="S23" s="20" t="n">
        <x:f>IF(AND(A22=A23,D22=D23),S22+R23,R23)</x:f>
        <x:v>74230</x:v>
      </x:c>
      <x:c r="T23" s="20" t="n">
        <x:f>MIN(S23,INDEX(Inputs!$B$20:$D$20,1,MATCH(A23,Inputs!$B$6:$D$6,0)))*INDEX(Inputs!$B$22:$D$22,1,MATCH(A23,Inputs!$B$6:$D$6,0))+MAX(MIN(S23,INDEX(Inputs!$B$21:$D$21,1,MATCH(A23,Inputs!$B$6:$D$6,0)))-INDEX(Inputs!$B$20:$D$20,1,MATCH(A23,Inputs!$B$6:$D$6,0)),0)*INDEX(Inputs!$B$23:$D$23,1,MATCH(A23,Inputs!$B$6:$D$6,0))+MAX(S23-INDEX(Inputs!$B$21:$D$21,1,MATCH(A23,Inputs!$B$6:$D$6,0)),0)*INDEX(Inputs!$B$24:$D$24,1,MATCH(A23,Inputs!$B$6:$D$6,0))</x:f>
        <x:v>6168.595</x:v>
      </x:c>
      <x:c r="U23" s="20" t="n">
        <x:f>IF(AND(A22=A23,D22=D23),T22,0)</x:f>
        <x:v>3329.2975</x:v>
      </x:c>
      <x:c r="V23" s="20" t="n">
        <x:f>T23-U23</x:f>
        <x:v>2839.2975</x:v>
      </x:c>
      <x:c r="W23" s="20" t="n">
        <x:f>R23+V23</x:f>
        <x:v>39954.2975</x:v>
      </x:c>
      <x:c r="X23" s="14" t="str">
        <x:f>IF(ABS(W23-SUM(M23:Q23)-V23)&lt;0.01,"OK","Check")</x:f>
        <x:v>OK</x:v>
      </x:c>
    </x:row>
    <x:row r="24">
      <x:c r="A24" s="14" t="n">
        <x:v>2026</x:v>
      </x:c>
      <x:c r="B24" s="14" t="str">
        <x:v>Q3</x:v>
      </x:c>
      <x:c r="C24" s="14" t="n">
        <x:v>3</x:v>
      </x:c>
      <x:c r="D24" s="14" t="n">
        <x:v>5</x:v>
      </x:c>
      <x:c r="E24" s="14" t="str">
        <x:f>INDEX(Roster!$B$6:$B$108,MATCH(D24,Roster!$A$6:$A$108,0))</x:f>
        <x:v>Associate Principal</x:v>
      </x:c>
      <x:c r="F24" s="14" t="str">
        <x:f>INDEX(Roster!$F$6:$F$108,MATCH(D24,Roster!$A$6:$A$108,0))</x:f>
        <x:v>Yes</x:v>
      </x:c>
      <x:c r="G24" s="14" t="n">
        <x:f>INDEX(Inputs!$B$7:$D$7,1,MATCH(A24,Inputs!$B$6:$D$6,0))</x:f>
        <x:v>13</x:v>
      </x:c>
      <x:c r="H24" s="14" t="n">
        <x:f>MIN(=INDEX(Inputs!$B$7:$D$7,1,MATCH(A24,Inputs!$B$6:$D$6,0)),MAX(0,INDEX(Inputs!$B$14:$D$14,1,MATCH(A24,Inputs!$B$6:$D$6,0))-(C24-1)*=INDEX(Inputs!$B$7:$D$7,1,MATCH(A24,Inputs!$B$6:$D$6,0))))</x:f>
        <x:v>13</x:v>
      </x:c>
      <x:c r="I24" s="20" t="n">
        <x:f>INDEX(Inputs!$B$8:$D$8,1,MATCH(A24,Inputs!$B$6:$D$6,0))</x:f>
        <x:v>2395</x:v>
      </x:c>
      <x:c r="J24" s="20" t="n">
        <x:f>INDEX(Roster!$C$6:$C$108,MATCH(D24,Roster!$A$6:$A$108,0))*(1+INDEX(Inputs!$B$9:$D$9,1,MATCH(A24,Inputs!$B$6:$D$6,0)))</x:f>
        <x:v>350</x:v>
      </x:c>
      <x:c r="K24" s="20" t="n">
        <x:f>IF(=INDEX(Roster!$F$6:$F$108,MATCH(D24,Roster!$A$6:$A$108,0))="Yes",0,=INDEX(Inputs!$B$8:$D$8,1,MATCH(A24,Inputs!$B$6:$D$6,0))*IF(=INDEX(Roster!$B$6:$B$108,MATCH(D24,Roster!$A$6:$A$108,0))="Principal",INDEX(Inputs!$B$10:$D$10,1,MATCH(A24,Inputs!$B$6:$D$6,0)),IF(=INDEX(Roster!$B$6:$B$108,MATCH(D24,Roster!$A$6:$A$108,0))="Associate Principal",INDEX(Inputs!$B$11:$D$11,1,MATCH(A24,Inputs!$B$6:$D$6,0)),IF(=INDEX(Roster!$B$6:$B$108,MATCH(D24,Roster!$A$6:$A$108,0))="Assistant Principal",INDEX(Inputs!$B$12:$D$12,1,MATCH(A24,Inputs!$B$6:$D$6,0)),0))))</x:f>
        <x:v>0</x:v>
      </x:c>
      <x:c r="L24" s="20" t="n">
        <x:f>IF(INDEX(Roster!$D$6:$D$108,MATCH(D24,Roster!$A$6:$A$108,0))&gt;=25,INDEX(Inputs!$B$19:$D$19,1,MATCH(A24,Inputs!$B$6:$D$6,0)),IF(INDEX(Roster!$D$6:$D$108,MATCH(D24,Roster!$A$6:$A$108,0))&gt;=20,INDEX(Inputs!$B$18:$D$18,1,MATCH(A24,Inputs!$B$6:$D$6,0)),IF(INDEX(Roster!$D$6:$D$108,MATCH(D24,Roster!$A$6:$A$108,0))&gt;=15,INDEX(Inputs!$B$17:$D$17,1,MATCH(A24,Inputs!$B$6:$D$6,0)),IF(INDEX(Roster!$D$6:$D$108,MATCH(D24,Roster!$A$6:$A$108,0))&gt;=10,INDEX(Inputs!$B$16:$D$16,1,MATCH(A24,Inputs!$B$6:$D$6,0)),IF(INDEX(Roster!$D$6:$D$108,MATCH(D24,Roster!$A$6:$A$108,0))&gt;=5,INDEX(Inputs!$B$15:$D$15,1,MATCH(A24,Inputs!$B$6:$D$6,0)),0)))))</x:f>
        <x:v>80</x:v>
      </x:c>
      <x:c r="M24" s="20" t="n">
        <x:f>G24*I24</x:f>
        <x:v>31135</x:v>
      </x:c>
      <x:c r="N24" s="20" t="n">
        <x:f>G24*J24</x:f>
        <x:v>4550</x:v>
      </x:c>
      <x:c r="O24" s="20" t="n">
        <x:f>G24*K24</x:f>
        <x:v>0</x:v>
      </x:c>
      <x:c r="P24" s="20" t="n">
        <x:f>G24*L24</x:f>
        <x:v>1040</x:v>
      </x:c>
      <x:c r="Q24" s="20" t="n">
        <x:f>H24*INDEX(Inputs!$B$13:$D$13,1,MATCH(A24,Inputs!$B$6:$D$6,0))</x:f>
        <x:v>390</x:v>
      </x:c>
      <x:c r="R24" s="20" t="n">
        <x:f>SUM(M24:Q24)</x:f>
        <x:v>37115</x:v>
      </x:c>
      <x:c r="S24" s="20" t="n">
        <x:f>IF(AND(A23=A24,D23=D24),S23+R24,R24)</x:f>
        <x:v>111345</x:v>
      </x:c>
      <x:c r="T24" s="20" t="n">
        <x:f>MIN(S24,INDEX(Inputs!$B$20:$D$20,1,MATCH(A24,Inputs!$B$6:$D$6,0)))*INDEX(Inputs!$B$22:$D$22,1,MATCH(A24,Inputs!$B$6:$D$6,0))+MAX(MIN(S24,INDEX(Inputs!$B$21:$D$21,1,MATCH(A24,Inputs!$B$6:$D$6,0)))-INDEX(Inputs!$B$20:$D$20,1,MATCH(A24,Inputs!$B$6:$D$6,0)),0)*INDEX(Inputs!$B$23:$D$23,1,MATCH(A24,Inputs!$B$6:$D$6,0))+MAX(S24-INDEX(Inputs!$B$21:$D$21,1,MATCH(A24,Inputs!$B$6:$D$6,0)),0)*INDEX(Inputs!$B$24:$D$24,1,MATCH(A24,Inputs!$B$6:$D$6,0))</x:f>
        <x:v>9007.8925</x:v>
      </x:c>
      <x:c r="U24" s="20" t="n">
        <x:f>IF(AND(A23=A24,D23=D24),T23,0)</x:f>
        <x:v>6168.595</x:v>
      </x:c>
      <x:c r="V24" s="20" t="n">
        <x:f>T24-U24</x:f>
        <x:v>2839.2974999999997</x:v>
      </x:c>
      <x:c r="W24" s="20" t="n">
        <x:f>R24+V24</x:f>
        <x:v>39954.2975</x:v>
      </x:c>
      <x:c r="X24" s="14" t="str">
        <x:f>IF(ABS(W24-SUM(M24:Q24)-V24)&lt;0.01,"OK","Check")</x:f>
        <x:v>OK</x:v>
      </x:c>
    </x:row>
    <x:row r="25">
      <x:c r="A25" s="14" t="n">
        <x:v>2026</x:v>
      </x:c>
      <x:c r="B25" s="14" t="str">
        <x:v>Q4</x:v>
      </x:c>
      <x:c r="C25" s="14" t="n">
        <x:v>4</x:v>
      </x:c>
      <x:c r="D25" s="14" t="n">
        <x:v>5</x:v>
      </x:c>
      <x:c r="E25" s="14" t="str">
        <x:f>INDEX(Roster!$B$6:$B$108,MATCH(D25,Roster!$A$6:$A$108,0))</x:f>
        <x:v>Associate Principal</x:v>
      </x:c>
      <x:c r="F25" s="14" t="str">
        <x:f>INDEX(Roster!$F$6:$F$108,MATCH(D25,Roster!$A$6:$A$108,0))</x:f>
        <x:v>Yes</x:v>
      </x:c>
      <x:c r="G25" s="14" t="n">
        <x:f>INDEX(Inputs!$B$7:$D$7,1,MATCH(A25,Inputs!$B$6:$D$6,0))</x:f>
        <x:v>13</x:v>
      </x:c>
      <x:c r="H25" s="14" t="n">
        <x:f>MIN(=INDEX(Inputs!$B$7:$D$7,1,MATCH(A25,Inputs!$B$6:$D$6,0)),MAX(0,INDEX(Inputs!$B$14:$D$14,1,MATCH(A25,Inputs!$B$6:$D$6,0))-(C25-1)*=INDEX(Inputs!$B$7:$D$7,1,MATCH(A25,Inputs!$B$6:$D$6,0))))</x:f>
        <x:v>0</x:v>
      </x:c>
      <x:c r="I25" s="20" t="n">
        <x:f>INDEX(Inputs!$B$8:$D$8,1,MATCH(A25,Inputs!$B$6:$D$6,0))</x:f>
        <x:v>2395</x:v>
      </x:c>
      <x:c r="J25" s="20" t="n">
        <x:f>INDEX(Roster!$C$6:$C$108,MATCH(D25,Roster!$A$6:$A$108,0))*(1+INDEX(Inputs!$B$9:$D$9,1,MATCH(A25,Inputs!$B$6:$D$6,0)))</x:f>
        <x:v>350</x:v>
      </x:c>
      <x:c r="K25" s="20" t="n">
        <x:f>IF(=INDEX(Roster!$F$6:$F$108,MATCH(D25,Roster!$A$6:$A$108,0))="Yes",0,=INDEX(Inputs!$B$8:$D$8,1,MATCH(A25,Inputs!$B$6:$D$6,0))*IF(=INDEX(Roster!$B$6:$B$108,MATCH(D25,Roster!$A$6:$A$108,0))="Principal",INDEX(Inputs!$B$10:$D$10,1,MATCH(A25,Inputs!$B$6:$D$6,0)),IF(=INDEX(Roster!$B$6:$B$108,MATCH(D25,Roster!$A$6:$A$108,0))="Associate Principal",INDEX(Inputs!$B$11:$D$11,1,MATCH(A25,Inputs!$B$6:$D$6,0)),IF(=INDEX(Roster!$B$6:$B$108,MATCH(D25,Roster!$A$6:$A$108,0))="Assistant Principal",INDEX(Inputs!$B$12:$D$12,1,MATCH(A25,Inputs!$B$6:$D$6,0)),0))))</x:f>
        <x:v>0</x:v>
      </x:c>
      <x:c r="L25" s="20" t="n">
        <x:f>IF(INDEX(Roster!$D$6:$D$108,MATCH(D25,Roster!$A$6:$A$108,0))&gt;=25,INDEX(Inputs!$B$19:$D$19,1,MATCH(A25,Inputs!$B$6:$D$6,0)),IF(INDEX(Roster!$D$6:$D$108,MATCH(D25,Roster!$A$6:$A$108,0))&gt;=20,INDEX(Inputs!$B$18:$D$18,1,MATCH(A25,Inputs!$B$6:$D$6,0)),IF(INDEX(Roster!$D$6:$D$108,MATCH(D25,Roster!$A$6:$A$108,0))&gt;=15,INDEX(Inputs!$B$17:$D$17,1,MATCH(A25,Inputs!$B$6:$D$6,0)),IF(INDEX(Roster!$D$6:$D$108,MATCH(D25,Roster!$A$6:$A$108,0))&gt;=10,INDEX(Inputs!$B$16:$D$16,1,MATCH(A25,Inputs!$B$6:$D$6,0)),IF(INDEX(Roster!$D$6:$D$108,MATCH(D25,Roster!$A$6:$A$108,0))&gt;=5,INDEX(Inputs!$B$15:$D$15,1,MATCH(A25,Inputs!$B$6:$D$6,0)),0)))))</x:f>
        <x:v>80</x:v>
      </x:c>
      <x:c r="M25" s="20" t="n">
        <x:f>G25*I25</x:f>
        <x:v>31135</x:v>
      </x:c>
      <x:c r="N25" s="20" t="n">
        <x:f>G25*J25</x:f>
        <x:v>4550</x:v>
      </x:c>
      <x:c r="O25" s="20" t="n">
        <x:f>G25*K25</x:f>
        <x:v>0</x:v>
      </x:c>
      <x:c r="P25" s="20" t="n">
        <x:f>G25*L25</x:f>
        <x:v>1040</x:v>
      </x:c>
      <x:c r="Q25" s="20" t="n">
        <x:f>H25*INDEX(Inputs!$B$13:$D$13,1,MATCH(A25,Inputs!$B$6:$D$6,0))</x:f>
        <x:v>0</x:v>
      </x:c>
      <x:c r="R25" s="20" t="n">
        <x:f>SUM(M25:Q25)</x:f>
        <x:v>36725</x:v>
      </x:c>
      <x:c r="S25" s="20" t="n">
        <x:f>IF(AND(A24=A25,D24=D25),S24+R25,R25)</x:f>
        <x:v>148070</x:v>
      </x:c>
      <x:c r="T25" s="20" t="n">
        <x:f>MIN(S25,INDEX(Inputs!$B$20:$D$20,1,MATCH(A25,Inputs!$B$6:$D$6,0)))*INDEX(Inputs!$B$22:$D$22,1,MATCH(A25,Inputs!$B$6:$D$6,0))+MAX(MIN(S25,INDEX(Inputs!$B$21:$D$21,1,MATCH(A25,Inputs!$B$6:$D$6,0)))-INDEX(Inputs!$B$20:$D$20,1,MATCH(A25,Inputs!$B$6:$D$6,0)),0)*INDEX(Inputs!$B$23:$D$23,1,MATCH(A25,Inputs!$B$6:$D$6,0))+MAX(S25-INDEX(Inputs!$B$21:$D$21,1,MATCH(A25,Inputs!$B$6:$D$6,0)),0)*INDEX(Inputs!$B$24:$D$24,1,MATCH(A25,Inputs!$B$6:$D$6,0))</x:f>
        <x:v>10060.957</x:v>
      </x:c>
      <x:c r="U25" s="20" t="n">
        <x:f>IF(AND(A24=A25,D24=D25),T24,0)</x:f>
        <x:v>9007.8925</x:v>
      </x:c>
      <x:c r="V25" s="20" t="n">
        <x:f>T25-U25</x:f>
        <x:v>1053.0645000000004</x:v>
      </x:c>
      <x:c r="W25" s="20" t="n">
        <x:f>R25+V25</x:f>
        <x:v>37778.0645</x:v>
      </x:c>
      <x:c r="X25" s="14" t="str">
        <x:f>IF(ABS(W25-SUM(M25:Q25)-V25)&lt;0.01,"OK","Check")</x:f>
        <x:v>OK</x:v>
      </x:c>
    </x:row>
    <x:row r="26">
      <x:c r="A26" s="14" t="n">
        <x:v>2026</x:v>
      </x:c>
      <x:c r="B26" s="14" t="str">
        <x:v>Q1</x:v>
      </x:c>
      <x:c r="C26" s="14" t="n">
        <x:v>1</x:v>
      </x:c>
      <x:c r="D26" s="14" t="n">
        <x:v>6</x:v>
      </x:c>
      <x:c r="E26" s="14" t="str">
        <x:f>INDEX(Roster!$B$6:$B$108,MATCH(D26,Roster!$A$6:$A$108,0))</x:f>
        <x:v>Principal</x:v>
      </x:c>
      <x:c r="F26" s="14" t="str">
        <x:f>INDEX(Roster!$F$6:$F$108,MATCH(D26,Roster!$A$6:$A$108,0))</x:f>
        <x:v>No</x:v>
      </x:c>
      <x:c r="G26" s="14" t="n">
        <x:f>INDEX(Inputs!$B$7:$D$7,1,MATCH(A26,Inputs!$B$6:$D$6,0))</x:f>
        <x:v>13</x:v>
      </x:c>
      <x:c r="H26" s="14" t="n">
        <x:f>MIN(=INDEX(Inputs!$B$7:$D$7,1,MATCH(A26,Inputs!$B$6:$D$6,0)),MAX(0,INDEX(Inputs!$B$14:$D$14,1,MATCH(A26,Inputs!$B$6:$D$6,0))-(C26-1)*=INDEX(Inputs!$B$7:$D$7,1,MATCH(A26,Inputs!$B$6:$D$6,0))))</x:f>
        <x:v>13</x:v>
      </x:c>
      <x:c r="I26" s="20" t="n">
        <x:f>INDEX(Inputs!$B$8:$D$8,1,MATCH(A26,Inputs!$B$6:$D$6,0))</x:f>
        <x:v>2395</x:v>
      </x:c>
      <x:c r="J26" s="20" t="n">
        <x:f>INDEX(Roster!$C$6:$C$108,MATCH(D26,Roster!$A$6:$A$108,0))*(1+INDEX(Inputs!$B$9:$D$9,1,MATCH(A26,Inputs!$B$6:$D$6,0)))</x:f>
        <x:v>1500</x:v>
      </x:c>
      <x:c r="K26" s="20" t="n">
        <x:f>IF(=INDEX(Roster!$F$6:$F$108,MATCH(D26,Roster!$A$6:$A$108,0))="Yes",0,=INDEX(Inputs!$B$8:$D$8,1,MATCH(A26,Inputs!$B$6:$D$6,0))*IF(=INDEX(Roster!$B$6:$B$108,MATCH(D26,Roster!$A$6:$A$108,0))="Principal",INDEX(Inputs!$B$10:$D$10,1,MATCH(A26,Inputs!$B$6:$D$6,0)),IF(=INDEX(Roster!$B$6:$B$108,MATCH(D26,Roster!$A$6:$A$108,0))="Associate Principal",INDEX(Inputs!$B$11:$D$11,1,MATCH(A26,Inputs!$B$6:$D$6,0)),IF(=INDEX(Roster!$B$6:$B$108,MATCH(D26,Roster!$A$6:$A$108,0))="Assistant Principal",INDEX(Inputs!$B$12:$D$12,1,MATCH(A26,Inputs!$B$6:$D$6,0)),0))))</x:f>
        <x:v>479</x:v>
      </x:c>
      <x:c r="L26" s="20" t="n">
        <x:f>IF(INDEX(Roster!$D$6:$D$108,MATCH(D26,Roster!$A$6:$A$108,0))&gt;=25,INDEX(Inputs!$B$19:$D$19,1,MATCH(A26,Inputs!$B$6:$D$6,0)),IF(INDEX(Roster!$D$6:$D$108,MATCH(D26,Roster!$A$6:$A$108,0))&gt;=20,INDEX(Inputs!$B$18:$D$18,1,MATCH(A26,Inputs!$B$6:$D$6,0)),IF(INDEX(Roster!$D$6:$D$108,MATCH(D26,Roster!$A$6:$A$108,0))&gt;=15,INDEX(Inputs!$B$17:$D$17,1,MATCH(A26,Inputs!$B$6:$D$6,0)),IF(INDEX(Roster!$D$6:$D$108,MATCH(D26,Roster!$A$6:$A$108,0))&gt;=10,INDEX(Inputs!$B$16:$D$16,1,MATCH(A26,Inputs!$B$6:$D$6,0)),IF(INDEX(Roster!$D$6:$D$108,MATCH(D26,Roster!$A$6:$A$108,0))&gt;=5,INDEX(Inputs!$B$15:$D$15,1,MATCH(A26,Inputs!$B$6:$D$6,0)),0)))))</x:f>
        <x:v>60</x:v>
      </x:c>
      <x:c r="M26" s="20" t="n">
        <x:f>G26*I26</x:f>
        <x:v>31135</x:v>
      </x:c>
      <x:c r="N26" s="20" t="n">
        <x:f>G26*J26</x:f>
        <x:v>19500</x:v>
      </x:c>
      <x:c r="O26" s="20" t="n">
        <x:f>G26*K26</x:f>
        <x:v>6227</x:v>
      </x:c>
      <x:c r="P26" s="20" t="n">
        <x:f>G26*L26</x:f>
        <x:v>780</x:v>
      </x:c>
      <x:c r="Q26" s="20" t="n">
        <x:f>H26*INDEX(Inputs!$B$13:$D$13,1,MATCH(A26,Inputs!$B$6:$D$6,0))</x:f>
        <x:v>390</x:v>
      </x:c>
      <x:c r="R26" s="20" t="n">
        <x:f>SUM(M26:Q26)</x:f>
        <x:v>58032</x:v>
      </x:c>
      <x:c r="S26" s="20" t="n">
        <x:f>IF(AND(A25=A26,D25=D26),S25+R26,R26)</x:f>
        <x:v>58032</x:v>
      </x:c>
      <x:c r="T26" s="20" t="n">
        <x:f>MIN(S26,INDEX(Inputs!$B$20:$D$20,1,MATCH(A26,Inputs!$B$6:$D$6,0)))*INDEX(Inputs!$B$22:$D$22,1,MATCH(A26,Inputs!$B$6:$D$6,0))+MAX(MIN(S26,INDEX(Inputs!$B$21:$D$21,1,MATCH(A26,Inputs!$B$6:$D$6,0)))-INDEX(Inputs!$B$20:$D$20,1,MATCH(A26,Inputs!$B$6:$D$6,0)),0)*INDEX(Inputs!$B$23:$D$23,1,MATCH(A26,Inputs!$B$6:$D$6,0))+MAX(S26-INDEX(Inputs!$B$21:$D$21,1,MATCH(A26,Inputs!$B$6:$D$6,0)),0)*INDEX(Inputs!$B$24:$D$24,1,MATCH(A26,Inputs!$B$6:$D$6,0))</x:f>
        <x:v>4929.448</x:v>
      </x:c>
      <x:c r="U26" s="20" t="n">
        <x:f>IF(AND(A25=A26,D25=D26),T25,0)</x:f>
        <x:v>0</x:v>
      </x:c>
      <x:c r="V26" s="20" t="n">
        <x:f>T26-U26</x:f>
        <x:v>4929.448</x:v>
      </x:c>
      <x:c r="W26" s="20" t="n">
        <x:f>R26+V26</x:f>
        <x:v>62961.448000000004</x:v>
      </x:c>
      <x:c r="X26" s="14" t="str">
        <x:f>IF(ABS(W26-SUM(M26:Q26)-V26)&lt;0.01,"OK","Check")</x:f>
        <x:v>OK</x:v>
      </x:c>
    </x:row>
    <x:row r="27">
      <x:c r="A27" s="14" t="n">
        <x:v>2026</x:v>
      </x:c>
      <x:c r="B27" s="14" t="str">
        <x:v>Q2</x:v>
      </x:c>
      <x:c r="C27" s="14" t="n">
        <x:v>2</x:v>
      </x:c>
      <x:c r="D27" s="14" t="n">
        <x:v>6</x:v>
      </x:c>
      <x:c r="E27" s="14" t="str">
        <x:f>INDEX(Roster!$B$6:$B$108,MATCH(D27,Roster!$A$6:$A$108,0))</x:f>
        <x:v>Principal</x:v>
      </x:c>
      <x:c r="F27" s="14" t="str">
        <x:f>INDEX(Roster!$F$6:$F$108,MATCH(D27,Roster!$A$6:$A$108,0))</x:f>
        <x:v>No</x:v>
      </x:c>
      <x:c r="G27" s="14" t="n">
        <x:f>INDEX(Inputs!$B$7:$D$7,1,MATCH(A27,Inputs!$B$6:$D$6,0))</x:f>
        <x:v>13</x:v>
      </x:c>
      <x:c r="H27" s="14" t="n">
        <x:f>MIN(=INDEX(Inputs!$B$7:$D$7,1,MATCH(A27,Inputs!$B$6:$D$6,0)),MAX(0,INDEX(Inputs!$B$14:$D$14,1,MATCH(A27,Inputs!$B$6:$D$6,0))-(C27-1)*=INDEX(Inputs!$B$7:$D$7,1,MATCH(A27,Inputs!$B$6:$D$6,0))))</x:f>
        <x:v>13</x:v>
      </x:c>
      <x:c r="I27" s="20" t="n">
        <x:f>INDEX(Inputs!$B$8:$D$8,1,MATCH(A27,Inputs!$B$6:$D$6,0))</x:f>
        <x:v>2395</x:v>
      </x:c>
      <x:c r="J27" s="20" t="n">
        <x:f>INDEX(Roster!$C$6:$C$108,MATCH(D27,Roster!$A$6:$A$108,0))*(1+INDEX(Inputs!$B$9:$D$9,1,MATCH(A27,Inputs!$B$6:$D$6,0)))</x:f>
        <x:v>1500</x:v>
      </x:c>
      <x:c r="K27" s="20" t="n">
        <x:f>IF(=INDEX(Roster!$F$6:$F$108,MATCH(D27,Roster!$A$6:$A$108,0))="Yes",0,=INDEX(Inputs!$B$8:$D$8,1,MATCH(A27,Inputs!$B$6:$D$6,0))*IF(=INDEX(Roster!$B$6:$B$108,MATCH(D27,Roster!$A$6:$A$108,0))="Principal",INDEX(Inputs!$B$10:$D$10,1,MATCH(A27,Inputs!$B$6:$D$6,0)),IF(=INDEX(Roster!$B$6:$B$108,MATCH(D27,Roster!$A$6:$A$108,0))="Associate Principal",INDEX(Inputs!$B$11:$D$11,1,MATCH(A27,Inputs!$B$6:$D$6,0)),IF(=INDEX(Roster!$B$6:$B$108,MATCH(D27,Roster!$A$6:$A$108,0))="Assistant Principal",INDEX(Inputs!$B$12:$D$12,1,MATCH(A27,Inputs!$B$6:$D$6,0)),0))))</x:f>
        <x:v>479</x:v>
      </x:c>
      <x:c r="L27" s="20" t="n">
        <x:f>IF(INDEX(Roster!$D$6:$D$108,MATCH(D27,Roster!$A$6:$A$108,0))&gt;=25,INDEX(Inputs!$B$19:$D$19,1,MATCH(A27,Inputs!$B$6:$D$6,0)),IF(INDEX(Roster!$D$6:$D$108,MATCH(D27,Roster!$A$6:$A$108,0))&gt;=20,INDEX(Inputs!$B$18:$D$18,1,MATCH(A27,Inputs!$B$6:$D$6,0)),IF(INDEX(Roster!$D$6:$D$108,MATCH(D27,Roster!$A$6:$A$108,0))&gt;=15,INDEX(Inputs!$B$17:$D$17,1,MATCH(A27,Inputs!$B$6:$D$6,0)),IF(INDEX(Roster!$D$6:$D$108,MATCH(D27,Roster!$A$6:$A$108,0))&gt;=10,INDEX(Inputs!$B$16:$D$16,1,MATCH(A27,Inputs!$B$6:$D$6,0)),IF(INDEX(Roster!$D$6:$D$108,MATCH(D27,Roster!$A$6:$A$108,0))&gt;=5,INDEX(Inputs!$B$15:$D$15,1,MATCH(A27,Inputs!$B$6:$D$6,0)),0)))))</x:f>
        <x:v>60</x:v>
      </x:c>
      <x:c r="M27" s="20" t="n">
        <x:f>G27*I27</x:f>
        <x:v>31135</x:v>
      </x:c>
      <x:c r="N27" s="20" t="n">
        <x:f>G27*J27</x:f>
        <x:v>19500</x:v>
      </x:c>
      <x:c r="O27" s="20" t="n">
        <x:f>G27*K27</x:f>
        <x:v>6227</x:v>
      </x:c>
      <x:c r="P27" s="20" t="n">
        <x:f>G27*L27</x:f>
        <x:v>780</x:v>
      </x:c>
      <x:c r="Q27" s="20" t="n">
        <x:f>H27*INDEX(Inputs!$B$13:$D$13,1,MATCH(A27,Inputs!$B$6:$D$6,0))</x:f>
        <x:v>390</x:v>
      </x:c>
      <x:c r="R27" s="20" t="n">
        <x:f>SUM(M27:Q27)</x:f>
        <x:v>58032</x:v>
      </x:c>
      <x:c r="S27" s="20" t="n">
        <x:f>IF(AND(A26=A27,D26=D27),S26+R27,R27)</x:f>
        <x:v>116064</x:v>
      </x:c>
      <x:c r="T27" s="20" t="n">
        <x:f>MIN(S27,INDEX(Inputs!$B$20:$D$20,1,MATCH(A27,Inputs!$B$6:$D$6,0)))*INDEX(Inputs!$B$22:$D$22,1,MATCH(A27,Inputs!$B$6:$D$6,0))+MAX(MIN(S27,INDEX(Inputs!$B$21:$D$21,1,MATCH(A27,Inputs!$B$6:$D$6,0)))-INDEX(Inputs!$B$20:$D$20,1,MATCH(A27,Inputs!$B$6:$D$6,0)),0)*INDEX(Inputs!$B$23:$D$23,1,MATCH(A27,Inputs!$B$6:$D$6,0))+MAX(S27-INDEX(Inputs!$B$21:$D$21,1,MATCH(A27,Inputs!$B$6:$D$6,0)),0)*INDEX(Inputs!$B$24:$D$24,1,MATCH(A27,Inputs!$B$6:$D$6,0))</x:f>
        <x:v>9368.896</x:v>
      </x:c>
      <x:c r="U27" s="20" t="n">
        <x:f>IF(AND(A26=A27,D26=D27),T26,0)</x:f>
        <x:v>4929.448</x:v>
      </x:c>
      <x:c r="V27" s="20" t="n">
        <x:f>T27-U27</x:f>
        <x:v>4439.448</x:v>
      </x:c>
      <x:c r="W27" s="20" t="n">
        <x:f>R27+V27</x:f>
        <x:v>62471.448000000004</x:v>
      </x:c>
      <x:c r="X27" s="14" t="str">
        <x:f>IF(ABS(W27-SUM(M27:Q27)-V27)&lt;0.01,"OK","Check")</x:f>
        <x:v>OK</x:v>
      </x:c>
    </x:row>
    <x:row r="28">
      <x:c r="A28" s="14" t="n">
        <x:v>2026</x:v>
      </x:c>
      <x:c r="B28" s="14" t="str">
        <x:v>Q3</x:v>
      </x:c>
      <x:c r="C28" s="14" t="n">
        <x:v>3</x:v>
      </x:c>
      <x:c r="D28" s="14" t="n">
        <x:v>6</x:v>
      </x:c>
      <x:c r="E28" s="14" t="str">
        <x:f>INDEX(Roster!$B$6:$B$108,MATCH(D28,Roster!$A$6:$A$108,0))</x:f>
        <x:v>Principal</x:v>
      </x:c>
      <x:c r="F28" s="14" t="str">
        <x:f>INDEX(Roster!$F$6:$F$108,MATCH(D28,Roster!$A$6:$A$108,0))</x:f>
        <x:v>No</x:v>
      </x:c>
      <x:c r="G28" s="14" t="n">
        <x:f>INDEX(Inputs!$B$7:$D$7,1,MATCH(A28,Inputs!$B$6:$D$6,0))</x:f>
        <x:v>13</x:v>
      </x:c>
      <x:c r="H28" s="14" t="n">
        <x:f>MIN(=INDEX(Inputs!$B$7:$D$7,1,MATCH(A28,Inputs!$B$6:$D$6,0)),MAX(0,INDEX(Inputs!$B$14:$D$14,1,MATCH(A28,Inputs!$B$6:$D$6,0))-(C28-1)*=INDEX(Inputs!$B$7:$D$7,1,MATCH(A28,Inputs!$B$6:$D$6,0))))</x:f>
        <x:v>13</x:v>
      </x:c>
      <x:c r="I28" s="20" t="n">
        <x:f>INDEX(Inputs!$B$8:$D$8,1,MATCH(A28,Inputs!$B$6:$D$6,0))</x:f>
        <x:v>2395</x:v>
      </x:c>
      <x:c r="J28" s="20" t="n">
        <x:f>INDEX(Roster!$C$6:$C$108,MATCH(D28,Roster!$A$6:$A$108,0))*(1+INDEX(Inputs!$B$9:$D$9,1,MATCH(A28,Inputs!$B$6:$D$6,0)))</x:f>
        <x:v>1500</x:v>
      </x:c>
      <x:c r="K28" s="20" t="n">
        <x:f>IF(=INDEX(Roster!$F$6:$F$108,MATCH(D28,Roster!$A$6:$A$108,0))="Yes",0,=INDEX(Inputs!$B$8:$D$8,1,MATCH(A28,Inputs!$B$6:$D$6,0))*IF(=INDEX(Roster!$B$6:$B$108,MATCH(D28,Roster!$A$6:$A$108,0))="Principal",INDEX(Inputs!$B$10:$D$10,1,MATCH(A28,Inputs!$B$6:$D$6,0)),IF(=INDEX(Roster!$B$6:$B$108,MATCH(D28,Roster!$A$6:$A$108,0))="Associate Principal",INDEX(Inputs!$B$11:$D$11,1,MATCH(A28,Inputs!$B$6:$D$6,0)),IF(=INDEX(Roster!$B$6:$B$108,MATCH(D28,Roster!$A$6:$A$108,0))="Assistant Principal",INDEX(Inputs!$B$12:$D$12,1,MATCH(A28,Inputs!$B$6:$D$6,0)),0))))</x:f>
        <x:v>479</x:v>
      </x:c>
      <x:c r="L28" s="20" t="n">
        <x:f>IF(INDEX(Roster!$D$6:$D$108,MATCH(D28,Roster!$A$6:$A$108,0))&gt;=25,INDEX(Inputs!$B$19:$D$19,1,MATCH(A28,Inputs!$B$6:$D$6,0)),IF(INDEX(Roster!$D$6:$D$108,MATCH(D28,Roster!$A$6:$A$108,0))&gt;=20,INDEX(Inputs!$B$18:$D$18,1,MATCH(A28,Inputs!$B$6:$D$6,0)),IF(INDEX(Roster!$D$6:$D$108,MATCH(D28,Roster!$A$6:$A$108,0))&gt;=15,INDEX(Inputs!$B$17:$D$17,1,MATCH(A28,Inputs!$B$6:$D$6,0)),IF(INDEX(Roster!$D$6:$D$108,MATCH(D28,Roster!$A$6:$A$108,0))&gt;=10,INDEX(Inputs!$B$16:$D$16,1,MATCH(A28,Inputs!$B$6:$D$6,0)),IF(INDEX(Roster!$D$6:$D$108,MATCH(D28,Roster!$A$6:$A$108,0))&gt;=5,INDEX(Inputs!$B$15:$D$15,1,MATCH(A28,Inputs!$B$6:$D$6,0)),0)))))</x:f>
        <x:v>60</x:v>
      </x:c>
      <x:c r="M28" s="20" t="n">
        <x:f>G28*I28</x:f>
        <x:v>31135</x:v>
      </x:c>
      <x:c r="N28" s="20" t="n">
        <x:f>G28*J28</x:f>
        <x:v>19500</x:v>
      </x:c>
      <x:c r="O28" s="20" t="n">
        <x:f>G28*K28</x:f>
        <x:v>6227</x:v>
      </x:c>
      <x:c r="P28" s="20" t="n">
        <x:f>G28*L28</x:f>
        <x:v>780</x:v>
      </x:c>
      <x:c r="Q28" s="20" t="n">
        <x:f>H28*INDEX(Inputs!$B$13:$D$13,1,MATCH(A28,Inputs!$B$6:$D$6,0))</x:f>
        <x:v>390</x:v>
      </x:c>
      <x:c r="R28" s="20" t="n">
        <x:f>SUM(M28:Q28)</x:f>
        <x:v>58032</x:v>
      </x:c>
      <x:c r="S28" s="20" t="n">
        <x:f>IF(AND(A27=A28,D27=D28),S27+R28,R28)</x:f>
        <x:v>174096</x:v>
      </x:c>
      <x:c r="T28" s="20" t="n">
        <x:f>MIN(S28,INDEX(Inputs!$B$20:$D$20,1,MATCH(A28,Inputs!$B$6:$D$6,0)))*INDEX(Inputs!$B$22:$D$22,1,MATCH(A28,Inputs!$B$6:$D$6,0))+MAX(MIN(S28,INDEX(Inputs!$B$21:$D$21,1,MATCH(A28,Inputs!$B$6:$D$6,0)))-INDEX(Inputs!$B$20:$D$20,1,MATCH(A28,Inputs!$B$6:$D$6,0)),0)*INDEX(Inputs!$B$23:$D$23,1,MATCH(A28,Inputs!$B$6:$D$6,0))+MAX(S28-INDEX(Inputs!$B$21:$D$21,1,MATCH(A28,Inputs!$B$6:$D$6,0)),0)*INDEX(Inputs!$B$24:$D$24,1,MATCH(A28,Inputs!$B$6:$D$6,0))</x:f>
        <x:v>10438.333999999999</x:v>
      </x:c>
      <x:c r="U28" s="20" t="n">
        <x:f>IF(AND(A27=A28,D27=D28),T27,0)</x:f>
        <x:v>9368.896</x:v>
      </x:c>
      <x:c r="V28" s="20" t="n">
        <x:f>T28-U28</x:f>
        <x:v>1069.4379999999983</x:v>
      </x:c>
      <x:c r="W28" s="20" t="n">
        <x:f>R28+V28</x:f>
        <x:v>59101.437999999995</x:v>
      </x:c>
      <x:c r="X28" s="14" t="str">
        <x:f>IF(ABS(W28-SUM(M28:Q28)-V28)&lt;0.01,"OK","Check")</x:f>
        <x:v>OK</x:v>
      </x:c>
    </x:row>
    <x:row r="29">
      <x:c r="A29" s="14" t="n">
        <x:v>2026</x:v>
      </x:c>
      <x:c r="B29" s="14" t="str">
        <x:v>Q4</x:v>
      </x:c>
      <x:c r="C29" s="14" t="n">
        <x:v>4</x:v>
      </x:c>
      <x:c r="D29" s="14" t="n">
        <x:v>6</x:v>
      </x:c>
      <x:c r="E29" s="14" t="str">
        <x:f>INDEX(Roster!$B$6:$B$108,MATCH(D29,Roster!$A$6:$A$108,0))</x:f>
        <x:v>Principal</x:v>
      </x:c>
      <x:c r="F29" s="14" t="str">
        <x:f>INDEX(Roster!$F$6:$F$108,MATCH(D29,Roster!$A$6:$A$108,0))</x:f>
        <x:v>No</x:v>
      </x:c>
      <x:c r="G29" s="14" t="n">
        <x:f>INDEX(Inputs!$B$7:$D$7,1,MATCH(A29,Inputs!$B$6:$D$6,0))</x:f>
        <x:v>13</x:v>
      </x:c>
      <x:c r="H29" s="14" t="n">
        <x:f>MIN(=INDEX(Inputs!$B$7:$D$7,1,MATCH(A29,Inputs!$B$6:$D$6,0)),MAX(0,INDEX(Inputs!$B$14:$D$14,1,MATCH(A29,Inputs!$B$6:$D$6,0))-(C29-1)*=INDEX(Inputs!$B$7:$D$7,1,MATCH(A29,Inputs!$B$6:$D$6,0))))</x:f>
        <x:v>0</x:v>
      </x:c>
      <x:c r="I29" s="20" t="n">
        <x:f>INDEX(Inputs!$B$8:$D$8,1,MATCH(A29,Inputs!$B$6:$D$6,0))</x:f>
        <x:v>2395</x:v>
      </x:c>
      <x:c r="J29" s="20" t="n">
        <x:f>INDEX(Roster!$C$6:$C$108,MATCH(D29,Roster!$A$6:$A$108,0))*(1+INDEX(Inputs!$B$9:$D$9,1,MATCH(A29,Inputs!$B$6:$D$6,0)))</x:f>
        <x:v>1500</x:v>
      </x:c>
      <x:c r="K29" s="20" t="n">
        <x:f>IF(=INDEX(Roster!$F$6:$F$108,MATCH(D29,Roster!$A$6:$A$108,0))="Yes",0,=INDEX(Inputs!$B$8:$D$8,1,MATCH(A29,Inputs!$B$6:$D$6,0))*IF(=INDEX(Roster!$B$6:$B$108,MATCH(D29,Roster!$A$6:$A$108,0))="Principal",INDEX(Inputs!$B$10:$D$10,1,MATCH(A29,Inputs!$B$6:$D$6,0)),IF(=INDEX(Roster!$B$6:$B$108,MATCH(D29,Roster!$A$6:$A$108,0))="Associate Principal",INDEX(Inputs!$B$11:$D$11,1,MATCH(A29,Inputs!$B$6:$D$6,0)),IF(=INDEX(Roster!$B$6:$B$108,MATCH(D29,Roster!$A$6:$A$108,0))="Assistant Principal",INDEX(Inputs!$B$12:$D$12,1,MATCH(A29,Inputs!$B$6:$D$6,0)),0))))</x:f>
        <x:v>479</x:v>
      </x:c>
      <x:c r="L29" s="20" t="n">
        <x:f>IF(INDEX(Roster!$D$6:$D$108,MATCH(D29,Roster!$A$6:$A$108,0))&gt;=25,INDEX(Inputs!$B$19:$D$19,1,MATCH(A29,Inputs!$B$6:$D$6,0)),IF(INDEX(Roster!$D$6:$D$108,MATCH(D29,Roster!$A$6:$A$108,0))&gt;=20,INDEX(Inputs!$B$18:$D$18,1,MATCH(A29,Inputs!$B$6:$D$6,0)),IF(INDEX(Roster!$D$6:$D$108,MATCH(D29,Roster!$A$6:$A$108,0))&gt;=15,INDEX(Inputs!$B$17:$D$17,1,MATCH(A29,Inputs!$B$6:$D$6,0)),IF(INDEX(Roster!$D$6:$D$108,MATCH(D29,Roster!$A$6:$A$108,0))&gt;=10,INDEX(Inputs!$B$16:$D$16,1,MATCH(A29,Inputs!$B$6:$D$6,0)),IF(INDEX(Roster!$D$6:$D$108,MATCH(D29,Roster!$A$6:$A$108,0))&gt;=5,INDEX(Inputs!$B$15:$D$15,1,MATCH(A29,Inputs!$B$6:$D$6,0)),0)))))</x:f>
        <x:v>60</x:v>
      </x:c>
      <x:c r="M29" s="20" t="n">
        <x:f>G29*I29</x:f>
        <x:v>31135</x:v>
      </x:c>
      <x:c r="N29" s="20" t="n">
        <x:f>G29*J29</x:f>
        <x:v>19500</x:v>
      </x:c>
      <x:c r="O29" s="20" t="n">
        <x:f>G29*K29</x:f>
        <x:v>6227</x:v>
      </x:c>
      <x:c r="P29" s="20" t="n">
        <x:f>G29*L29</x:f>
        <x:v>780</x:v>
      </x:c>
      <x:c r="Q29" s="20" t="n">
        <x:f>H29*INDEX(Inputs!$B$13:$D$13,1,MATCH(A29,Inputs!$B$6:$D$6,0))</x:f>
        <x:v>0</x:v>
      </x:c>
      <x:c r="R29" s="20" t="n">
        <x:f>SUM(M29:Q29)</x:f>
        <x:v>57642</x:v>
      </x:c>
      <x:c r="S29" s="20" t="n">
        <x:f>IF(AND(A28=A29,D28=D29),S28+R29,R29)</x:f>
        <x:v>231738</x:v>
      </x:c>
      <x:c r="T29" s="20" t="n">
        <x:f>MIN(S29,INDEX(Inputs!$B$20:$D$20,1,MATCH(A29,Inputs!$B$6:$D$6,0)))*INDEX(Inputs!$B$22:$D$22,1,MATCH(A29,Inputs!$B$6:$D$6,0))+MAX(MIN(S29,INDEX(Inputs!$B$21:$D$21,1,MATCH(A29,Inputs!$B$6:$D$6,0)))-INDEX(Inputs!$B$20:$D$20,1,MATCH(A29,Inputs!$B$6:$D$6,0)),0)*INDEX(Inputs!$B$23:$D$23,1,MATCH(A29,Inputs!$B$6:$D$6,0))+MAX(S29-INDEX(Inputs!$B$21:$D$21,1,MATCH(A29,Inputs!$B$6:$D$6,0)),0)*INDEX(Inputs!$B$24:$D$24,1,MATCH(A29,Inputs!$B$6:$D$6,0))</x:f>
        <x:v>11274.143</x:v>
      </x:c>
      <x:c r="U29" s="20" t="n">
        <x:f>IF(AND(A28=A29,D28=D29),T28,0)</x:f>
        <x:v>10438.333999999999</x:v>
      </x:c>
      <x:c r="V29" s="20" t="n">
        <x:f>T29-U29</x:f>
        <x:v>835.8090000000011</x:v>
      </x:c>
      <x:c r="W29" s="20" t="n">
        <x:f>R29+V29</x:f>
        <x:v>58477.809</x:v>
      </x:c>
      <x:c r="X29" s="14" t="str">
        <x:f>IF(ABS(W29-SUM(M29:Q29)-V29)&lt;0.01,"OK","Check")</x:f>
        <x:v>OK</x:v>
      </x:c>
    </x:row>
    <x:row r="30">
      <x:c r="A30" s="14" t="n">
        <x:v>2026</x:v>
      </x:c>
      <x:c r="B30" s="14" t="str">
        <x:v>Q1</x:v>
      </x:c>
      <x:c r="C30" s="14" t="n">
        <x:v>1</x:v>
      </x:c>
      <x:c r="D30" s="14" t="n">
        <x:v>7</x:v>
      </x:c>
      <x:c r="E30" s="14" t="str">
        <x:f>INDEX(Roster!$B$6:$B$108,MATCH(D30,Roster!$A$6:$A$108,0))</x:f>
        <x:v>Principal</x:v>
      </x:c>
      <x:c r="F30" s="14" t="str">
        <x:f>INDEX(Roster!$F$6:$F$108,MATCH(D30,Roster!$A$6:$A$108,0))</x:f>
        <x:v>No</x:v>
      </x:c>
      <x:c r="G30" s="14" t="n">
        <x:f>INDEX(Inputs!$B$7:$D$7,1,MATCH(A30,Inputs!$B$6:$D$6,0))</x:f>
        <x:v>13</x:v>
      </x:c>
      <x:c r="H30" s="14" t="n">
        <x:f>MIN(=INDEX(Inputs!$B$7:$D$7,1,MATCH(A30,Inputs!$B$6:$D$6,0)),MAX(0,INDEX(Inputs!$B$14:$D$14,1,MATCH(A30,Inputs!$B$6:$D$6,0))-(C30-1)*=INDEX(Inputs!$B$7:$D$7,1,MATCH(A30,Inputs!$B$6:$D$6,0))))</x:f>
        <x:v>13</x:v>
      </x:c>
      <x:c r="I30" s="20" t="n">
        <x:f>INDEX(Inputs!$B$8:$D$8,1,MATCH(A30,Inputs!$B$6:$D$6,0))</x:f>
        <x:v>2395</x:v>
      </x:c>
      <x:c r="J30" s="20" t="n">
        <x:f>INDEX(Roster!$C$6:$C$108,MATCH(D30,Roster!$A$6:$A$108,0))*(1+INDEX(Inputs!$B$9:$D$9,1,MATCH(A30,Inputs!$B$6:$D$6,0)))</x:f>
        <x:v>1400</x:v>
      </x:c>
      <x:c r="K30" s="20" t="n">
        <x:f>IF(=INDEX(Roster!$F$6:$F$108,MATCH(D30,Roster!$A$6:$A$108,0))="Yes",0,=INDEX(Inputs!$B$8:$D$8,1,MATCH(A30,Inputs!$B$6:$D$6,0))*IF(=INDEX(Roster!$B$6:$B$108,MATCH(D30,Roster!$A$6:$A$108,0))="Principal",INDEX(Inputs!$B$10:$D$10,1,MATCH(A30,Inputs!$B$6:$D$6,0)),IF(=INDEX(Roster!$B$6:$B$108,MATCH(D30,Roster!$A$6:$A$108,0))="Associate Principal",INDEX(Inputs!$B$11:$D$11,1,MATCH(A30,Inputs!$B$6:$D$6,0)),IF(=INDEX(Roster!$B$6:$B$108,MATCH(D30,Roster!$A$6:$A$108,0))="Assistant Principal",INDEX(Inputs!$B$12:$D$12,1,MATCH(A30,Inputs!$B$6:$D$6,0)),0))))</x:f>
        <x:v>479</x:v>
      </x:c>
      <x:c r="L30" s="20" t="n">
        <x:f>IF(INDEX(Roster!$D$6:$D$108,MATCH(D30,Roster!$A$6:$A$108,0))&gt;=25,INDEX(Inputs!$B$19:$D$19,1,MATCH(A30,Inputs!$B$6:$D$6,0)),IF(INDEX(Roster!$D$6:$D$108,MATCH(D30,Roster!$A$6:$A$108,0))&gt;=20,INDEX(Inputs!$B$18:$D$18,1,MATCH(A30,Inputs!$B$6:$D$6,0)),IF(INDEX(Roster!$D$6:$D$108,MATCH(D30,Roster!$A$6:$A$108,0))&gt;=15,INDEX(Inputs!$B$17:$D$17,1,MATCH(A30,Inputs!$B$6:$D$6,0)),IF(INDEX(Roster!$D$6:$D$108,MATCH(D30,Roster!$A$6:$A$108,0))&gt;=10,INDEX(Inputs!$B$16:$D$16,1,MATCH(A30,Inputs!$B$6:$D$6,0)),IF(INDEX(Roster!$D$6:$D$108,MATCH(D30,Roster!$A$6:$A$108,0))&gt;=5,INDEX(Inputs!$B$15:$D$15,1,MATCH(A30,Inputs!$B$6:$D$6,0)),0)))))</x:f>
        <x:v>50</x:v>
      </x:c>
      <x:c r="M30" s="20" t="n">
        <x:f>G30*I30</x:f>
        <x:v>31135</x:v>
      </x:c>
      <x:c r="N30" s="20" t="n">
        <x:f>G30*J30</x:f>
        <x:v>18200</x:v>
      </x:c>
      <x:c r="O30" s="20" t="n">
        <x:f>G30*K30</x:f>
        <x:v>6227</x:v>
      </x:c>
      <x:c r="P30" s="20" t="n">
        <x:f>G30*L30</x:f>
        <x:v>650</x:v>
      </x:c>
      <x:c r="Q30" s="20" t="n">
        <x:f>H30*INDEX(Inputs!$B$13:$D$13,1,MATCH(A30,Inputs!$B$6:$D$6,0))</x:f>
        <x:v>390</x:v>
      </x:c>
      <x:c r="R30" s="20" t="n">
        <x:f>SUM(M30:Q30)</x:f>
        <x:v>56602</x:v>
      </x:c>
      <x:c r="S30" s="20" t="n">
        <x:f>IF(AND(A29=A30,D29=D30),S29+R30,R30)</x:f>
        <x:v>56602</x:v>
      </x:c>
      <x:c r="T30" s="20" t="n">
        <x:f>MIN(S30,INDEX(Inputs!$B$20:$D$20,1,MATCH(A30,Inputs!$B$6:$D$6,0)))*INDEX(Inputs!$B$22:$D$22,1,MATCH(A30,Inputs!$B$6:$D$6,0))+MAX(MIN(S30,INDEX(Inputs!$B$21:$D$21,1,MATCH(A30,Inputs!$B$6:$D$6,0)))-INDEX(Inputs!$B$20:$D$20,1,MATCH(A30,Inputs!$B$6:$D$6,0)),0)*INDEX(Inputs!$B$23:$D$23,1,MATCH(A30,Inputs!$B$6:$D$6,0))+MAX(S30-INDEX(Inputs!$B$21:$D$21,1,MATCH(A30,Inputs!$B$6:$D$6,0)),0)*INDEX(Inputs!$B$24:$D$24,1,MATCH(A30,Inputs!$B$6:$D$6,0))</x:f>
        <x:v>4820.053</x:v>
      </x:c>
      <x:c r="U30" s="20" t="n">
        <x:f>IF(AND(A29=A30,D29=D30),T29,0)</x:f>
        <x:v>0</x:v>
      </x:c>
      <x:c r="V30" s="20" t="n">
        <x:f>T30-U30</x:f>
        <x:v>4820.053</x:v>
      </x:c>
      <x:c r="W30" s="20" t="n">
        <x:f>R30+V30</x:f>
        <x:v>61422.053</x:v>
      </x:c>
      <x:c r="X30" s="14" t="str">
        <x:f>IF(ABS(W30-SUM(M30:Q30)-V30)&lt;0.01,"OK","Check")</x:f>
        <x:v>OK</x:v>
      </x:c>
    </x:row>
    <x:row r="31">
      <x:c r="A31" s="14" t="n">
        <x:v>2026</x:v>
      </x:c>
      <x:c r="B31" s="14" t="str">
        <x:v>Q2</x:v>
      </x:c>
      <x:c r="C31" s="14" t="n">
        <x:v>2</x:v>
      </x:c>
      <x:c r="D31" s="14" t="n">
        <x:v>7</x:v>
      </x:c>
      <x:c r="E31" s="14" t="str">
        <x:f>INDEX(Roster!$B$6:$B$108,MATCH(D31,Roster!$A$6:$A$108,0))</x:f>
        <x:v>Principal</x:v>
      </x:c>
      <x:c r="F31" s="14" t="str">
        <x:f>INDEX(Roster!$F$6:$F$108,MATCH(D31,Roster!$A$6:$A$108,0))</x:f>
        <x:v>No</x:v>
      </x:c>
      <x:c r="G31" s="14" t="n">
        <x:f>INDEX(Inputs!$B$7:$D$7,1,MATCH(A31,Inputs!$B$6:$D$6,0))</x:f>
        <x:v>13</x:v>
      </x:c>
      <x:c r="H31" s="14" t="n">
        <x:f>MIN(=INDEX(Inputs!$B$7:$D$7,1,MATCH(A31,Inputs!$B$6:$D$6,0)),MAX(0,INDEX(Inputs!$B$14:$D$14,1,MATCH(A31,Inputs!$B$6:$D$6,0))-(C31-1)*=INDEX(Inputs!$B$7:$D$7,1,MATCH(A31,Inputs!$B$6:$D$6,0))))</x:f>
        <x:v>13</x:v>
      </x:c>
      <x:c r="I31" s="20" t="n">
        <x:f>INDEX(Inputs!$B$8:$D$8,1,MATCH(A31,Inputs!$B$6:$D$6,0))</x:f>
        <x:v>2395</x:v>
      </x:c>
      <x:c r="J31" s="20" t="n">
        <x:f>INDEX(Roster!$C$6:$C$108,MATCH(D31,Roster!$A$6:$A$108,0))*(1+INDEX(Inputs!$B$9:$D$9,1,MATCH(A31,Inputs!$B$6:$D$6,0)))</x:f>
        <x:v>1400</x:v>
      </x:c>
      <x:c r="K31" s="20" t="n">
        <x:f>IF(=INDEX(Roster!$F$6:$F$108,MATCH(D31,Roster!$A$6:$A$108,0))="Yes",0,=INDEX(Inputs!$B$8:$D$8,1,MATCH(A31,Inputs!$B$6:$D$6,0))*IF(=INDEX(Roster!$B$6:$B$108,MATCH(D31,Roster!$A$6:$A$108,0))="Principal",INDEX(Inputs!$B$10:$D$10,1,MATCH(A31,Inputs!$B$6:$D$6,0)),IF(=INDEX(Roster!$B$6:$B$108,MATCH(D31,Roster!$A$6:$A$108,0))="Associate Principal",INDEX(Inputs!$B$11:$D$11,1,MATCH(A31,Inputs!$B$6:$D$6,0)),IF(=INDEX(Roster!$B$6:$B$108,MATCH(D31,Roster!$A$6:$A$108,0))="Assistant Principal",INDEX(Inputs!$B$12:$D$12,1,MATCH(A31,Inputs!$B$6:$D$6,0)),0))))</x:f>
        <x:v>479</x:v>
      </x:c>
      <x:c r="L31" s="20" t="n">
        <x:f>IF(INDEX(Roster!$D$6:$D$108,MATCH(D31,Roster!$A$6:$A$108,0))&gt;=25,INDEX(Inputs!$B$19:$D$19,1,MATCH(A31,Inputs!$B$6:$D$6,0)),IF(INDEX(Roster!$D$6:$D$108,MATCH(D31,Roster!$A$6:$A$108,0))&gt;=20,INDEX(Inputs!$B$18:$D$18,1,MATCH(A31,Inputs!$B$6:$D$6,0)),IF(INDEX(Roster!$D$6:$D$108,MATCH(D31,Roster!$A$6:$A$108,0))&gt;=15,INDEX(Inputs!$B$17:$D$17,1,MATCH(A31,Inputs!$B$6:$D$6,0)),IF(INDEX(Roster!$D$6:$D$108,MATCH(D31,Roster!$A$6:$A$108,0))&gt;=10,INDEX(Inputs!$B$16:$D$16,1,MATCH(A31,Inputs!$B$6:$D$6,0)),IF(INDEX(Roster!$D$6:$D$108,MATCH(D31,Roster!$A$6:$A$108,0))&gt;=5,INDEX(Inputs!$B$15:$D$15,1,MATCH(A31,Inputs!$B$6:$D$6,0)),0)))))</x:f>
        <x:v>50</x:v>
      </x:c>
      <x:c r="M31" s="20" t="n">
        <x:f>G31*I31</x:f>
        <x:v>31135</x:v>
      </x:c>
      <x:c r="N31" s="20" t="n">
        <x:f>G31*J31</x:f>
        <x:v>18200</x:v>
      </x:c>
      <x:c r="O31" s="20" t="n">
        <x:f>G31*K31</x:f>
        <x:v>6227</x:v>
      </x:c>
      <x:c r="P31" s="20" t="n">
        <x:f>G31*L31</x:f>
        <x:v>650</x:v>
      </x:c>
      <x:c r="Q31" s="20" t="n">
        <x:f>H31*INDEX(Inputs!$B$13:$D$13,1,MATCH(A31,Inputs!$B$6:$D$6,0))</x:f>
        <x:v>390</x:v>
      </x:c>
      <x:c r="R31" s="20" t="n">
        <x:f>SUM(M31:Q31)</x:f>
        <x:v>56602</x:v>
      </x:c>
      <x:c r="S31" s="20" t="n">
        <x:f>IF(AND(A30=A31,D30=D31),S30+R31,R31)</x:f>
        <x:v>113204</x:v>
      </x:c>
      <x:c r="T31" s="20" t="n">
        <x:f>MIN(S31,INDEX(Inputs!$B$20:$D$20,1,MATCH(A31,Inputs!$B$6:$D$6,0)))*INDEX(Inputs!$B$22:$D$22,1,MATCH(A31,Inputs!$B$6:$D$6,0))+MAX(MIN(S31,INDEX(Inputs!$B$21:$D$21,1,MATCH(A31,Inputs!$B$6:$D$6,0)))-INDEX(Inputs!$B$20:$D$20,1,MATCH(A31,Inputs!$B$6:$D$6,0)),0)*INDEX(Inputs!$B$23:$D$23,1,MATCH(A31,Inputs!$B$6:$D$6,0))+MAX(S31-INDEX(Inputs!$B$21:$D$21,1,MATCH(A31,Inputs!$B$6:$D$6,0)),0)*INDEX(Inputs!$B$24:$D$24,1,MATCH(A31,Inputs!$B$6:$D$6,0))</x:f>
        <x:v>9150.106</x:v>
      </x:c>
      <x:c r="U31" s="20" t="n">
        <x:f>IF(AND(A30=A31,D30=D31),T30,0)</x:f>
        <x:v>4820.053</x:v>
      </x:c>
      <x:c r="V31" s="20" t="n">
        <x:f>T31-U31</x:f>
        <x:v>4330.053</x:v>
      </x:c>
      <x:c r="W31" s="20" t="n">
        <x:f>R31+V31</x:f>
        <x:v>60932.053</x:v>
      </x:c>
      <x:c r="X31" s="14" t="str">
        <x:f>IF(ABS(W31-SUM(M31:Q31)-V31)&lt;0.01,"OK","Check")</x:f>
        <x:v>OK</x:v>
      </x:c>
    </x:row>
    <x:row r="32">
      <x:c r="A32" s="14" t="n">
        <x:v>2026</x:v>
      </x:c>
      <x:c r="B32" s="14" t="str">
        <x:v>Q3</x:v>
      </x:c>
      <x:c r="C32" s="14" t="n">
        <x:v>3</x:v>
      </x:c>
      <x:c r="D32" s="14" t="n">
        <x:v>7</x:v>
      </x:c>
      <x:c r="E32" s="14" t="str">
        <x:f>INDEX(Roster!$B$6:$B$108,MATCH(D32,Roster!$A$6:$A$108,0))</x:f>
        <x:v>Principal</x:v>
      </x:c>
      <x:c r="F32" s="14" t="str">
        <x:f>INDEX(Roster!$F$6:$F$108,MATCH(D32,Roster!$A$6:$A$108,0))</x:f>
        <x:v>No</x:v>
      </x:c>
      <x:c r="G32" s="14" t="n">
        <x:f>INDEX(Inputs!$B$7:$D$7,1,MATCH(A32,Inputs!$B$6:$D$6,0))</x:f>
        <x:v>13</x:v>
      </x:c>
      <x:c r="H32" s="14" t="n">
        <x:f>MIN(=INDEX(Inputs!$B$7:$D$7,1,MATCH(A32,Inputs!$B$6:$D$6,0)),MAX(0,INDEX(Inputs!$B$14:$D$14,1,MATCH(A32,Inputs!$B$6:$D$6,0))-(C32-1)*=INDEX(Inputs!$B$7:$D$7,1,MATCH(A32,Inputs!$B$6:$D$6,0))))</x:f>
        <x:v>13</x:v>
      </x:c>
      <x:c r="I32" s="20" t="n">
        <x:f>INDEX(Inputs!$B$8:$D$8,1,MATCH(A32,Inputs!$B$6:$D$6,0))</x:f>
        <x:v>2395</x:v>
      </x:c>
      <x:c r="J32" s="20" t="n">
        <x:f>INDEX(Roster!$C$6:$C$108,MATCH(D32,Roster!$A$6:$A$108,0))*(1+INDEX(Inputs!$B$9:$D$9,1,MATCH(A32,Inputs!$B$6:$D$6,0)))</x:f>
        <x:v>1400</x:v>
      </x:c>
      <x:c r="K32" s="20" t="n">
        <x:f>IF(=INDEX(Roster!$F$6:$F$108,MATCH(D32,Roster!$A$6:$A$108,0))="Yes",0,=INDEX(Inputs!$B$8:$D$8,1,MATCH(A32,Inputs!$B$6:$D$6,0))*IF(=INDEX(Roster!$B$6:$B$108,MATCH(D32,Roster!$A$6:$A$108,0))="Principal",INDEX(Inputs!$B$10:$D$10,1,MATCH(A32,Inputs!$B$6:$D$6,0)),IF(=INDEX(Roster!$B$6:$B$108,MATCH(D32,Roster!$A$6:$A$108,0))="Associate Principal",INDEX(Inputs!$B$11:$D$11,1,MATCH(A32,Inputs!$B$6:$D$6,0)),IF(=INDEX(Roster!$B$6:$B$108,MATCH(D32,Roster!$A$6:$A$108,0))="Assistant Principal",INDEX(Inputs!$B$12:$D$12,1,MATCH(A32,Inputs!$B$6:$D$6,0)),0))))</x:f>
        <x:v>479</x:v>
      </x:c>
      <x:c r="L32" s="20" t="n">
        <x:f>IF(INDEX(Roster!$D$6:$D$108,MATCH(D32,Roster!$A$6:$A$108,0))&gt;=25,INDEX(Inputs!$B$19:$D$19,1,MATCH(A32,Inputs!$B$6:$D$6,0)),IF(INDEX(Roster!$D$6:$D$108,MATCH(D32,Roster!$A$6:$A$108,0))&gt;=20,INDEX(Inputs!$B$18:$D$18,1,MATCH(A32,Inputs!$B$6:$D$6,0)),IF(INDEX(Roster!$D$6:$D$108,MATCH(D32,Roster!$A$6:$A$108,0))&gt;=15,INDEX(Inputs!$B$17:$D$17,1,MATCH(A32,Inputs!$B$6:$D$6,0)),IF(INDEX(Roster!$D$6:$D$108,MATCH(D32,Roster!$A$6:$A$108,0))&gt;=10,INDEX(Inputs!$B$16:$D$16,1,MATCH(A32,Inputs!$B$6:$D$6,0)),IF(INDEX(Roster!$D$6:$D$108,MATCH(D32,Roster!$A$6:$A$108,0))&gt;=5,INDEX(Inputs!$B$15:$D$15,1,MATCH(A32,Inputs!$B$6:$D$6,0)),0)))))</x:f>
        <x:v>50</x:v>
      </x:c>
      <x:c r="M32" s="20" t="n">
        <x:f>G32*I32</x:f>
        <x:v>31135</x:v>
      </x:c>
      <x:c r="N32" s="20" t="n">
        <x:f>G32*J32</x:f>
        <x:v>18200</x:v>
      </x:c>
      <x:c r="O32" s="20" t="n">
        <x:f>G32*K32</x:f>
        <x:v>6227</x:v>
      </x:c>
      <x:c r="P32" s="20" t="n">
        <x:f>G32*L32</x:f>
        <x:v>650</x:v>
      </x:c>
      <x:c r="Q32" s="20" t="n">
        <x:f>H32*INDEX(Inputs!$B$13:$D$13,1,MATCH(A32,Inputs!$B$6:$D$6,0))</x:f>
        <x:v>390</x:v>
      </x:c>
      <x:c r="R32" s="20" t="n">
        <x:f>SUM(M32:Q32)</x:f>
        <x:v>56602</x:v>
      </x:c>
      <x:c r="S32" s="20" t="n">
        <x:f>IF(AND(A31=A32,D31=D32),S31+R32,R32)</x:f>
        <x:v>169806</x:v>
      </x:c>
      <x:c r="T32" s="20" t="n">
        <x:f>MIN(S32,INDEX(Inputs!$B$20:$D$20,1,MATCH(A32,Inputs!$B$6:$D$6,0)))*INDEX(Inputs!$B$22:$D$22,1,MATCH(A32,Inputs!$B$6:$D$6,0))+MAX(MIN(S32,INDEX(Inputs!$B$21:$D$21,1,MATCH(A32,Inputs!$B$6:$D$6,0)))-INDEX(Inputs!$B$20:$D$20,1,MATCH(A32,Inputs!$B$6:$D$6,0)),0)*INDEX(Inputs!$B$23:$D$23,1,MATCH(A32,Inputs!$B$6:$D$6,0))+MAX(S32-INDEX(Inputs!$B$21:$D$21,1,MATCH(A32,Inputs!$B$6:$D$6,0)),0)*INDEX(Inputs!$B$24:$D$24,1,MATCH(A32,Inputs!$B$6:$D$6,0))</x:f>
        <x:v>10376.128999999999</x:v>
      </x:c>
      <x:c r="U32" s="20" t="n">
        <x:f>IF(AND(A31=A32,D31=D32),T31,0)</x:f>
        <x:v>9150.106</x:v>
      </x:c>
      <x:c r="V32" s="20" t="n">
        <x:f>T32-U32</x:f>
        <x:v>1226.0229999999992</x:v>
      </x:c>
      <x:c r="W32" s="20" t="n">
        <x:f>R32+V32</x:f>
        <x:v>57828.023</x:v>
      </x:c>
      <x:c r="X32" s="14" t="str">
        <x:f>IF(ABS(W32-SUM(M32:Q32)-V32)&lt;0.01,"OK","Check")</x:f>
        <x:v>OK</x:v>
      </x:c>
    </x:row>
    <x:row r="33">
      <x:c r="A33" s="14" t="n">
        <x:v>2026</x:v>
      </x:c>
      <x:c r="B33" s="14" t="str">
        <x:v>Q4</x:v>
      </x:c>
      <x:c r="C33" s="14" t="n">
        <x:v>4</x:v>
      </x:c>
      <x:c r="D33" s="14" t="n">
        <x:v>7</x:v>
      </x:c>
      <x:c r="E33" s="14" t="str">
        <x:f>INDEX(Roster!$B$6:$B$108,MATCH(D33,Roster!$A$6:$A$108,0))</x:f>
        <x:v>Principal</x:v>
      </x:c>
      <x:c r="F33" s="14" t="str">
        <x:f>INDEX(Roster!$F$6:$F$108,MATCH(D33,Roster!$A$6:$A$108,0))</x:f>
        <x:v>No</x:v>
      </x:c>
      <x:c r="G33" s="14" t="n">
        <x:f>INDEX(Inputs!$B$7:$D$7,1,MATCH(A33,Inputs!$B$6:$D$6,0))</x:f>
        <x:v>13</x:v>
      </x:c>
      <x:c r="H33" s="14" t="n">
        <x:f>MIN(=INDEX(Inputs!$B$7:$D$7,1,MATCH(A33,Inputs!$B$6:$D$6,0)),MAX(0,INDEX(Inputs!$B$14:$D$14,1,MATCH(A33,Inputs!$B$6:$D$6,0))-(C33-1)*=INDEX(Inputs!$B$7:$D$7,1,MATCH(A33,Inputs!$B$6:$D$6,0))))</x:f>
        <x:v>0</x:v>
      </x:c>
      <x:c r="I33" s="20" t="n">
        <x:f>INDEX(Inputs!$B$8:$D$8,1,MATCH(A33,Inputs!$B$6:$D$6,0))</x:f>
        <x:v>2395</x:v>
      </x:c>
      <x:c r="J33" s="20" t="n">
        <x:f>INDEX(Roster!$C$6:$C$108,MATCH(D33,Roster!$A$6:$A$108,0))*(1+INDEX(Inputs!$B$9:$D$9,1,MATCH(A33,Inputs!$B$6:$D$6,0)))</x:f>
        <x:v>1400</x:v>
      </x:c>
      <x:c r="K33" s="20" t="n">
        <x:f>IF(=INDEX(Roster!$F$6:$F$108,MATCH(D33,Roster!$A$6:$A$108,0))="Yes",0,=INDEX(Inputs!$B$8:$D$8,1,MATCH(A33,Inputs!$B$6:$D$6,0))*IF(=INDEX(Roster!$B$6:$B$108,MATCH(D33,Roster!$A$6:$A$108,0))="Principal",INDEX(Inputs!$B$10:$D$10,1,MATCH(A33,Inputs!$B$6:$D$6,0)),IF(=INDEX(Roster!$B$6:$B$108,MATCH(D33,Roster!$A$6:$A$108,0))="Associate Principal",INDEX(Inputs!$B$11:$D$11,1,MATCH(A33,Inputs!$B$6:$D$6,0)),IF(=INDEX(Roster!$B$6:$B$108,MATCH(D33,Roster!$A$6:$A$108,0))="Assistant Principal",INDEX(Inputs!$B$12:$D$12,1,MATCH(A33,Inputs!$B$6:$D$6,0)),0))))</x:f>
        <x:v>479</x:v>
      </x:c>
      <x:c r="L33" s="20" t="n">
        <x:f>IF(INDEX(Roster!$D$6:$D$108,MATCH(D33,Roster!$A$6:$A$108,0))&gt;=25,INDEX(Inputs!$B$19:$D$19,1,MATCH(A33,Inputs!$B$6:$D$6,0)),IF(INDEX(Roster!$D$6:$D$108,MATCH(D33,Roster!$A$6:$A$108,0))&gt;=20,INDEX(Inputs!$B$18:$D$18,1,MATCH(A33,Inputs!$B$6:$D$6,0)),IF(INDEX(Roster!$D$6:$D$108,MATCH(D33,Roster!$A$6:$A$108,0))&gt;=15,INDEX(Inputs!$B$17:$D$17,1,MATCH(A33,Inputs!$B$6:$D$6,0)),IF(INDEX(Roster!$D$6:$D$108,MATCH(D33,Roster!$A$6:$A$108,0))&gt;=10,INDEX(Inputs!$B$16:$D$16,1,MATCH(A33,Inputs!$B$6:$D$6,0)),IF(INDEX(Roster!$D$6:$D$108,MATCH(D33,Roster!$A$6:$A$108,0))&gt;=5,INDEX(Inputs!$B$15:$D$15,1,MATCH(A33,Inputs!$B$6:$D$6,0)),0)))))</x:f>
        <x:v>50</x:v>
      </x:c>
      <x:c r="M33" s="20" t="n">
        <x:f>G33*I33</x:f>
        <x:v>31135</x:v>
      </x:c>
      <x:c r="N33" s="20" t="n">
        <x:f>G33*J33</x:f>
        <x:v>18200</x:v>
      </x:c>
      <x:c r="O33" s="20" t="n">
        <x:f>G33*K33</x:f>
        <x:v>6227</x:v>
      </x:c>
      <x:c r="P33" s="20" t="n">
        <x:f>G33*L33</x:f>
        <x:v>650</x:v>
      </x:c>
      <x:c r="Q33" s="20" t="n">
        <x:f>H33*INDEX(Inputs!$B$13:$D$13,1,MATCH(A33,Inputs!$B$6:$D$6,0))</x:f>
        <x:v>0</x:v>
      </x:c>
      <x:c r="R33" s="20" t="n">
        <x:f>SUM(M33:Q33)</x:f>
        <x:v>56212</x:v>
      </x:c>
      <x:c r="S33" s="20" t="n">
        <x:f>IF(AND(A32=A33,D32=D33),S32+R33,R33)</x:f>
        <x:v>226018</x:v>
      </x:c>
      <x:c r="T33" s="20" t="n">
        <x:f>MIN(S33,INDEX(Inputs!$B$20:$D$20,1,MATCH(A33,Inputs!$B$6:$D$6,0)))*INDEX(Inputs!$B$22:$D$22,1,MATCH(A33,Inputs!$B$6:$D$6,0))+MAX(MIN(S33,INDEX(Inputs!$B$21:$D$21,1,MATCH(A33,Inputs!$B$6:$D$6,0)))-INDEX(Inputs!$B$20:$D$20,1,MATCH(A33,Inputs!$B$6:$D$6,0)),0)*INDEX(Inputs!$B$23:$D$23,1,MATCH(A33,Inputs!$B$6:$D$6,0))+MAX(S33-INDEX(Inputs!$B$21:$D$21,1,MATCH(A33,Inputs!$B$6:$D$6,0)),0)*INDEX(Inputs!$B$24:$D$24,1,MATCH(A33,Inputs!$B$6:$D$6,0))</x:f>
        <x:v>11191.203</x:v>
      </x:c>
      <x:c r="U33" s="20" t="n">
        <x:f>IF(AND(A32=A33,D32=D33),T32,0)</x:f>
        <x:v>10376.128999999999</x:v>
      </x:c>
      <x:c r="V33" s="20" t="n">
        <x:f>T33-U33</x:f>
        <x:v>815.0740000000005</x:v>
      </x:c>
      <x:c r="W33" s="20" t="n">
        <x:f>R33+V33</x:f>
        <x:v>57027.074</x:v>
      </x:c>
      <x:c r="X33" s="14" t="str">
        <x:f>IF(ABS(W33-SUM(M33:Q33)-V33)&lt;0.01,"OK","Check")</x:f>
        <x:v>OK</x:v>
      </x:c>
    </x:row>
    <x:row r="34">
      <x:c r="A34" s="14" t="n">
        <x:v>2026</x:v>
      </x:c>
      <x:c r="B34" s="14" t="str">
        <x:v>Q1</x:v>
      </x:c>
      <x:c r="C34" s="14" t="n">
        <x:v>1</x:v>
      </x:c>
      <x:c r="D34" s="14" t="n">
        <x:v>8</x:v>
      </x:c>
      <x:c r="E34" s="14" t="str">
        <x:f>INDEX(Roster!$B$6:$B$108,MATCH(D34,Roster!$A$6:$A$108,0))</x:f>
        <x:v>Principal</x:v>
      </x:c>
      <x:c r="F34" s="14" t="str">
        <x:f>INDEX(Roster!$F$6:$F$108,MATCH(D34,Roster!$A$6:$A$108,0))</x:f>
        <x:v>No</x:v>
      </x:c>
      <x:c r="G34" s="14" t="n">
        <x:f>INDEX(Inputs!$B$7:$D$7,1,MATCH(A34,Inputs!$B$6:$D$6,0))</x:f>
        <x:v>13</x:v>
      </x:c>
      <x:c r="H34" s="14" t="n">
        <x:f>MIN(=INDEX(Inputs!$B$7:$D$7,1,MATCH(A34,Inputs!$B$6:$D$6,0)),MAX(0,INDEX(Inputs!$B$14:$D$14,1,MATCH(A34,Inputs!$B$6:$D$6,0))-(C34-1)*=INDEX(Inputs!$B$7:$D$7,1,MATCH(A34,Inputs!$B$6:$D$6,0))))</x:f>
        <x:v>13</x:v>
      </x:c>
      <x:c r="I34" s="20" t="n">
        <x:f>INDEX(Inputs!$B$8:$D$8,1,MATCH(A34,Inputs!$B$6:$D$6,0))</x:f>
        <x:v>2395</x:v>
      </x:c>
      <x:c r="J34" s="20" t="n">
        <x:f>INDEX(Roster!$C$6:$C$108,MATCH(D34,Roster!$A$6:$A$108,0))*(1+INDEX(Inputs!$B$9:$D$9,1,MATCH(A34,Inputs!$B$6:$D$6,0)))</x:f>
        <x:v>700</x:v>
      </x:c>
      <x:c r="K34" s="20" t="n">
        <x:f>IF(=INDEX(Roster!$F$6:$F$108,MATCH(D34,Roster!$A$6:$A$108,0))="Yes",0,=INDEX(Inputs!$B$8:$D$8,1,MATCH(A34,Inputs!$B$6:$D$6,0))*IF(=INDEX(Roster!$B$6:$B$108,MATCH(D34,Roster!$A$6:$A$108,0))="Principal",INDEX(Inputs!$B$10:$D$10,1,MATCH(A34,Inputs!$B$6:$D$6,0)),IF(=INDEX(Roster!$B$6:$B$108,MATCH(D34,Roster!$A$6:$A$108,0))="Associate Principal",INDEX(Inputs!$B$11:$D$11,1,MATCH(A34,Inputs!$B$6:$D$6,0)),IF(=INDEX(Roster!$B$6:$B$108,MATCH(D34,Roster!$A$6:$A$108,0))="Assistant Principal",INDEX(Inputs!$B$12:$D$12,1,MATCH(A34,Inputs!$B$6:$D$6,0)),0))))</x:f>
        <x:v>479</x:v>
      </x:c>
      <x:c r="L34" s="20" t="n">
        <x:f>IF(INDEX(Roster!$D$6:$D$108,MATCH(D34,Roster!$A$6:$A$108,0))&gt;=25,INDEX(Inputs!$B$19:$D$19,1,MATCH(A34,Inputs!$B$6:$D$6,0)),IF(INDEX(Roster!$D$6:$D$108,MATCH(D34,Roster!$A$6:$A$108,0))&gt;=20,INDEX(Inputs!$B$18:$D$18,1,MATCH(A34,Inputs!$B$6:$D$6,0)),IF(INDEX(Roster!$D$6:$D$108,MATCH(D34,Roster!$A$6:$A$108,0))&gt;=15,INDEX(Inputs!$B$17:$D$17,1,MATCH(A34,Inputs!$B$6:$D$6,0)),IF(INDEX(Roster!$D$6:$D$108,MATCH(D34,Roster!$A$6:$A$108,0))&gt;=10,INDEX(Inputs!$B$16:$D$16,1,MATCH(A34,Inputs!$B$6:$D$6,0)),IF(INDEX(Roster!$D$6:$D$108,MATCH(D34,Roster!$A$6:$A$108,0))&gt;=5,INDEX(Inputs!$B$15:$D$15,1,MATCH(A34,Inputs!$B$6:$D$6,0)),0)))))</x:f>
        <x:v>50</x:v>
      </x:c>
      <x:c r="M34" s="20" t="n">
        <x:f>G34*I34</x:f>
        <x:v>31135</x:v>
      </x:c>
      <x:c r="N34" s="20" t="n">
        <x:f>G34*J34</x:f>
        <x:v>9100</x:v>
      </x:c>
      <x:c r="O34" s="20" t="n">
        <x:f>G34*K34</x:f>
        <x:v>6227</x:v>
      </x:c>
      <x:c r="P34" s="20" t="n">
        <x:f>G34*L34</x:f>
        <x:v>650</x:v>
      </x:c>
      <x:c r="Q34" s="20" t="n">
        <x:f>H34*INDEX(Inputs!$B$13:$D$13,1,MATCH(A34,Inputs!$B$6:$D$6,0))</x:f>
        <x:v>390</x:v>
      </x:c>
      <x:c r="R34" s="20" t="n">
        <x:f>SUM(M34:Q34)</x:f>
        <x:v>47502</x:v>
      </x:c>
      <x:c r="S34" s="20" t="n">
        <x:f>IF(AND(A33=A34,D33=D34),S33+R34,R34)</x:f>
        <x:v>47502</x:v>
      </x:c>
      <x:c r="T34" s="20" t="n">
        <x:f>MIN(S34,INDEX(Inputs!$B$20:$D$20,1,MATCH(A34,Inputs!$B$6:$D$6,0)))*INDEX(Inputs!$B$22:$D$22,1,MATCH(A34,Inputs!$B$6:$D$6,0))+MAX(MIN(S34,INDEX(Inputs!$B$21:$D$21,1,MATCH(A34,Inputs!$B$6:$D$6,0)))-INDEX(Inputs!$B$20:$D$20,1,MATCH(A34,Inputs!$B$6:$D$6,0)),0)*INDEX(Inputs!$B$23:$D$23,1,MATCH(A34,Inputs!$B$6:$D$6,0))+MAX(S34-INDEX(Inputs!$B$21:$D$21,1,MATCH(A34,Inputs!$B$6:$D$6,0)),0)*INDEX(Inputs!$B$24:$D$24,1,MATCH(A34,Inputs!$B$6:$D$6,0))</x:f>
        <x:v>4123.903</x:v>
      </x:c>
      <x:c r="U34" s="20" t="n">
        <x:f>IF(AND(A33=A34,D33=D34),T33,0)</x:f>
        <x:v>0</x:v>
      </x:c>
      <x:c r="V34" s="20" t="n">
        <x:f>T34-U34</x:f>
        <x:v>4123.903</x:v>
      </x:c>
      <x:c r="W34" s="20" t="n">
        <x:f>R34+V34</x:f>
        <x:v>51625.903</x:v>
      </x:c>
      <x:c r="X34" s="14" t="str">
        <x:f>IF(ABS(W34-SUM(M34:Q34)-V34)&lt;0.01,"OK","Check")</x:f>
        <x:v>OK</x:v>
      </x:c>
    </x:row>
    <x:row r="35">
      <x:c r="A35" s="14" t="n">
        <x:v>2026</x:v>
      </x:c>
      <x:c r="B35" s="14" t="str">
        <x:v>Q2</x:v>
      </x:c>
      <x:c r="C35" s="14" t="n">
        <x:v>2</x:v>
      </x:c>
      <x:c r="D35" s="14" t="n">
        <x:v>8</x:v>
      </x:c>
      <x:c r="E35" s="14" t="str">
        <x:f>INDEX(Roster!$B$6:$B$108,MATCH(D35,Roster!$A$6:$A$108,0))</x:f>
        <x:v>Principal</x:v>
      </x:c>
      <x:c r="F35" s="14" t="str">
        <x:f>INDEX(Roster!$F$6:$F$108,MATCH(D35,Roster!$A$6:$A$108,0))</x:f>
        <x:v>No</x:v>
      </x:c>
      <x:c r="G35" s="14" t="n">
        <x:f>INDEX(Inputs!$B$7:$D$7,1,MATCH(A35,Inputs!$B$6:$D$6,0))</x:f>
        <x:v>13</x:v>
      </x:c>
      <x:c r="H35" s="14" t="n">
        <x:f>MIN(=INDEX(Inputs!$B$7:$D$7,1,MATCH(A35,Inputs!$B$6:$D$6,0)),MAX(0,INDEX(Inputs!$B$14:$D$14,1,MATCH(A35,Inputs!$B$6:$D$6,0))-(C35-1)*=INDEX(Inputs!$B$7:$D$7,1,MATCH(A35,Inputs!$B$6:$D$6,0))))</x:f>
        <x:v>13</x:v>
      </x:c>
      <x:c r="I35" s="20" t="n">
        <x:f>INDEX(Inputs!$B$8:$D$8,1,MATCH(A35,Inputs!$B$6:$D$6,0))</x:f>
        <x:v>2395</x:v>
      </x:c>
      <x:c r="J35" s="20" t="n">
        <x:f>INDEX(Roster!$C$6:$C$108,MATCH(D35,Roster!$A$6:$A$108,0))*(1+INDEX(Inputs!$B$9:$D$9,1,MATCH(A35,Inputs!$B$6:$D$6,0)))</x:f>
        <x:v>700</x:v>
      </x:c>
      <x:c r="K35" s="20" t="n">
        <x:f>IF(=INDEX(Roster!$F$6:$F$108,MATCH(D35,Roster!$A$6:$A$108,0))="Yes",0,=INDEX(Inputs!$B$8:$D$8,1,MATCH(A35,Inputs!$B$6:$D$6,0))*IF(=INDEX(Roster!$B$6:$B$108,MATCH(D35,Roster!$A$6:$A$108,0))="Principal",INDEX(Inputs!$B$10:$D$10,1,MATCH(A35,Inputs!$B$6:$D$6,0)),IF(=INDEX(Roster!$B$6:$B$108,MATCH(D35,Roster!$A$6:$A$108,0))="Associate Principal",INDEX(Inputs!$B$11:$D$11,1,MATCH(A35,Inputs!$B$6:$D$6,0)),IF(=INDEX(Roster!$B$6:$B$108,MATCH(D35,Roster!$A$6:$A$108,0))="Assistant Principal",INDEX(Inputs!$B$12:$D$12,1,MATCH(A35,Inputs!$B$6:$D$6,0)),0))))</x:f>
        <x:v>479</x:v>
      </x:c>
      <x:c r="L35" s="20" t="n">
        <x:f>IF(INDEX(Roster!$D$6:$D$108,MATCH(D35,Roster!$A$6:$A$108,0))&gt;=25,INDEX(Inputs!$B$19:$D$19,1,MATCH(A35,Inputs!$B$6:$D$6,0)),IF(INDEX(Roster!$D$6:$D$108,MATCH(D35,Roster!$A$6:$A$108,0))&gt;=20,INDEX(Inputs!$B$18:$D$18,1,MATCH(A35,Inputs!$B$6:$D$6,0)),IF(INDEX(Roster!$D$6:$D$108,MATCH(D35,Roster!$A$6:$A$108,0))&gt;=15,INDEX(Inputs!$B$17:$D$17,1,MATCH(A35,Inputs!$B$6:$D$6,0)),IF(INDEX(Roster!$D$6:$D$108,MATCH(D35,Roster!$A$6:$A$108,0))&gt;=10,INDEX(Inputs!$B$16:$D$16,1,MATCH(A35,Inputs!$B$6:$D$6,0)),IF(INDEX(Roster!$D$6:$D$108,MATCH(D35,Roster!$A$6:$A$108,0))&gt;=5,INDEX(Inputs!$B$15:$D$15,1,MATCH(A35,Inputs!$B$6:$D$6,0)),0)))))</x:f>
        <x:v>50</x:v>
      </x:c>
      <x:c r="M35" s="20" t="n">
        <x:f>G35*I35</x:f>
        <x:v>31135</x:v>
      </x:c>
      <x:c r="N35" s="20" t="n">
        <x:f>G35*J35</x:f>
        <x:v>9100</x:v>
      </x:c>
      <x:c r="O35" s="20" t="n">
        <x:f>G35*K35</x:f>
        <x:v>6227</x:v>
      </x:c>
      <x:c r="P35" s="20" t="n">
        <x:f>G35*L35</x:f>
        <x:v>650</x:v>
      </x:c>
      <x:c r="Q35" s="20" t="n">
        <x:f>H35*INDEX(Inputs!$B$13:$D$13,1,MATCH(A35,Inputs!$B$6:$D$6,0))</x:f>
        <x:v>390</x:v>
      </x:c>
      <x:c r="R35" s="20" t="n">
        <x:f>SUM(M35:Q35)</x:f>
        <x:v>47502</x:v>
      </x:c>
      <x:c r="S35" s="20" t="n">
        <x:f>IF(AND(A34=A35,D34=D35),S34+R35,R35)</x:f>
        <x:v>95004</x:v>
      </x:c>
      <x:c r="T35" s="20" t="n">
        <x:f>MIN(S35,INDEX(Inputs!$B$20:$D$20,1,MATCH(A35,Inputs!$B$6:$D$6,0)))*INDEX(Inputs!$B$22:$D$22,1,MATCH(A35,Inputs!$B$6:$D$6,0))+MAX(MIN(S35,INDEX(Inputs!$B$21:$D$21,1,MATCH(A35,Inputs!$B$6:$D$6,0)))-INDEX(Inputs!$B$20:$D$20,1,MATCH(A35,Inputs!$B$6:$D$6,0)),0)*INDEX(Inputs!$B$23:$D$23,1,MATCH(A35,Inputs!$B$6:$D$6,0))+MAX(S35-INDEX(Inputs!$B$21:$D$21,1,MATCH(A35,Inputs!$B$6:$D$6,0)),0)*INDEX(Inputs!$B$24:$D$24,1,MATCH(A35,Inputs!$B$6:$D$6,0))</x:f>
        <x:v>7757.806</x:v>
      </x:c>
      <x:c r="U35" s="20" t="n">
        <x:f>IF(AND(A34=A35,D34=D35),T34,0)</x:f>
        <x:v>4123.903</x:v>
      </x:c>
      <x:c r="V35" s="20" t="n">
        <x:f>T35-U35</x:f>
        <x:v>3633.9029999999993</x:v>
      </x:c>
      <x:c r="W35" s="20" t="n">
        <x:f>R35+V35</x:f>
        <x:v>51135.903</x:v>
      </x:c>
      <x:c r="X35" s="14" t="str">
        <x:f>IF(ABS(W35-SUM(M35:Q35)-V35)&lt;0.01,"OK","Check")</x:f>
        <x:v>OK</x:v>
      </x:c>
    </x:row>
    <x:row r="36">
      <x:c r="A36" s="14" t="n">
        <x:v>2026</x:v>
      </x:c>
      <x:c r="B36" s="14" t="str">
        <x:v>Q3</x:v>
      </x:c>
      <x:c r="C36" s="14" t="n">
        <x:v>3</x:v>
      </x:c>
      <x:c r="D36" s="14" t="n">
        <x:v>8</x:v>
      </x:c>
      <x:c r="E36" s="14" t="str">
        <x:f>INDEX(Roster!$B$6:$B$108,MATCH(D36,Roster!$A$6:$A$108,0))</x:f>
        <x:v>Principal</x:v>
      </x:c>
      <x:c r="F36" s="14" t="str">
        <x:f>INDEX(Roster!$F$6:$F$108,MATCH(D36,Roster!$A$6:$A$108,0))</x:f>
        <x:v>No</x:v>
      </x:c>
      <x:c r="G36" s="14" t="n">
        <x:f>INDEX(Inputs!$B$7:$D$7,1,MATCH(A36,Inputs!$B$6:$D$6,0))</x:f>
        <x:v>13</x:v>
      </x:c>
      <x:c r="H36" s="14" t="n">
        <x:f>MIN(=INDEX(Inputs!$B$7:$D$7,1,MATCH(A36,Inputs!$B$6:$D$6,0)),MAX(0,INDEX(Inputs!$B$14:$D$14,1,MATCH(A36,Inputs!$B$6:$D$6,0))-(C36-1)*=INDEX(Inputs!$B$7:$D$7,1,MATCH(A36,Inputs!$B$6:$D$6,0))))</x:f>
        <x:v>13</x:v>
      </x:c>
      <x:c r="I36" s="20" t="n">
        <x:f>INDEX(Inputs!$B$8:$D$8,1,MATCH(A36,Inputs!$B$6:$D$6,0))</x:f>
        <x:v>2395</x:v>
      </x:c>
      <x:c r="J36" s="20" t="n">
        <x:f>INDEX(Roster!$C$6:$C$108,MATCH(D36,Roster!$A$6:$A$108,0))*(1+INDEX(Inputs!$B$9:$D$9,1,MATCH(A36,Inputs!$B$6:$D$6,0)))</x:f>
        <x:v>700</x:v>
      </x:c>
      <x:c r="K36" s="20" t="n">
        <x:f>IF(=INDEX(Roster!$F$6:$F$108,MATCH(D36,Roster!$A$6:$A$108,0))="Yes",0,=INDEX(Inputs!$B$8:$D$8,1,MATCH(A36,Inputs!$B$6:$D$6,0))*IF(=INDEX(Roster!$B$6:$B$108,MATCH(D36,Roster!$A$6:$A$108,0))="Principal",INDEX(Inputs!$B$10:$D$10,1,MATCH(A36,Inputs!$B$6:$D$6,0)),IF(=INDEX(Roster!$B$6:$B$108,MATCH(D36,Roster!$A$6:$A$108,0))="Associate Principal",INDEX(Inputs!$B$11:$D$11,1,MATCH(A36,Inputs!$B$6:$D$6,0)),IF(=INDEX(Roster!$B$6:$B$108,MATCH(D36,Roster!$A$6:$A$108,0))="Assistant Principal",INDEX(Inputs!$B$12:$D$12,1,MATCH(A36,Inputs!$B$6:$D$6,0)),0))))</x:f>
        <x:v>479</x:v>
      </x:c>
      <x:c r="L36" s="20" t="n">
        <x:f>IF(INDEX(Roster!$D$6:$D$108,MATCH(D36,Roster!$A$6:$A$108,0))&gt;=25,INDEX(Inputs!$B$19:$D$19,1,MATCH(A36,Inputs!$B$6:$D$6,0)),IF(INDEX(Roster!$D$6:$D$108,MATCH(D36,Roster!$A$6:$A$108,0))&gt;=20,INDEX(Inputs!$B$18:$D$18,1,MATCH(A36,Inputs!$B$6:$D$6,0)),IF(INDEX(Roster!$D$6:$D$108,MATCH(D36,Roster!$A$6:$A$108,0))&gt;=15,INDEX(Inputs!$B$17:$D$17,1,MATCH(A36,Inputs!$B$6:$D$6,0)),IF(INDEX(Roster!$D$6:$D$108,MATCH(D36,Roster!$A$6:$A$108,0))&gt;=10,INDEX(Inputs!$B$16:$D$16,1,MATCH(A36,Inputs!$B$6:$D$6,0)),IF(INDEX(Roster!$D$6:$D$108,MATCH(D36,Roster!$A$6:$A$108,0))&gt;=5,INDEX(Inputs!$B$15:$D$15,1,MATCH(A36,Inputs!$B$6:$D$6,0)),0)))))</x:f>
        <x:v>50</x:v>
      </x:c>
      <x:c r="M36" s="20" t="n">
        <x:f>G36*I36</x:f>
        <x:v>31135</x:v>
      </x:c>
      <x:c r="N36" s="20" t="n">
        <x:f>G36*J36</x:f>
        <x:v>9100</x:v>
      </x:c>
      <x:c r="O36" s="20" t="n">
        <x:f>G36*K36</x:f>
        <x:v>6227</x:v>
      </x:c>
      <x:c r="P36" s="20" t="n">
        <x:f>G36*L36</x:f>
        <x:v>650</x:v>
      </x:c>
      <x:c r="Q36" s="20" t="n">
        <x:f>H36*INDEX(Inputs!$B$13:$D$13,1,MATCH(A36,Inputs!$B$6:$D$6,0))</x:f>
        <x:v>390</x:v>
      </x:c>
      <x:c r="R36" s="20" t="n">
        <x:f>SUM(M36:Q36)</x:f>
        <x:v>47502</x:v>
      </x:c>
      <x:c r="S36" s="20" t="n">
        <x:f>IF(AND(A35=A36,D35=D36),S35+R36,R36)</x:f>
        <x:v>142506</x:v>
      </x:c>
      <x:c r="T36" s="20" t="n">
        <x:f>MIN(S36,INDEX(Inputs!$B$20:$D$20,1,MATCH(A36,Inputs!$B$6:$D$6,0)))*INDEX(Inputs!$B$22:$D$22,1,MATCH(A36,Inputs!$B$6:$D$6,0))+MAX(MIN(S36,INDEX(Inputs!$B$21:$D$21,1,MATCH(A36,Inputs!$B$6:$D$6,0)))-INDEX(Inputs!$B$20:$D$20,1,MATCH(A36,Inputs!$B$6:$D$6,0)),0)*INDEX(Inputs!$B$23:$D$23,1,MATCH(A36,Inputs!$B$6:$D$6,0))+MAX(S36-INDEX(Inputs!$B$21:$D$21,1,MATCH(A36,Inputs!$B$6:$D$6,0)),0)*INDEX(Inputs!$B$24:$D$24,1,MATCH(A36,Inputs!$B$6:$D$6,0))</x:f>
        <x:v>9980.279</x:v>
      </x:c>
      <x:c r="U36" s="20" t="n">
        <x:f>IF(AND(A35=A36,D35=D36),T35,0)</x:f>
        <x:v>7757.806</x:v>
      </x:c>
      <x:c r="V36" s="20" t="n">
        <x:f>T36-U36</x:f>
        <x:v>2222.473000000001</x:v>
      </x:c>
      <x:c r="W36" s="20" t="n">
        <x:f>R36+V36</x:f>
        <x:v>49724.473</x:v>
      </x:c>
      <x:c r="X36" s="14" t="str">
        <x:f>IF(ABS(W36-SUM(M36:Q36)-V36)&lt;0.01,"OK","Check")</x:f>
        <x:v>OK</x:v>
      </x:c>
    </x:row>
    <x:row r="37">
      <x:c r="A37" s="14" t="n">
        <x:v>2026</x:v>
      </x:c>
      <x:c r="B37" s="14" t="str">
        <x:v>Q4</x:v>
      </x:c>
      <x:c r="C37" s="14" t="n">
        <x:v>4</x:v>
      </x:c>
      <x:c r="D37" s="14" t="n">
        <x:v>8</x:v>
      </x:c>
      <x:c r="E37" s="14" t="str">
        <x:f>INDEX(Roster!$B$6:$B$108,MATCH(D37,Roster!$A$6:$A$108,0))</x:f>
        <x:v>Principal</x:v>
      </x:c>
      <x:c r="F37" s="14" t="str">
        <x:f>INDEX(Roster!$F$6:$F$108,MATCH(D37,Roster!$A$6:$A$108,0))</x:f>
        <x:v>No</x:v>
      </x:c>
      <x:c r="G37" s="14" t="n">
        <x:f>INDEX(Inputs!$B$7:$D$7,1,MATCH(A37,Inputs!$B$6:$D$6,0))</x:f>
        <x:v>13</x:v>
      </x:c>
      <x:c r="H37" s="14" t="n">
        <x:f>MIN(=INDEX(Inputs!$B$7:$D$7,1,MATCH(A37,Inputs!$B$6:$D$6,0)),MAX(0,INDEX(Inputs!$B$14:$D$14,1,MATCH(A37,Inputs!$B$6:$D$6,0))-(C37-1)*=INDEX(Inputs!$B$7:$D$7,1,MATCH(A37,Inputs!$B$6:$D$6,0))))</x:f>
        <x:v>0</x:v>
      </x:c>
      <x:c r="I37" s="20" t="n">
        <x:f>INDEX(Inputs!$B$8:$D$8,1,MATCH(A37,Inputs!$B$6:$D$6,0))</x:f>
        <x:v>2395</x:v>
      </x:c>
      <x:c r="J37" s="20" t="n">
        <x:f>INDEX(Roster!$C$6:$C$108,MATCH(D37,Roster!$A$6:$A$108,0))*(1+INDEX(Inputs!$B$9:$D$9,1,MATCH(A37,Inputs!$B$6:$D$6,0)))</x:f>
        <x:v>700</x:v>
      </x:c>
      <x:c r="K37" s="20" t="n">
        <x:f>IF(=INDEX(Roster!$F$6:$F$108,MATCH(D37,Roster!$A$6:$A$108,0))="Yes",0,=INDEX(Inputs!$B$8:$D$8,1,MATCH(A37,Inputs!$B$6:$D$6,0))*IF(=INDEX(Roster!$B$6:$B$108,MATCH(D37,Roster!$A$6:$A$108,0))="Principal",INDEX(Inputs!$B$10:$D$10,1,MATCH(A37,Inputs!$B$6:$D$6,0)),IF(=INDEX(Roster!$B$6:$B$108,MATCH(D37,Roster!$A$6:$A$108,0))="Associate Principal",INDEX(Inputs!$B$11:$D$11,1,MATCH(A37,Inputs!$B$6:$D$6,0)),IF(=INDEX(Roster!$B$6:$B$108,MATCH(D37,Roster!$A$6:$A$108,0))="Assistant Principal",INDEX(Inputs!$B$12:$D$12,1,MATCH(A37,Inputs!$B$6:$D$6,0)),0))))</x:f>
        <x:v>479</x:v>
      </x:c>
      <x:c r="L37" s="20" t="n">
        <x:f>IF(INDEX(Roster!$D$6:$D$108,MATCH(D37,Roster!$A$6:$A$108,0))&gt;=25,INDEX(Inputs!$B$19:$D$19,1,MATCH(A37,Inputs!$B$6:$D$6,0)),IF(INDEX(Roster!$D$6:$D$108,MATCH(D37,Roster!$A$6:$A$108,0))&gt;=20,INDEX(Inputs!$B$18:$D$18,1,MATCH(A37,Inputs!$B$6:$D$6,0)),IF(INDEX(Roster!$D$6:$D$108,MATCH(D37,Roster!$A$6:$A$108,0))&gt;=15,INDEX(Inputs!$B$17:$D$17,1,MATCH(A37,Inputs!$B$6:$D$6,0)),IF(INDEX(Roster!$D$6:$D$108,MATCH(D37,Roster!$A$6:$A$108,0))&gt;=10,INDEX(Inputs!$B$16:$D$16,1,MATCH(A37,Inputs!$B$6:$D$6,0)),IF(INDEX(Roster!$D$6:$D$108,MATCH(D37,Roster!$A$6:$A$108,0))&gt;=5,INDEX(Inputs!$B$15:$D$15,1,MATCH(A37,Inputs!$B$6:$D$6,0)),0)))))</x:f>
        <x:v>50</x:v>
      </x:c>
      <x:c r="M37" s="20" t="n">
        <x:f>G37*I37</x:f>
        <x:v>31135</x:v>
      </x:c>
      <x:c r="N37" s="20" t="n">
        <x:f>G37*J37</x:f>
        <x:v>9100</x:v>
      </x:c>
      <x:c r="O37" s="20" t="n">
        <x:f>G37*K37</x:f>
        <x:v>6227</x:v>
      </x:c>
      <x:c r="P37" s="20" t="n">
        <x:f>G37*L37</x:f>
        <x:v>650</x:v>
      </x:c>
      <x:c r="Q37" s="20" t="n">
        <x:f>H37*INDEX(Inputs!$B$13:$D$13,1,MATCH(A37,Inputs!$B$6:$D$6,0))</x:f>
        <x:v>0</x:v>
      </x:c>
      <x:c r="R37" s="20" t="n">
        <x:f>SUM(M37:Q37)</x:f>
        <x:v>47112</x:v>
      </x:c>
      <x:c r="S37" s="20" t="n">
        <x:f>IF(AND(A36=A37,D36=D37),S36+R37,R37)</x:f>
        <x:v>189618</x:v>
      </x:c>
      <x:c r="T37" s="20" t="n">
        <x:f>MIN(S37,INDEX(Inputs!$B$20:$D$20,1,MATCH(A37,Inputs!$B$6:$D$6,0)))*INDEX(Inputs!$B$22:$D$22,1,MATCH(A37,Inputs!$B$6:$D$6,0))+MAX(MIN(S37,INDEX(Inputs!$B$21:$D$21,1,MATCH(A37,Inputs!$B$6:$D$6,0)))-INDEX(Inputs!$B$20:$D$20,1,MATCH(A37,Inputs!$B$6:$D$6,0)),0)*INDEX(Inputs!$B$23:$D$23,1,MATCH(A37,Inputs!$B$6:$D$6,0))+MAX(S37-INDEX(Inputs!$B$21:$D$21,1,MATCH(A37,Inputs!$B$6:$D$6,0)),0)*INDEX(Inputs!$B$24:$D$24,1,MATCH(A37,Inputs!$B$6:$D$6,0))</x:f>
        <x:v>10663.403</x:v>
      </x:c>
      <x:c r="U37" s="20" t="n">
        <x:f>IF(AND(A36=A37,D36=D37),T36,0)</x:f>
        <x:v>9980.279</x:v>
      </x:c>
      <x:c r="V37" s="20" t="n">
        <x:f>T37-U37</x:f>
        <x:v>683.1239999999998</x:v>
      </x:c>
      <x:c r="W37" s="20" t="n">
        <x:f>R37+V37</x:f>
        <x:v>47795.123999999996</x:v>
      </x:c>
      <x:c r="X37" s="14" t="str">
        <x:f>IF(ABS(W37-SUM(M37:Q37)-V37)&lt;0.01,"OK","Check")</x:f>
        <x:v>OK</x:v>
      </x:c>
    </x:row>
    <x:row r="38">
      <x:c r="A38" s="14" t="n">
        <x:v>2026</x:v>
      </x:c>
      <x:c r="B38" s="14" t="str">
        <x:v>Q1</x:v>
      </x:c>
      <x:c r="C38" s="14" t="n">
        <x:v>1</x:v>
      </x:c>
      <x:c r="D38" s="14" t="n">
        <x:v>9</x:v>
      </x:c>
      <x:c r="E38" s="14" t="str">
        <x:f>INDEX(Roster!$B$6:$B$108,MATCH(D38,Roster!$A$6:$A$108,0))</x:f>
      </x:c>
      <x:c r="F38" s="14" t="str">
        <x:f>INDEX(Roster!$F$6:$F$108,MATCH(D38,Roster!$A$6:$A$108,0))</x:f>
        <x:v>No</x:v>
      </x:c>
      <x:c r="G38" s="14" t="n">
        <x:f>INDEX(Inputs!$B$7:$D$7,1,MATCH(A38,Inputs!$B$6:$D$6,0))</x:f>
        <x:v>13</x:v>
      </x:c>
      <x:c r="H38" s="14" t="n">
        <x:f>MIN(=INDEX(Inputs!$B$7:$D$7,1,MATCH(A38,Inputs!$B$6:$D$6,0)),MAX(0,INDEX(Inputs!$B$14:$D$14,1,MATCH(A38,Inputs!$B$6:$D$6,0))-(C38-1)*=INDEX(Inputs!$B$7:$D$7,1,MATCH(A38,Inputs!$B$6:$D$6,0))))</x:f>
        <x:v>13</x:v>
      </x:c>
      <x:c r="I38" s="20" t="n">
        <x:f>INDEX(Inputs!$B$8:$D$8,1,MATCH(A38,Inputs!$B$6:$D$6,0))</x:f>
        <x:v>2395</x:v>
      </x:c>
      <x:c r="J38" s="20" t="n">
        <x:f>INDEX(Roster!$C$6:$C$108,MATCH(D38,Roster!$A$6:$A$108,0))*(1+INDEX(Inputs!$B$9:$D$9,1,MATCH(A38,Inputs!$B$6:$D$6,0)))</x:f>
        <x:v>40</x:v>
      </x:c>
      <x:c r="K38" s="20" t="n">
        <x:f>IF(=INDEX(Roster!$F$6:$F$108,MATCH(D38,Roster!$A$6:$A$108,0))="Yes",0,=INDEX(Inputs!$B$8:$D$8,1,MATCH(A38,Inputs!$B$6:$D$6,0))*IF(=INDEX(Roster!$B$6:$B$108,MATCH(D38,Roster!$A$6:$A$108,0))="Principal",INDEX(Inputs!$B$10:$D$10,1,MATCH(A38,Inputs!$B$6:$D$6,0)),IF(=INDEX(Roster!$B$6:$B$108,MATCH(D38,Roster!$A$6:$A$108,0))="Associate Principal",INDEX(Inputs!$B$11:$D$11,1,MATCH(A38,Inputs!$B$6:$D$6,0)),IF(=INDEX(Roster!$B$6:$B$108,MATCH(D38,Roster!$A$6:$A$108,0))="Assistant Principal",INDEX(Inputs!$B$12:$D$12,1,MATCH(A38,Inputs!$B$6:$D$6,0)),0))))</x:f>
        <x:v>0</x:v>
      </x:c>
      <x:c r="L38" s="20" t="n">
        <x:f>IF(INDEX(Roster!$D$6:$D$108,MATCH(D38,Roster!$A$6:$A$108,0))&gt;=25,INDEX(Inputs!$B$19:$D$19,1,MATCH(A38,Inputs!$B$6:$D$6,0)),IF(INDEX(Roster!$D$6:$D$108,MATCH(D38,Roster!$A$6:$A$108,0))&gt;=20,INDEX(Inputs!$B$18:$D$18,1,MATCH(A38,Inputs!$B$6:$D$6,0)),IF(INDEX(Roster!$D$6:$D$108,MATCH(D38,Roster!$A$6:$A$108,0))&gt;=15,INDEX(Inputs!$B$17:$D$17,1,MATCH(A38,Inputs!$B$6:$D$6,0)),IF(INDEX(Roster!$D$6:$D$108,MATCH(D38,Roster!$A$6:$A$108,0))&gt;=10,INDEX(Inputs!$B$16:$D$16,1,MATCH(A38,Inputs!$B$6:$D$6,0)),IF(INDEX(Roster!$D$6:$D$108,MATCH(D38,Roster!$A$6:$A$108,0))&gt;=5,INDEX(Inputs!$B$15:$D$15,1,MATCH(A38,Inputs!$B$6:$D$6,0)),0)))))</x:f>
        <x:v>80</x:v>
      </x:c>
      <x:c r="M38" s="20" t="n">
        <x:f>G38*I38</x:f>
        <x:v>31135</x:v>
      </x:c>
      <x:c r="N38" s="20" t="n">
        <x:f>G38*J38</x:f>
        <x:v>520</x:v>
      </x:c>
      <x:c r="O38" s="20" t="n">
        <x:f>G38*K38</x:f>
        <x:v>0</x:v>
      </x:c>
      <x:c r="P38" s="20" t="n">
        <x:f>G38*L38</x:f>
        <x:v>1040</x:v>
      </x:c>
      <x:c r="Q38" s="20" t="n">
        <x:f>H38*INDEX(Inputs!$B$13:$D$13,1,MATCH(A38,Inputs!$B$6:$D$6,0))</x:f>
        <x:v>390</x:v>
      </x:c>
      <x:c r="R38" s="20" t="n">
        <x:f>SUM(M38:Q38)</x:f>
        <x:v>33085</x:v>
      </x:c>
      <x:c r="S38" s="20" t="n">
        <x:f>IF(AND(A37=A38,D37=D38),S37+R38,R38)</x:f>
        <x:v>33085</x:v>
      </x:c>
      <x:c r="T38" s="20" t="n">
        <x:f>MIN(S38,INDEX(Inputs!$B$20:$D$20,1,MATCH(A38,Inputs!$B$6:$D$6,0)))*INDEX(Inputs!$B$22:$D$22,1,MATCH(A38,Inputs!$B$6:$D$6,0))+MAX(MIN(S38,INDEX(Inputs!$B$21:$D$21,1,MATCH(A38,Inputs!$B$6:$D$6,0)))-INDEX(Inputs!$B$20:$D$20,1,MATCH(A38,Inputs!$B$6:$D$6,0)),0)*INDEX(Inputs!$B$23:$D$23,1,MATCH(A38,Inputs!$B$6:$D$6,0))+MAX(S38-INDEX(Inputs!$B$21:$D$21,1,MATCH(A38,Inputs!$B$6:$D$6,0)),0)*INDEX(Inputs!$B$24:$D$24,1,MATCH(A38,Inputs!$B$6:$D$6,0))</x:f>
        <x:v>3021.0025</x:v>
      </x:c>
      <x:c r="U38" s="20" t="n">
        <x:f>IF(AND(A37=A38,D37=D38),T37,0)</x:f>
        <x:v>0</x:v>
      </x:c>
      <x:c r="V38" s="20" t="n">
        <x:f>T38-U38</x:f>
        <x:v>3021.0025</x:v>
      </x:c>
      <x:c r="W38" s="20" t="n">
        <x:f>R38+V38</x:f>
        <x:v>36106.0025</x:v>
      </x:c>
      <x:c r="X38" s="14" t="str">
        <x:f>IF(ABS(W38-SUM(M38:Q38)-V38)&lt;0.01,"OK","Check")</x:f>
        <x:v>OK</x:v>
      </x:c>
    </x:row>
    <x:row r="39">
      <x:c r="A39" s="14" t="n">
        <x:v>2026</x:v>
      </x:c>
      <x:c r="B39" s="14" t="str">
        <x:v>Q2</x:v>
      </x:c>
      <x:c r="C39" s="14" t="n">
        <x:v>2</x:v>
      </x:c>
      <x:c r="D39" s="14" t="n">
        <x:v>9</x:v>
      </x:c>
      <x:c r="E39" s="14" t="str">
        <x:f>INDEX(Roster!$B$6:$B$108,MATCH(D39,Roster!$A$6:$A$108,0))</x:f>
      </x:c>
      <x:c r="F39" s="14" t="str">
        <x:f>INDEX(Roster!$F$6:$F$108,MATCH(D39,Roster!$A$6:$A$108,0))</x:f>
        <x:v>No</x:v>
      </x:c>
      <x:c r="G39" s="14" t="n">
        <x:f>INDEX(Inputs!$B$7:$D$7,1,MATCH(A39,Inputs!$B$6:$D$6,0))</x:f>
        <x:v>13</x:v>
      </x:c>
      <x:c r="H39" s="14" t="n">
        <x:f>MIN(=INDEX(Inputs!$B$7:$D$7,1,MATCH(A39,Inputs!$B$6:$D$6,0)),MAX(0,INDEX(Inputs!$B$14:$D$14,1,MATCH(A39,Inputs!$B$6:$D$6,0))-(C39-1)*=INDEX(Inputs!$B$7:$D$7,1,MATCH(A39,Inputs!$B$6:$D$6,0))))</x:f>
        <x:v>13</x:v>
      </x:c>
      <x:c r="I39" s="20" t="n">
        <x:f>INDEX(Inputs!$B$8:$D$8,1,MATCH(A39,Inputs!$B$6:$D$6,0))</x:f>
        <x:v>2395</x:v>
      </x:c>
      <x:c r="J39" s="20" t="n">
        <x:f>INDEX(Roster!$C$6:$C$108,MATCH(D39,Roster!$A$6:$A$108,0))*(1+INDEX(Inputs!$B$9:$D$9,1,MATCH(A39,Inputs!$B$6:$D$6,0)))</x:f>
        <x:v>40</x:v>
      </x:c>
      <x:c r="K39" s="20" t="n">
        <x:f>IF(=INDEX(Roster!$F$6:$F$108,MATCH(D39,Roster!$A$6:$A$108,0))="Yes",0,=INDEX(Inputs!$B$8:$D$8,1,MATCH(A39,Inputs!$B$6:$D$6,0))*IF(=INDEX(Roster!$B$6:$B$108,MATCH(D39,Roster!$A$6:$A$108,0))="Principal",INDEX(Inputs!$B$10:$D$10,1,MATCH(A39,Inputs!$B$6:$D$6,0)),IF(=INDEX(Roster!$B$6:$B$108,MATCH(D39,Roster!$A$6:$A$108,0))="Associate Principal",INDEX(Inputs!$B$11:$D$11,1,MATCH(A39,Inputs!$B$6:$D$6,0)),IF(=INDEX(Roster!$B$6:$B$108,MATCH(D39,Roster!$A$6:$A$108,0))="Assistant Principal",INDEX(Inputs!$B$12:$D$12,1,MATCH(A39,Inputs!$B$6:$D$6,0)),0))))</x:f>
        <x:v>0</x:v>
      </x:c>
      <x:c r="L39" s="20" t="n">
        <x:f>IF(INDEX(Roster!$D$6:$D$108,MATCH(D39,Roster!$A$6:$A$108,0))&gt;=25,INDEX(Inputs!$B$19:$D$19,1,MATCH(A39,Inputs!$B$6:$D$6,0)),IF(INDEX(Roster!$D$6:$D$108,MATCH(D39,Roster!$A$6:$A$108,0))&gt;=20,INDEX(Inputs!$B$18:$D$18,1,MATCH(A39,Inputs!$B$6:$D$6,0)),IF(INDEX(Roster!$D$6:$D$108,MATCH(D39,Roster!$A$6:$A$108,0))&gt;=15,INDEX(Inputs!$B$17:$D$17,1,MATCH(A39,Inputs!$B$6:$D$6,0)),IF(INDEX(Roster!$D$6:$D$108,MATCH(D39,Roster!$A$6:$A$108,0))&gt;=10,INDEX(Inputs!$B$16:$D$16,1,MATCH(A39,Inputs!$B$6:$D$6,0)),IF(INDEX(Roster!$D$6:$D$108,MATCH(D39,Roster!$A$6:$A$108,0))&gt;=5,INDEX(Inputs!$B$15:$D$15,1,MATCH(A39,Inputs!$B$6:$D$6,0)),0)))))</x:f>
        <x:v>80</x:v>
      </x:c>
      <x:c r="M39" s="20" t="n">
        <x:f>G39*I39</x:f>
        <x:v>31135</x:v>
      </x:c>
      <x:c r="N39" s="20" t="n">
        <x:f>G39*J39</x:f>
        <x:v>520</x:v>
      </x:c>
      <x:c r="O39" s="20" t="n">
        <x:f>G39*K39</x:f>
        <x:v>0</x:v>
      </x:c>
      <x:c r="P39" s="20" t="n">
        <x:f>G39*L39</x:f>
        <x:v>1040</x:v>
      </x:c>
      <x:c r="Q39" s="20" t="n">
        <x:f>H39*INDEX(Inputs!$B$13:$D$13,1,MATCH(A39,Inputs!$B$6:$D$6,0))</x:f>
        <x:v>390</x:v>
      </x:c>
      <x:c r="R39" s="20" t="n">
        <x:f>SUM(M39:Q39)</x:f>
        <x:v>33085</x:v>
      </x:c>
      <x:c r="S39" s="20" t="n">
        <x:f>IF(AND(A38=A39,D38=D39),S38+R39,R39)</x:f>
        <x:v>66170</x:v>
      </x:c>
      <x:c r="T39" s="20" t="n">
        <x:f>MIN(S39,INDEX(Inputs!$B$20:$D$20,1,MATCH(A39,Inputs!$B$6:$D$6,0)))*INDEX(Inputs!$B$22:$D$22,1,MATCH(A39,Inputs!$B$6:$D$6,0))+MAX(MIN(S39,INDEX(Inputs!$B$21:$D$21,1,MATCH(A39,Inputs!$B$6:$D$6,0)))-INDEX(Inputs!$B$20:$D$20,1,MATCH(A39,Inputs!$B$6:$D$6,0)),0)*INDEX(Inputs!$B$23:$D$23,1,MATCH(A39,Inputs!$B$6:$D$6,0))+MAX(S39-INDEX(Inputs!$B$21:$D$21,1,MATCH(A39,Inputs!$B$6:$D$6,0)),0)*INDEX(Inputs!$B$24:$D$24,1,MATCH(A39,Inputs!$B$6:$D$6,0))</x:f>
        <x:v>5552.005</x:v>
      </x:c>
      <x:c r="U39" s="20" t="n">
        <x:f>IF(AND(A38=A39,D38=D39),T38,0)</x:f>
        <x:v>3021.0025</x:v>
      </x:c>
      <x:c r="V39" s="20" t="n">
        <x:f>T39-U39</x:f>
        <x:v>2531.0025</x:v>
      </x:c>
      <x:c r="W39" s="20" t="n">
        <x:f>R39+V39</x:f>
        <x:v>35616.0025</x:v>
      </x:c>
      <x:c r="X39" s="14" t="str">
        <x:f>IF(ABS(W39-SUM(M39:Q39)-V39)&lt;0.01,"OK","Check")</x:f>
        <x:v>OK</x:v>
      </x:c>
    </x:row>
    <x:row r="40">
      <x:c r="A40" s="14" t="n">
        <x:v>2026</x:v>
      </x:c>
      <x:c r="B40" s="14" t="str">
        <x:v>Q3</x:v>
      </x:c>
      <x:c r="C40" s="14" t="n">
        <x:v>3</x:v>
      </x:c>
      <x:c r="D40" s="14" t="n">
        <x:v>9</x:v>
      </x:c>
      <x:c r="E40" s="14" t="str">
        <x:f>INDEX(Roster!$B$6:$B$108,MATCH(D40,Roster!$A$6:$A$108,0))</x:f>
      </x:c>
      <x:c r="F40" s="14" t="str">
        <x:f>INDEX(Roster!$F$6:$F$108,MATCH(D40,Roster!$A$6:$A$108,0))</x:f>
        <x:v>No</x:v>
      </x:c>
      <x:c r="G40" s="14" t="n">
        <x:f>INDEX(Inputs!$B$7:$D$7,1,MATCH(A40,Inputs!$B$6:$D$6,0))</x:f>
        <x:v>13</x:v>
      </x:c>
      <x:c r="H40" s="14" t="n">
        <x:f>MIN(=INDEX(Inputs!$B$7:$D$7,1,MATCH(A40,Inputs!$B$6:$D$6,0)),MAX(0,INDEX(Inputs!$B$14:$D$14,1,MATCH(A40,Inputs!$B$6:$D$6,0))-(C40-1)*=INDEX(Inputs!$B$7:$D$7,1,MATCH(A40,Inputs!$B$6:$D$6,0))))</x:f>
        <x:v>13</x:v>
      </x:c>
      <x:c r="I40" s="20" t="n">
        <x:f>INDEX(Inputs!$B$8:$D$8,1,MATCH(A40,Inputs!$B$6:$D$6,0))</x:f>
        <x:v>2395</x:v>
      </x:c>
      <x:c r="J40" s="20" t="n">
        <x:f>INDEX(Roster!$C$6:$C$108,MATCH(D40,Roster!$A$6:$A$108,0))*(1+INDEX(Inputs!$B$9:$D$9,1,MATCH(A40,Inputs!$B$6:$D$6,0)))</x:f>
        <x:v>40</x:v>
      </x:c>
      <x:c r="K40" s="20" t="n">
        <x:f>IF(=INDEX(Roster!$F$6:$F$108,MATCH(D40,Roster!$A$6:$A$108,0))="Yes",0,=INDEX(Inputs!$B$8:$D$8,1,MATCH(A40,Inputs!$B$6:$D$6,0))*IF(=INDEX(Roster!$B$6:$B$108,MATCH(D40,Roster!$A$6:$A$108,0))="Principal",INDEX(Inputs!$B$10:$D$10,1,MATCH(A40,Inputs!$B$6:$D$6,0)),IF(=INDEX(Roster!$B$6:$B$108,MATCH(D40,Roster!$A$6:$A$108,0))="Associate Principal",INDEX(Inputs!$B$11:$D$11,1,MATCH(A40,Inputs!$B$6:$D$6,0)),IF(=INDEX(Roster!$B$6:$B$108,MATCH(D40,Roster!$A$6:$A$108,0))="Assistant Principal",INDEX(Inputs!$B$12:$D$12,1,MATCH(A40,Inputs!$B$6:$D$6,0)),0))))</x:f>
        <x:v>0</x:v>
      </x:c>
      <x:c r="L40" s="20" t="n">
        <x:f>IF(INDEX(Roster!$D$6:$D$108,MATCH(D40,Roster!$A$6:$A$108,0))&gt;=25,INDEX(Inputs!$B$19:$D$19,1,MATCH(A40,Inputs!$B$6:$D$6,0)),IF(INDEX(Roster!$D$6:$D$108,MATCH(D40,Roster!$A$6:$A$108,0))&gt;=20,INDEX(Inputs!$B$18:$D$18,1,MATCH(A40,Inputs!$B$6:$D$6,0)),IF(INDEX(Roster!$D$6:$D$108,MATCH(D40,Roster!$A$6:$A$108,0))&gt;=15,INDEX(Inputs!$B$17:$D$17,1,MATCH(A40,Inputs!$B$6:$D$6,0)),IF(INDEX(Roster!$D$6:$D$108,MATCH(D40,Roster!$A$6:$A$108,0))&gt;=10,INDEX(Inputs!$B$16:$D$16,1,MATCH(A40,Inputs!$B$6:$D$6,0)),IF(INDEX(Roster!$D$6:$D$108,MATCH(D40,Roster!$A$6:$A$108,0))&gt;=5,INDEX(Inputs!$B$15:$D$15,1,MATCH(A40,Inputs!$B$6:$D$6,0)),0)))))</x:f>
        <x:v>80</x:v>
      </x:c>
      <x:c r="M40" s="20" t="n">
        <x:f>G40*I40</x:f>
        <x:v>31135</x:v>
      </x:c>
      <x:c r="N40" s="20" t="n">
        <x:f>G40*J40</x:f>
        <x:v>520</x:v>
      </x:c>
      <x:c r="O40" s="20" t="n">
        <x:f>G40*K40</x:f>
        <x:v>0</x:v>
      </x:c>
      <x:c r="P40" s="20" t="n">
        <x:f>G40*L40</x:f>
        <x:v>1040</x:v>
      </x:c>
      <x:c r="Q40" s="20" t="n">
        <x:f>H40*INDEX(Inputs!$B$13:$D$13,1,MATCH(A40,Inputs!$B$6:$D$6,0))</x:f>
        <x:v>390</x:v>
      </x:c>
      <x:c r="R40" s="20" t="n">
        <x:f>SUM(M40:Q40)</x:f>
        <x:v>33085</x:v>
      </x:c>
      <x:c r="S40" s="20" t="n">
        <x:f>IF(AND(A39=A40,D39=D40),S39+R40,R40)</x:f>
        <x:v>99255</x:v>
      </x:c>
      <x:c r="T40" s="20" t="n">
        <x:f>MIN(S40,INDEX(Inputs!$B$20:$D$20,1,MATCH(A40,Inputs!$B$6:$D$6,0)))*INDEX(Inputs!$B$22:$D$22,1,MATCH(A40,Inputs!$B$6:$D$6,0))+MAX(MIN(S40,INDEX(Inputs!$B$21:$D$21,1,MATCH(A40,Inputs!$B$6:$D$6,0)))-INDEX(Inputs!$B$20:$D$20,1,MATCH(A40,Inputs!$B$6:$D$6,0)),0)*INDEX(Inputs!$B$23:$D$23,1,MATCH(A40,Inputs!$B$6:$D$6,0))+MAX(S40-INDEX(Inputs!$B$21:$D$21,1,MATCH(A40,Inputs!$B$6:$D$6,0)),0)*INDEX(Inputs!$B$24:$D$24,1,MATCH(A40,Inputs!$B$6:$D$6,0))</x:f>
        <x:v>8083.0075</x:v>
      </x:c>
      <x:c r="U40" s="20" t="n">
        <x:f>IF(AND(A39=A40,D39=D40),T39,0)</x:f>
        <x:v>5552.005</x:v>
      </x:c>
      <x:c r="V40" s="20" t="n">
        <x:f>T40-U40</x:f>
        <x:v>2531.0024999999996</x:v>
      </x:c>
      <x:c r="W40" s="20" t="n">
        <x:f>R40+V40</x:f>
        <x:v>35616.0025</x:v>
      </x:c>
      <x:c r="X40" s="14" t="str">
        <x:f>IF(ABS(W40-SUM(M40:Q40)-V40)&lt;0.01,"OK","Check")</x:f>
        <x:v>OK</x:v>
      </x:c>
    </x:row>
    <x:row r="41">
      <x:c r="A41" s="14" t="n">
        <x:v>2026</x:v>
      </x:c>
      <x:c r="B41" s="14" t="str">
        <x:v>Q4</x:v>
      </x:c>
      <x:c r="C41" s="14" t="n">
        <x:v>4</x:v>
      </x:c>
      <x:c r="D41" s="14" t="n">
        <x:v>9</x:v>
      </x:c>
      <x:c r="E41" s="14" t="str">
        <x:f>INDEX(Roster!$B$6:$B$108,MATCH(D41,Roster!$A$6:$A$108,0))</x:f>
      </x:c>
      <x:c r="F41" s="14" t="str">
        <x:f>INDEX(Roster!$F$6:$F$108,MATCH(D41,Roster!$A$6:$A$108,0))</x:f>
        <x:v>No</x:v>
      </x:c>
      <x:c r="G41" s="14" t="n">
        <x:f>INDEX(Inputs!$B$7:$D$7,1,MATCH(A41,Inputs!$B$6:$D$6,0))</x:f>
        <x:v>13</x:v>
      </x:c>
      <x:c r="H41" s="14" t="n">
        <x:f>MIN(=INDEX(Inputs!$B$7:$D$7,1,MATCH(A41,Inputs!$B$6:$D$6,0)),MAX(0,INDEX(Inputs!$B$14:$D$14,1,MATCH(A41,Inputs!$B$6:$D$6,0))-(C41-1)*=INDEX(Inputs!$B$7:$D$7,1,MATCH(A41,Inputs!$B$6:$D$6,0))))</x:f>
        <x:v>0</x:v>
      </x:c>
      <x:c r="I41" s="20" t="n">
        <x:f>INDEX(Inputs!$B$8:$D$8,1,MATCH(A41,Inputs!$B$6:$D$6,0))</x:f>
        <x:v>2395</x:v>
      </x:c>
      <x:c r="J41" s="20" t="n">
        <x:f>INDEX(Roster!$C$6:$C$108,MATCH(D41,Roster!$A$6:$A$108,0))*(1+INDEX(Inputs!$B$9:$D$9,1,MATCH(A41,Inputs!$B$6:$D$6,0)))</x:f>
        <x:v>40</x:v>
      </x:c>
      <x:c r="K41" s="20" t="n">
        <x:f>IF(=INDEX(Roster!$F$6:$F$108,MATCH(D41,Roster!$A$6:$A$108,0))="Yes",0,=INDEX(Inputs!$B$8:$D$8,1,MATCH(A41,Inputs!$B$6:$D$6,0))*IF(=INDEX(Roster!$B$6:$B$108,MATCH(D41,Roster!$A$6:$A$108,0))="Principal",INDEX(Inputs!$B$10:$D$10,1,MATCH(A41,Inputs!$B$6:$D$6,0)),IF(=INDEX(Roster!$B$6:$B$108,MATCH(D41,Roster!$A$6:$A$108,0))="Associate Principal",INDEX(Inputs!$B$11:$D$11,1,MATCH(A41,Inputs!$B$6:$D$6,0)),IF(=INDEX(Roster!$B$6:$B$108,MATCH(D41,Roster!$A$6:$A$108,0))="Assistant Principal",INDEX(Inputs!$B$12:$D$12,1,MATCH(A41,Inputs!$B$6:$D$6,0)),0))))</x:f>
        <x:v>0</x:v>
      </x:c>
      <x:c r="L41" s="20" t="n">
        <x:f>IF(INDEX(Roster!$D$6:$D$108,MATCH(D41,Roster!$A$6:$A$108,0))&gt;=25,INDEX(Inputs!$B$19:$D$19,1,MATCH(A41,Inputs!$B$6:$D$6,0)),IF(INDEX(Roster!$D$6:$D$108,MATCH(D41,Roster!$A$6:$A$108,0))&gt;=20,INDEX(Inputs!$B$18:$D$18,1,MATCH(A41,Inputs!$B$6:$D$6,0)),IF(INDEX(Roster!$D$6:$D$108,MATCH(D41,Roster!$A$6:$A$108,0))&gt;=15,INDEX(Inputs!$B$17:$D$17,1,MATCH(A41,Inputs!$B$6:$D$6,0)),IF(INDEX(Roster!$D$6:$D$108,MATCH(D41,Roster!$A$6:$A$108,0))&gt;=10,INDEX(Inputs!$B$16:$D$16,1,MATCH(A41,Inputs!$B$6:$D$6,0)),IF(INDEX(Roster!$D$6:$D$108,MATCH(D41,Roster!$A$6:$A$108,0))&gt;=5,INDEX(Inputs!$B$15:$D$15,1,MATCH(A41,Inputs!$B$6:$D$6,0)),0)))))</x:f>
        <x:v>80</x:v>
      </x:c>
      <x:c r="M41" s="20" t="n">
        <x:f>G41*I41</x:f>
        <x:v>31135</x:v>
      </x:c>
      <x:c r="N41" s="20" t="n">
        <x:f>G41*J41</x:f>
        <x:v>520</x:v>
      </x:c>
      <x:c r="O41" s="20" t="n">
        <x:f>G41*K41</x:f>
        <x:v>0</x:v>
      </x:c>
      <x:c r="P41" s="20" t="n">
        <x:f>G41*L41</x:f>
        <x:v>1040</x:v>
      </x:c>
      <x:c r="Q41" s="20" t="n">
        <x:f>H41*INDEX(Inputs!$B$13:$D$13,1,MATCH(A41,Inputs!$B$6:$D$6,0))</x:f>
        <x:v>0</x:v>
      </x:c>
      <x:c r="R41" s="20" t="n">
        <x:f>SUM(M41:Q41)</x:f>
        <x:v>32695</x:v>
      </x:c>
      <x:c r="S41" s="20" t="n">
        <x:f>IF(AND(A40=A41,D40=D41),S40+R41,R41)</x:f>
        <x:v>131950</x:v>
      </x:c>
      <x:c r="T41" s="20" t="n">
        <x:f>MIN(S41,INDEX(Inputs!$B$20:$D$20,1,MATCH(A41,Inputs!$B$6:$D$6,0)))*INDEX(Inputs!$B$22:$D$22,1,MATCH(A41,Inputs!$B$6:$D$6,0))+MAX(MIN(S41,INDEX(Inputs!$B$21:$D$21,1,MATCH(A41,Inputs!$B$6:$D$6,0)))-INDEX(Inputs!$B$20:$D$20,1,MATCH(A41,Inputs!$B$6:$D$6,0)),0)*INDEX(Inputs!$B$23:$D$23,1,MATCH(A41,Inputs!$B$6:$D$6,0))+MAX(S41-INDEX(Inputs!$B$21:$D$21,1,MATCH(A41,Inputs!$B$6:$D$6,0)),0)*INDEX(Inputs!$B$24:$D$24,1,MATCH(A41,Inputs!$B$6:$D$6,0))</x:f>
        <x:v>9827.217</x:v>
      </x:c>
      <x:c r="U41" s="20" t="n">
        <x:f>IF(AND(A40=A41,D40=D41),T40,0)</x:f>
        <x:v>8083.0075</x:v>
      </x:c>
      <x:c r="V41" s="20" t="n">
        <x:f>T41-U41</x:f>
        <x:v>1744.2095000000008</x:v>
      </x:c>
      <x:c r="W41" s="20" t="n">
        <x:f>R41+V41</x:f>
        <x:v>34439.2095</x:v>
      </x:c>
      <x:c r="X41" s="14" t="str">
        <x:f>IF(ABS(W41-SUM(M41:Q41)-V41)&lt;0.01,"OK","Check")</x:f>
        <x:v>OK</x:v>
      </x:c>
    </x:row>
    <x:row r="42">
      <x:c r="A42" s="14" t="n">
        <x:v>2026</x:v>
      </x:c>
      <x:c r="B42" s="14" t="str">
        <x:v>Q1</x:v>
      </x:c>
      <x:c r="C42" s="14" t="n">
        <x:v>1</x:v>
      </x:c>
      <x:c r="D42" s="14" t="n">
        <x:v>10</x:v>
      </x:c>
      <x:c r="E42" s="14" t="str">
        <x:f>INDEX(Roster!$B$6:$B$108,MATCH(D42,Roster!$A$6:$A$108,0))</x:f>
        <x:v>Associate Principal</x:v>
      </x:c>
      <x:c r="F42" s="14" t="str">
        <x:f>INDEX(Roster!$F$6:$F$108,MATCH(D42,Roster!$A$6:$A$108,0))</x:f>
        <x:v>No</x:v>
      </x:c>
      <x:c r="G42" s="14" t="n">
        <x:f>INDEX(Inputs!$B$7:$D$7,1,MATCH(A42,Inputs!$B$6:$D$6,0))</x:f>
        <x:v>13</x:v>
      </x:c>
      <x:c r="H42" s="14" t="n">
        <x:f>MIN(=INDEX(Inputs!$B$7:$D$7,1,MATCH(A42,Inputs!$B$6:$D$6,0)),MAX(0,INDEX(Inputs!$B$14:$D$14,1,MATCH(A42,Inputs!$B$6:$D$6,0))-(C42-1)*=INDEX(Inputs!$B$7:$D$7,1,MATCH(A42,Inputs!$B$6:$D$6,0))))</x:f>
        <x:v>13</x:v>
      </x:c>
      <x:c r="I42" s="20" t="n">
        <x:f>INDEX(Inputs!$B$8:$D$8,1,MATCH(A42,Inputs!$B$6:$D$6,0))</x:f>
        <x:v>2395</x:v>
      </x:c>
      <x:c r="J42" s="20" t="n">
        <x:f>INDEX(Roster!$C$6:$C$108,MATCH(D42,Roster!$A$6:$A$108,0))*(1+INDEX(Inputs!$B$9:$D$9,1,MATCH(A42,Inputs!$B$6:$D$6,0)))</x:f>
        <x:v>0</x:v>
      </x:c>
      <x:c r="K42" s="20" t="n">
        <x:f>IF(=INDEX(Roster!$F$6:$F$108,MATCH(D42,Roster!$A$6:$A$108,0))="Yes",0,=INDEX(Inputs!$B$8:$D$8,1,MATCH(A42,Inputs!$B$6:$D$6,0))*IF(=INDEX(Roster!$B$6:$B$108,MATCH(D42,Roster!$A$6:$A$108,0))="Principal",INDEX(Inputs!$B$10:$D$10,1,MATCH(A42,Inputs!$B$6:$D$6,0)),IF(=INDEX(Roster!$B$6:$B$108,MATCH(D42,Roster!$A$6:$A$108,0))="Associate Principal",INDEX(Inputs!$B$11:$D$11,1,MATCH(A42,Inputs!$B$6:$D$6,0)),IF(=INDEX(Roster!$B$6:$B$108,MATCH(D42,Roster!$A$6:$A$108,0))="Assistant Principal",INDEX(Inputs!$B$12:$D$12,1,MATCH(A42,Inputs!$B$6:$D$6,0)),0))))</x:f>
        <x:v>239.5</x:v>
      </x:c>
      <x:c r="L42" s="20" t="n">
        <x:f>IF(INDEX(Roster!$D$6:$D$108,MATCH(D42,Roster!$A$6:$A$108,0))&gt;=25,INDEX(Inputs!$B$19:$D$19,1,MATCH(A42,Inputs!$B$6:$D$6,0)),IF(INDEX(Roster!$D$6:$D$108,MATCH(D42,Roster!$A$6:$A$108,0))&gt;=20,INDEX(Inputs!$B$18:$D$18,1,MATCH(A42,Inputs!$B$6:$D$6,0)),IF(INDEX(Roster!$D$6:$D$108,MATCH(D42,Roster!$A$6:$A$108,0))&gt;=15,INDEX(Inputs!$B$17:$D$17,1,MATCH(A42,Inputs!$B$6:$D$6,0)),IF(INDEX(Roster!$D$6:$D$108,MATCH(D42,Roster!$A$6:$A$108,0))&gt;=10,INDEX(Inputs!$B$16:$D$16,1,MATCH(A42,Inputs!$B$6:$D$6,0)),IF(INDEX(Roster!$D$6:$D$108,MATCH(D42,Roster!$A$6:$A$108,0))&gt;=5,INDEX(Inputs!$B$15:$D$15,1,MATCH(A42,Inputs!$B$6:$D$6,0)),0)))))</x:f>
        <x:v>90</x:v>
      </x:c>
      <x:c r="M42" s="20" t="n">
        <x:f>G42*I42</x:f>
        <x:v>31135</x:v>
      </x:c>
      <x:c r="N42" s="20" t="n">
        <x:f>G42*J42</x:f>
        <x:v>0</x:v>
      </x:c>
      <x:c r="O42" s="20" t="n">
        <x:f>G42*K42</x:f>
        <x:v>3113.5</x:v>
      </x:c>
      <x:c r="P42" s="20" t="n">
        <x:f>G42*L42</x:f>
        <x:v>1170</x:v>
      </x:c>
      <x:c r="Q42" s="20" t="n">
        <x:f>H42*INDEX(Inputs!$B$13:$D$13,1,MATCH(A42,Inputs!$B$6:$D$6,0))</x:f>
        <x:v>390</x:v>
      </x:c>
      <x:c r="R42" s="20" t="n">
        <x:f>SUM(M42:Q42)</x:f>
        <x:v>35808.5</x:v>
      </x:c>
      <x:c r="S42" s="20" t="n">
        <x:f>IF(AND(A41=A42,D41=D42),S41+R42,R42)</x:f>
        <x:v>35808.5</x:v>
      </x:c>
      <x:c r="T42" s="20" t="n">
        <x:f>MIN(S42,INDEX(Inputs!$B$20:$D$20,1,MATCH(A42,Inputs!$B$6:$D$6,0)))*INDEX(Inputs!$B$22:$D$22,1,MATCH(A42,Inputs!$B$6:$D$6,0))+MAX(MIN(S42,INDEX(Inputs!$B$21:$D$21,1,MATCH(A42,Inputs!$B$6:$D$6,0)))-INDEX(Inputs!$B$20:$D$20,1,MATCH(A42,Inputs!$B$6:$D$6,0)),0)*INDEX(Inputs!$B$23:$D$23,1,MATCH(A42,Inputs!$B$6:$D$6,0))+MAX(S42-INDEX(Inputs!$B$21:$D$21,1,MATCH(A42,Inputs!$B$6:$D$6,0)),0)*INDEX(Inputs!$B$24:$D$24,1,MATCH(A42,Inputs!$B$6:$D$6,0))</x:f>
        <x:v>3229.35025</x:v>
      </x:c>
      <x:c r="U42" s="20" t="n">
        <x:f>IF(AND(A41=A42,D41=D42),T41,0)</x:f>
        <x:v>0</x:v>
      </x:c>
      <x:c r="V42" s="20" t="n">
        <x:f>T42-U42</x:f>
        <x:v>3229.35025</x:v>
      </x:c>
      <x:c r="W42" s="20" t="n">
        <x:f>R42+V42</x:f>
        <x:v>39037.85025</x:v>
      </x:c>
      <x:c r="X42" s="14" t="str">
        <x:f>IF(ABS(W42-SUM(M42:Q42)-V42)&lt;0.01,"OK","Check")</x:f>
        <x:v>OK</x:v>
      </x:c>
    </x:row>
    <x:row r="43">
      <x:c r="A43" s="14" t="n">
        <x:v>2026</x:v>
      </x:c>
      <x:c r="B43" s="14" t="str">
        <x:v>Q2</x:v>
      </x:c>
      <x:c r="C43" s="14" t="n">
        <x:v>2</x:v>
      </x:c>
      <x:c r="D43" s="14" t="n">
        <x:v>10</x:v>
      </x:c>
      <x:c r="E43" s="14" t="str">
        <x:f>INDEX(Roster!$B$6:$B$108,MATCH(D43,Roster!$A$6:$A$108,0))</x:f>
        <x:v>Associate Principal</x:v>
      </x:c>
      <x:c r="F43" s="14" t="str">
        <x:f>INDEX(Roster!$F$6:$F$108,MATCH(D43,Roster!$A$6:$A$108,0))</x:f>
        <x:v>No</x:v>
      </x:c>
      <x:c r="G43" s="14" t="n">
        <x:f>INDEX(Inputs!$B$7:$D$7,1,MATCH(A43,Inputs!$B$6:$D$6,0))</x:f>
        <x:v>13</x:v>
      </x:c>
      <x:c r="H43" s="14" t="n">
        <x:f>MIN(=INDEX(Inputs!$B$7:$D$7,1,MATCH(A43,Inputs!$B$6:$D$6,0)),MAX(0,INDEX(Inputs!$B$14:$D$14,1,MATCH(A43,Inputs!$B$6:$D$6,0))-(C43-1)*=INDEX(Inputs!$B$7:$D$7,1,MATCH(A43,Inputs!$B$6:$D$6,0))))</x:f>
        <x:v>13</x:v>
      </x:c>
      <x:c r="I43" s="20" t="n">
        <x:f>INDEX(Inputs!$B$8:$D$8,1,MATCH(A43,Inputs!$B$6:$D$6,0))</x:f>
        <x:v>2395</x:v>
      </x:c>
      <x:c r="J43" s="20" t="n">
        <x:f>INDEX(Roster!$C$6:$C$108,MATCH(D43,Roster!$A$6:$A$108,0))*(1+INDEX(Inputs!$B$9:$D$9,1,MATCH(A43,Inputs!$B$6:$D$6,0)))</x:f>
        <x:v>0</x:v>
      </x:c>
      <x:c r="K43" s="20" t="n">
        <x:f>IF(=INDEX(Roster!$F$6:$F$108,MATCH(D43,Roster!$A$6:$A$108,0))="Yes",0,=INDEX(Inputs!$B$8:$D$8,1,MATCH(A43,Inputs!$B$6:$D$6,0))*IF(=INDEX(Roster!$B$6:$B$108,MATCH(D43,Roster!$A$6:$A$108,0))="Principal",INDEX(Inputs!$B$10:$D$10,1,MATCH(A43,Inputs!$B$6:$D$6,0)),IF(=INDEX(Roster!$B$6:$B$108,MATCH(D43,Roster!$A$6:$A$108,0))="Associate Principal",INDEX(Inputs!$B$11:$D$11,1,MATCH(A43,Inputs!$B$6:$D$6,0)),IF(=INDEX(Roster!$B$6:$B$108,MATCH(D43,Roster!$A$6:$A$108,0))="Assistant Principal",INDEX(Inputs!$B$12:$D$12,1,MATCH(A43,Inputs!$B$6:$D$6,0)),0))))</x:f>
        <x:v>239.5</x:v>
      </x:c>
      <x:c r="L43" s="20" t="n">
        <x:f>IF(INDEX(Roster!$D$6:$D$108,MATCH(D43,Roster!$A$6:$A$108,0))&gt;=25,INDEX(Inputs!$B$19:$D$19,1,MATCH(A43,Inputs!$B$6:$D$6,0)),IF(INDEX(Roster!$D$6:$D$108,MATCH(D43,Roster!$A$6:$A$108,0))&gt;=20,INDEX(Inputs!$B$18:$D$18,1,MATCH(A43,Inputs!$B$6:$D$6,0)),IF(INDEX(Roster!$D$6:$D$108,MATCH(D43,Roster!$A$6:$A$108,0))&gt;=15,INDEX(Inputs!$B$17:$D$17,1,MATCH(A43,Inputs!$B$6:$D$6,0)),IF(INDEX(Roster!$D$6:$D$108,MATCH(D43,Roster!$A$6:$A$108,0))&gt;=10,INDEX(Inputs!$B$16:$D$16,1,MATCH(A43,Inputs!$B$6:$D$6,0)),IF(INDEX(Roster!$D$6:$D$108,MATCH(D43,Roster!$A$6:$A$108,0))&gt;=5,INDEX(Inputs!$B$15:$D$15,1,MATCH(A43,Inputs!$B$6:$D$6,0)),0)))))</x:f>
        <x:v>90</x:v>
      </x:c>
      <x:c r="M43" s="20" t="n">
        <x:f>G43*I43</x:f>
        <x:v>31135</x:v>
      </x:c>
      <x:c r="N43" s="20" t="n">
        <x:f>G43*J43</x:f>
        <x:v>0</x:v>
      </x:c>
      <x:c r="O43" s="20" t="n">
        <x:f>G43*K43</x:f>
        <x:v>3113.5</x:v>
      </x:c>
      <x:c r="P43" s="20" t="n">
        <x:f>G43*L43</x:f>
        <x:v>1170</x:v>
      </x:c>
      <x:c r="Q43" s="20" t="n">
        <x:f>H43*INDEX(Inputs!$B$13:$D$13,1,MATCH(A43,Inputs!$B$6:$D$6,0))</x:f>
        <x:v>390</x:v>
      </x:c>
      <x:c r="R43" s="20" t="n">
        <x:f>SUM(M43:Q43)</x:f>
        <x:v>35808.5</x:v>
      </x:c>
      <x:c r="S43" s="20" t="n">
        <x:f>IF(AND(A42=A43,D42=D43),S42+R43,R43)</x:f>
        <x:v>71617</x:v>
      </x:c>
      <x:c r="T43" s="20" t="n">
        <x:f>MIN(S43,INDEX(Inputs!$B$20:$D$20,1,MATCH(A43,Inputs!$B$6:$D$6,0)))*INDEX(Inputs!$B$22:$D$22,1,MATCH(A43,Inputs!$B$6:$D$6,0))+MAX(MIN(S43,INDEX(Inputs!$B$21:$D$21,1,MATCH(A43,Inputs!$B$6:$D$6,0)))-INDEX(Inputs!$B$20:$D$20,1,MATCH(A43,Inputs!$B$6:$D$6,0)),0)*INDEX(Inputs!$B$23:$D$23,1,MATCH(A43,Inputs!$B$6:$D$6,0))+MAX(S43-INDEX(Inputs!$B$21:$D$21,1,MATCH(A43,Inputs!$B$6:$D$6,0)),0)*INDEX(Inputs!$B$24:$D$24,1,MATCH(A43,Inputs!$B$6:$D$6,0))</x:f>
        <x:v>5968.7005</x:v>
      </x:c>
      <x:c r="U43" s="20" t="n">
        <x:f>IF(AND(A42=A43,D42=D43),T42,0)</x:f>
        <x:v>3229.35025</x:v>
      </x:c>
      <x:c r="V43" s="20" t="n">
        <x:f>T43-U43</x:f>
        <x:v>2739.35025</x:v>
      </x:c>
      <x:c r="W43" s="20" t="n">
        <x:f>R43+V43</x:f>
        <x:v>38547.85025</x:v>
      </x:c>
      <x:c r="X43" s="14" t="str">
        <x:f>IF(ABS(W43-SUM(M43:Q43)-V43)&lt;0.01,"OK","Check")</x:f>
        <x:v>OK</x:v>
      </x:c>
    </x:row>
    <x:row r="44">
      <x:c r="A44" s="14" t="n">
        <x:v>2026</x:v>
      </x:c>
      <x:c r="B44" s="14" t="str">
        <x:v>Q3</x:v>
      </x:c>
      <x:c r="C44" s="14" t="n">
        <x:v>3</x:v>
      </x:c>
      <x:c r="D44" s="14" t="n">
        <x:v>10</x:v>
      </x:c>
      <x:c r="E44" s="14" t="str">
        <x:f>INDEX(Roster!$B$6:$B$108,MATCH(D44,Roster!$A$6:$A$108,0))</x:f>
        <x:v>Associate Principal</x:v>
      </x:c>
      <x:c r="F44" s="14" t="str">
        <x:f>INDEX(Roster!$F$6:$F$108,MATCH(D44,Roster!$A$6:$A$108,0))</x:f>
        <x:v>No</x:v>
      </x:c>
      <x:c r="G44" s="14" t="n">
        <x:f>INDEX(Inputs!$B$7:$D$7,1,MATCH(A44,Inputs!$B$6:$D$6,0))</x:f>
        <x:v>13</x:v>
      </x:c>
      <x:c r="H44" s="14" t="n">
        <x:f>MIN(=INDEX(Inputs!$B$7:$D$7,1,MATCH(A44,Inputs!$B$6:$D$6,0)),MAX(0,INDEX(Inputs!$B$14:$D$14,1,MATCH(A44,Inputs!$B$6:$D$6,0))-(C44-1)*=INDEX(Inputs!$B$7:$D$7,1,MATCH(A44,Inputs!$B$6:$D$6,0))))</x:f>
        <x:v>13</x:v>
      </x:c>
      <x:c r="I44" s="20" t="n">
        <x:f>INDEX(Inputs!$B$8:$D$8,1,MATCH(A44,Inputs!$B$6:$D$6,0))</x:f>
        <x:v>2395</x:v>
      </x:c>
      <x:c r="J44" s="20" t="n">
        <x:f>INDEX(Roster!$C$6:$C$108,MATCH(D44,Roster!$A$6:$A$108,0))*(1+INDEX(Inputs!$B$9:$D$9,1,MATCH(A44,Inputs!$B$6:$D$6,0)))</x:f>
        <x:v>0</x:v>
      </x:c>
      <x:c r="K44" s="20" t="n">
        <x:f>IF(=INDEX(Roster!$F$6:$F$108,MATCH(D44,Roster!$A$6:$A$108,0))="Yes",0,=INDEX(Inputs!$B$8:$D$8,1,MATCH(A44,Inputs!$B$6:$D$6,0))*IF(=INDEX(Roster!$B$6:$B$108,MATCH(D44,Roster!$A$6:$A$108,0))="Principal",INDEX(Inputs!$B$10:$D$10,1,MATCH(A44,Inputs!$B$6:$D$6,0)),IF(=INDEX(Roster!$B$6:$B$108,MATCH(D44,Roster!$A$6:$A$108,0))="Associate Principal",INDEX(Inputs!$B$11:$D$11,1,MATCH(A44,Inputs!$B$6:$D$6,0)),IF(=INDEX(Roster!$B$6:$B$108,MATCH(D44,Roster!$A$6:$A$108,0))="Assistant Principal",INDEX(Inputs!$B$12:$D$12,1,MATCH(A44,Inputs!$B$6:$D$6,0)),0))))</x:f>
        <x:v>239.5</x:v>
      </x:c>
      <x:c r="L44" s="20" t="n">
        <x:f>IF(INDEX(Roster!$D$6:$D$108,MATCH(D44,Roster!$A$6:$A$108,0))&gt;=25,INDEX(Inputs!$B$19:$D$19,1,MATCH(A44,Inputs!$B$6:$D$6,0)),IF(INDEX(Roster!$D$6:$D$108,MATCH(D44,Roster!$A$6:$A$108,0))&gt;=20,INDEX(Inputs!$B$18:$D$18,1,MATCH(A44,Inputs!$B$6:$D$6,0)),IF(INDEX(Roster!$D$6:$D$108,MATCH(D44,Roster!$A$6:$A$108,0))&gt;=15,INDEX(Inputs!$B$17:$D$17,1,MATCH(A44,Inputs!$B$6:$D$6,0)),IF(INDEX(Roster!$D$6:$D$108,MATCH(D44,Roster!$A$6:$A$108,0))&gt;=10,INDEX(Inputs!$B$16:$D$16,1,MATCH(A44,Inputs!$B$6:$D$6,0)),IF(INDEX(Roster!$D$6:$D$108,MATCH(D44,Roster!$A$6:$A$108,0))&gt;=5,INDEX(Inputs!$B$15:$D$15,1,MATCH(A44,Inputs!$B$6:$D$6,0)),0)))))</x:f>
        <x:v>90</x:v>
      </x:c>
      <x:c r="M44" s="20" t="n">
        <x:f>G44*I44</x:f>
        <x:v>31135</x:v>
      </x:c>
      <x:c r="N44" s="20" t="n">
        <x:f>G44*J44</x:f>
        <x:v>0</x:v>
      </x:c>
      <x:c r="O44" s="20" t="n">
        <x:f>G44*K44</x:f>
        <x:v>3113.5</x:v>
      </x:c>
      <x:c r="P44" s="20" t="n">
        <x:f>G44*L44</x:f>
        <x:v>1170</x:v>
      </x:c>
      <x:c r="Q44" s="20" t="n">
        <x:f>H44*INDEX(Inputs!$B$13:$D$13,1,MATCH(A44,Inputs!$B$6:$D$6,0))</x:f>
        <x:v>390</x:v>
      </x:c>
      <x:c r="R44" s="20" t="n">
        <x:f>SUM(M44:Q44)</x:f>
        <x:v>35808.5</x:v>
      </x:c>
      <x:c r="S44" s="20" t="n">
        <x:f>IF(AND(A43=A44,D43=D44),S43+R44,R44)</x:f>
        <x:v>107425.5</x:v>
      </x:c>
      <x:c r="T44" s="20" t="n">
        <x:f>MIN(S44,INDEX(Inputs!$B$20:$D$20,1,MATCH(A44,Inputs!$B$6:$D$6,0)))*INDEX(Inputs!$B$22:$D$22,1,MATCH(A44,Inputs!$B$6:$D$6,0))+MAX(MIN(S44,INDEX(Inputs!$B$21:$D$21,1,MATCH(A44,Inputs!$B$6:$D$6,0)))-INDEX(Inputs!$B$20:$D$20,1,MATCH(A44,Inputs!$B$6:$D$6,0)),0)*INDEX(Inputs!$B$23:$D$23,1,MATCH(A44,Inputs!$B$6:$D$6,0))+MAX(S44-INDEX(Inputs!$B$21:$D$21,1,MATCH(A44,Inputs!$B$6:$D$6,0)),0)*INDEX(Inputs!$B$24:$D$24,1,MATCH(A44,Inputs!$B$6:$D$6,0))</x:f>
        <x:v>8708.050749999999</x:v>
      </x:c>
      <x:c r="U44" s="20" t="n">
        <x:f>IF(AND(A43=A44,D43=D44),T43,0)</x:f>
        <x:v>5968.7005</x:v>
      </x:c>
      <x:c r="V44" s="20" t="n">
        <x:f>T44-U44</x:f>
        <x:v>2739.3502499999986</x:v>
      </x:c>
      <x:c r="W44" s="20" t="n">
        <x:f>R44+V44</x:f>
        <x:v>38547.850249999996</x:v>
      </x:c>
      <x:c r="X44" s="14" t="str">
        <x:f>IF(ABS(W44-SUM(M44:Q44)-V44)&lt;0.01,"OK","Check")</x:f>
        <x:v>OK</x:v>
      </x:c>
    </x:row>
    <x:row r="45">
      <x:c r="A45" s="14" t="n">
        <x:v>2026</x:v>
      </x:c>
      <x:c r="B45" s="14" t="str">
        <x:v>Q4</x:v>
      </x:c>
      <x:c r="C45" s="14" t="n">
        <x:v>4</x:v>
      </x:c>
      <x:c r="D45" s="14" t="n">
        <x:v>10</x:v>
      </x:c>
      <x:c r="E45" s="14" t="str">
        <x:f>INDEX(Roster!$B$6:$B$108,MATCH(D45,Roster!$A$6:$A$108,0))</x:f>
        <x:v>Associate Principal</x:v>
      </x:c>
      <x:c r="F45" s="14" t="str">
        <x:f>INDEX(Roster!$F$6:$F$108,MATCH(D45,Roster!$A$6:$A$108,0))</x:f>
        <x:v>No</x:v>
      </x:c>
      <x:c r="G45" s="14" t="n">
        <x:f>INDEX(Inputs!$B$7:$D$7,1,MATCH(A45,Inputs!$B$6:$D$6,0))</x:f>
        <x:v>13</x:v>
      </x:c>
      <x:c r="H45" s="14" t="n">
        <x:f>MIN(=INDEX(Inputs!$B$7:$D$7,1,MATCH(A45,Inputs!$B$6:$D$6,0)),MAX(0,INDEX(Inputs!$B$14:$D$14,1,MATCH(A45,Inputs!$B$6:$D$6,0))-(C45-1)*=INDEX(Inputs!$B$7:$D$7,1,MATCH(A45,Inputs!$B$6:$D$6,0))))</x:f>
        <x:v>0</x:v>
      </x:c>
      <x:c r="I45" s="20" t="n">
        <x:f>INDEX(Inputs!$B$8:$D$8,1,MATCH(A45,Inputs!$B$6:$D$6,0))</x:f>
        <x:v>2395</x:v>
      </x:c>
      <x:c r="J45" s="20" t="n">
        <x:f>INDEX(Roster!$C$6:$C$108,MATCH(D45,Roster!$A$6:$A$108,0))*(1+INDEX(Inputs!$B$9:$D$9,1,MATCH(A45,Inputs!$B$6:$D$6,0)))</x:f>
        <x:v>0</x:v>
      </x:c>
      <x:c r="K45" s="20" t="n">
        <x:f>IF(=INDEX(Roster!$F$6:$F$108,MATCH(D45,Roster!$A$6:$A$108,0))="Yes",0,=INDEX(Inputs!$B$8:$D$8,1,MATCH(A45,Inputs!$B$6:$D$6,0))*IF(=INDEX(Roster!$B$6:$B$108,MATCH(D45,Roster!$A$6:$A$108,0))="Principal",INDEX(Inputs!$B$10:$D$10,1,MATCH(A45,Inputs!$B$6:$D$6,0)),IF(=INDEX(Roster!$B$6:$B$108,MATCH(D45,Roster!$A$6:$A$108,0))="Associate Principal",INDEX(Inputs!$B$11:$D$11,1,MATCH(A45,Inputs!$B$6:$D$6,0)),IF(=INDEX(Roster!$B$6:$B$108,MATCH(D45,Roster!$A$6:$A$108,0))="Assistant Principal",INDEX(Inputs!$B$12:$D$12,1,MATCH(A45,Inputs!$B$6:$D$6,0)),0))))</x:f>
        <x:v>239.5</x:v>
      </x:c>
      <x:c r="L45" s="20" t="n">
        <x:f>IF(INDEX(Roster!$D$6:$D$108,MATCH(D45,Roster!$A$6:$A$108,0))&gt;=25,INDEX(Inputs!$B$19:$D$19,1,MATCH(A45,Inputs!$B$6:$D$6,0)),IF(INDEX(Roster!$D$6:$D$108,MATCH(D45,Roster!$A$6:$A$108,0))&gt;=20,INDEX(Inputs!$B$18:$D$18,1,MATCH(A45,Inputs!$B$6:$D$6,0)),IF(INDEX(Roster!$D$6:$D$108,MATCH(D45,Roster!$A$6:$A$108,0))&gt;=15,INDEX(Inputs!$B$17:$D$17,1,MATCH(A45,Inputs!$B$6:$D$6,0)),IF(INDEX(Roster!$D$6:$D$108,MATCH(D45,Roster!$A$6:$A$108,0))&gt;=10,INDEX(Inputs!$B$16:$D$16,1,MATCH(A45,Inputs!$B$6:$D$6,0)),IF(INDEX(Roster!$D$6:$D$108,MATCH(D45,Roster!$A$6:$A$108,0))&gt;=5,INDEX(Inputs!$B$15:$D$15,1,MATCH(A45,Inputs!$B$6:$D$6,0)),0)))))</x:f>
        <x:v>90</x:v>
      </x:c>
      <x:c r="M45" s="20" t="n">
        <x:f>G45*I45</x:f>
        <x:v>31135</x:v>
      </x:c>
      <x:c r="N45" s="20" t="n">
        <x:f>G45*J45</x:f>
        <x:v>0</x:v>
      </x:c>
      <x:c r="O45" s="20" t="n">
        <x:f>G45*K45</x:f>
        <x:v>3113.5</x:v>
      </x:c>
      <x:c r="P45" s="20" t="n">
        <x:f>G45*L45</x:f>
        <x:v>1170</x:v>
      </x:c>
      <x:c r="Q45" s="20" t="n">
        <x:f>H45*INDEX(Inputs!$B$13:$D$13,1,MATCH(A45,Inputs!$B$6:$D$6,0))</x:f>
        <x:v>0</x:v>
      </x:c>
      <x:c r="R45" s="20" t="n">
        <x:f>SUM(M45:Q45)</x:f>
        <x:v>35418.5</x:v>
      </x:c>
      <x:c r="S45" s="20" t="n">
        <x:f>IF(AND(A44=A45,D44=D45),S44+R45,R45)</x:f>
        <x:v>142844</x:v>
      </x:c>
      <x:c r="T45" s="20" t="n">
        <x:f>MIN(S45,INDEX(Inputs!$B$20:$D$20,1,MATCH(A45,Inputs!$B$6:$D$6,0)))*INDEX(Inputs!$B$22:$D$22,1,MATCH(A45,Inputs!$B$6:$D$6,0))+MAX(MIN(S45,INDEX(Inputs!$B$21:$D$21,1,MATCH(A45,Inputs!$B$6:$D$6,0)))-INDEX(Inputs!$B$20:$D$20,1,MATCH(A45,Inputs!$B$6:$D$6,0)),0)*INDEX(Inputs!$B$23:$D$23,1,MATCH(A45,Inputs!$B$6:$D$6,0))+MAX(S45-INDEX(Inputs!$B$21:$D$21,1,MATCH(A45,Inputs!$B$6:$D$6,0)),0)*INDEX(Inputs!$B$24:$D$24,1,MATCH(A45,Inputs!$B$6:$D$6,0))</x:f>
        <x:v>9985.18</x:v>
      </x:c>
      <x:c r="U45" s="20" t="n">
        <x:f>IF(AND(A44=A45,D44=D45),T44,0)</x:f>
        <x:v>8708.050749999999</x:v>
      </x:c>
      <x:c r="V45" s="20" t="n">
        <x:f>T45-U45</x:f>
        <x:v>1277.1292500000018</x:v>
      </x:c>
      <x:c r="W45" s="20" t="n">
        <x:f>R45+V45</x:f>
        <x:v>36695.62925</x:v>
      </x:c>
      <x:c r="X45" s="14" t="str">
        <x:f>IF(ABS(W45-SUM(M45:Q45)-V45)&lt;0.01,"OK","Check")</x:f>
        <x:v>OK</x:v>
      </x:c>
    </x:row>
    <x:row r="46">
      <x:c r="A46" s="14" t="n">
        <x:v>2026</x:v>
      </x:c>
      <x:c r="B46" s="14" t="str">
        <x:v>Q1</x:v>
      </x:c>
      <x:c r="C46" s="14" t="n">
        <x:v>1</x:v>
      </x:c>
      <x:c r="D46" s="14" t="n">
        <x:v>11</x:v>
      </x:c>
      <x:c r="E46" s="14" t="str">
        <x:f>INDEX(Roster!$B$6:$B$108,MATCH(D46,Roster!$A$6:$A$108,0))</x:f>
      </x:c>
      <x:c r="F46" s="14" t="str">
        <x:f>INDEX(Roster!$F$6:$F$108,MATCH(D46,Roster!$A$6:$A$108,0))</x:f>
        <x:v>No</x:v>
      </x:c>
      <x:c r="G46" s="14" t="n">
        <x:f>INDEX(Inputs!$B$7:$D$7,1,MATCH(A46,Inputs!$B$6:$D$6,0))</x:f>
        <x:v>13</x:v>
      </x:c>
      <x:c r="H46" s="14" t="n">
        <x:f>MIN(=INDEX(Inputs!$B$7:$D$7,1,MATCH(A46,Inputs!$B$6:$D$6,0)),MAX(0,INDEX(Inputs!$B$14:$D$14,1,MATCH(A46,Inputs!$B$6:$D$6,0))-(C46-1)*=INDEX(Inputs!$B$7:$D$7,1,MATCH(A46,Inputs!$B$6:$D$6,0))))</x:f>
        <x:v>13</x:v>
      </x:c>
      <x:c r="I46" s="20" t="n">
        <x:f>INDEX(Inputs!$B$8:$D$8,1,MATCH(A46,Inputs!$B$6:$D$6,0))</x:f>
        <x:v>2395</x:v>
      </x:c>
      <x:c r="J46" s="20" t="n">
        <x:f>INDEX(Roster!$C$6:$C$108,MATCH(D46,Roster!$A$6:$A$108,0))*(1+INDEX(Inputs!$B$9:$D$9,1,MATCH(A46,Inputs!$B$6:$D$6,0)))</x:f>
        <x:v>150</x:v>
      </x:c>
      <x:c r="K46" s="20" t="n">
        <x:f>IF(=INDEX(Roster!$F$6:$F$108,MATCH(D46,Roster!$A$6:$A$108,0))="Yes",0,=INDEX(Inputs!$B$8:$D$8,1,MATCH(A46,Inputs!$B$6:$D$6,0))*IF(=INDEX(Roster!$B$6:$B$108,MATCH(D46,Roster!$A$6:$A$108,0))="Principal",INDEX(Inputs!$B$10:$D$10,1,MATCH(A46,Inputs!$B$6:$D$6,0)),IF(=INDEX(Roster!$B$6:$B$108,MATCH(D46,Roster!$A$6:$A$108,0))="Associate Principal",INDEX(Inputs!$B$11:$D$11,1,MATCH(A46,Inputs!$B$6:$D$6,0)),IF(=INDEX(Roster!$B$6:$B$108,MATCH(D46,Roster!$A$6:$A$108,0))="Assistant Principal",INDEX(Inputs!$B$12:$D$12,1,MATCH(A46,Inputs!$B$6:$D$6,0)),0))))</x:f>
        <x:v>0</x:v>
      </x:c>
      <x:c r="L46" s="20" t="n">
        <x:f>IF(INDEX(Roster!$D$6:$D$108,MATCH(D46,Roster!$A$6:$A$108,0))&gt;=25,INDEX(Inputs!$B$19:$D$19,1,MATCH(A46,Inputs!$B$6:$D$6,0)),IF(INDEX(Roster!$D$6:$D$108,MATCH(D46,Roster!$A$6:$A$108,0))&gt;=20,INDEX(Inputs!$B$18:$D$18,1,MATCH(A46,Inputs!$B$6:$D$6,0)),IF(INDEX(Roster!$D$6:$D$108,MATCH(D46,Roster!$A$6:$A$108,0))&gt;=15,INDEX(Inputs!$B$17:$D$17,1,MATCH(A46,Inputs!$B$6:$D$6,0)),IF(INDEX(Roster!$D$6:$D$108,MATCH(D46,Roster!$A$6:$A$108,0))&gt;=10,INDEX(Inputs!$B$16:$D$16,1,MATCH(A46,Inputs!$B$6:$D$6,0)),IF(INDEX(Roster!$D$6:$D$108,MATCH(D46,Roster!$A$6:$A$108,0))&gt;=5,INDEX(Inputs!$B$15:$D$15,1,MATCH(A46,Inputs!$B$6:$D$6,0)),0)))))</x:f>
        <x:v>90</x:v>
      </x:c>
      <x:c r="M46" s="20" t="n">
        <x:f>G46*I46</x:f>
        <x:v>31135</x:v>
      </x:c>
      <x:c r="N46" s="20" t="n">
        <x:f>G46*J46</x:f>
        <x:v>1950</x:v>
      </x:c>
      <x:c r="O46" s="20" t="n">
        <x:f>G46*K46</x:f>
        <x:v>0</x:v>
      </x:c>
      <x:c r="P46" s="20" t="n">
        <x:f>G46*L46</x:f>
        <x:v>1170</x:v>
      </x:c>
      <x:c r="Q46" s="20" t="n">
        <x:f>H46*INDEX(Inputs!$B$13:$D$13,1,MATCH(A46,Inputs!$B$6:$D$6,0))</x:f>
        <x:v>390</x:v>
      </x:c>
      <x:c r="R46" s="20" t="n">
        <x:f>SUM(M46:Q46)</x:f>
        <x:v>34645</x:v>
      </x:c>
      <x:c r="S46" s="20" t="n">
        <x:f>IF(AND(A45=A46,D45=D46),S45+R46,R46)</x:f>
        <x:v>34645</x:v>
      </x:c>
      <x:c r="T46" s="20" t="n">
        <x:f>MIN(S46,INDEX(Inputs!$B$20:$D$20,1,MATCH(A46,Inputs!$B$6:$D$6,0)))*INDEX(Inputs!$B$22:$D$22,1,MATCH(A46,Inputs!$B$6:$D$6,0))+MAX(MIN(S46,INDEX(Inputs!$B$21:$D$21,1,MATCH(A46,Inputs!$B$6:$D$6,0)))-INDEX(Inputs!$B$20:$D$20,1,MATCH(A46,Inputs!$B$6:$D$6,0)),0)*INDEX(Inputs!$B$23:$D$23,1,MATCH(A46,Inputs!$B$6:$D$6,0))+MAX(S46-INDEX(Inputs!$B$21:$D$21,1,MATCH(A46,Inputs!$B$6:$D$6,0)),0)*INDEX(Inputs!$B$24:$D$24,1,MATCH(A46,Inputs!$B$6:$D$6,0))</x:f>
        <x:v>3140.3424999999997</x:v>
      </x:c>
      <x:c r="U46" s="20" t="n">
        <x:f>IF(AND(A45=A46,D45=D46),T45,0)</x:f>
        <x:v>0</x:v>
      </x:c>
      <x:c r="V46" s="20" t="n">
        <x:f>T46-U46</x:f>
        <x:v>3140.3424999999997</x:v>
      </x:c>
      <x:c r="W46" s="20" t="n">
        <x:f>R46+V46</x:f>
        <x:v>37785.3425</x:v>
      </x:c>
      <x:c r="X46" s="14" t="str">
        <x:f>IF(ABS(W46-SUM(M46:Q46)-V46)&lt;0.01,"OK","Check")</x:f>
        <x:v>OK</x:v>
      </x:c>
    </x:row>
    <x:row r="47">
      <x:c r="A47" s="14" t="n">
        <x:v>2026</x:v>
      </x:c>
      <x:c r="B47" s="14" t="str">
        <x:v>Q2</x:v>
      </x:c>
      <x:c r="C47" s="14" t="n">
        <x:v>2</x:v>
      </x:c>
      <x:c r="D47" s="14" t="n">
        <x:v>11</x:v>
      </x:c>
      <x:c r="E47" s="14" t="str">
        <x:f>INDEX(Roster!$B$6:$B$108,MATCH(D47,Roster!$A$6:$A$108,0))</x:f>
      </x:c>
      <x:c r="F47" s="14" t="str">
        <x:f>INDEX(Roster!$F$6:$F$108,MATCH(D47,Roster!$A$6:$A$108,0))</x:f>
        <x:v>No</x:v>
      </x:c>
      <x:c r="G47" s="14" t="n">
        <x:f>INDEX(Inputs!$B$7:$D$7,1,MATCH(A47,Inputs!$B$6:$D$6,0))</x:f>
        <x:v>13</x:v>
      </x:c>
      <x:c r="H47" s="14" t="n">
        <x:f>MIN(=INDEX(Inputs!$B$7:$D$7,1,MATCH(A47,Inputs!$B$6:$D$6,0)),MAX(0,INDEX(Inputs!$B$14:$D$14,1,MATCH(A47,Inputs!$B$6:$D$6,0))-(C47-1)*=INDEX(Inputs!$B$7:$D$7,1,MATCH(A47,Inputs!$B$6:$D$6,0))))</x:f>
        <x:v>13</x:v>
      </x:c>
      <x:c r="I47" s="20" t="n">
        <x:f>INDEX(Inputs!$B$8:$D$8,1,MATCH(A47,Inputs!$B$6:$D$6,0))</x:f>
        <x:v>2395</x:v>
      </x:c>
      <x:c r="J47" s="20" t="n">
        <x:f>INDEX(Roster!$C$6:$C$108,MATCH(D47,Roster!$A$6:$A$108,0))*(1+INDEX(Inputs!$B$9:$D$9,1,MATCH(A47,Inputs!$B$6:$D$6,0)))</x:f>
        <x:v>150</x:v>
      </x:c>
      <x:c r="K47" s="20" t="n">
        <x:f>IF(=INDEX(Roster!$F$6:$F$108,MATCH(D47,Roster!$A$6:$A$108,0))="Yes",0,=INDEX(Inputs!$B$8:$D$8,1,MATCH(A47,Inputs!$B$6:$D$6,0))*IF(=INDEX(Roster!$B$6:$B$108,MATCH(D47,Roster!$A$6:$A$108,0))="Principal",INDEX(Inputs!$B$10:$D$10,1,MATCH(A47,Inputs!$B$6:$D$6,0)),IF(=INDEX(Roster!$B$6:$B$108,MATCH(D47,Roster!$A$6:$A$108,0))="Associate Principal",INDEX(Inputs!$B$11:$D$11,1,MATCH(A47,Inputs!$B$6:$D$6,0)),IF(=INDEX(Roster!$B$6:$B$108,MATCH(D47,Roster!$A$6:$A$108,0))="Assistant Principal",INDEX(Inputs!$B$12:$D$12,1,MATCH(A47,Inputs!$B$6:$D$6,0)),0))))</x:f>
        <x:v>0</x:v>
      </x:c>
      <x:c r="L47" s="20" t="n">
        <x:f>IF(INDEX(Roster!$D$6:$D$108,MATCH(D47,Roster!$A$6:$A$108,0))&gt;=25,INDEX(Inputs!$B$19:$D$19,1,MATCH(A47,Inputs!$B$6:$D$6,0)),IF(INDEX(Roster!$D$6:$D$108,MATCH(D47,Roster!$A$6:$A$108,0))&gt;=20,INDEX(Inputs!$B$18:$D$18,1,MATCH(A47,Inputs!$B$6:$D$6,0)),IF(INDEX(Roster!$D$6:$D$108,MATCH(D47,Roster!$A$6:$A$108,0))&gt;=15,INDEX(Inputs!$B$17:$D$17,1,MATCH(A47,Inputs!$B$6:$D$6,0)),IF(INDEX(Roster!$D$6:$D$108,MATCH(D47,Roster!$A$6:$A$108,0))&gt;=10,INDEX(Inputs!$B$16:$D$16,1,MATCH(A47,Inputs!$B$6:$D$6,0)),IF(INDEX(Roster!$D$6:$D$108,MATCH(D47,Roster!$A$6:$A$108,0))&gt;=5,INDEX(Inputs!$B$15:$D$15,1,MATCH(A47,Inputs!$B$6:$D$6,0)),0)))))</x:f>
        <x:v>90</x:v>
      </x:c>
      <x:c r="M47" s="20" t="n">
        <x:f>G47*I47</x:f>
        <x:v>31135</x:v>
      </x:c>
      <x:c r="N47" s="20" t="n">
        <x:f>G47*J47</x:f>
        <x:v>1950</x:v>
      </x:c>
      <x:c r="O47" s="20" t="n">
        <x:f>G47*K47</x:f>
        <x:v>0</x:v>
      </x:c>
      <x:c r="P47" s="20" t="n">
        <x:f>G47*L47</x:f>
        <x:v>1170</x:v>
      </x:c>
      <x:c r="Q47" s="20" t="n">
        <x:f>H47*INDEX(Inputs!$B$13:$D$13,1,MATCH(A47,Inputs!$B$6:$D$6,0))</x:f>
        <x:v>390</x:v>
      </x:c>
      <x:c r="R47" s="20" t="n">
        <x:f>SUM(M47:Q47)</x:f>
        <x:v>34645</x:v>
      </x:c>
      <x:c r="S47" s="20" t="n">
        <x:f>IF(AND(A46=A47,D46=D47),S46+R47,R47)</x:f>
        <x:v>69290</x:v>
      </x:c>
      <x:c r="T47" s="20" t="n">
        <x:f>MIN(S47,INDEX(Inputs!$B$20:$D$20,1,MATCH(A47,Inputs!$B$6:$D$6,0)))*INDEX(Inputs!$B$22:$D$22,1,MATCH(A47,Inputs!$B$6:$D$6,0))+MAX(MIN(S47,INDEX(Inputs!$B$21:$D$21,1,MATCH(A47,Inputs!$B$6:$D$6,0)))-INDEX(Inputs!$B$20:$D$20,1,MATCH(A47,Inputs!$B$6:$D$6,0)),0)*INDEX(Inputs!$B$23:$D$23,1,MATCH(A47,Inputs!$B$6:$D$6,0))+MAX(S47-INDEX(Inputs!$B$21:$D$21,1,MATCH(A47,Inputs!$B$6:$D$6,0)),0)*INDEX(Inputs!$B$24:$D$24,1,MATCH(A47,Inputs!$B$6:$D$6,0))</x:f>
        <x:v>5790.6849999999995</x:v>
      </x:c>
      <x:c r="U47" s="20" t="n">
        <x:f>IF(AND(A46=A47,D46=D47),T46,0)</x:f>
        <x:v>3140.3424999999997</x:v>
      </x:c>
      <x:c r="V47" s="20" t="n">
        <x:f>T47-U47</x:f>
        <x:v>2650.3424999999997</x:v>
      </x:c>
      <x:c r="W47" s="20" t="n">
        <x:f>R47+V47</x:f>
        <x:v>37295.3425</x:v>
      </x:c>
      <x:c r="X47" s="14" t="str">
        <x:f>IF(ABS(W47-SUM(M47:Q47)-V47)&lt;0.01,"OK","Check")</x:f>
        <x:v>OK</x:v>
      </x:c>
    </x:row>
    <x:row r="48">
      <x:c r="A48" s="14" t="n">
        <x:v>2026</x:v>
      </x:c>
      <x:c r="B48" s="14" t="str">
        <x:v>Q3</x:v>
      </x:c>
      <x:c r="C48" s="14" t="n">
        <x:v>3</x:v>
      </x:c>
      <x:c r="D48" s="14" t="n">
        <x:v>11</x:v>
      </x:c>
      <x:c r="E48" s="14" t="str">
        <x:f>INDEX(Roster!$B$6:$B$108,MATCH(D48,Roster!$A$6:$A$108,0))</x:f>
      </x:c>
      <x:c r="F48" s="14" t="str">
        <x:f>INDEX(Roster!$F$6:$F$108,MATCH(D48,Roster!$A$6:$A$108,0))</x:f>
        <x:v>No</x:v>
      </x:c>
      <x:c r="G48" s="14" t="n">
        <x:f>INDEX(Inputs!$B$7:$D$7,1,MATCH(A48,Inputs!$B$6:$D$6,0))</x:f>
        <x:v>13</x:v>
      </x:c>
      <x:c r="H48" s="14" t="n">
        <x:f>MIN(=INDEX(Inputs!$B$7:$D$7,1,MATCH(A48,Inputs!$B$6:$D$6,0)),MAX(0,INDEX(Inputs!$B$14:$D$14,1,MATCH(A48,Inputs!$B$6:$D$6,0))-(C48-1)*=INDEX(Inputs!$B$7:$D$7,1,MATCH(A48,Inputs!$B$6:$D$6,0))))</x:f>
        <x:v>13</x:v>
      </x:c>
      <x:c r="I48" s="20" t="n">
        <x:f>INDEX(Inputs!$B$8:$D$8,1,MATCH(A48,Inputs!$B$6:$D$6,0))</x:f>
        <x:v>2395</x:v>
      </x:c>
      <x:c r="J48" s="20" t="n">
        <x:f>INDEX(Roster!$C$6:$C$108,MATCH(D48,Roster!$A$6:$A$108,0))*(1+INDEX(Inputs!$B$9:$D$9,1,MATCH(A48,Inputs!$B$6:$D$6,0)))</x:f>
        <x:v>150</x:v>
      </x:c>
      <x:c r="K48" s="20" t="n">
        <x:f>IF(=INDEX(Roster!$F$6:$F$108,MATCH(D48,Roster!$A$6:$A$108,0))="Yes",0,=INDEX(Inputs!$B$8:$D$8,1,MATCH(A48,Inputs!$B$6:$D$6,0))*IF(=INDEX(Roster!$B$6:$B$108,MATCH(D48,Roster!$A$6:$A$108,0))="Principal",INDEX(Inputs!$B$10:$D$10,1,MATCH(A48,Inputs!$B$6:$D$6,0)),IF(=INDEX(Roster!$B$6:$B$108,MATCH(D48,Roster!$A$6:$A$108,0))="Associate Principal",INDEX(Inputs!$B$11:$D$11,1,MATCH(A48,Inputs!$B$6:$D$6,0)),IF(=INDEX(Roster!$B$6:$B$108,MATCH(D48,Roster!$A$6:$A$108,0))="Assistant Principal",INDEX(Inputs!$B$12:$D$12,1,MATCH(A48,Inputs!$B$6:$D$6,0)),0))))</x:f>
        <x:v>0</x:v>
      </x:c>
      <x:c r="L48" s="20" t="n">
        <x:f>IF(INDEX(Roster!$D$6:$D$108,MATCH(D48,Roster!$A$6:$A$108,0))&gt;=25,INDEX(Inputs!$B$19:$D$19,1,MATCH(A48,Inputs!$B$6:$D$6,0)),IF(INDEX(Roster!$D$6:$D$108,MATCH(D48,Roster!$A$6:$A$108,0))&gt;=20,INDEX(Inputs!$B$18:$D$18,1,MATCH(A48,Inputs!$B$6:$D$6,0)),IF(INDEX(Roster!$D$6:$D$108,MATCH(D48,Roster!$A$6:$A$108,0))&gt;=15,INDEX(Inputs!$B$17:$D$17,1,MATCH(A48,Inputs!$B$6:$D$6,0)),IF(INDEX(Roster!$D$6:$D$108,MATCH(D48,Roster!$A$6:$A$108,0))&gt;=10,INDEX(Inputs!$B$16:$D$16,1,MATCH(A48,Inputs!$B$6:$D$6,0)),IF(INDEX(Roster!$D$6:$D$108,MATCH(D48,Roster!$A$6:$A$108,0))&gt;=5,INDEX(Inputs!$B$15:$D$15,1,MATCH(A48,Inputs!$B$6:$D$6,0)),0)))))</x:f>
        <x:v>90</x:v>
      </x:c>
      <x:c r="M48" s="20" t="n">
        <x:f>G48*I48</x:f>
        <x:v>31135</x:v>
      </x:c>
      <x:c r="N48" s="20" t="n">
        <x:f>G48*J48</x:f>
        <x:v>1950</x:v>
      </x:c>
      <x:c r="O48" s="20" t="n">
        <x:f>G48*K48</x:f>
        <x:v>0</x:v>
      </x:c>
      <x:c r="P48" s="20" t="n">
        <x:f>G48*L48</x:f>
        <x:v>1170</x:v>
      </x:c>
      <x:c r="Q48" s="20" t="n">
        <x:f>H48*INDEX(Inputs!$B$13:$D$13,1,MATCH(A48,Inputs!$B$6:$D$6,0))</x:f>
        <x:v>390</x:v>
      </x:c>
      <x:c r="R48" s="20" t="n">
        <x:f>SUM(M48:Q48)</x:f>
        <x:v>34645</x:v>
      </x:c>
      <x:c r="S48" s="20" t="n">
        <x:f>IF(AND(A47=A48,D47=D48),S47+R48,R48)</x:f>
        <x:v>103935</x:v>
      </x:c>
      <x:c r="T48" s="20" t="n">
        <x:f>MIN(S48,INDEX(Inputs!$B$20:$D$20,1,MATCH(A48,Inputs!$B$6:$D$6,0)))*INDEX(Inputs!$B$22:$D$22,1,MATCH(A48,Inputs!$B$6:$D$6,0))+MAX(MIN(S48,INDEX(Inputs!$B$21:$D$21,1,MATCH(A48,Inputs!$B$6:$D$6,0)))-INDEX(Inputs!$B$20:$D$20,1,MATCH(A48,Inputs!$B$6:$D$6,0)),0)*INDEX(Inputs!$B$23:$D$23,1,MATCH(A48,Inputs!$B$6:$D$6,0))+MAX(S48-INDEX(Inputs!$B$21:$D$21,1,MATCH(A48,Inputs!$B$6:$D$6,0)),0)*INDEX(Inputs!$B$24:$D$24,1,MATCH(A48,Inputs!$B$6:$D$6,0))</x:f>
        <x:v>8441.0275</x:v>
      </x:c>
      <x:c r="U48" s="20" t="n">
        <x:f>IF(AND(A47=A48,D47=D48),T47,0)</x:f>
        <x:v>5790.6849999999995</x:v>
      </x:c>
      <x:c r="V48" s="20" t="n">
        <x:f>T48-U48</x:f>
        <x:v>2650.3425000000007</x:v>
      </x:c>
      <x:c r="W48" s="20" t="n">
        <x:f>R48+V48</x:f>
        <x:v>37295.3425</x:v>
      </x:c>
      <x:c r="X48" s="14" t="str">
        <x:f>IF(ABS(W48-SUM(M48:Q48)-V48)&lt;0.01,"OK","Check")</x:f>
        <x:v>OK</x:v>
      </x:c>
    </x:row>
    <x:row r="49">
      <x:c r="A49" s="14" t="n">
        <x:v>2026</x:v>
      </x:c>
      <x:c r="B49" s="14" t="str">
        <x:v>Q4</x:v>
      </x:c>
      <x:c r="C49" s="14" t="n">
        <x:v>4</x:v>
      </x:c>
      <x:c r="D49" s="14" t="n">
        <x:v>11</x:v>
      </x:c>
      <x:c r="E49" s="14" t="str">
        <x:f>INDEX(Roster!$B$6:$B$108,MATCH(D49,Roster!$A$6:$A$108,0))</x:f>
      </x:c>
      <x:c r="F49" s="14" t="str">
        <x:f>INDEX(Roster!$F$6:$F$108,MATCH(D49,Roster!$A$6:$A$108,0))</x:f>
        <x:v>No</x:v>
      </x:c>
      <x:c r="G49" s="14" t="n">
        <x:f>INDEX(Inputs!$B$7:$D$7,1,MATCH(A49,Inputs!$B$6:$D$6,0))</x:f>
        <x:v>13</x:v>
      </x:c>
      <x:c r="H49" s="14" t="n">
        <x:f>MIN(=INDEX(Inputs!$B$7:$D$7,1,MATCH(A49,Inputs!$B$6:$D$6,0)),MAX(0,INDEX(Inputs!$B$14:$D$14,1,MATCH(A49,Inputs!$B$6:$D$6,0))-(C49-1)*=INDEX(Inputs!$B$7:$D$7,1,MATCH(A49,Inputs!$B$6:$D$6,0))))</x:f>
        <x:v>0</x:v>
      </x:c>
      <x:c r="I49" s="20" t="n">
        <x:f>INDEX(Inputs!$B$8:$D$8,1,MATCH(A49,Inputs!$B$6:$D$6,0))</x:f>
        <x:v>2395</x:v>
      </x:c>
      <x:c r="J49" s="20" t="n">
        <x:f>INDEX(Roster!$C$6:$C$108,MATCH(D49,Roster!$A$6:$A$108,0))*(1+INDEX(Inputs!$B$9:$D$9,1,MATCH(A49,Inputs!$B$6:$D$6,0)))</x:f>
        <x:v>150</x:v>
      </x:c>
      <x:c r="K49" s="20" t="n">
        <x:f>IF(=INDEX(Roster!$F$6:$F$108,MATCH(D49,Roster!$A$6:$A$108,0))="Yes",0,=INDEX(Inputs!$B$8:$D$8,1,MATCH(A49,Inputs!$B$6:$D$6,0))*IF(=INDEX(Roster!$B$6:$B$108,MATCH(D49,Roster!$A$6:$A$108,0))="Principal",INDEX(Inputs!$B$10:$D$10,1,MATCH(A49,Inputs!$B$6:$D$6,0)),IF(=INDEX(Roster!$B$6:$B$108,MATCH(D49,Roster!$A$6:$A$108,0))="Associate Principal",INDEX(Inputs!$B$11:$D$11,1,MATCH(A49,Inputs!$B$6:$D$6,0)),IF(=INDEX(Roster!$B$6:$B$108,MATCH(D49,Roster!$A$6:$A$108,0))="Assistant Principal",INDEX(Inputs!$B$12:$D$12,1,MATCH(A49,Inputs!$B$6:$D$6,0)),0))))</x:f>
        <x:v>0</x:v>
      </x:c>
      <x:c r="L49" s="20" t="n">
        <x:f>IF(INDEX(Roster!$D$6:$D$108,MATCH(D49,Roster!$A$6:$A$108,0))&gt;=25,INDEX(Inputs!$B$19:$D$19,1,MATCH(A49,Inputs!$B$6:$D$6,0)),IF(INDEX(Roster!$D$6:$D$108,MATCH(D49,Roster!$A$6:$A$108,0))&gt;=20,INDEX(Inputs!$B$18:$D$18,1,MATCH(A49,Inputs!$B$6:$D$6,0)),IF(INDEX(Roster!$D$6:$D$108,MATCH(D49,Roster!$A$6:$A$108,0))&gt;=15,INDEX(Inputs!$B$17:$D$17,1,MATCH(A49,Inputs!$B$6:$D$6,0)),IF(INDEX(Roster!$D$6:$D$108,MATCH(D49,Roster!$A$6:$A$108,0))&gt;=10,INDEX(Inputs!$B$16:$D$16,1,MATCH(A49,Inputs!$B$6:$D$6,0)),IF(INDEX(Roster!$D$6:$D$108,MATCH(D49,Roster!$A$6:$A$108,0))&gt;=5,INDEX(Inputs!$B$15:$D$15,1,MATCH(A49,Inputs!$B$6:$D$6,0)),0)))))</x:f>
        <x:v>90</x:v>
      </x:c>
      <x:c r="M49" s="20" t="n">
        <x:f>G49*I49</x:f>
        <x:v>31135</x:v>
      </x:c>
      <x:c r="N49" s="20" t="n">
        <x:f>G49*J49</x:f>
        <x:v>1950</x:v>
      </x:c>
      <x:c r="O49" s="20" t="n">
        <x:f>G49*K49</x:f>
        <x:v>0</x:v>
      </x:c>
      <x:c r="P49" s="20" t="n">
        <x:f>G49*L49</x:f>
        <x:v>1170</x:v>
      </x:c>
      <x:c r="Q49" s="20" t="n">
        <x:f>H49*INDEX(Inputs!$B$13:$D$13,1,MATCH(A49,Inputs!$B$6:$D$6,0))</x:f>
        <x:v>0</x:v>
      </x:c>
      <x:c r="R49" s="20" t="n">
        <x:f>SUM(M49:Q49)</x:f>
        <x:v>34255</x:v>
      </x:c>
      <x:c r="S49" s="20" t="n">
        <x:f>IF(AND(A48=A49,D48=D49),S48+R49,R49)</x:f>
        <x:v>138190</x:v>
      </x:c>
      <x:c r="T49" s="20" t="n">
        <x:f>MIN(S49,INDEX(Inputs!$B$20:$D$20,1,MATCH(A49,Inputs!$B$6:$D$6,0)))*INDEX(Inputs!$B$22:$D$22,1,MATCH(A49,Inputs!$B$6:$D$6,0))+MAX(MIN(S49,INDEX(Inputs!$B$21:$D$21,1,MATCH(A49,Inputs!$B$6:$D$6,0)))-INDEX(Inputs!$B$20:$D$20,1,MATCH(A49,Inputs!$B$6:$D$6,0)),0)*INDEX(Inputs!$B$23:$D$23,1,MATCH(A49,Inputs!$B$6:$D$6,0))+MAX(S49-INDEX(Inputs!$B$21:$D$21,1,MATCH(A49,Inputs!$B$6:$D$6,0)),0)*INDEX(Inputs!$B$24:$D$24,1,MATCH(A49,Inputs!$B$6:$D$6,0))</x:f>
        <x:v>9917.697</x:v>
      </x:c>
      <x:c r="U49" s="20" t="n">
        <x:f>IF(AND(A48=A49,D48=D49),T48,0)</x:f>
        <x:v>8441.0275</x:v>
      </x:c>
      <x:c r="V49" s="20" t="n">
        <x:f>T49-U49</x:f>
        <x:v>1476.6695</x:v>
      </x:c>
      <x:c r="W49" s="20" t="n">
        <x:f>R49+V49</x:f>
        <x:v>35731.6695</x:v>
      </x:c>
      <x:c r="X49" s="14" t="str">
        <x:f>IF(ABS(W49-SUM(M49:Q49)-V49)&lt;0.01,"OK","Check")</x:f>
        <x:v>OK</x:v>
      </x:c>
    </x:row>
    <x:row r="50">
      <x:c r="A50" s="14" t="n">
        <x:v>2026</x:v>
      </x:c>
      <x:c r="B50" s="14" t="str">
        <x:v>Q1</x:v>
      </x:c>
      <x:c r="C50" s="14" t="n">
        <x:v>1</x:v>
      </x:c>
      <x:c r="D50" s="14" t="n">
        <x:v>12</x:v>
      </x:c>
      <x:c r="E50" s="14" t="str">
        <x:f>INDEX(Roster!$B$6:$B$108,MATCH(D50,Roster!$A$6:$A$108,0))</x:f>
      </x:c>
      <x:c r="F50" s="14" t="str">
        <x:f>INDEX(Roster!$F$6:$F$108,MATCH(D50,Roster!$A$6:$A$108,0))</x:f>
        <x:v>No</x:v>
      </x:c>
      <x:c r="G50" s="14" t="n">
        <x:f>INDEX(Inputs!$B$7:$D$7,1,MATCH(A50,Inputs!$B$6:$D$6,0))</x:f>
        <x:v>13</x:v>
      </x:c>
      <x:c r="H50" s="14" t="n">
        <x:f>MIN(=INDEX(Inputs!$B$7:$D$7,1,MATCH(A50,Inputs!$B$6:$D$6,0)),MAX(0,INDEX(Inputs!$B$14:$D$14,1,MATCH(A50,Inputs!$B$6:$D$6,0))-(C50-1)*=INDEX(Inputs!$B$7:$D$7,1,MATCH(A50,Inputs!$B$6:$D$6,0))))</x:f>
        <x:v>13</x:v>
      </x:c>
      <x:c r="I50" s="20" t="n">
        <x:f>INDEX(Inputs!$B$8:$D$8,1,MATCH(A50,Inputs!$B$6:$D$6,0))</x:f>
        <x:v>2395</x:v>
      </x:c>
      <x:c r="J50" s="20" t="n">
        <x:f>INDEX(Roster!$C$6:$C$108,MATCH(D50,Roster!$A$6:$A$108,0))*(1+INDEX(Inputs!$B$9:$D$9,1,MATCH(A50,Inputs!$B$6:$D$6,0)))</x:f>
        <x:v>50</x:v>
      </x:c>
      <x:c r="K50" s="20" t="n">
        <x:f>IF(=INDEX(Roster!$F$6:$F$108,MATCH(D50,Roster!$A$6:$A$108,0))="Yes",0,=INDEX(Inputs!$B$8:$D$8,1,MATCH(A50,Inputs!$B$6:$D$6,0))*IF(=INDEX(Roster!$B$6:$B$108,MATCH(D50,Roster!$A$6:$A$108,0))="Principal",INDEX(Inputs!$B$10:$D$10,1,MATCH(A50,Inputs!$B$6:$D$6,0)),IF(=INDEX(Roster!$B$6:$B$108,MATCH(D50,Roster!$A$6:$A$108,0))="Associate Principal",INDEX(Inputs!$B$11:$D$11,1,MATCH(A50,Inputs!$B$6:$D$6,0)),IF(=INDEX(Roster!$B$6:$B$108,MATCH(D50,Roster!$A$6:$A$108,0))="Assistant Principal",INDEX(Inputs!$B$12:$D$12,1,MATCH(A50,Inputs!$B$6:$D$6,0)),0))))</x:f>
        <x:v>0</x:v>
      </x:c>
      <x:c r="L50" s="20" t="n">
        <x:f>IF(INDEX(Roster!$D$6:$D$108,MATCH(D50,Roster!$A$6:$A$108,0))&gt;=25,INDEX(Inputs!$B$19:$D$19,1,MATCH(A50,Inputs!$B$6:$D$6,0)),IF(INDEX(Roster!$D$6:$D$108,MATCH(D50,Roster!$A$6:$A$108,0))&gt;=20,INDEX(Inputs!$B$18:$D$18,1,MATCH(A50,Inputs!$B$6:$D$6,0)),IF(INDEX(Roster!$D$6:$D$108,MATCH(D50,Roster!$A$6:$A$108,0))&gt;=15,INDEX(Inputs!$B$17:$D$17,1,MATCH(A50,Inputs!$B$6:$D$6,0)),IF(INDEX(Roster!$D$6:$D$108,MATCH(D50,Roster!$A$6:$A$108,0))&gt;=10,INDEX(Inputs!$B$16:$D$16,1,MATCH(A50,Inputs!$B$6:$D$6,0)),IF(INDEX(Roster!$D$6:$D$108,MATCH(D50,Roster!$A$6:$A$108,0))&gt;=5,INDEX(Inputs!$B$15:$D$15,1,MATCH(A50,Inputs!$B$6:$D$6,0)),0)))))</x:f>
        <x:v>90</x:v>
      </x:c>
      <x:c r="M50" s="20" t="n">
        <x:f>G50*I50</x:f>
        <x:v>31135</x:v>
      </x:c>
      <x:c r="N50" s="20" t="n">
        <x:f>G50*J50</x:f>
        <x:v>650</x:v>
      </x:c>
      <x:c r="O50" s="20" t="n">
        <x:f>G50*K50</x:f>
        <x:v>0</x:v>
      </x:c>
      <x:c r="P50" s="20" t="n">
        <x:f>G50*L50</x:f>
        <x:v>1170</x:v>
      </x:c>
      <x:c r="Q50" s="20" t="n">
        <x:f>H50*INDEX(Inputs!$B$13:$D$13,1,MATCH(A50,Inputs!$B$6:$D$6,0))</x:f>
        <x:v>390</x:v>
      </x:c>
      <x:c r="R50" s="20" t="n">
        <x:f>SUM(M50:Q50)</x:f>
        <x:v>33345</x:v>
      </x:c>
      <x:c r="S50" s="20" t="n">
        <x:f>IF(AND(A49=A50,D49=D50),S49+R50,R50)</x:f>
        <x:v>33345</x:v>
      </x:c>
      <x:c r="T50" s="20" t="n">
        <x:f>MIN(S50,INDEX(Inputs!$B$20:$D$20,1,MATCH(A50,Inputs!$B$6:$D$6,0)))*INDEX(Inputs!$B$22:$D$22,1,MATCH(A50,Inputs!$B$6:$D$6,0))+MAX(MIN(S50,INDEX(Inputs!$B$21:$D$21,1,MATCH(A50,Inputs!$B$6:$D$6,0)))-INDEX(Inputs!$B$20:$D$20,1,MATCH(A50,Inputs!$B$6:$D$6,0)),0)*INDEX(Inputs!$B$23:$D$23,1,MATCH(A50,Inputs!$B$6:$D$6,0))+MAX(S50-INDEX(Inputs!$B$21:$D$21,1,MATCH(A50,Inputs!$B$6:$D$6,0)),0)*INDEX(Inputs!$B$24:$D$24,1,MATCH(A50,Inputs!$B$6:$D$6,0))</x:f>
        <x:v>3040.8925</x:v>
      </x:c>
      <x:c r="U50" s="20" t="n">
        <x:f>IF(AND(A49=A50,D49=D50),T49,0)</x:f>
        <x:v>0</x:v>
      </x:c>
      <x:c r="V50" s="20" t="n">
        <x:f>T50-U50</x:f>
        <x:v>3040.8925</x:v>
      </x:c>
      <x:c r="W50" s="20" t="n">
        <x:f>R50+V50</x:f>
        <x:v>36385.8925</x:v>
      </x:c>
      <x:c r="X50" s="14" t="str">
        <x:f>IF(ABS(W50-SUM(M50:Q50)-V50)&lt;0.01,"OK","Check")</x:f>
        <x:v>OK</x:v>
      </x:c>
    </x:row>
    <x:row r="51">
      <x:c r="A51" s="14" t="n">
        <x:v>2026</x:v>
      </x:c>
      <x:c r="B51" s="14" t="str">
        <x:v>Q2</x:v>
      </x:c>
      <x:c r="C51" s="14" t="n">
        <x:v>2</x:v>
      </x:c>
      <x:c r="D51" s="14" t="n">
        <x:v>12</x:v>
      </x:c>
      <x:c r="E51" s="14" t="str">
        <x:f>INDEX(Roster!$B$6:$B$108,MATCH(D51,Roster!$A$6:$A$108,0))</x:f>
      </x:c>
      <x:c r="F51" s="14" t="str">
        <x:f>INDEX(Roster!$F$6:$F$108,MATCH(D51,Roster!$A$6:$A$108,0))</x:f>
        <x:v>No</x:v>
      </x:c>
      <x:c r="G51" s="14" t="n">
        <x:f>INDEX(Inputs!$B$7:$D$7,1,MATCH(A51,Inputs!$B$6:$D$6,0))</x:f>
        <x:v>13</x:v>
      </x:c>
      <x:c r="H51" s="14" t="n">
        <x:f>MIN(=INDEX(Inputs!$B$7:$D$7,1,MATCH(A51,Inputs!$B$6:$D$6,0)),MAX(0,INDEX(Inputs!$B$14:$D$14,1,MATCH(A51,Inputs!$B$6:$D$6,0))-(C51-1)*=INDEX(Inputs!$B$7:$D$7,1,MATCH(A51,Inputs!$B$6:$D$6,0))))</x:f>
        <x:v>13</x:v>
      </x:c>
      <x:c r="I51" s="20" t="n">
        <x:f>INDEX(Inputs!$B$8:$D$8,1,MATCH(A51,Inputs!$B$6:$D$6,0))</x:f>
        <x:v>2395</x:v>
      </x:c>
      <x:c r="J51" s="20" t="n">
        <x:f>INDEX(Roster!$C$6:$C$108,MATCH(D51,Roster!$A$6:$A$108,0))*(1+INDEX(Inputs!$B$9:$D$9,1,MATCH(A51,Inputs!$B$6:$D$6,0)))</x:f>
        <x:v>50</x:v>
      </x:c>
      <x:c r="K51" s="20" t="n">
        <x:f>IF(=INDEX(Roster!$F$6:$F$108,MATCH(D51,Roster!$A$6:$A$108,0))="Yes",0,=INDEX(Inputs!$B$8:$D$8,1,MATCH(A51,Inputs!$B$6:$D$6,0))*IF(=INDEX(Roster!$B$6:$B$108,MATCH(D51,Roster!$A$6:$A$108,0))="Principal",INDEX(Inputs!$B$10:$D$10,1,MATCH(A51,Inputs!$B$6:$D$6,0)),IF(=INDEX(Roster!$B$6:$B$108,MATCH(D51,Roster!$A$6:$A$108,0))="Associate Principal",INDEX(Inputs!$B$11:$D$11,1,MATCH(A51,Inputs!$B$6:$D$6,0)),IF(=INDEX(Roster!$B$6:$B$108,MATCH(D51,Roster!$A$6:$A$108,0))="Assistant Principal",INDEX(Inputs!$B$12:$D$12,1,MATCH(A51,Inputs!$B$6:$D$6,0)),0))))</x:f>
        <x:v>0</x:v>
      </x:c>
      <x:c r="L51" s="20" t="n">
        <x:f>IF(INDEX(Roster!$D$6:$D$108,MATCH(D51,Roster!$A$6:$A$108,0))&gt;=25,INDEX(Inputs!$B$19:$D$19,1,MATCH(A51,Inputs!$B$6:$D$6,0)),IF(INDEX(Roster!$D$6:$D$108,MATCH(D51,Roster!$A$6:$A$108,0))&gt;=20,INDEX(Inputs!$B$18:$D$18,1,MATCH(A51,Inputs!$B$6:$D$6,0)),IF(INDEX(Roster!$D$6:$D$108,MATCH(D51,Roster!$A$6:$A$108,0))&gt;=15,INDEX(Inputs!$B$17:$D$17,1,MATCH(A51,Inputs!$B$6:$D$6,0)),IF(INDEX(Roster!$D$6:$D$108,MATCH(D51,Roster!$A$6:$A$108,0))&gt;=10,INDEX(Inputs!$B$16:$D$16,1,MATCH(A51,Inputs!$B$6:$D$6,0)),IF(INDEX(Roster!$D$6:$D$108,MATCH(D51,Roster!$A$6:$A$108,0))&gt;=5,INDEX(Inputs!$B$15:$D$15,1,MATCH(A51,Inputs!$B$6:$D$6,0)),0)))))</x:f>
        <x:v>90</x:v>
      </x:c>
      <x:c r="M51" s="20" t="n">
        <x:f>G51*I51</x:f>
        <x:v>31135</x:v>
      </x:c>
      <x:c r="N51" s="20" t="n">
        <x:f>G51*J51</x:f>
        <x:v>650</x:v>
      </x:c>
      <x:c r="O51" s="20" t="n">
        <x:f>G51*K51</x:f>
        <x:v>0</x:v>
      </x:c>
      <x:c r="P51" s="20" t="n">
        <x:f>G51*L51</x:f>
        <x:v>1170</x:v>
      </x:c>
      <x:c r="Q51" s="20" t="n">
        <x:f>H51*INDEX(Inputs!$B$13:$D$13,1,MATCH(A51,Inputs!$B$6:$D$6,0))</x:f>
        <x:v>390</x:v>
      </x:c>
      <x:c r="R51" s="20" t="n">
        <x:f>SUM(M51:Q51)</x:f>
        <x:v>33345</x:v>
      </x:c>
      <x:c r="S51" s="20" t="n">
        <x:f>IF(AND(A50=A51,D50=D51),S50+R51,R51)</x:f>
        <x:v>66690</x:v>
      </x:c>
      <x:c r="T51" s="20" t="n">
        <x:f>MIN(S51,INDEX(Inputs!$B$20:$D$20,1,MATCH(A51,Inputs!$B$6:$D$6,0)))*INDEX(Inputs!$B$22:$D$22,1,MATCH(A51,Inputs!$B$6:$D$6,0))+MAX(MIN(S51,INDEX(Inputs!$B$21:$D$21,1,MATCH(A51,Inputs!$B$6:$D$6,0)))-INDEX(Inputs!$B$20:$D$20,1,MATCH(A51,Inputs!$B$6:$D$6,0)),0)*INDEX(Inputs!$B$23:$D$23,1,MATCH(A51,Inputs!$B$6:$D$6,0))+MAX(S51-INDEX(Inputs!$B$21:$D$21,1,MATCH(A51,Inputs!$B$6:$D$6,0)),0)*INDEX(Inputs!$B$24:$D$24,1,MATCH(A51,Inputs!$B$6:$D$6,0))</x:f>
        <x:v>5591.785</x:v>
      </x:c>
      <x:c r="U51" s="20" t="n">
        <x:f>IF(AND(A50=A51,D50=D51),T50,0)</x:f>
        <x:v>3040.8925</x:v>
      </x:c>
      <x:c r="V51" s="20" t="n">
        <x:f>T51-U51</x:f>
        <x:v>2550.8925</x:v>
      </x:c>
      <x:c r="W51" s="20" t="n">
        <x:f>R51+V51</x:f>
        <x:v>35895.8925</x:v>
      </x:c>
      <x:c r="X51" s="14" t="str">
        <x:f>IF(ABS(W51-SUM(M51:Q51)-V51)&lt;0.01,"OK","Check")</x:f>
        <x:v>OK</x:v>
      </x:c>
    </x:row>
    <x:row r="52">
      <x:c r="A52" s="14" t="n">
        <x:v>2026</x:v>
      </x:c>
      <x:c r="B52" s="14" t="str">
        <x:v>Q3</x:v>
      </x:c>
      <x:c r="C52" s="14" t="n">
        <x:v>3</x:v>
      </x:c>
      <x:c r="D52" s="14" t="n">
        <x:v>12</x:v>
      </x:c>
      <x:c r="E52" s="14" t="str">
        <x:f>INDEX(Roster!$B$6:$B$108,MATCH(D52,Roster!$A$6:$A$108,0))</x:f>
      </x:c>
      <x:c r="F52" s="14" t="str">
        <x:f>INDEX(Roster!$F$6:$F$108,MATCH(D52,Roster!$A$6:$A$108,0))</x:f>
        <x:v>No</x:v>
      </x:c>
      <x:c r="G52" s="14" t="n">
        <x:f>INDEX(Inputs!$B$7:$D$7,1,MATCH(A52,Inputs!$B$6:$D$6,0))</x:f>
        <x:v>13</x:v>
      </x:c>
      <x:c r="H52" s="14" t="n">
        <x:f>MIN(=INDEX(Inputs!$B$7:$D$7,1,MATCH(A52,Inputs!$B$6:$D$6,0)),MAX(0,INDEX(Inputs!$B$14:$D$14,1,MATCH(A52,Inputs!$B$6:$D$6,0))-(C52-1)*=INDEX(Inputs!$B$7:$D$7,1,MATCH(A52,Inputs!$B$6:$D$6,0))))</x:f>
        <x:v>13</x:v>
      </x:c>
      <x:c r="I52" s="20" t="n">
        <x:f>INDEX(Inputs!$B$8:$D$8,1,MATCH(A52,Inputs!$B$6:$D$6,0))</x:f>
        <x:v>2395</x:v>
      </x:c>
      <x:c r="J52" s="20" t="n">
        <x:f>INDEX(Roster!$C$6:$C$108,MATCH(D52,Roster!$A$6:$A$108,0))*(1+INDEX(Inputs!$B$9:$D$9,1,MATCH(A52,Inputs!$B$6:$D$6,0)))</x:f>
        <x:v>50</x:v>
      </x:c>
      <x:c r="K52" s="20" t="n">
        <x:f>IF(=INDEX(Roster!$F$6:$F$108,MATCH(D52,Roster!$A$6:$A$108,0))="Yes",0,=INDEX(Inputs!$B$8:$D$8,1,MATCH(A52,Inputs!$B$6:$D$6,0))*IF(=INDEX(Roster!$B$6:$B$108,MATCH(D52,Roster!$A$6:$A$108,0))="Principal",INDEX(Inputs!$B$10:$D$10,1,MATCH(A52,Inputs!$B$6:$D$6,0)),IF(=INDEX(Roster!$B$6:$B$108,MATCH(D52,Roster!$A$6:$A$108,0))="Associate Principal",INDEX(Inputs!$B$11:$D$11,1,MATCH(A52,Inputs!$B$6:$D$6,0)),IF(=INDEX(Roster!$B$6:$B$108,MATCH(D52,Roster!$A$6:$A$108,0))="Assistant Principal",INDEX(Inputs!$B$12:$D$12,1,MATCH(A52,Inputs!$B$6:$D$6,0)),0))))</x:f>
        <x:v>0</x:v>
      </x:c>
      <x:c r="L52" s="20" t="n">
        <x:f>IF(INDEX(Roster!$D$6:$D$108,MATCH(D52,Roster!$A$6:$A$108,0))&gt;=25,INDEX(Inputs!$B$19:$D$19,1,MATCH(A52,Inputs!$B$6:$D$6,0)),IF(INDEX(Roster!$D$6:$D$108,MATCH(D52,Roster!$A$6:$A$108,0))&gt;=20,INDEX(Inputs!$B$18:$D$18,1,MATCH(A52,Inputs!$B$6:$D$6,0)),IF(INDEX(Roster!$D$6:$D$108,MATCH(D52,Roster!$A$6:$A$108,0))&gt;=15,INDEX(Inputs!$B$17:$D$17,1,MATCH(A52,Inputs!$B$6:$D$6,0)),IF(INDEX(Roster!$D$6:$D$108,MATCH(D52,Roster!$A$6:$A$108,0))&gt;=10,INDEX(Inputs!$B$16:$D$16,1,MATCH(A52,Inputs!$B$6:$D$6,0)),IF(INDEX(Roster!$D$6:$D$108,MATCH(D52,Roster!$A$6:$A$108,0))&gt;=5,INDEX(Inputs!$B$15:$D$15,1,MATCH(A52,Inputs!$B$6:$D$6,0)),0)))))</x:f>
        <x:v>90</x:v>
      </x:c>
      <x:c r="M52" s="20" t="n">
        <x:f>G52*I52</x:f>
        <x:v>31135</x:v>
      </x:c>
      <x:c r="N52" s="20" t="n">
        <x:f>G52*J52</x:f>
        <x:v>650</x:v>
      </x:c>
      <x:c r="O52" s="20" t="n">
        <x:f>G52*K52</x:f>
        <x:v>0</x:v>
      </x:c>
      <x:c r="P52" s="20" t="n">
        <x:f>G52*L52</x:f>
        <x:v>1170</x:v>
      </x:c>
      <x:c r="Q52" s="20" t="n">
        <x:f>H52*INDEX(Inputs!$B$13:$D$13,1,MATCH(A52,Inputs!$B$6:$D$6,0))</x:f>
        <x:v>390</x:v>
      </x:c>
      <x:c r="R52" s="20" t="n">
        <x:f>SUM(M52:Q52)</x:f>
        <x:v>33345</x:v>
      </x:c>
      <x:c r="S52" s="20" t="n">
        <x:f>IF(AND(A51=A52,D51=D52),S51+R52,R52)</x:f>
        <x:v>100035</x:v>
      </x:c>
      <x:c r="T52" s="20" t="n">
        <x:f>MIN(S52,INDEX(Inputs!$B$20:$D$20,1,MATCH(A52,Inputs!$B$6:$D$6,0)))*INDEX(Inputs!$B$22:$D$22,1,MATCH(A52,Inputs!$B$6:$D$6,0))+MAX(MIN(S52,INDEX(Inputs!$B$21:$D$21,1,MATCH(A52,Inputs!$B$6:$D$6,0)))-INDEX(Inputs!$B$20:$D$20,1,MATCH(A52,Inputs!$B$6:$D$6,0)),0)*INDEX(Inputs!$B$23:$D$23,1,MATCH(A52,Inputs!$B$6:$D$6,0))+MAX(S52-INDEX(Inputs!$B$21:$D$21,1,MATCH(A52,Inputs!$B$6:$D$6,0)),0)*INDEX(Inputs!$B$24:$D$24,1,MATCH(A52,Inputs!$B$6:$D$6,0))</x:f>
        <x:v>8142.6775</x:v>
      </x:c>
      <x:c r="U52" s="20" t="n">
        <x:f>IF(AND(A51=A52,D51=D52),T51,0)</x:f>
        <x:v>5591.785</x:v>
      </x:c>
      <x:c r="V52" s="20" t="n">
        <x:f>T52-U52</x:f>
        <x:v>2550.8925</x:v>
      </x:c>
      <x:c r="W52" s="20" t="n">
        <x:f>R52+V52</x:f>
        <x:v>35895.8925</x:v>
      </x:c>
      <x:c r="X52" s="14" t="str">
        <x:f>IF(ABS(W52-SUM(M52:Q52)-V52)&lt;0.01,"OK","Check")</x:f>
        <x:v>OK</x:v>
      </x:c>
    </x:row>
    <x:row r="53">
      <x:c r="A53" s="14" t="n">
        <x:v>2026</x:v>
      </x:c>
      <x:c r="B53" s="14" t="str">
        <x:v>Q4</x:v>
      </x:c>
      <x:c r="C53" s="14" t="n">
        <x:v>4</x:v>
      </x:c>
      <x:c r="D53" s="14" t="n">
        <x:v>12</x:v>
      </x:c>
      <x:c r="E53" s="14" t="str">
        <x:f>INDEX(Roster!$B$6:$B$108,MATCH(D53,Roster!$A$6:$A$108,0))</x:f>
      </x:c>
      <x:c r="F53" s="14" t="str">
        <x:f>INDEX(Roster!$F$6:$F$108,MATCH(D53,Roster!$A$6:$A$108,0))</x:f>
        <x:v>No</x:v>
      </x:c>
      <x:c r="G53" s="14" t="n">
        <x:f>INDEX(Inputs!$B$7:$D$7,1,MATCH(A53,Inputs!$B$6:$D$6,0))</x:f>
        <x:v>13</x:v>
      </x:c>
      <x:c r="H53" s="14" t="n">
        <x:f>MIN(=INDEX(Inputs!$B$7:$D$7,1,MATCH(A53,Inputs!$B$6:$D$6,0)),MAX(0,INDEX(Inputs!$B$14:$D$14,1,MATCH(A53,Inputs!$B$6:$D$6,0))-(C53-1)*=INDEX(Inputs!$B$7:$D$7,1,MATCH(A53,Inputs!$B$6:$D$6,0))))</x:f>
        <x:v>0</x:v>
      </x:c>
      <x:c r="I53" s="20" t="n">
        <x:f>INDEX(Inputs!$B$8:$D$8,1,MATCH(A53,Inputs!$B$6:$D$6,0))</x:f>
        <x:v>2395</x:v>
      </x:c>
      <x:c r="J53" s="20" t="n">
        <x:f>INDEX(Roster!$C$6:$C$108,MATCH(D53,Roster!$A$6:$A$108,0))*(1+INDEX(Inputs!$B$9:$D$9,1,MATCH(A53,Inputs!$B$6:$D$6,0)))</x:f>
        <x:v>50</x:v>
      </x:c>
      <x:c r="K53" s="20" t="n">
        <x:f>IF(=INDEX(Roster!$F$6:$F$108,MATCH(D53,Roster!$A$6:$A$108,0))="Yes",0,=INDEX(Inputs!$B$8:$D$8,1,MATCH(A53,Inputs!$B$6:$D$6,0))*IF(=INDEX(Roster!$B$6:$B$108,MATCH(D53,Roster!$A$6:$A$108,0))="Principal",INDEX(Inputs!$B$10:$D$10,1,MATCH(A53,Inputs!$B$6:$D$6,0)),IF(=INDEX(Roster!$B$6:$B$108,MATCH(D53,Roster!$A$6:$A$108,0))="Associate Principal",INDEX(Inputs!$B$11:$D$11,1,MATCH(A53,Inputs!$B$6:$D$6,0)),IF(=INDEX(Roster!$B$6:$B$108,MATCH(D53,Roster!$A$6:$A$108,0))="Assistant Principal",INDEX(Inputs!$B$12:$D$12,1,MATCH(A53,Inputs!$B$6:$D$6,0)),0))))</x:f>
        <x:v>0</x:v>
      </x:c>
      <x:c r="L53" s="20" t="n">
        <x:f>IF(INDEX(Roster!$D$6:$D$108,MATCH(D53,Roster!$A$6:$A$108,0))&gt;=25,INDEX(Inputs!$B$19:$D$19,1,MATCH(A53,Inputs!$B$6:$D$6,0)),IF(INDEX(Roster!$D$6:$D$108,MATCH(D53,Roster!$A$6:$A$108,0))&gt;=20,INDEX(Inputs!$B$18:$D$18,1,MATCH(A53,Inputs!$B$6:$D$6,0)),IF(INDEX(Roster!$D$6:$D$108,MATCH(D53,Roster!$A$6:$A$108,0))&gt;=15,INDEX(Inputs!$B$17:$D$17,1,MATCH(A53,Inputs!$B$6:$D$6,0)),IF(INDEX(Roster!$D$6:$D$108,MATCH(D53,Roster!$A$6:$A$108,0))&gt;=10,INDEX(Inputs!$B$16:$D$16,1,MATCH(A53,Inputs!$B$6:$D$6,0)),IF(INDEX(Roster!$D$6:$D$108,MATCH(D53,Roster!$A$6:$A$108,0))&gt;=5,INDEX(Inputs!$B$15:$D$15,1,MATCH(A53,Inputs!$B$6:$D$6,0)),0)))))</x:f>
        <x:v>90</x:v>
      </x:c>
      <x:c r="M53" s="20" t="n">
        <x:f>G53*I53</x:f>
        <x:v>31135</x:v>
      </x:c>
      <x:c r="N53" s="20" t="n">
        <x:f>G53*J53</x:f>
        <x:v>650</x:v>
      </x:c>
      <x:c r="O53" s="20" t="n">
        <x:f>G53*K53</x:f>
        <x:v>0</x:v>
      </x:c>
      <x:c r="P53" s="20" t="n">
        <x:f>G53*L53</x:f>
        <x:v>1170</x:v>
      </x:c>
      <x:c r="Q53" s="20" t="n">
        <x:f>H53*INDEX(Inputs!$B$13:$D$13,1,MATCH(A53,Inputs!$B$6:$D$6,0))</x:f>
        <x:v>0</x:v>
      </x:c>
      <x:c r="R53" s="20" t="n">
        <x:f>SUM(M53:Q53)</x:f>
        <x:v>32955</x:v>
      </x:c>
      <x:c r="S53" s="20" t="n">
        <x:f>IF(AND(A52=A53,D52=D53),S52+R53,R53)</x:f>
        <x:v>132990</x:v>
      </x:c>
      <x:c r="T53" s="20" t="n">
        <x:f>MIN(S53,INDEX(Inputs!$B$20:$D$20,1,MATCH(A53,Inputs!$B$6:$D$6,0)))*INDEX(Inputs!$B$22:$D$22,1,MATCH(A53,Inputs!$B$6:$D$6,0))+MAX(MIN(S53,INDEX(Inputs!$B$21:$D$21,1,MATCH(A53,Inputs!$B$6:$D$6,0)))-INDEX(Inputs!$B$20:$D$20,1,MATCH(A53,Inputs!$B$6:$D$6,0)),0)*INDEX(Inputs!$B$23:$D$23,1,MATCH(A53,Inputs!$B$6:$D$6,0))+MAX(S53-INDEX(Inputs!$B$21:$D$21,1,MATCH(A53,Inputs!$B$6:$D$6,0)),0)*INDEX(Inputs!$B$24:$D$24,1,MATCH(A53,Inputs!$B$6:$D$6,0))</x:f>
        <x:v>9842.297</x:v>
      </x:c>
      <x:c r="U53" s="20" t="n">
        <x:f>IF(AND(A52=A53,D52=D53),T52,0)</x:f>
        <x:v>8142.6775</x:v>
      </x:c>
      <x:c r="V53" s="20" t="n">
        <x:f>T53-U53</x:f>
        <x:v>1699.6195000000007</x:v>
      </x:c>
      <x:c r="W53" s="20" t="n">
        <x:f>R53+V53</x:f>
        <x:v>34654.6195</x:v>
      </x:c>
      <x:c r="X53" s="14" t="str">
        <x:f>IF(ABS(W53-SUM(M53:Q53)-V53)&lt;0.01,"OK","Check")</x:f>
        <x:v>OK</x:v>
      </x:c>
    </x:row>
    <x:row r="54">
      <x:c r="A54" s="14" t="n">
        <x:v>2026</x:v>
      </x:c>
      <x:c r="B54" s="14" t="str">
        <x:v>Q1</x:v>
      </x:c>
      <x:c r="C54" s="14" t="n">
        <x:v>1</x:v>
      </x:c>
      <x:c r="D54" s="14" t="n">
        <x:v>13</x:v>
      </x:c>
      <x:c r="E54" s="14" t="str">
        <x:f>INDEX(Roster!$B$6:$B$108,MATCH(D54,Roster!$A$6:$A$108,0))</x:f>
        <x:v>Associate Principal</x:v>
      </x:c>
      <x:c r="F54" s="14" t="str">
        <x:f>INDEX(Roster!$F$6:$F$108,MATCH(D54,Roster!$A$6:$A$108,0))</x:f>
        <x:v>No</x:v>
      </x:c>
      <x:c r="G54" s="14" t="n">
        <x:f>INDEX(Inputs!$B$7:$D$7,1,MATCH(A54,Inputs!$B$6:$D$6,0))</x:f>
        <x:v>13</x:v>
      </x:c>
      <x:c r="H54" s="14" t="n">
        <x:f>MIN(=INDEX(Inputs!$B$7:$D$7,1,MATCH(A54,Inputs!$B$6:$D$6,0)),MAX(0,INDEX(Inputs!$B$14:$D$14,1,MATCH(A54,Inputs!$B$6:$D$6,0))-(C54-1)*=INDEX(Inputs!$B$7:$D$7,1,MATCH(A54,Inputs!$B$6:$D$6,0))))</x:f>
        <x:v>13</x:v>
      </x:c>
      <x:c r="I54" s="20" t="n">
        <x:f>INDEX(Inputs!$B$8:$D$8,1,MATCH(A54,Inputs!$B$6:$D$6,0))</x:f>
        <x:v>2395</x:v>
      </x:c>
      <x:c r="J54" s="20" t="n">
        <x:f>INDEX(Roster!$C$6:$C$108,MATCH(D54,Roster!$A$6:$A$108,0))*(1+INDEX(Inputs!$B$9:$D$9,1,MATCH(A54,Inputs!$B$6:$D$6,0)))</x:f>
        <x:v>350</x:v>
      </x:c>
      <x:c r="K54" s="20" t="n">
        <x:f>IF(=INDEX(Roster!$F$6:$F$108,MATCH(D54,Roster!$A$6:$A$108,0))="Yes",0,=INDEX(Inputs!$B$8:$D$8,1,MATCH(A54,Inputs!$B$6:$D$6,0))*IF(=INDEX(Roster!$B$6:$B$108,MATCH(D54,Roster!$A$6:$A$108,0))="Principal",INDEX(Inputs!$B$10:$D$10,1,MATCH(A54,Inputs!$B$6:$D$6,0)),IF(=INDEX(Roster!$B$6:$B$108,MATCH(D54,Roster!$A$6:$A$108,0))="Associate Principal",INDEX(Inputs!$B$11:$D$11,1,MATCH(A54,Inputs!$B$6:$D$6,0)),IF(=INDEX(Roster!$B$6:$B$108,MATCH(D54,Roster!$A$6:$A$108,0))="Assistant Principal",INDEX(Inputs!$B$12:$D$12,1,MATCH(A54,Inputs!$B$6:$D$6,0)),0))))</x:f>
        <x:v>239.5</x:v>
      </x:c>
      <x:c r="L54" s="20" t="n">
        <x:f>IF(INDEX(Roster!$D$6:$D$108,MATCH(D54,Roster!$A$6:$A$108,0))&gt;=25,INDEX(Inputs!$B$19:$D$19,1,MATCH(A54,Inputs!$B$6:$D$6,0)),IF(INDEX(Roster!$D$6:$D$108,MATCH(D54,Roster!$A$6:$A$108,0))&gt;=20,INDEX(Inputs!$B$18:$D$18,1,MATCH(A54,Inputs!$B$6:$D$6,0)),IF(INDEX(Roster!$D$6:$D$108,MATCH(D54,Roster!$A$6:$A$108,0))&gt;=15,INDEX(Inputs!$B$17:$D$17,1,MATCH(A54,Inputs!$B$6:$D$6,0)),IF(INDEX(Roster!$D$6:$D$108,MATCH(D54,Roster!$A$6:$A$108,0))&gt;=10,INDEX(Inputs!$B$16:$D$16,1,MATCH(A54,Inputs!$B$6:$D$6,0)),IF(INDEX(Roster!$D$6:$D$108,MATCH(D54,Roster!$A$6:$A$108,0))&gt;=5,INDEX(Inputs!$B$15:$D$15,1,MATCH(A54,Inputs!$B$6:$D$6,0)),0)))))</x:f>
        <x:v>50</x:v>
      </x:c>
      <x:c r="M54" s="20" t="n">
        <x:f>G54*I54</x:f>
        <x:v>31135</x:v>
      </x:c>
      <x:c r="N54" s="20" t="n">
        <x:f>G54*J54</x:f>
        <x:v>4550</x:v>
      </x:c>
      <x:c r="O54" s="20" t="n">
        <x:f>G54*K54</x:f>
        <x:v>3113.5</x:v>
      </x:c>
      <x:c r="P54" s="20" t="n">
        <x:f>G54*L54</x:f>
        <x:v>650</x:v>
      </x:c>
      <x:c r="Q54" s="20" t="n">
        <x:f>H54*INDEX(Inputs!$B$13:$D$13,1,MATCH(A54,Inputs!$B$6:$D$6,0))</x:f>
        <x:v>390</x:v>
      </x:c>
      <x:c r="R54" s="20" t="n">
        <x:f>SUM(M54:Q54)</x:f>
        <x:v>39838.5</x:v>
      </x:c>
      <x:c r="S54" s="20" t="n">
        <x:f>IF(AND(A53=A54,D53=D54),S53+R54,R54)</x:f>
        <x:v>39838.5</x:v>
      </x:c>
      <x:c r="T54" s="20" t="n">
        <x:f>MIN(S54,INDEX(Inputs!$B$20:$D$20,1,MATCH(A54,Inputs!$B$6:$D$6,0)))*INDEX(Inputs!$B$22:$D$22,1,MATCH(A54,Inputs!$B$6:$D$6,0))+MAX(MIN(S54,INDEX(Inputs!$B$21:$D$21,1,MATCH(A54,Inputs!$B$6:$D$6,0)))-INDEX(Inputs!$B$20:$D$20,1,MATCH(A54,Inputs!$B$6:$D$6,0)),0)*INDEX(Inputs!$B$23:$D$23,1,MATCH(A54,Inputs!$B$6:$D$6,0))+MAX(S54-INDEX(Inputs!$B$21:$D$21,1,MATCH(A54,Inputs!$B$6:$D$6,0)),0)*INDEX(Inputs!$B$24:$D$24,1,MATCH(A54,Inputs!$B$6:$D$6,0))</x:f>
        <x:v>3537.64525</x:v>
      </x:c>
      <x:c r="U54" s="20" t="n">
        <x:f>IF(AND(A53=A54,D53=D54),T53,0)</x:f>
        <x:v>0</x:v>
      </x:c>
      <x:c r="V54" s="20" t="n">
        <x:f>T54-U54</x:f>
        <x:v>3537.64525</x:v>
      </x:c>
      <x:c r="W54" s="20" t="n">
        <x:f>R54+V54</x:f>
        <x:v>43376.14525</x:v>
      </x:c>
      <x:c r="X54" s="14" t="str">
        <x:f>IF(ABS(W54-SUM(M54:Q54)-V54)&lt;0.01,"OK","Check")</x:f>
        <x:v>OK</x:v>
      </x:c>
    </x:row>
    <x:row r="55">
      <x:c r="A55" s="14" t="n">
        <x:v>2026</x:v>
      </x:c>
      <x:c r="B55" s="14" t="str">
        <x:v>Q2</x:v>
      </x:c>
      <x:c r="C55" s="14" t="n">
        <x:v>2</x:v>
      </x:c>
      <x:c r="D55" s="14" t="n">
        <x:v>13</x:v>
      </x:c>
      <x:c r="E55" s="14" t="str">
        <x:f>INDEX(Roster!$B$6:$B$108,MATCH(D55,Roster!$A$6:$A$108,0))</x:f>
        <x:v>Associate Principal</x:v>
      </x:c>
      <x:c r="F55" s="14" t="str">
        <x:f>INDEX(Roster!$F$6:$F$108,MATCH(D55,Roster!$A$6:$A$108,0))</x:f>
        <x:v>No</x:v>
      </x:c>
      <x:c r="G55" s="14" t="n">
        <x:f>INDEX(Inputs!$B$7:$D$7,1,MATCH(A55,Inputs!$B$6:$D$6,0))</x:f>
        <x:v>13</x:v>
      </x:c>
      <x:c r="H55" s="14" t="n">
        <x:f>MIN(=INDEX(Inputs!$B$7:$D$7,1,MATCH(A55,Inputs!$B$6:$D$6,0)),MAX(0,INDEX(Inputs!$B$14:$D$14,1,MATCH(A55,Inputs!$B$6:$D$6,0))-(C55-1)*=INDEX(Inputs!$B$7:$D$7,1,MATCH(A55,Inputs!$B$6:$D$6,0))))</x:f>
        <x:v>13</x:v>
      </x:c>
      <x:c r="I55" s="20" t="n">
        <x:f>INDEX(Inputs!$B$8:$D$8,1,MATCH(A55,Inputs!$B$6:$D$6,0))</x:f>
        <x:v>2395</x:v>
      </x:c>
      <x:c r="J55" s="20" t="n">
        <x:f>INDEX(Roster!$C$6:$C$108,MATCH(D55,Roster!$A$6:$A$108,0))*(1+INDEX(Inputs!$B$9:$D$9,1,MATCH(A55,Inputs!$B$6:$D$6,0)))</x:f>
        <x:v>350</x:v>
      </x:c>
      <x:c r="K55" s="20" t="n">
        <x:f>IF(=INDEX(Roster!$F$6:$F$108,MATCH(D55,Roster!$A$6:$A$108,0))="Yes",0,=INDEX(Inputs!$B$8:$D$8,1,MATCH(A55,Inputs!$B$6:$D$6,0))*IF(=INDEX(Roster!$B$6:$B$108,MATCH(D55,Roster!$A$6:$A$108,0))="Principal",INDEX(Inputs!$B$10:$D$10,1,MATCH(A55,Inputs!$B$6:$D$6,0)),IF(=INDEX(Roster!$B$6:$B$108,MATCH(D55,Roster!$A$6:$A$108,0))="Associate Principal",INDEX(Inputs!$B$11:$D$11,1,MATCH(A55,Inputs!$B$6:$D$6,0)),IF(=INDEX(Roster!$B$6:$B$108,MATCH(D55,Roster!$A$6:$A$108,0))="Assistant Principal",INDEX(Inputs!$B$12:$D$12,1,MATCH(A55,Inputs!$B$6:$D$6,0)),0))))</x:f>
        <x:v>239.5</x:v>
      </x:c>
      <x:c r="L55" s="20" t="n">
        <x:f>IF(INDEX(Roster!$D$6:$D$108,MATCH(D55,Roster!$A$6:$A$108,0))&gt;=25,INDEX(Inputs!$B$19:$D$19,1,MATCH(A55,Inputs!$B$6:$D$6,0)),IF(INDEX(Roster!$D$6:$D$108,MATCH(D55,Roster!$A$6:$A$108,0))&gt;=20,INDEX(Inputs!$B$18:$D$18,1,MATCH(A55,Inputs!$B$6:$D$6,0)),IF(INDEX(Roster!$D$6:$D$108,MATCH(D55,Roster!$A$6:$A$108,0))&gt;=15,INDEX(Inputs!$B$17:$D$17,1,MATCH(A55,Inputs!$B$6:$D$6,0)),IF(INDEX(Roster!$D$6:$D$108,MATCH(D55,Roster!$A$6:$A$108,0))&gt;=10,INDEX(Inputs!$B$16:$D$16,1,MATCH(A55,Inputs!$B$6:$D$6,0)),IF(INDEX(Roster!$D$6:$D$108,MATCH(D55,Roster!$A$6:$A$108,0))&gt;=5,INDEX(Inputs!$B$15:$D$15,1,MATCH(A55,Inputs!$B$6:$D$6,0)),0)))))</x:f>
        <x:v>50</x:v>
      </x:c>
      <x:c r="M55" s="20" t="n">
        <x:f>G55*I55</x:f>
        <x:v>31135</x:v>
      </x:c>
      <x:c r="N55" s="20" t="n">
        <x:f>G55*J55</x:f>
        <x:v>4550</x:v>
      </x:c>
      <x:c r="O55" s="20" t="n">
        <x:f>G55*K55</x:f>
        <x:v>3113.5</x:v>
      </x:c>
      <x:c r="P55" s="20" t="n">
        <x:f>G55*L55</x:f>
        <x:v>650</x:v>
      </x:c>
      <x:c r="Q55" s="20" t="n">
        <x:f>H55*INDEX(Inputs!$B$13:$D$13,1,MATCH(A55,Inputs!$B$6:$D$6,0))</x:f>
        <x:v>390</x:v>
      </x:c>
      <x:c r="R55" s="20" t="n">
        <x:f>SUM(M55:Q55)</x:f>
        <x:v>39838.5</x:v>
      </x:c>
      <x:c r="S55" s="20" t="n">
        <x:f>IF(AND(A54=A55,D54=D55),S54+R55,R55)</x:f>
        <x:v>79677</x:v>
      </x:c>
      <x:c r="T55" s="20" t="n">
        <x:f>MIN(S55,INDEX(Inputs!$B$20:$D$20,1,MATCH(A55,Inputs!$B$6:$D$6,0)))*INDEX(Inputs!$B$22:$D$22,1,MATCH(A55,Inputs!$B$6:$D$6,0))+MAX(MIN(S55,INDEX(Inputs!$B$21:$D$21,1,MATCH(A55,Inputs!$B$6:$D$6,0)))-INDEX(Inputs!$B$20:$D$20,1,MATCH(A55,Inputs!$B$6:$D$6,0)),0)*INDEX(Inputs!$B$23:$D$23,1,MATCH(A55,Inputs!$B$6:$D$6,0))+MAX(S55-INDEX(Inputs!$B$21:$D$21,1,MATCH(A55,Inputs!$B$6:$D$6,0)),0)*INDEX(Inputs!$B$24:$D$24,1,MATCH(A55,Inputs!$B$6:$D$6,0))</x:f>
        <x:v>6585.2905</x:v>
      </x:c>
      <x:c r="U55" s="20" t="n">
        <x:f>IF(AND(A54=A55,D54=D55),T54,0)</x:f>
        <x:v>3537.64525</x:v>
      </x:c>
      <x:c r="V55" s="20" t="n">
        <x:f>T55-U55</x:f>
        <x:v>3047.64525</x:v>
      </x:c>
      <x:c r="W55" s="20" t="n">
        <x:f>R55+V55</x:f>
        <x:v>42886.14525</x:v>
      </x:c>
      <x:c r="X55" s="14" t="str">
        <x:f>IF(ABS(W55-SUM(M55:Q55)-V55)&lt;0.01,"OK","Check")</x:f>
        <x:v>OK</x:v>
      </x:c>
    </x:row>
    <x:row r="56">
      <x:c r="A56" s="14" t="n">
        <x:v>2026</x:v>
      </x:c>
      <x:c r="B56" s="14" t="str">
        <x:v>Q3</x:v>
      </x:c>
      <x:c r="C56" s="14" t="n">
        <x:v>3</x:v>
      </x:c>
      <x:c r="D56" s="14" t="n">
        <x:v>13</x:v>
      </x:c>
      <x:c r="E56" s="14" t="str">
        <x:f>INDEX(Roster!$B$6:$B$108,MATCH(D56,Roster!$A$6:$A$108,0))</x:f>
        <x:v>Associate Principal</x:v>
      </x:c>
      <x:c r="F56" s="14" t="str">
        <x:f>INDEX(Roster!$F$6:$F$108,MATCH(D56,Roster!$A$6:$A$108,0))</x:f>
        <x:v>No</x:v>
      </x:c>
      <x:c r="G56" s="14" t="n">
        <x:f>INDEX(Inputs!$B$7:$D$7,1,MATCH(A56,Inputs!$B$6:$D$6,0))</x:f>
        <x:v>13</x:v>
      </x:c>
      <x:c r="H56" s="14" t="n">
        <x:f>MIN(=INDEX(Inputs!$B$7:$D$7,1,MATCH(A56,Inputs!$B$6:$D$6,0)),MAX(0,INDEX(Inputs!$B$14:$D$14,1,MATCH(A56,Inputs!$B$6:$D$6,0))-(C56-1)*=INDEX(Inputs!$B$7:$D$7,1,MATCH(A56,Inputs!$B$6:$D$6,0))))</x:f>
        <x:v>13</x:v>
      </x:c>
      <x:c r="I56" s="20" t="n">
        <x:f>INDEX(Inputs!$B$8:$D$8,1,MATCH(A56,Inputs!$B$6:$D$6,0))</x:f>
        <x:v>2395</x:v>
      </x:c>
      <x:c r="J56" s="20" t="n">
        <x:f>INDEX(Roster!$C$6:$C$108,MATCH(D56,Roster!$A$6:$A$108,0))*(1+INDEX(Inputs!$B$9:$D$9,1,MATCH(A56,Inputs!$B$6:$D$6,0)))</x:f>
        <x:v>350</x:v>
      </x:c>
      <x:c r="K56" s="20" t="n">
        <x:f>IF(=INDEX(Roster!$F$6:$F$108,MATCH(D56,Roster!$A$6:$A$108,0))="Yes",0,=INDEX(Inputs!$B$8:$D$8,1,MATCH(A56,Inputs!$B$6:$D$6,0))*IF(=INDEX(Roster!$B$6:$B$108,MATCH(D56,Roster!$A$6:$A$108,0))="Principal",INDEX(Inputs!$B$10:$D$10,1,MATCH(A56,Inputs!$B$6:$D$6,0)),IF(=INDEX(Roster!$B$6:$B$108,MATCH(D56,Roster!$A$6:$A$108,0))="Associate Principal",INDEX(Inputs!$B$11:$D$11,1,MATCH(A56,Inputs!$B$6:$D$6,0)),IF(=INDEX(Roster!$B$6:$B$108,MATCH(D56,Roster!$A$6:$A$108,0))="Assistant Principal",INDEX(Inputs!$B$12:$D$12,1,MATCH(A56,Inputs!$B$6:$D$6,0)),0))))</x:f>
        <x:v>239.5</x:v>
      </x:c>
      <x:c r="L56" s="20" t="n">
        <x:f>IF(INDEX(Roster!$D$6:$D$108,MATCH(D56,Roster!$A$6:$A$108,0))&gt;=25,INDEX(Inputs!$B$19:$D$19,1,MATCH(A56,Inputs!$B$6:$D$6,0)),IF(INDEX(Roster!$D$6:$D$108,MATCH(D56,Roster!$A$6:$A$108,0))&gt;=20,INDEX(Inputs!$B$18:$D$18,1,MATCH(A56,Inputs!$B$6:$D$6,0)),IF(INDEX(Roster!$D$6:$D$108,MATCH(D56,Roster!$A$6:$A$108,0))&gt;=15,INDEX(Inputs!$B$17:$D$17,1,MATCH(A56,Inputs!$B$6:$D$6,0)),IF(INDEX(Roster!$D$6:$D$108,MATCH(D56,Roster!$A$6:$A$108,0))&gt;=10,INDEX(Inputs!$B$16:$D$16,1,MATCH(A56,Inputs!$B$6:$D$6,0)),IF(INDEX(Roster!$D$6:$D$108,MATCH(D56,Roster!$A$6:$A$108,0))&gt;=5,INDEX(Inputs!$B$15:$D$15,1,MATCH(A56,Inputs!$B$6:$D$6,0)),0)))))</x:f>
        <x:v>50</x:v>
      </x:c>
      <x:c r="M56" s="20" t="n">
        <x:f>G56*I56</x:f>
        <x:v>31135</x:v>
      </x:c>
      <x:c r="N56" s="20" t="n">
        <x:f>G56*J56</x:f>
        <x:v>4550</x:v>
      </x:c>
      <x:c r="O56" s="20" t="n">
        <x:f>G56*K56</x:f>
        <x:v>3113.5</x:v>
      </x:c>
      <x:c r="P56" s="20" t="n">
        <x:f>G56*L56</x:f>
        <x:v>650</x:v>
      </x:c>
      <x:c r="Q56" s="20" t="n">
        <x:f>H56*INDEX(Inputs!$B$13:$D$13,1,MATCH(A56,Inputs!$B$6:$D$6,0))</x:f>
        <x:v>390</x:v>
      </x:c>
      <x:c r="R56" s="20" t="n">
        <x:f>SUM(M56:Q56)</x:f>
        <x:v>39838.5</x:v>
      </x:c>
      <x:c r="S56" s="20" t="n">
        <x:f>IF(AND(A55=A56,D55=D56),S55+R56,R56)</x:f>
        <x:v>119515.5</x:v>
      </x:c>
      <x:c r="T56" s="20" t="n">
        <x:f>MIN(S56,INDEX(Inputs!$B$20:$D$20,1,MATCH(A56,Inputs!$B$6:$D$6,0)))*INDEX(Inputs!$B$22:$D$22,1,MATCH(A56,Inputs!$B$6:$D$6,0))+MAX(MIN(S56,INDEX(Inputs!$B$21:$D$21,1,MATCH(A56,Inputs!$B$6:$D$6,0)))-INDEX(Inputs!$B$20:$D$20,1,MATCH(A56,Inputs!$B$6:$D$6,0)),0)*INDEX(Inputs!$B$23:$D$23,1,MATCH(A56,Inputs!$B$6:$D$6,0))+MAX(S56-INDEX(Inputs!$B$21:$D$21,1,MATCH(A56,Inputs!$B$6:$D$6,0)),0)*INDEX(Inputs!$B$24:$D$24,1,MATCH(A56,Inputs!$B$6:$D$6,0))</x:f>
        <x:v>9632.93575</x:v>
      </x:c>
      <x:c r="U56" s="20" t="n">
        <x:f>IF(AND(A55=A56,D55=D56),T55,0)</x:f>
        <x:v>6585.2905</x:v>
      </x:c>
      <x:c r="V56" s="20" t="n">
        <x:f>T56-U56</x:f>
        <x:v>3047.6452500000005</x:v>
      </x:c>
      <x:c r="W56" s="20" t="n">
        <x:f>R56+V56</x:f>
        <x:v>42886.14525</x:v>
      </x:c>
      <x:c r="X56" s="14" t="str">
        <x:f>IF(ABS(W56-SUM(M56:Q56)-V56)&lt;0.01,"OK","Check")</x:f>
        <x:v>OK</x:v>
      </x:c>
    </x:row>
    <x:row r="57">
      <x:c r="A57" s="14" t="n">
        <x:v>2026</x:v>
      </x:c>
      <x:c r="B57" s="14" t="str">
        <x:v>Q4</x:v>
      </x:c>
      <x:c r="C57" s="14" t="n">
        <x:v>4</x:v>
      </x:c>
      <x:c r="D57" s="14" t="n">
        <x:v>13</x:v>
      </x:c>
      <x:c r="E57" s="14" t="str">
        <x:f>INDEX(Roster!$B$6:$B$108,MATCH(D57,Roster!$A$6:$A$108,0))</x:f>
        <x:v>Associate Principal</x:v>
      </x:c>
      <x:c r="F57" s="14" t="str">
        <x:f>INDEX(Roster!$F$6:$F$108,MATCH(D57,Roster!$A$6:$A$108,0))</x:f>
        <x:v>No</x:v>
      </x:c>
      <x:c r="G57" s="14" t="n">
        <x:f>INDEX(Inputs!$B$7:$D$7,1,MATCH(A57,Inputs!$B$6:$D$6,0))</x:f>
        <x:v>13</x:v>
      </x:c>
      <x:c r="H57" s="14" t="n">
        <x:f>MIN(=INDEX(Inputs!$B$7:$D$7,1,MATCH(A57,Inputs!$B$6:$D$6,0)),MAX(0,INDEX(Inputs!$B$14:$D$14,1,MATCH(A57,Inputs!$B$6:$D$6,0))-(C57-1)*=INDEX(Inputs!$B$7:$D$7,1,MATCH(A57,Inputs!$B$6:$D$6,0))))</x:f>
        <x:v>0</x:v>
      </x:c>
      <x:c r="I57" s="20" t="n">
        <x:f>INDEX(Inputs!$B$8:$D$8,1,MATCH(A57,Inputs!$B$6:$D$6,0))</x:f>
        <x:v>2395</x:v>
      </x:c>
      <x:c r="J57" s="20" t="n">
        <x:f>INDEX(Roster!$C$6:$C$108,MATCH(D57,Roster!$A$6:$A$108,0))*(1+INDEX(Inputs!$B$9:$D$9,1,MATCH(A57,Inputs!$B$6:$D$6,0)))</x:f>
        <x:v>350</x:v>
      </x:c>
      <x:c r="K57" s="20" t="n">
        <x:f>IF(=INDEX(Roster!$F$6:$F$108,MATCH(D57,Roster!$A$6:$A$108,0))="Yes",0,=INDEX(Inputs!$B$8:$D$8,1,MATCH(A57,Inputs!$B$6:$D$6,0))*IF(=INDEX(Roster!$B$6:$B$108,MATCH(D57,Roster!$A$6:$A$108,0))="Principal",INDEX(Inputs!$B$10:$D$10,1,MATCH(A57,Inputs!$B$6:$D$6,0)),IF(=INDEX(Roster!$B$6:$B$108,MATCH(D57,Roster!$A$6:$A$108,0))="Associate Principal",INDEX(Inputs!$B$11:$D$11,1,MATCH(A57,Inputs!$B$6:$D$6,0)),IF(=INDEX(Roster!$B$6:$B$108,MATCH(D57,Roster!$A$6:$A$108,0))="Assistant Principal",INDEX(Inputs!$B$12:$D$12,1,MATCH(A57,Inputs!$B$6:$D$6,0)),0))))</x:f>
        <x:v>239.5</x:v>
      </x:c>
      <x:c r="L57" s="20" t="n">
        <x:f>IF(INDEX(Roster!$D$6:$D$108,MATCH(D57,Roster!$A$6:$A$108,0))&gt;=25,INDEX(Inputs!$B$19:$D$19,1,MATCH(A57,Inputs!$B$6:$D$6,0)),IF(INDEX(Roster!$D$6:$D$108,MATCH(D57,Roster!$A$6:$A$108,0))&gt;=20,INDEX(Inputs!$B$18:$D$18,1,MATCH(A57,Inputs!$B$6:$D$6,0)),IF(INDEX(Roster!$D$6:$D$108,MATCH(D57,Roster!$A$6:$A$108,0))&gt;=15,INDEX(Inputs!$B$17:$D$17,1,MATCH(A57,Inputs!$B$6:$D$6,0)),IF(INDEX(Roster!$D$6:$D$108,MATCH(D57,Roster!$A$6:$A$108,0))&gt;=10,INDEX(Inputs!$B$16:$D$16,1,MATCH(A57,Inputs!$B$6:$D$6,0)),IF(INDEX(Roster!$D$6:$D$108,MATCH(D57,Roster!$A$6:$A$108,0))&gt;=5,INDEX(Inputs!$B$15:$D$15,1,MATCH(A57,Inputs!$B$6:$D$6,0)),0)))))</x:f>
        <x:v>50</x:v>
      </x:c>
      <x:c r="M57" s="20" t="n">
        <x:f>G57*I57</x:f>
        <x:v>31135</x:v>
      </x:c>
      <x:c r="N57" s="20" t="n">
        <x:f>G57*J57</x:f>
        <x:v>4550</x:v>
      </x:c>
      <x:c r="O57" s="20" t="n">
        <x:f>G57*K57</x:f>
        <x:v>3113.5</x:v>
      </x:c>
      <x:c r="P57" s="20" t="n">
        <x:f>G57*L57</x:f>
        <x:v>650</x:v>
      </x:c>
      <x:c r="Q57" s="20" t="n">
        <x:f>H57*INDEX(Inputs!$B$13:$D$13,1,MATCH(A57,Inputs!$B$6:$D$6,0))</x:f>
        <x:v>0</x:v>
      </x:c>
      <x:c r="R57" s="20" t="n">
        <x:f>SUM(M57:Q57)</x:f>
        <x:v>39448.5</x:v>
      </x:c>
      <x:c r="S57" s="20" t="n">
        <x:f>IF(AND(A56=A57,D56=D57),S56+R57,R57)</x:f>
        <x:v>158964</x:v>
      </x:c>
      <x:c r="T57" s="20" t="n">
        <x:f>MIN(S57,INDEX(Inputs!$B$20:$D$20,1,MATCH(A57,Inputs!$B$6:$D$6,0)))*INDEX(Inputs!$B$22:$D$22,1,MATCH(A57,Inputs!$B$6:$D$6,0))+MAX(MIN(S57,INDEX(Inputs!$B$21:$D$21,1,MATCH(A57,Inputs!$B$6:$D$6,0)))-INDEX(Inputs!$B$20:$D$20,1,MATCH(A57,Inputs!$B$6:$D$6,0)),0)*INDEX(Inputs!$B$23:$D$23,1,MATCH(A57,Inputs!$B$6:$D$6,0))+MAX(S57-INDEX(Inputs!$B$21:$D$21,1,MATCH(A57,Inputs!$B$6:$D$6,0)),0)*INDEX(Inputs!$B$24:$D$24,1,MATCH(A57,Inputs!$B$6:$D$6,0))</x:f>
        <x:v>10218.92</x:v>
      </x:c>
      <x:c r="U57" s="20" t="n">
        <x:f>IF(AND(A56=A57,D56=D57),T56,0)</x:f>
        <x:v>9632.93575</x:v>
      </x:c>
      <x:c r="V57" s="20" t="n">
        <x:f>T57-U57</x:f>
        <x:v>585.9842499999995</x:v>
      </x:c>
      <x:c r="W57" s="20" t="n">
        <x:f>R57+V57</x:f>
        <x:v>40034.48425</x:v>
      </x:c>
      <x:c r="X57" s="14" t="str">
        <x:f>IF(ABS(W57-SUM(M57:Q57)-V57)&lt;0.01,"OK","Check")</x:f>
        <x:v>OK</x:v>
      </x:c>
    </x:row>
    <x:row r="58">
      <x:c r="A58" s="14" t="n">
        <x:v>2026</x:v>
      </x:c>
      <x:c r="B58" s="14" t="str">
        <x:v>Q1</x:v>
      </x:c>
      <x:c r="C58" s="14" t="n">
        <x:v>1</x:v>
      </x:c>
      <x:c r="D58" s="14" t="n">
        <x:v>14</x:v>
      </x:c>
      <x:c r="E58" s="14" t="str">
        <x:f>INDEX(Roster!$B$6:$B$108,MATCH(D58,Roster!$A$6:$A$108,0))</x:f>
        <x:v>Associate Principal</x:v>
      </x:c>
      <x:c r="F58" s="14" t="str">
        <x:f>INDEX(Roster!$F$6:$F$108,MATCH(D58,Roster!$A$6:$A$108,0))</x:f>
        <x:v>No</x:v>
      </x:c>
      <x:c r="G58" s="14" t="n">
        <x:f>INDEX(Inputs!$B$7:$D$7,1,MATCH(A58,Inputs!$B$6:$D$6,0))</x:f>
        <x:v>13</x:v>
      </x:c>
      <x:c r="H58" s="14" t="n">
        <x:f>MIN(=INDEX(Inputs!$B$7:$D$7,1,MATCH(A58,Inputs!$B$6:$D$6,0)),MAX(0,INDEX(Inputs!$B$14:$D$14,1,MATCH(A58,Inputs!$B$6:$D$6,0))-(C58-1)*=INDEX(Inputs!$B$7:$D$7,1,MATCH(A58,Inputs!$B$6:$D$6,0))))</x:f>
        <x:v>13</x:v>
      </x:c>
      <x:c r="I58" s="20" t="n">
        <x:f>INDEX(Inputs!$B$8:$D$8,1,MATCH(A58,Inputs!$B$6:$D$6,0))</x:f>
        <x:v>2395</x:v>
      </x:c>
      <x:c r="J58" s="20" t="n">
        <x:f>INDEX(Roster!$C$6:$C$108,MATCH(D58,Roster!$A$6:$A$108,0))*(1+INDEX(Inputs!$B$9:$D$9,1,MATCH(A58,Inputs!$B$6:$D$6,0)))</x:f>
        <x:v>650</x:v>
      </x:c>
      <x:c r="K58" s="20" t="n">
        <x:f>IF(=INDEX(Roster!$F$6:$F$108,MATCH(D58,Roster!$A$6:$A$108,0))="Yes",0,=INDEX(Inputs!$B$8:$D$8,1,MATCH(A58,Inputs!$B$6:$D$6,0))*IF(=INDEX(Roster!$B$6:$B$108,MATCH(D58,Roster!$A$6:$A$108,0))="Principal",INDEX(Inputs!$B$10:$D$10,1,MATCH(A58,Inputs!$B$6:$D$6,0)),IF(=INDEX(Roster!$B$6:$B$108,MATCH(D58,Roster!$A$6:$A$108,0))="Associate Principal",INDEX(Inputs!$B$11:$D$11,1,MATCH(A58,Inputs!$B$6:$D$6,0)),IF(=INDEX(Roster!$B$6:$B$108,MATCH(D58,Roster!$A$6:$A$108,0))="Assistant Principal",INDEX(Inputs!$B$12:$D$12,1,MATCH(A58,Inputs!$B$6:$D$6,0)),0))))</x:f>
        <x:v>239.5</x:v>
      </x:c>
      <x:c r="L58" s="20" t="n">
        <x:f>IF(INDEX(Roster!$D$6:$D$108,MATCH(D58,Roster!$A$6:$A$108,0))&gt;=25,INDEX(Inputs!$B$19:$D$19,1,MATCH(A58,Inputs!$B$6:$D$6,0)),IF(INDEX(Roster!$D$6:$D$108,MATCH(D58,Roster!$A$6:$A$108,0))&gt;=20,INDEX(Inputs!$B$18:$D$18,1,MATCH(A58,Inputs!$B$6:$D$6,0)),IF(INDEX(Roster!$D$6:$D$108,MATCH(D58,Roster!$A$6:$A$108,0))&gt;=15,INDEX(Inputs!$B$17:$D$17,1,MATCH(A58,Inputs!$B$6:$D$6,0)),IF(INDEX(Roster!$D$6:$D$108,MATCH(D58,Roster!$A$6:$A$108,0))&gt;=10,INDEX(Inputs!$B$16:$D$16,1,MATCH(A58,Inputs!$B$6:$D$6,0)),IF(INDEX(Roster!$D$6:$D$108,MATCH(D58,Roster!$A$6:$A$108,0))&gt;=5,INDEX(Inputs!$B$15:$D$15,1,MATCH(A58,Inputs!$B$6:$D$6,0)),0)))))</x:f>
        <x:v>50</x:v>
      </x:c>
      <x:c r="M58" s="20" t="n">
        <x:f>G58*I58</x:f>
        <x:v>31135</x:v>
      </x:c>
      <x:c r="N58" s="20" t="n">
        <x:f>G58*J58</x:f>
        <x:v>8450</x:v>
      </x:c>
      <x:c r="O58" s="20" t="n">
        <x:f>G58*K58</x:f>
        <x:v>3113.5</x:v>
      </x:c>
      <x:c r="P58" s="20" t="n">
        <x:f>G58*L58</x:f>
        <x:v>650</x:v>
      </x:c>
      <x:c r="Q58" s="20" t="n">
        <x:f>H58*INDEX(Inputs!$B$13:$D$13,1,MATCH(A58,Inputs!$B$6:$D$6,0))</x:f>
        <x:v>390</x:v>
      </x:c>
      <x:c r="R58" s="20" t="n">
        <x:f>SUM(M58:Q58)</x:f>
        <x:v>43738.5</x:v>
      </x:c>
      <x:c r="S58" s="20" t="n">
        <x:f>IF(AND(A57=A58,D57=D58),S57+R58,R58)</x:f>
        <x:v>43738.5</x:v>
      </x:c>
      <x:c r="T58" s="20" t="n">
        <x:f>MIN(S58,INDEX(Inputs!$B$20:$D$20,1,MATCH(A58,Inputs!$B$6:$D$6,0)))*INDEX(Inputs!$B$22:$D$22,1,MATCH(A58,Inputs!$B$6:$D$6,0))+MAX(MIN(S58,INDEX(Inputs!$B$21:$D$21,1,MATCH(A58,Inputs!$B$6:$D$6,0)))-INDEX(Inputs!$B$20:$D$20,1,MATCH(A58,Inputs!$B$6:$D$6,0)),0)*INDEX(Inputs!$B$23:$D$23,1,MATCH(A58,Inputs!$B$6:$D$6,0))+MAX(S58-INDEX(Inputs!$B$21:$D$21,1,MATCH(A58,Inputs!$B$6:$D$6,0)),0)*INDEX(Inputs!$B$24:$D$24,1,MATCH(A58,Inputs!$B$6:$D$6,0))</x:f>
        <x:v>3835.99525</x:v>
      </x:c>
      <x:c r="U58" s="20" t="n">
        <x:f>IF(AND(A57=A58,D57=D58),T57,0)</x:f>
        <x:v>0</x:v>
      </x:c>
      <x:c r="V58" s="20" t="n">
        <x:f>T58-U58</x:f>
        <x:v>3835.99525</x:v>
      </x:c>
      <x:c r="W58" s="20" t="n">
        <x:f>R58+V58</x:f>
        <x:v>47574.49525</x:v>
      </x:c>
      <x:c r="X58" s="14" t="str">
        <x:f>IF(ABS(W58-SUM(M58:Q58)-V58)&lt;0.01,"OK","Check")</x:f>
        <x:v>OK</x:v>
      </x:c>
    </x:row>
    <x:row r="59">
      <x:c r="A59" s="14" t="n">
        <x:v>2026</x:v>
      </x:c>
      <x:c r="B59" s="14" t="str">
        <x:v>Q2</x:v>
      </x:c>
      <x:c r="C59" s="14" t="n">
        <x:v>2</x:v>
      </x:c>
      <x:c r="D59" s="14" t="n">
        <x:v>14</x:v>
      </x:c>
      <x:c r="E59" s="14" t="str">
        <x:f>INDEX(Roster!$B$6:$B$108,MATCH(D59,Roster!$A$6:$A$108,0))</x:f>
        <x:v>Associate Principal</x:v>
      </x:c>
      <x:c r="F59" s="14" t="str">
        <x:f>INDEX(Roster!$F$6:$F$108,MATCH(D59,Roster!$A$6:$A$108,0))</x:f>
        <x:v>No</x:v>
      </x:c>
      <x:c r="G59" s="14" t="n">
        <x:f>INDEX(Inputs!$B$7:$D$7,1,MATCH(A59,Inputs!$B$6:$D$6,0))</x:f>
        <x:v>13</x:v>
      </x:c>
      <x:c r="H59" s="14" t="n">
        <x:f>MIN(=INDEX(Inputs!$B$7:$D$7,1,MATCH(A59,Inputs!$B$6:$D$6,0)),MAX(0,INDEX(Inputs!$B$14:$D$14,1,MATCH(A59,Inputs!$B$6:$D$6,0))-(C59-1)*=INDEX(Inputs!$B$7:$D$7,1,MATCH(A59,Inputs!$B$6:$D$6,0))))</x:f>
        <x:v>13</x:v>
      </x:c>
      <x:c r="I59" s="20" t="n">
        <x:f>INDEX(Inputs!$B$8:$D$8,1,MATCH(A59,Inputs!$B$6:$D$6,0))</x:f>
        <x:v>2395</x:v>
      </x:c>
      <x:c r="J59" s="20" t="n">
        <x:f>INDEX(Roster!$C$6:$C$108,MATCH(D59,Roster!$A$6:$A$108,0))*(1+INDEX(Inputs!$B$9:$D$9,1,MATCH(A59,Inputs!$B$6:$D$6,0)))</x:f>
        <x:v>650</x:v>
      </x:c>
      <x:c r="K59" s="20" t="n">
        <x:f>IF(=INDEX(Roster!$F$6:$F$108,MATCH(D59,Roster!$A$6:$A$108,0))="Yes",0,=INDEX(Inputs!$B$8:$D$8,1,MATCH(A59,Inputs!$B$6:$D$6,0))*IF(=INDEX(Roster!$B$6:$B$108,MATCH(D59,Roster!$A$6:$A$108,0))="Principal",INDEX(Inputs!$B$10:$D$10,1,MATCH(A59,Inputs!$B$6:$D$6,0)),IF(=INDEX(Roster!$B$6:$B$108,MATCH(D59,Roster!$A$6:$A$108,0))="Associate Principal",INDEX(Inputs!$B$11:$D$11,1,MATCH(A59,Inputs!$B$6:$D$6,0)),IF(=INDEX(Roster!$B$6:$B$108,MATCH(D59,Roster!$A$6:$A$108,0))="Assistant Principal",INDEX(Inputs!$B$12:$D$12,1,MATCH(A59,Inputs!$B$6:$D$6,0)),0))))</x:f>
        <x:v>239.5</x:v>
      </x:c>
      <x:c r="L59" s="20" t="n">
        <x:f>IF(INDEX(Roster!$D$6:$D$108,MATCH(D59,Roster!$A$6:$A$108,0))&gt;=25,INDEX(Inputs!$B$19:$D$19,1,MATCH(A59,Inputs!$B$6:$D$6,0)),IF(INDEX(Roster!$D$6:$D$108,MATCH(D59,Roster!$A$6:$A$108,0))&gt;=20,INDEX(Inputs!$B$18:$D$18,1,MATCH(A59,Inputs!$B$6:$D$6,0)),IF(INDEX(Roster!$D$6:$D$108,MATCH(D59,Roster!$A$6:$A$108,0))&gt;=15,INDEX(Inputs!$B$17:$D$17,1,MATCH(A59,Inputs!$B$6:$D$6,0)),IF(INDEX(Roster!$D$6:$D$108,MATCH(D59,Roster!$A$6:$A$108,0))&gt;=10,INDEX(Inputs!$B$16:$D$16,1,MATCH(A59,Inputs!$B$6:$D$6,0)),IF(INDEX(Roster!$D$6:$D$108,MATCH(D59,Roster!$A$6:$A$108,0))&gt;=5,INDEX(Inputs!$B$15:$D$15,1,MATCH(A59,Inputs!$B$6:$D$6,0)),0)))))</x:f>
        <x:v>50</x:v>
      </x:c>
      <x:c r="M59" s="20" t="n">
        <x:f>G59*I59</x:f>
        <x:v>31135</x:v>
      </x:c>
      <x:c r="N59" s="20" t="n">
        <x:f>G59*J59</x:f>
        <x:v>8450</x:v>
      </x:c>
      <x:c r="O59" s="20" t="n">
        <x:f>G59*K59</x:f>
        <x:v>3113.5</x:v>
      </x:c>
      <x:c r="P59" s="20" t="n">
        <x:f>G59*L59</x:f>
        <x:v>650</x:v>
      </x:c>
      <x:c r="Q59" s="20" t="n">
        <x:f>H59*INDEX(Inputs!$B$13:$D$13,1,MATCH(A59,Inputs!$B$6:$D$6,0))</x:f>
        <x:v>390</x:v>
      </x:c>
      <x:c r="R59" s="20" t="n">
        <x:f>SUM(M59:Q59)</x:f>
        <x:v>43738.5</x:v>
      </x:c>
      <x:c r="S59" s="20" t="n">
        <x:f>IF(AND(A58=A59,D58=D59),S58+R59,R59)</x:f>
        <x:v>87477</x:v>
      </x:c>
      <x:c r="T59" s="20" t="n">
        <x:f>MIN(S59,INDEX(Inputs!$B$20:$D$20,1,MATCH(A59,Inputs!$B$6:$D$6,0)))*INDEX(Inputs!$B$22:$D$22,1,MATCH(A59,Inputs!$B$6:$D$6,0))+MAX(MIN(S59,INDEX(Inputs!$B$21:$D$21,1,MATCH(A59,Inputs!$B$6:$D$6,0)))-INDEX(Inputs!$B$20:$D$20,1,MATCH(A59,Inputs!$B$6:$D$6,0)),0)*INDEX(Inputs!$B$23:$D$23,1,MATCH(A59,Inputs!$B$6:$D$6,0))+MAX(S59-INDEX(Inputs!$B$21:$D$21,1,MATCH(A59,Inputs!$B$6:$D$6,0)),0)*INDEX(Inputs!$B$24:$D$24,1,MATCH(A59,Inputs!$B$6:$D$6,0))</x:f>
        <x:v>7181.9905</x:v>
      </x:c>
      <x:c r="U59" s="20" t="n">
        <x:f>IF(AND(A58=A59,D58=D59),T58,0)</x:f>
        <x:v>3835.99525</x:v>
      </x:c>
      <x:c r="V59" s="20" t="n">
        <x:f>T59-U59</x:f>
        <x:v>3345.99525</x:v>
      </x:c>
      <x:c r="W59" s="20" t="n">
        <x:f>R59+V59</x:f>
        <x:v>47084.49525</x:v>
      </x:c>
      <x:c r="X59" s="14" t="str">
        <x:f>IF(ABS(W59-SUM(M59:Q59)-V59)&lt;0.01,"OK","Check")</x:f>
        <x:v>OK</x:v>
      </x:c>
    </x:row>
    <x:row r="60">
      <x:c r="A60" s="14" t="n">
        <x:v>2026</x:v>
      </x:c>
      <x:c r="B60" s="14" t="str">
        <x:v>Q3</x:v>
      </x:c>
      <x:c r="C60" s="14" t="n">
        <x:v>3</x:v>
      </x:c>
      <x:c r="D60" s="14" t="n">
        <x:v>14</x:v>
      </x:c>
      <x:c r="E60" s="14" t="str">
        <x:f>INDEX(Roster!$B$6:$B$108,MATCH(D60,Roster!$A$6:$A$108,0))</x:f>
        <x:v>Associate Principal</x:v>
      </x:c>
      <x:c r="F60" s="14" t="str">
        <x:f>INDEX(Roster!$F$6:$F$108,MATCH(D60,Roster!$A$6:$A$108,0))</x:f>
        <x:v>No</x:v>
      </x:c>
      <x:c r="G60" s="14" t="n">
        <x:f>INDEX(Inputs!$B$7:$D$7,1,MATCH(A60,Inputs!$B$6:$D$6,0))</x:f>
        <x:v>13</x:v>
      </x:c>
      <x:c r="H60" s="14" t="n">
        <x:f>MIN(=INDEX(Inputs!$B$7:$D$7,1,MATCH(A60,Inputs!$B$6:$D$6,0)),MAX(0,INDEX(Inputs!$B$14:$D$14,1,MATCH(A60,Inputs!$B$6:$D$6,0))-(C60-1)*=INDEX(Inputs!$B$7:$D$7,1,MATCH(A60,Inputs!$B$6:$D$6,0))))</x:f>
        <x:v>13</x:v>
      </x:c>
      <x:c r="I60" s="20" t="n">
        <x:f>INDEX(Inputs!$B$8:$D$8,1,MATCH(A60,Inputs!$B$6:$D$6,0))</x:f>
        <x:v>2395</x:v>
      </x:c>
      <x:c r="J60" s="20" t="n">
        <x:f>INDEX(Roster!$C$6:$C$108,MATCH(D60,Roster!$A$6:$A$108,0))*(1+INDEX(Inputs!$B$9:$D$9,1,MATCH(A60,Inputs!$B$6:$D$6,0)))</x:f>
        <x:v>650</x:v>
      </x:c>
      <x:c r="K60" s="20" t="n">
        <x:f>IF(=INDEX(Roster!$F$6:$F$108,MATCH(D60,Roster!$A$6:$A$108,0))="Yes",0,=INDEX(Inputs!$B$8:$D$8,1,MATCH(A60,Inputs!$B$6:$D$6,0))*IF(=INDEX(Roster!$B$6:$B$108,MATCH(D60,Roster!$A$6:$A$108,0))="Principal",INDEX(Inputs!$B$10:$D$10,1,MATCH(A60,Inputs!$B$6:$D$6,0)),IF(=INDEX(Roster!$B$6:$B$108,MATCH(D60,Roster!$A$6:$A$108,0))="Associate Principal",INDEX(Inputs!$B$11:$D$11,1,MATCH(A60,Inputs!$B$6:$D$6,0)),IF(=INDEX(Roster!$B$6:$B$108,MATCH(D60,Roster!$A$6:$A$108,0))="Assistant Principal",INDEX(Inputs!$B$12:$D$12,1,MATCH(A60,Inputs!$B$6:$D$6,0)),0))))</x:f>
        <x:v>239.5</x:v>
      </x:c>
      <x:c r="L60" s="20" t="n">
        <x:f>IF(INDEX(Roster!$D$6:$D$108,MATCH(D60,Roster!$A$6:$A$108,0))&gt;=25,INDEX(Inputs!$B$19:$D$19,1,MATCH(A60,Inputs!$B$6:$D$6,0)),IF(INDEX(Roster!$D$6:$D$108,MATCH(D60,Roster!$A$6:$A$108,0))&gt;=20,INDEX(Inputs!$B$18:$D$18,1,MATCH(A60,Inputs!$B$6:$D$6,0)),IF(INDEX(Roster!$D$6:$D$108,MATCH(D60,Roster!$A$6:$A$108,0))&gt;=15,INDEX(Inputs!$B$17:$D$17,1,MATCH(A60,Inputs!$B$6:$D$6,0)),IF(INDEX(Roster!$D$6:$D$108,MATCH(D60,Roster!$A$6:$A$108,0))&gt;=10,INDEX(Inputs!$B$16:$D$16,1,MATCH(A60,Inputs!$B$6:$D$6,0)),IF(INDEX(Roster!$D$6:$D$108,MATCH(D60,Roster!$A$6:$A$108,0))&gt;=5,INDEX(Inputs!$B$15:$D$15,1,MATCH(A60,Inputs!$B$6:$D$6,0)),0)))))</x:f>
        <x:v>50</x:v>
      </x:c>
      <x:c r="M60" s="20" t="n">
        <x:f>G60*I60</x:f>
        <x:v>31135</x:v>
      </x:c>
      <x:c r="N60" s="20" t="n">
        <x:f>G60*J60</x:f>
        <x:v>8450</x:v>
      </x:c>
      <x:c r="O60" s="20" t="n">
        <x:f>G60*K60</x:f>
        <x:v>3113.5</x:v>
      </x:c>
      <x:c r="P60" s="20" t="n">
        <x:f>G60*L60</x:f>
        <x:v>650</x:v>
      </x:c>
      <x:c r="Q60" s="20" t="n">
        <x:f>H60*INDEX(Inputs!$B$13:$D$13,1,MATCH(A60,Inputs!$B$6:$D$6,0))</x:f>
        <x:v>390</x:v>
      </x:c>
      <x:c r="R60" s="20" t="n">
        <x:f>SUM(M60:Q60)</x:f>
        <x:v>43738.5</x:v>
      </x:c>
      <x:c r="S60" s="20" t="n">
        <x:f>IF(AND(A59=A60,D59=D60),S59+R60,R60)</x:f>
        <x:v>131215.5</x:v>
      </x:c>
      <x:c r="T60" s="20" t="n">
        <x:f>MIN(S60,INDEX(Inputs!$B$20:$D$20,1,MATCH(A60,Inputs!$B$6:$D$6,0)))*INDEX(Inputs!$B$22:$D$22,1,MATCH(A60,Inputs!$B$6:$D$6,0))+MAX(MIN(S60,INDEX(Inputs!$B$21:$D$21,1,MATCH(A60,Inputs!$B$6:$D$6,0)))-INDEX(Inputs!$B$20:$D$20,1,MATCH(A60,Inputs!$B$6:$D$6,0)),0)*INDEX(Inputs!$B$23:$D$23,1,MATCH(A60,Inputs!$B$6:$D$6,0))+MAX(S60-INDEX(Inputs!$B$21:$D$21,1,MATCH(A60,Inputs!$B$6:$D$6,0)),0)*INDEX(Inputs!$B$24:$D$24,1,MATCH(A60,Inputs!$B$6:$D$6,0))</x:f>
        <x:v>9816.56675</x:v>
      </x:c>
      <x:c r="U60" s="20" t="n">
        <x:f>IF(AND(A59=A60,D59=D60),T59,0)</x:f>
        <x:v>7181.9905</x:v>
      </x:c>
      <x:c r="V60" s="20" t="n">
        <x:f>T60-U60</x:f>
        <x:v>2634.57625</x:v>
      </x:c>
      <x:c r="W60" s="20" t="n">
        <x:f>R60+V60</x:f>
        <x:v>46373.07625</x:v>
      </x:c>
      <x:c r="X60" s="14" t="str">
        <x:f>IF(ABS(W60-SUM(M60:Q60)-V60)&lt;0.01,"OK","Check")</x:f>
        <x:v>OK</x:v>
      </x:c>
    </x:row>
    <x:row r="61">
      <x:c r="A61" s="14" t="n">
        <x:v>2026</x:v>
      </x:c>
      <x:c r="B61" s="14" t="str">
        <x:v>Q4</x:v>
      </x:c>
      <x:c r="C61" s="14" t="n">
        <x:v>4</x:v>
      </x:c>
      <x:c r="D61" s="14" t="n">
        <x:v>14</x:v>
      </x:c>
      <x:c r="E61" s="14" t="str">
        <x:f>INDEX(Roster!$B$6:$B$108,MATCH(D61,Roster!$A$6:$A$108,0))</x:f>
        <x:v>Associate Principal</x:v>
      </x:c>
      <x:c r="F61" s="14" t="str">
        <x:f>INDEX(Roster!$F$6:$F$108,MATCH(D61,Roster!$A$6:$A$108,0))</x:f>
        <x:v>No</x:v>
      </x:c>
      <x:c r="G61" s="14" t="n">
        <x:f>INDEX(Inputs!$B$7:$D$7,1,MATCH(A61,Inputs!$B$6:$D$6,0))</x:f>
        <x:v>13</x:v>
      </x:c>
      <x:c r="H61" s="14" t="n">
        <x:f>MIN(=INDEX(Inputs!$B$7:$D$7,1,MATCH(A61,Inputs!$B$6:$D$6,0)),MAX(0,INDEX(Inputs!$B$14:$D$14,1,MATCH(A61,Inputs!$B$6:$D$6,0))-(C61-1)*=INDEX(Inputs!$B$7:$D$7,1,MATCH(A61,Inputs!$B$6:$D$6,0))))</x:f>
        <x:v>0</x:v>
      </x:c>
      <x:c r="I61" s="20" t="n">
        <x:f>INDEX(Inputs!$B$8:$D$8,1,MATCH(A61,Inputs!$B$6:$D$6,0))</x:f>
        <x:v>2395</x:v>
      </x:c>
      <x:c r="J61" s="20" t="n">
        <x:f>INDEX(Roster!$C$6:$C$108,MATCH(D61,Roster!$A$6:$A$108,0))*(1+INDEX(Inputs!$B$9:$D$9,1,MATCH(A61,Inputs!$B$6:$D$6,0)))</x:f>
        <x:v>650</x:v>
      </x:c>
      <x:c r="K61" s="20" t="n">
        <x:f>IF(=INDEX(Roster!$F$6:$F$108,MATCH(D61,Roster!$A$6:$A$108,0))="Yes",0,=INDEX(Inputs!$B$8:$D$8,1,MATCH(A61,Inputs!$B$6:$D$6,0))*IF(=INDEX(Roster!$B$6:$B$108,MATCH(D61,Roster!$A$6:$A$108,0))="Principal",INDEX(Inputs!$B$10:$D$10,1,MATCH(A61,Inputs!$B$6:$D$6,0)),IF(=INDEX(Roster!$B$6:$B$108,MATCH(D61,Roster!$A$6:$A$108,0))="Associate Principal",INDEX(Inputs!$B$11:$D$11,1,MATCH(A61,Inputs!$B$6:$D$6,0)),IF(=INDEX(Roster!$B$6:$B$108,MATCH(D61,Roster!$A$6:$A$108,0))="Assistant Principal",INDEX(Inputs!$B$12:$D$12,1,MATCH(A61,Inputs!$B$6:$D$6,0)),0))))</x:f>
        <x:v>239.5</x:v>
      </x:c>
      <x:c r="L61" s="20" t="n">
        <x:f>IF(INDEX(Roster!$D$6:$D$108,MATCH(D61,Roster!$A$6:$A$108,0))&gt;=25,INDEX(Inputs!$B$19:$D$19,1,MATCH(A61,Inputs!$B$6:$D$6,0)),IF(INDEX(Roster!$D$6:$D$108,MATCH(D61,Roster!$A$6:$A$108,0))&gt;=20,INDEX(Inputs!$B$18:$D$18,1,MATCH(A61,Inputs!$B$6:$D$6,0)),IF(INDEX(Roster!$D$6:$D$108,MATCH(D61,Roster!$A$6:$A$108,0))&gt;=15,INDEX(Inputs!$B$17:$D$17,1,MATCH(A61,Inputs!$B$6:$D$6,0)),IF(INDEX(Roster!$D$6:$D$108,MATCH(D61,Roster!$A$6:$A$108,0))&gt;=10,INDEX(Inputs!$B$16:$D$16,1,MATCH(A61,Inputs!$B$6:$D$6,0)),IF(INDEX(Roster!$D$6:$D$108,MATCH(D61,Roster!$A$6:$A$108,0))&gt;=5,INDEX(Inputs!$B$15:$D$15,1,MATCH(A61,Inputs!$B$6:$D$6,0)),0)))))</x:f>
        <x:v>50</x:v>
      </x:c>
      <x:c r="M61" s="20" t="n">
        <x:f>G61*I61</x:f>
        <x:v>31135</x:v>
      </x:c>
      <x:c r="N61" s="20" t="n">
        <x:f>G61*J61</x:f>
        <x:v>8450</x:v>
      </x:c>
      <x:c r="O61" s="20" t="n">
        <x:f>G61*K61</x:f>
        <x:v>3113.5</x:v>
      </x:c>
      <x:c r="P61" s="20" t="n">
        <x:f>G61*L61</x:f>
        <x:v>650</x:v>
      </x:c>
      <x:c r="Q61" s="20" t="n">
        <x:f>H61*INDEX(Inputs!$B$13:$D$13,1,MATCH(A61,Inputs!$B$6:$D$6,0))</x:f>
        <x:v>0</x:v>
      </x:c>
      <x:c r="R61" s="20" t="n">
        <x:f>SUM(M61:Q61)</x:f>
        <x:v>43348.5</x:v>
      </x:c>
      <x:c r="S61" s="20" t="n">
        <x:f>IF(AND(A60=A61,D60=D61),S60+R61,R61)</x:f>
        <x:v>174564</x:v>
      </x:c>
      <x:c r="T61" s="20" t="n">
        <x:f>MIN(S61,INDEX(Inputs!$B$20:$D$20,1,MATCH(A61,Inputs!$B$6:$D$6,0)))*INDEX(Inputs!$B$22:$D$22,1,MATCH(A61,Inputs!$B$6:$D$6,0))+MAX(MIN(S61,INDEX(Inputs!$B$21:$D$21,1,MATCH(A61,Inputs!$B$6:$D$6,0)))-INDEX(Inputs!$B$20:$D$20,1,MATCH(A61,Inputs!$B$6:$D$6,0)),0)*INDEX(Inputs!$B$23:$D$23,1,MATCH(A61,Inputs!$B$6:$D$6,0))+MAX(S61-INDEX(Inputs!$B$21:$D$21,1,MATCH(A61,Inputs!$B$6:$D$6,0)),0)*INDEX(Inputs!$B$24:$D$24,1,MATCH(A61,Inputs!$B$6:$D$6,0))</x:f>
        <x:v>10445.119999999999</x:v>
      </x:c>
      <x:c r="U61" s="20" t="n">
        <x:f>IF(AND(A60=A61,D60=D61),T60,0)</x:f>
        <x:v>9816.56675</x:v>
      </x:c>
      <x:c r="V61" s="20" t="n">
        <x:f>T61-U61</x:f>
        <x:v>628.553249999999</x:v>
      </x:c>
      <x:c r="W61" s="20" t="n">
        <x:f>R61+V61</x:f>
        <x:v>43977.05325</x:v>
      </x:c>
      <x:c r="X61" s="14" t="str">
        <x:f>IF(ABS(W61-SUM(M61:Q61)-V61)&lt;0.01,"OK","Check")</x:f>
        <x:v>OK</x:v>
      </x:c>
    </x:row>
    <x:row r="62">
      <x:c r="A62" s="14" t="n">
        <x:v>2026</x:v>
      </x:c>
      <x:c r="B62" s="14" t="str">
        <x:v>Q1</x:v>
      </x:c>
      <x:c r="C62" s="14" t="n">
        <x:v>1</x:v>
      </x:c>
      <x:c r="D62" s="14" t="n">
        <x:v>15</x:v>
      </x:c>
      <x:c r="E62" s="14" t="str">
        <x:f>INDEX(Roster!$B$6:$B$108,MATCH(D62,Roster!$A$6:$A$108,0))</x:f>
      </x:c>
      <x:c r="F62" s="14" t="str">
        <x:f>INDEX(Roster!$F$6:$F$108,MATCH(D62,Roster!$A$6:$A$108,0))</x:f>
        <x:v>No</x:v>
      </x:c>
      <x:c r="G62" s="14" t="n">
        <x:f>INDEX(Inputs!$B$7:$D$7,1,MATCH(A62,Inputs!$B$6:$D$6,0))</x:f>
        <x:v>13</x:v>
      </x:c>
      <x:c r="H62" s="14" t="n">
        <x:f>MIN(=INDEX(Inputs!$B$7:$D$7,1,MATCH(A62,Inputs!$B$6:$D$6,0)),MAX(0,INDEX(Inputs!$B$14:$D$14,1,MATCH(A62,Inputs!$B$6:$D$6,0))-(C62-1)*=INDEX(Inputs!$B$7:$D$7,1,MATCH(A62,Inputs!$B$6:$D$6,0))))</x:f>
        <x:v>13</x:v>
      </x:c>
      <x:c r="I62" s="20" t="n">
        <x:f>INDEX(Inputs!$B$8:$D$8,1,MATCH(A62,Inputs!$B$6:$D$6,0))</x:f>
        <x:v>2395</x:v>
      </x:c>
      <x:c r="J62" s="20" t="n">
        <x:f>INDEX(Roster!$C$6:$C$108,MATCH(D62,Roster!$A$6:$A$108,0))*(1+INDEX(Inputs!$B$9:$D$9,1,MATCH(A62,Inputs!$B$6:$D$6,0)))</x:f>
        <x:v>30</x:v>
      </x:c>
      <x:c r="K62" s="20" t="n">
        <x:f>IF(=INDEX(Roster!$F$6:$F$108,MATCH(D62,Roster!$A$6:$A$108,0))="Yes",0,=INDEX(Inputs!$B$8:$D$8,1,MATCH(A62,Inputs!$B$6:$D$6,0))*IF(=INDEX(Roster!$B$6:$B$108,MATCH(D62,Roster!$A$6:$A$108,0))="Principal",INDEX(Inputs!$B$10:$D$10,1,MATCH(A62,Inputs!$B$6:$D$6,0)),IF(=INDEX(Roster!$B$6:$B$108,MATCH(D62,Roster!$A$6:$A$108,0))="Associate Principal",INDEX(Inputs!$B$11:$D$11,1,MATCH(A62,Inputs!$B$6:$D$6,0)),IF(=INDEX(Roster!$B$6:$B$108,MATCH(D62,Roster!$A$6:$A$108,0))="Assistant Principal",INDEX(Inputs!$B$12:$D$12,1,MATCH(A62,Inputs!$B$6:$D$6,0)),0))))</x:f>
        <x:v>0</x:v>
      </x:c>
      <x:c r="L62" s="20" t="n">
        <x:f>IF(INDEX(Roster!$D$6:$D$108,MATCH(D62,Roster!$A$6:$A$108,0))&gt;=25,INDEX(Inputs!$B$19:$D$19,1,MATCH(A62,Inputs!$B$6:$D$6,0)),IF(INDEX(Roster!$D$6:$D$108,MATCH(D62,Roster!$A$6:$A$108,0))&gt;=20,INDEX(Inputs!$B$18:$D$18,1,MATCH(A62,Inputs!$B$6:$D$6,0)),IF(INDEX(Roster!$D$6:$D$108,MATCH(D62,Roster!$A$6:$A$108,0))&gt;=15,INDEX(Inputs!$B$17:$D$17,1,MATCH(A62,Inputs!$B$6:$D$6,0)),IF(INDEX(Roster!$D$6:$D$108,MATCH(D62,Roster!$A$6:$A$108,0))&gt;=10,INDEX(Inputs!$B$16:$D$16,1,MATCH(A62,Inputs!$B$6:$D$6,0)),IF(INDEX(Roster!$D$6:$D$108,MATCH(D62,Roster!$A$6:$A$108,0))&gt;=5,INDEX(Inputs!$B$15:$D$15,1,MATCH(A62,Inputs!$B$6:$D$6,0)),0)))))</x:f>
        <x:v>80</x:v>
      </x:c>
      <x:c r="M62" s="20" t="n">
        <x:f>G62*I62</x:f>
        <x:v>31135</x:v>
      </x:c>
      <x:c r="N62" s="20" t="n">
        <x:f>G62*J62</x:f>
        <x:v>390</x:v>
      </x:c>
      <x:c r="O62" s="20" t="n">
        <x:f>G62*K62</x:f>
        <x:v>0</x:v>
      </x:c>
      <x:c r="P62" s="20" t="n">
        <x:f>G62*L62</x:f>
        <x:v>1040</x:v>
      </x:c>
      <x:c r="Q62" s="20" t="n">
        <x:f>H62*INDEX(Inputs!$B$13:$D$13,1,MATCH(A62,Inputs!$B$6:$D$6,0))</x:f>
        <x:v>390</x:v>
      </x:c>
      <x:c r="R62" s="20" t="n">
        <x:f>SUM(M62:Q62)</x:f>
        <x:v>32955</x:v>
      </x:c>
      <x:c r="S62" s="20" t="n">
        <x:f>IF(AND(A61=A62,D61=D62),S61+R62,R62)</x:f>
        <x:v>32955</x:v>
      </x:c>
      <x:c r="T62" s="20" t="n">
        <x:f>MIN(S62,INDEX(Inputs!$B$20:$D$20,1,MATCH(A62,Inputs!$B$6:$D$6,0)))*INDEX(Inputs!$B$22:$D$22,1,MATCH(A62,Inputs!$B$6:$D$6,0))+MAX(MIN(S62,INDEX(Inputs!$B$21:$D$21,1,MATCH(A62,Inputs!$B$6:$D$6,0)))-INDEX(Inputs!$B$20:$D$20,1,MATCH(A62,Inputs!$B$6:$D$6,0)),0)*INDEX(Inputs!$B$23:$D$23,1,MATCH(A62,Inputs!$B$6:$D$6,0))+MAX(S62-INDEX(Inputs!$B$21:$D$21,1,MATCH(A62,Inputs!$B$6:$D$6,0)),0)*INDEX(Inputs!$B$24:$D$24,1,MATCH(A62,Inputs!$B$6:$D$6,0))</x:f>
        <x:v>3011.0575</x:v>
      </x:c>
      <x:c r="U62" s="20" t="n">
        <x:f>IF(AND(A61=A62,D61=D62),T61,0)</x:f>
        <x:v>0</x:v>
      </x:c>
      <x:c r="V62" s="20" t="n">
        <x:f>T62-U62</x:f>
        <x:v>3011.0575</x:v>
      </x:c>
      <x:c r="W62" s="20" t="n">
        <x:f>R62+V62</x:f>
        <x:v>35966.0575</x:v>
      </x:c>
      <x:c r="X62" s="14" t="str">
        <x:f>IF(ABS(W62-SUM(M62:Q62)-V62)&lt;0.01,"OK","Check")</x:f>
        <x:v>OK</x:v>
      </x:c>
    </x:row>
    <x:row r="63">
      <x:c r="A63" s="14" t="n">
        <x:v>2026</x:v>
      </x:c>
      <x:c r="B63" s="14" t="str">
        <x:v>Q2</x:v>
      </x:c>
      <x:c r="C63" s="14" t="n">
        <x:v>2</x:v>
      </x:c>
      <x:c r="D63" s="14" t="n">
        <x:v>15</x:v>
      </x:c>
      <x:c r="E63" s="14" t="str">
        <x:f>INDEX(Roster!$B$6:$B$108,MATCH(D63,Roster!$A$6:$A$108,0))</x:f>
      </x:c>
      <x:c r="F63" s="14" t="str">
        <x:f>INDEX(Roster!$F$6:$F$108,MATCH(D63,Roster!$A$6:$A$108,0))</x:f>
        <x:v>No</x:v>
      </x:c>
      <x:c r="G63" s="14" t="n">
        <x:f>INDEX(Inputs!$B$7:$D$7,1,MATCH(A63,Inputs!$B$6:$D$6,0))</x:f>
        <x:v>13</x:v>
      </x:c>
      <x:c r="H63" s="14" t="n">
        <x:f>MIN(=INDEX(Inputs!$B$7:$D$7,1,MATCH(A63,Inputs!$B$6:$D$6,0)),MAX(0,INDEX(Inputs!$B$14:$D$14,1,MATCH(A63,Inputs!$B$6:$D$6,0))-(C63-1)*=INDEX(Inputs!$B$7:$D$7,1,MATCH(A63,Inputs!$B$6:$D$6,0))))</x:f>
        <x:v>13</x:v>
      </x:c>
      <x:c r="I63" s="20" t="n">
        <x:f>INDEX(Inputs!$B$8:$D$8,1,MATCH(A63,Inputs!$B$6:$D$6,0))</x:f>
        <x:v>2395</x:v>
      </x:c>
      <x:c r="J63" s="20" t="n">
        <x:f>INDEX(Roster!$C$6:$C$108,MATCH(D63,Roster!$A$6:$A$108,0))*(1+INDEX(Inputs!$B$9:$D$9,1,MATCH(A63,Inputs!$B$6:$D$6,0)))</x:f>
        <x:v>30</x:v>
      </x:c>
      <x:c r="K63" s="20" t="n">
        <x:f>IF(=INDEX(Roster!$F$6:$F$108,MATCH(D63,Roster!$A$6:$A$108,0))="Yes",0,=INDEX(Inputs!$B$8:$D$8,1,MATCH(A63,Inputs!$B$6:$D$6,0))*IF(=INDEX(Roster!$B$6:$B$108,MATCH(D63,Roster!$A$6:$A$108,0))="Principal",INDEX(Inputs!$B$10:$D$10,1,MATCH(A63,Inputs!$B$6:$D$6,0)),IF(=INDEX(Roster!$B$6:$B$108,MATCH(D63,Roster!$A$6:$A$108,0))="Associate Principal",INDEX(Inputs!$B$11:$D$11,1,MATCH(A63,Inputs!$B$6:$D$6,0)),IF(=INDEX(Roster!$B$6:$B$108,MATCH(D63,Roster!$A$6:$A$108,0))="Assistant Principal",INDEX(Inputs!$B$12:$D$12,1,MATCH(A63,Inputs!$B$6:$D$6,0)),0))))</x:f>
        <x:v>0</x:v>
      </x:c>
      <x:c r="L63" s="20" t="n">
        <x:f>IF(INDEX(Roster!$D$6:$D$108,MATCH(D63,Roster!$A$6:$A$108,0))&gt;=25,INDEX(Inputs!$B$19:$D$19,1,MATCH(A63,Inputs!$B$6:$D$6,0)),IF(INDEX(Roster!$D$6:$D$108,MATCH(D63,Roster!$A$6:$A$108,0))&gt;=20,INDEX(Inputs!$B$18:$D$18,1,MATCH(A63,Inputs!$B$6:$D$6,0)),IF(INDEX(Roster!$D$6:$D$108,MATCH(D63,Roster!$A$6:$A$108,0))&gt;=15,INDEX(Inputs!$B$17:$D$17,1,MATCH(A63,Inputs!$B$6:$D$6,0)),IF(INDEX(Roster!$D$6:$D$108,MATCH(D63,Roster!$A$6:$A$108,0))&gt;=10,INDEX(Inputs!$B$16:$D$16,1,MATCH(A63,Inputs!$B$6:$D$6,0)),IF(INDEX(Roster!$D$6:$D$108,MATCH(D63,Roster!$A$6:$A$108,0))&gt;=5,INDEX(Inputs!$B$15:$D$15,1,MATCH(A63,Inputs!$B$6:$D$6,0)),0)))))</x:f>
        <x:v>80</x:v>
      </x:c>
      <x:c r="M63" s="20" t="n">
        <x:f>G63*I63</x:f>
        <x:v>31135</x:v>
      </x:c>
      <x:c r="N63" s="20" t="n">
        <x:f>G63*J63</x:f>
        <x:v>390</x:v>
      </x:c>
      <x:c r="O63" s="20" t="n">
        <x:f>G63*K63</x:f>
        <x:v>0</x:v>
      </x:c>
      <x:c r="P63" s="20" t="n">
        <x:f>G63*L63</x:f>
        <x:v>1040</x:v>
      </x:c>
      <x:c r="Q63" s="20" t="n">
        <x:f>H63*INDEX(Inputs!$B$13:$D$13,1,MATCH(A63,Inputs!$B$6:$D$6,0))</x:f>
        <x:v>390</x:v>
      </x:c>
      <x:c r="R63" s="20" t="n">
        <x:f>SUM(M63:Q63)</x:f>
        <x:v>32955</x:v>
      </x:c>
      <x:c r="S63" s="20" t="n">
        <x:f>IF(AND(A62=A63,D62=D63),S62+R63,R63)</x:f>
        <x:v>65910</x:v>
      </x:c>
      <x:c r="T63" s="20" t="n">
        <x:f>MIN(S63,INDEX(Inputs!$B$20:$D$20,1,MATCH(A63,Inputs!$B$6:$D$6,0)))*INDEX(Inputs!$B$22:$D$22,1,MATCH(A63,Inputs!$B$6:$D$6,0))+MAX(MIN(S63,INDEX(Inputs!$B$21:$D$21,1,MATCH(A63,Inputs!$B$6:$D$6,0)))-INDEX(Inputs!$B$20:$D$20,1,MATCH(A63,Inputs!$B$6:$D$6,0)),0)*INDEX(Inputs!$B$23:$D$23,1,MATCH(A63,Inputs!$B$6:$D$6,0))+MAX(S63-INDEX(Inputs!$B$21:$D$21,1,MATCH(A63,Inputs!$B$6:$D$6,0)),0)*INDEX(Inputs!$B$24:$D$24,1,MATCH(A63,Inputs!$B$6:$D$6,0))</x:f>
        <x:v>5532.115</x:v>
      </x:c>
      <x:c r="U63" s="20" t="n">
        <x:f>IF(AND(A62=A63,D62=D63),T62,0)</x:f>
        <x:v>3011.0575</x:v>
      </x:c>
      <x:c r="V63" s="20" t="n">
        <x:f>T63-U63</x:f>
        <x:v>2521.0575</x:v>
      </x:c>
      <x:c r="W63" s="20" t="n">
        <x:f>R63+V63</x:f>
        <x:v>35476.0575</x:v>
      </x:c>
      <x:c r="X63" s="14" t="str">
        <x:f>IF(ABS(W63-SUM(M63:Q63)-V63)&lt;0.01,"OK","Check")</x:f>
        <x:v>OK</x:v>
      </x:c>
    </x:row>
    <x:row r="64">
      <x:c r="A64" s="14" t="n">
        <x:v>2026</x:v>
      </x:c>
      <x:c r="B64" s="14" t="str">
        <x:v>Q3</x:v>
      </x:c>
      <x:c r="C64" s="14" t="n">
        <x:v>3</x:v>
      </x:c>
      <x:c r="D64" s="14" t="n">
        <x:v>15</x:v>
      </x:c>
      <x:c r="E64" s="14" t="str">
        <x:f>INDEX(Roster!$B$6:$B$108,MATCH(D64,Roster!$A$6:$A$108,0))</x:f>
      </x:c>
      <x:c r="F64" s="14" t="str">
        <x:f>INDEX(Roster!$F$6:$F$108,MATCH(D64,Roster!$A$6:$A$108,0))</x:f>
        <x:v>No</x:v>
      </x:c>
      <x:c r="G64" s="14" t="n">
        <x:f>INDEX(Inputs!$B$7:$D$7,1,MATCH(A64,Inputs!$B$6:$D$6,0))</x:f>
        <x:v>13</x:v>
      </x:c>
      <x:c r="H64" s="14" t="n">
        <x:f>MIN(=INDEX(Inputs!$B$7:$D$7,1,MATCH(A64,Inputs!$B$6:$D$6,0)),MAX(0,INDEX(Inputs!$B$14:$D$14,1,MATCH(A64,Inputs!$B$6:$D$6,0))-(C64-1)*=INDEX(Inputs!$B$7:$D$7,1,MATCH(A64,Inputs!$B$6:$D$6,0))))</x:f>
        <x:v>13</x:v>
      </x:c>
      <x:c r="I64" s="20" t="n">
        <x:f>INDEX(Inputs!$B$8:$D$8,1,MATCH(A64,Inputs!$B$6:$D$6,0))</x:f>
        <x:v>2395</x:v>
      </x:c>
      <x:c r="J64" s="20" t="n">
        <x:f>INDEX(Roster!$C$6:$C$108,MATCH(D64,Roster!$A$6:$A$108,0))*(1+INDEX(Inputs!$B$9:$D$9,1,MATCH(A64,Inputs!$B$6:$D$6,0)))</x:f>
        <x:v>30</x:v>
      </x:c>
      <x:c r="K64" s="20" t="n">
        <x:f>IF(=INDEX(Roster!$F$6:$F$108,MATCH(D64,Roster!$A$6:$A$108,0))="Yes",0,=INDEX(Inputs!$B$8:$D$8,1,MATCH(A64,Inputs!$B$6:$D$6,0))*IF(=INDEX(Roster!$B$6:$B$108,MATCH(D64,Roster!$A$6:$A$108,0))="Principal",INDEX(Inputs!$B$10:$D$10,1,MATCH(A64,Inputs!$B$6:$D$6,0)),IF(=INDEX(Roster!$B$6:$B$108,MATCH(D64,Roster!$A$6:$A$108,0))="Associate Principal",INDEX(Inputs!$B$11:$D$11,1,MATCH(A64,Inputs!$B$6:$D$6,0)),IF(=INDEX(Roster!$B$6:$B$108,MATCH(D64,Roster!$A$6:$A$108,0))="Assistant Principal",INDEX(Inputs!$B$12:$D$12,1,MATCH(A64,Inputs!$B$6:$D$6,0)),0))))</x:f>
        <x:v>0</x:v>
      </x:c>
      <x:c r="L64" s="20" t="n">
        <x:f>IF(INDEX(Roster!$D$6:$D$108,MATCH(D64,Roster!$A$6:$A$108,0))&gt;=25,INDEX(Inputs!$B$19:$D$19,1,MATCH(A64,Inputs!$B$6:$D$6,0)),IF(INDEX(Roster!$D$6:$D$108,MATCH(D64,Roster!$A$6:$A$108,0))&gt;=20,INDEX(Inputs!$B$18:$D$18,1,MATCH(A64,Inputs!$B$6:$D$6,0)),IF(INDEX(Roster!$D$6:$D$108,MATCH(D64,Roster!$A$6:$A$108,0))&gt;=15,INDEX(Inputs!$B$17:$D$17,1,MATCH(A64,Inputs!$B$6:$D$6,0)),IF(INDEX(Roster!$D$6:$D$108,MATCH(D64,Roster!$A$6:$A$108,0))&gt;=10,INDEX(Inputs!$B$16:$D$16,1,MATCH(A64,Inputs!$B$6:$D$6,0)),IF(INDEX(Roster!$D$6:$D$108,MATCH(D64,Roster!$A$6:$A$108,0))&gt;=5,INDEX(Inputs!$B$15:$D$15,1,MATCH(A64,Inputs!$B$6:$D$6,0)),0)))))</x:f>
        <x:v>80</x:v>
      </x:c>
      <x:c r="M64" s="20" t="n">
        <x:f>G64*I64</x:f>
        <x:v>31135</x:v>
      </x:c>
      <x:c r="N64" s="20" t="n">
        <x:f>G64*J64</x:f>
        <x:v>390</x:v>
      </x:c>
      <x:c r="O64" s="20" t="n">
        <x:f>G64*K64</x:f>
        <x:v>0</x:v>
      </x:c>
      <x:c r="P64" s="20" t="n">
        <x:f>G64*L64</x:f>
        <x:v>1040</x:v>
      </x:c>
      <x:c r="Q64" s="20" t="n">
        <x:f>H64*INDEX(Inputs!$B$13:$D$13,1,MATCH(A64,Inputs!$B$6:$D$6,0))</x:f>
        <x:v>390</x:v>
      </x:c>
      <x:c r="R64" s="20" t="n">
        <x:f>SUM(M64:Q64)</x:f>
        <x:v>32955</x:v>
      </x:c>
      <x:c r="S64" s="20" t="n">
        <x:f>IF(AND(A63=A64,D63=D64),S63+R64,R64)</x:f>
        <x:v>98865</x:v>
      </x:c>
      <x:c r="T64" s="20" t="n">
        <x:f>MIN(S64,INDEX(Inputs!$B$20:$D$20,1,MATCH(A64,Inputs!$B$6:$D$6,0)))*INDEX(Inputs!$B$22:$D$22,1,MATCH(A64,Inputs!$B$6:$D$6,0))+MAX(MIN(S64,INDEX(Inputs!$B$21:$D$21,1,MATCH(A64,Inputs!$B$6:$D$6,0)))-INDEX(Inputs!$B$20:$D$20,1,MATCH(A64,Inputs!$B$6:$D$6,0)),0)*INDEX(Inputs!$B$23:$D$23,1,MATCH(A64,Inputs!$B$6:$D$6,0))+MAX(S64-INDEX(Inputs!$B$21:$D$21,1,MATCH(A64,Inputs!$B$6:$D$6,0)),0)*INDEX(Inputs!$B$24:$D$24,1,MATCH(A64,Inputs!$B$6:$D$6,0))</x:f>
        <x:v>8053.1725</x:v>
      </x:c>
      <x:c r="U64" s="20" t="n">
        <x:f>IF(AND(A63=A64,D63=D64),T63,0)</x:f>
        <x:v>5532.115</x:v>
      </x:c>
      <x:c r="V64" s="20" t="n">
        <x:f>T64-U64</x:f>
        <x:v>2521.0575</x:v>
      </x:c>
      <x:c r="W64" s="20" t="n">
        <x:f>R64+V64</x:f>
        <x:v>35476.0575</x:v>
      </x:c>
      <x:c r="X64" s="14" t="str">
        <x:f>IF(ABS(W64-SUM(M64:Q64)-V64)&lt;0.01,"OK","Check")</x:f>
        <x:v>OK</x:v>
      </x:c>
    </x:row>
    <x:row r="65">
      <x:c r="A65" s="14" t="n">
        <x:v>2026</x:v>
      </x:c>
      <x:c r="B65" s="14" t="str">
        <x:v>Q4</x:v>
      </x:c>
      <x:c r="C65" s="14" t="n">
        <x:v>4</x:v>
      </x:c>
      <x:c r="D65" s="14" t="n">
        <x:v>15</x:v>
      </x:c>
      <x:c r="E65" s="14" t="str">
        <x:f>INDEX(Roster!$B$6:$B$108,MATCH(D65,Roster!$A$6:$A$108,0))</x:f>
      </x:c>
      <x:c r="F65" s="14" t="str">
        <x:f>INDEX(Roster!$F$6:$F$108,MATCH(D65,Roster!$A$6:$A$108,0))</x:f>
        <x:v>No</x:v>
      </x:c>
      <x:c r="G65" s="14" t="n">
        <x:f>INDEX(Inputs!$B$7:$D$7,1,MATCH(A65,Inputs!$B$6:$D$6,0))</x:f>
        <x:v>13</x:v>
      </x:c>
      <x:c r="H65" s="14" t="n">
        <x:f>MIN(=INDEX(Inputs!$B$7:$D$7,1,MATCH(A65,Inputs!$B$6:$D$6,0)),MAX(0,INDEX(Inputs!$B$14:$D$14,1,MATCH(A65,Inputs!$B$6:$D$6,0))-(C65-1)*=INDEX(Inputs!$B$7:$D$7,1,MATCH(A65,Inputs!$B$6:$D$6,0))))</x:f>
        <x:v>0</x:v>
      </x:c>
      <x:c r="I65" s="20" t="n">
        <x:f>INDEX(Inputs!$B$8:$D$8,1,MATCH(A65,Inputs!$B$6:$D$6,0))</x:f>
        <x:v>2395</x:v>
      </x:c>
      <x:c r="J65" s="20" t="n">
        <x:f>INDEX(Roster!$C$6:$C$108,MATCH(D65,Roster!$A$6:$A$108,0))*(1+INDEX(Inputs!$B$9:$D$9,1,MATCH(A65,Inputs!$B$6:$D$6,0)))</x:f>
        <x:v>30</x:v>
      </x:c>
      <x:c r="K65" s="20" t="n">
        <x:f>IF(=INDEX(Roster!$F$6:$F$108,MATCH(D65,Roster!$A$6:$A$108,0))="Yes",0,=INDEX(Inputs!$B$8:$D$8,1,MATCH(A65,Inputs!$B$6:$D$6,0))*IF(=INDEX(Roster!$B$6:$B$108,MATCH(D65,Roster!$A$6:$A$108,0))="Principal",INDEX(Inputs!$B$10:$D$10,1,MATCH(A65,Inputs!$B$6:$D$6,0)),IF(=INDEX(Roster!$B$6:$B$108,MATCH(D65,Roster!$A$6:$A$108,0))="Associate Principal",INDEX(Inputs!$B$11:$D$11,1,MATCH(A65,Inputs!$B$6:$D$6,0)),IF(=INDEX(Roster!$B$6:$B$108,MATCH(D65,Roster!$A$6:$A$108,0))="Assistant Principal",INDEX(Inputs!$B$12:$D$12,1,MATCH(A65,Inputs!$B$6:$D$6,0)),0))))</x:f>
        <x:v>0</x:v>
      </x:c>
      <x:c r="L65" s="20" t="n">
        <x:f>IF(INDEX(Roster!$D$6:$D$108,MATCH(D65,Roster!$A$6:$A$108,0))&gt;=25,INDEX(Inputs!$B$19:$D$19,1,MATCH(A65,Inputs!$B$6:$D$6,0)),IF(INDEX(Roster!$D$6:$D$108,MATCH(D65,Roster!$A$6:$A$108,0))&gt;=20,INDEX(Inputs!$B$18:$D$18,1,MATCH(A65,Inputs!$B$6:$D$6,0)),IF(INDEX(Roster!$D$6:$D$108,MATCH(D65,Roster!$A$6:$A$108,0))&gt;=15,INDEX(Inputs!$B$17:$D$17,1,MATCH(A65,Inputs!$B$6:$D$6,0)),IF(INDEX(Roster!$D$6:$D$108,MATCH(D65,Roster!$A$6:$A$108,0))&gt;=10,INDEX(Inputs!$B$16:$D$16,1,MATCH(A65,Inputs!$B$6:$D$6,0)),IF(INDEX(Roster!$D$6:$D$108,MATCH(D65,Roster!$A$6:$A$108,0))&gt;=5,INDEX(Inputs!$B$15:$D$15,1,MATCH(A65,Inputs!$B$6:$D$6,0)),0)))))</x:f>
        <x:v>80</x:v>
      </x:c>
      <x:c r="M65" s="20" t="n">
        <x:f>G65*I65</x:f>
        <x:v>31135</x:v>
      </x:c>
      <x:c r="N65" s="20" t="n">
        <x:f>G65*J65</x:f>
        <x:v>390</x:v>
      </x:c>
      <x:c r="O65" s="20" t="n">
        <x:f>G65*K65</x:f>
        <x:v>0</x:v>
      </x:c>
      <x:c r="P65" s="20" t="n">
        <x:f>G65*L65</x:f>
        <x:v>1040</x:v>
      </x:c>
      <x:c r="Q65" s="20" t="n">
        <x:f>H65*INDEX(Inputs!$B$13:$D$13,1,MATCH(A65,Inputs!$B$6:$D$6,0))</x:f>
        <x:v>0</x:v>
      </x:c>
      <x:c r="R65" s="20" t="n">
        <x:f>SUM(M65:Q65)</x:f>
        <x:v>32565</x:v>
      </x:c>
      <x:c r="S65" s="20" t="n">
        <x:f>IF(AND(A64=A65,D64=D65),S64+R65,R65)</x:f>
        <x:v>131430</x:v>
      </x:c>
      <x:c r="T65" s="20" t="n">
        <x:f>MIN(S65,INDEX(Inputs!$B$20:$D$20,1,MATCH(A65,Inputs!$B$6:$D$6,0)))*INDEX(Inputs!$B$22:$D$22,1,MATCH(A65,Inputs!$B$6:$D$6,0))+MAX(MIN(S65,INDEX(Inputs!$B$21:$D$21,1,MATCH(A65,Inputs!$B$6:$D$6,0)))-INDEX(Inputs!$B$20:$D$20,1,MATCH(A65,Inputs!$B$6:$D$6,0)),0)*INDEX(Inputs!$B$23:$D$23,1,MATCH(A65,Inputs!$B$6:$D$6,0))+MAX(S65-INDEX(Inputs!$B$21:$D$21,1,MATCH(A65,Inputs!$B$6:$D$6,0)),0)*INDEX(Inputs!$B$24:$D$24,1,MATCH(A65,Inputs!$B$6:$D$6,0))</x:f>
        <x:v>9819.677</x:v>
      </x:c>
      <x:c r="U65" s="20" t="n">
        <x:f>IF(AND(A64=A65,D64=D65),T64,0)</x:f>
        <x:v>8053.1725</x:v>
      </x:c>
      <x:c r="V65" s="20" t="n">
        <x:f>T65-U65</x:f>
        <x:v>1766.5045</x:v>
      </x:c>
      <x:c r="W65" s="20" t="n">
        <x:f>R65+V65</x:f>
        <x:v>34331.5045</x:v>
      </x:c>
      <x:c r="X65" s="14" t="str">
        <x:f>IF(ABS(W65-SUM(M65:Q65)-V65)&lt;0.01,"OK","Check")</x:f>
        <x:v>OK</x:v>
      </x:c>
    </x:row>
    <x:row r="66">
      <x:c r="A66" s="14" t="n">
        <x:v>2026</x:v>
      </x:c>
      <x:c r="B66" s="14" t="str">
        <x:v>Q1</x:v>
      </x:c>
      <x:c r="C66" s="14" t="n">
        <x:v>1</x:v>
      </x:c>
      <x:c r="D66" s="14" t="n">
        <x:v>16</x:v>
      </x:c>
      <x:c r="E66" s="14" t="str">
        <x:f>INDEX(Roster!$B$6:$B$108,MATCH(D66,Roster!$A$6:$A$108,0))</x:f>
      </x:c>
      <x:c r="F66" s="14" t="str">
        <x:f>INDEX(Roster!$F$6:$F$108,MATCH(D66,Roster!$A$6:$A$108,0))</x:f>
        <x:v>No</x:v>
      </x:c>
      <x:c r="G66" s="14" t="n">
        <x:f>INDEX(Inputs!$B$7:$D$7,1,MATCH(A66,Inputs!$B$6:$D$6,0))</x:f>
        <x:v>13</x:v>
      </x:c>
      <x:c r="H66" s="14" t="n">
        <x:f>MIN(=INDEX(Inputs!$B$7:$D$7,1,MATCH(A66,Inputs!$B$6:$D$6,0)),MAX(0,INDEX(Inputs!$B$14:$D$14,1,MATCH(A66,Inputs!$B$6:$D$6,0))-(C66-1)*=INDEX(Inputs!$B$7:$D$7,1,MATCH(A66,Inputs!$B$6:$D$6,0))))</x:f>
        <x:v>13</x:v>
      </x:c>
      <x:c r="I66" s="20" t="n">
        <x:f>INDEX(Inputs!$B$8:$D$8,1,MATCH(A66,Inputs!$B$6:$D$6,0))</x:f>
        <x:v>2395</x:v>
      </x:c>
      <x:c r="J66" s="20" t="n">
        <x:f>INDEX(Roster!$C$6:$C$108,MATCH(D66,Roster!$A$6:$A$108,0))*(1+INDEX(Inputs!$B$9:$D$9,1,MATCH(A66,Inputs!$B$6:$D$6,0)))</x:f>
        <x:v>0</x:v>
      </x:c>
      <x:c r="K66" s="20" t="n">
        <x:f>IF(=INDEX(Roster!$F$6:$F$108,MATCH(D66,Roster!$A$6:$A$108,0))="Yes",0,=INDEX(Inputs!$B$8:$D$8,1,MATCH(A66,Inputs!$B$6:$D$6,0))*IF(=INDEX(Roster!$B$6:$B$108,MATCH(D66,Roster!$A$6:$A$108,0))="Principal",INDEX(Inputs!$B$10:$D$10,1,MATCH(A66,Inputs!$B$6:$D$6,0)),IF(=INDEX(Roster!$B$6:$B$108,MATCH(D66,Roster!$A$6:$A$108,0))="Associate Principal",INDEX(Inputs!$B$11:$D$11,1,MATCH(A66,Inputs!$B$6:$D$6,0)),IF(=INDEX(Roster!$B$6:$B$108,MATCH(D66,Roster!$A$6:$A$108,0))="Assistant Principal",INDEX(Inputs!$B$12:$D$12,1,MATCH(A66,Inputs!$B$6:$D$6,0)),0))))</x:f>
        <x:v>0</x:v>
      </x:c>
      <x:c r="L66" s="20" t="n">
        <x:f>IF(INDEX(Roster!$D$6:$D$108,MATCH(D66,Roster!$A$6:$A$108,0))&gt;=25,INDEX(Inputs!$B$19:$D$19,1,MATCH(A66,Inputs!$B$6:$D$6,0)),IF(INDEX(Roster!$D$6:$D$108,MATCH(D66,Roster!$A$6:$A$108,0))&gt;=20,INDEX(Inputs!$B$18:$D$18,1,MATCH(A66,Inputs!$B$6:$D$6,0)),IF(INDEX(Roster!$D$6:$D$108,MATCH(D66,Roster!$A$6:$A$108,0))&gt;=15,INDEX(Inputs!$B$17:$D$17,1,MATCH(A66,Inputs!$B$6:$D$6,0)),IF(INDEX(Roster!$D$6:$D$108,MATCH(D66,Roster!$A$6:$A$108,0))&gt;=10,INDEX(Inputs!$B$16:$D$16,1,MATCH(A66,Inputs!$B$6:$D$6,0)),IF(INDEX(Roster!$D$6:$D$108,MATCH(D66,Roster!$A$6:$A$108,0))&gt;=5,INDEX(Inputs!$B$15:$D$15,1,MATCH(A66,Inputs!$B$6:$D$6,0)),0)))))</x:f>
        <x:v>50</x:v>
      </x:c>
      <x:c r="M66" s="20" t="n">
        <x:f>G66*I66</x:f>
        <x:v>31135</x:v>
      </x:c>
      <x:c r="N66" s="20" t="n">
        <x:f>G66*J66</x:f>
        <x:v>0</x:v>
      </x:c>
      <x:c r="O66" s="20" t="n">
        <x:f>G66*K66</x:f>
        <x:v>0</x:v>
      </x:c>
      <x:c r="P66" s="20" t="n">
        <x:f>G66*L66</x:f>
        <x:v>650</x:v>
      </x:c>
      <x:c r="Q66" s="20" t="n">
        <x:f>H66*INDEX(Inputs!$B$13:$D$13,1,MATCH(A66,Inputs!$B$6:$D$6,0))</x:f>
        <x:v>390</x:v>
      </x:c>
      <x:c r="R66" s="20" t="n">
        <x:f>SUM(M66:Q66)</x:f>
        <x:v>32175</x:v>
      </x:c>
      <x:c r="S66" s="20" t="n">
        <x:f>IF(AND(A65=A66,D65=D66),S65+R66,R66)</x:f>
        <x:v>32175</x:v>
      </x:c>
      <x:c r="T66" s="20" t="n">
        <x:f>MIN(S66,INDEX(Inputs!$B$20:$D$20,1,MATCH(A66,Inputs!$B$6:$D$6,0)))*INDEX(Inputs!$B$22:$D$22,1,MATCH(A66,Inputs!$B$6:$D$6,0))+MAX(MIN(S66,INDEX(Inputs!$B$21:$D$21,1,MATCH(A66,Inputs!$B$6:$D$6,0)))-INDEX(Inputs!$B$20:$D$20,1,MATCH(A66,Inputs!$B$6:$D$6,0)),0)*INDEX(Inputs!$B$23:$D$23,1,MATCH(A66,Inputs!$B$6:$D$6,0))+MAX(S66-INDEX(Inputs!$B$21:$D$21,1,MATCH(A66,Inputs!$B$6:$D$6,0)),0)*INDEX(Inputs!$B$24:$D$24,1,MATCH(A66,Inputs!$B$6:$D$6,0))</x:f>
        <x:v>2951.3875</x:v>
      </x:c>
      <x:c r="U66" s="20" t="n">
        <x:f>IF(AND(A65=A66,D65=D66),T65,0)</x:f>
        <x:v>0</x:v>
      </x:c>
      <x:c r="V66" s="20" t="n">
        <x:f>T66-U66</x:f>
        <x:v>2951.3875</x:v>
      </x:c>
      <x:c r="W66" s="20" t="n">
        <x:f>R66+V66</x:f>
        <x:v>35126.3875</x:v>
      </x:c>
      <x:c r="X66" s="14" t="str">
        <x:f>IF(ABS(W66-SUM(M66:Q66)-V66)&lt;0.01,"OK","Check")</x:f>
        <x:v>OK</x:v>
      </x:c>
    </x:row>
    <x:row r="67">
      <x:c r="A67" s="14" t="n">
        <x:v>2026</x:v>
      </x:c>
      <x:c r="B67" s="14" t="str">
        <x:v>Q2</x:v>
      </x:c>
      <x:c r="C67" s="14" t="n">
        <x:v>2</x:v>
      </x:c>
      <x:c r="D67" s="14" t="n">
        <x:v>16</x:v>
      </x:c>
      <x:c r="E67" s="14" t="str">
        <x:f>INDEX(Roster!$B$6:$B$108,MATCH(D67,Roster!$A$6:$A$108,0))</x:f>
      </x:c>
      <x:c r="F67" s="14" t="str">
        <x:f>INDEX(Roster!$F$6:$F$108,MATCH(D67,Roster!$A$6:$A$108,0))</x:f>
        <x:v>No</x:v>
      </x:c>
      <x:c r="G67" s="14" t="n">
        <x:f>INDEX(Inputs!$B$7:$D$7,1,MATCH(A67,Inputs!$B$6:$D$6,0))</x:f>
        <x:v>13</x:v>
      </x:c>
      <x:c r="H67" s="14" t="n">
        <x:f>MIN(=INDEX(Inputs!$B$7:$D$7,1,MATCH(A67,Inputs!$B$6:$D$6,0)),MAX(0,INDEX(Inputs!$B$14:$D$14,1,MATCH(A67,Inputs!$B$6:$D$6,0))-(C67-1)*=INDEX(Inputs!$B$7:$D$7,1,MATCH(A67,Inputs!$B$6:$D$6,0))))</x:f>
        <x:v>13</x:v>
      </x:c>
      <x:c r="I67" s="20" t="n">
        <x:f>INDEX(Inputs!$B$8:$D$8,1,MATCH(A67,Inputs!$B$6:$D$6,0))</x:f>
        <x:v>2395</x:v>
      </x:c>
      <x:c r="J67" s="20" t="n">
        <x:f>INDEX(Roster!$C$6:$C$108,MATCH(D67,Roster!$A$6:$A$108,0))*(1+INDEX(Inputs!$B$9:$D$9,1,MATCH(A67,Inputs!$B$6:$D$6,0)))</x:f>
        <x:v>0</x:v>
      </x:c>
      <x:c r="K67" s="20" t="n">
        <x:f>IF(=INDEX(Roster!$F$6:$F$108,MATCH(D67,Roster!$A$6:$A$108,0))="Yes",0,=INDEX(Inputs!$B$8:$D$8,1,MATCH(A67,Inputs!$B$6:$D$6,0))*IF(=INDEX(Roster!$B$6:$B$108,MATCH(D67,Roster!$A$6:$A$108,0))="Principal",INDEX(Inputs!$B$10:$D$10,1,MATCH(A67,Inputs!$B$6:$D$6,0)),IF(=INDEX(Roster!$B$6:$B$108,MATCH(D67,Roster!$A$6:$A$108,0))="Associate Principal",INDEX(Inputs!$B$11:$D$11,1,MATCH(A67,Inputs!$B$6:$D$6,0)),IF(=INDEX(Roster!$B$6:$B$108,MATCH(D67,Roster!$A$6:$A$108,0))="Assistant Principal",INDEX(Inputs!$B$12:$D$12,1,MATCH(A67,Inputs!$B$6:$D$6,0)),0))))</x:f>
        <x:v>0</x:v>
      </x:c>
      <x:c r="L67" s="20" t="n">
        <x:f>IF(INDEX(Roster!$D$6:$D$108,MATCH(D67,Roster!$A$6:$A$108,0))&gt;=25,INDEX(Inputs!$B$19:$D$19,1,MATCH(A67,Inputs!$B$6:$D$6,0)),IF(INDEX(Roster!$D$6:$D$108,MATCH(D67,Roster!$A$6:$A$108,0))&gt;=20,INDEX(Inputs!$B$18:$D$18,1,MATCH(A67,Inputs!$B$6:$D$6,0)),IF(INDEX(Roster!$D$6:$D$108,MATCH(D67,Roster!$A$6:$A$108,0))&gt;=15,INDEX(Inputs!$B$17:$D$17,1,MATCH(A67,Inputs!$B$6:$D$6,0)),IF(INDEX(Roster!$D$6:$D$108,MATCH(D67,Roster!$A$6:$A$108,0))&gt;=10,INDEX(Inputs!$B$16:$D$16,1,MATCH(A67,Inputs!$B$6:$D$6,0)),IF(INDEX(Roster!$D$6:$D$108,MATCH(D67,Roster!$A$6:$A$108,0))&gt;=5,INDEX(Inputs!$B$15:$D$15,1,MATCH(A67,Inputs!$B$6:$D$6,0)),0)))))</x:f>
        <x:v>50</x:v>
      </x:c>
      <x:c r="M67" s="20" t="n">
        <x:f>G67*I67</x:f>
        <x:v>31135</x:v>
      </x:c>
      <x:c r="N67" s="20" t="n">
        <x:f>G67*J67</x:f>
        <x:v>0</x:v>
      </x:c>
      <x:c r="O67" s="20" t="n">
        <x:f>G67*K67</x:f>
        <x:v>0</x:v>
      </x:c>
      <x:c r="P67" s="20" t="n">
        <x:f>G67*L67</x:f>
        <x:v>650</x:v>
      </x:c>
      <x:c r="Q67" s="20" t="n">
        <x:f>H67*INDEX(Inputs!$B$13:$D$13,1,MATCH(A67,Inputs!$B$6:$D$6,0))</x:f>
        <x:v>390</x:v>
      </x:c>
      <x:c r="R67" s="20" t="n">
        <x:f>SUM(M67:Q67)</x:f>
        <x:v>32175</x:v>
      </x:c>
      <x:c r="S67" s="20" t="n">
        <x:f>IF(AND(A66=A67,D66=D67),S66+R67,R67)</x:f>
        <x:v>64350</x:v>
      </x:c>
      <x:c r="T67" s="20" t="n">
        <x:f>MIN(S67,INDEX(Inputs!$B$20:$D$20,1,MATCH(A67,Inputs!$B$6:$D$6,0)))*INDEX(Inputs!$B$22:$D$22,1,MATCH(A67,Inputs!$B$6:$D$6,0))+MAX(MIN(S67,INDEX(Inputs!$B$21:$D$21,1,MATCH(A67,Inputs!$B$6:$D$6,0)))-INDEX(Inputs!$B$20:$D$20,1,MATCH(A67,Inputs!$B$6:$D$6,0)),0)*INDEX(Inputs!$B$23:$D$23,1,MATCH(A67,Inputs!$B$6:$D$6,0))+MAX(S67-INDEX(Inputs!$B$21:$D$21,1,MATCH(A67,Inputs!$B$6:$D$6,0)),0)*INDEX(Inputs!$B$24:$D$24,1,MATCH(A67,Inputs!$B$6:$D$6,0))</x:f>
        <x:v>5412.775</x:v>
      </x:c>
      <x:c r="U67" s="20" t="n">
        <x:f>IF(AND(A66=A67,D66=D67),T66,0)</x:f>
        <x:v>2951.3875</x:v>
      </x:c>
      <x:c r="V67" s="20" t="n">
        <x:f>T67-U67</x:f>
        <x:v>2461.3875</x:v>
      </x:c>
      <x:c r="W67" s="20" t="n">
        <x:f>R67+V67</x:f>
        <x:v>34636.3875</x:v>
      </x:c>
      <x:c r="X67" s="14" t="str">
        <x:f>IF(ABS(W67-SUM(M67:Q67)-V67)&lt;0.01,"OK","Check")</x:f>
        <x:v>OK</x:v>
      </x:c>
    </x:row>
    <x:row r="68">
      <x:c r="A68" s="14" t="n">
        <x:v>2026</x:v>
      </x:c>
      <x:c r="B68" s="14" t="str">
        <x:v>Q3</x:v>
      </x:c>
      <x:c r="C68" s="14" t="n">
        <x:v>3</x:v>
      </x:c>
      <x:c r="D68" s="14" t="n">
        <x:v>16</x:v>
      </x:c>
      <x:c r="E68" s="14" t="str">
        <x:f>INDEX(Roster!$B$6:$B$108,MATCH(D68,Roster!$A$6:$A$108,0))</x:f>
      </x:c>
      <x:c r="F68" s="14" t="str">
        <x:f>INDEX(Roster!$F$6:$F$108,MATCH(D68,Roster!$A$6:$A$108,0))</x:f>
        <x:v>No</x:v>
      </x:c>
      <x:c r="G68" s="14" t="n">
        <x:f>INDEX(Inputs!$B$7:$D$7,1,MATCH(A68,Inputs!$B$6:$D$6,0))</x:f>
        <x:v>13</x:v>
      </x:c>
      <x:c r="H68" s="14" t="n">
        <x:f>MIN(=INDEX(Inputs!$B$7:$D$7,1,MATCH(A68,Inputs!$B$6:$D$6,0)),MAX(0,INDEX(Inputs!$B$14:$D$14,1,MATCH(A68,Inputs!$B$6:$D$6,0))-(C68-1)*=INDEX(Inputs!$B$7:$D$7,1,MATCH(A68,Inputs!$B$6:$D$6,0))))</x:f>
        <x:v>13</x:v>
      </x:c>
      <x:c r="I68" s="20" t="n">
        <x:f>INDEX(Inputs!$B$8:$D$8,1,MATCH(A68,Inputs!$B$6:$D$6,0))</x:f>
        <x:v>2395</x:v>
      </x:c>
      <x:c r="J68" s="20" t="n">
        <x:f>INDEX(Roster!$C$6:$C$108,MATCH(D68,Roster!$A$6:$A$108,0))*(1+INDEX(Inputs!$B$9:$D$9,1,MATCH(A68,Inputs!$B$6:$D$6,0)))</x:f>
        <x:v>0</x:v>
      </x:c>
      <x:c r="K68" s="20" t="n">
        <x:f>IF(=INDEX(Roster!$F$6:$F$108,MATCH(D68,Roster!$A$6:$A$108,0))="Yes",0,=INDEX(Inputs!$B$8:$D$8,1,MATCH(A68,Inputs!$B$6:$D$6,0))*IF(=INDEX(Roster!$B$6:$B$108,MATCH(D68,Roster!$A$6:$A$108,0))="Principal",INDEX(Inputs!$B$10:$D$10,1,MATCH(A68,Inputs!$B$6:$D$6,0)),IF(=INDEX(Roster!$B$6:$B$108,MATCH(D68,Roster!$A$6:$A$108,0))="Associate Principal",INDEX(Inputs!$B$11:$D$11,1,MATCH(A68,Inputs!$B$6:$D$6,0)),IF(=INDEX(Roster!$B$6:$B$108,MATCH(D68,Roster!$A$6:$A$108,0))="Assistant Principal",INDEX(Inputs!$B$12:$D$12,1,MATCH(A68,Inputs!$B$6:$D$6,0)),0))))</x:f>
        <x:v>0</x:v>
      </x:c>
      <x:c r="L68" s="20" t="n">
        <x:f>IF(INDEX(Roster!$D$6:$D$108,MATCH(D68,Roster!$A$6:$A$108,0))&gt;=25,INDEX(Inputs!$B$19:$D$19,1,MATCH(A68,Inputs!$B$6:$D$6,0)),IF(INDEX(Roster!$D$6:$D$108,MATCH(D68,Roster!$A$6:$A$108,0))&gt;=20,INDEX(Inputs!$B$18:$D$18,1,MATCH(A68,Inputs!$B$6:$D$6,0)),IF(INDEX(Roster!$D$6:$D$108,MATCH(D68,Roster!$A$6:$A$108,0))&gt;=15,INDEX(Inputs!$B$17:$D$17,1,MATCH(A68,Inputs!$B$6:$D$6,0)),IF(INDEX(Roster!$D$6:$D$108,MATCH(D68,Roster!$A$6:$A$108,0))&gt;=10,INDEX(Inputs!$B$16:$D$16,1,MATCH(A68,Inputs!$B$6:$D$6,0)),IF(INDEX(Roster!$D$6:$D$108,MATCH(D68,Roster!$A$6:$A$108,0))&gt;=5,INDEX(Inputs!$B$15:$D$15,1,MATCH(A68,Inputs!$B$6:$D$6,0)),0)))))</x:f>
        <x:v>50</x:v>
      </x:c>
      <x:c r="M68" s="20" t="n">
        <x:f>G68*I68</x:f>
        <x:v>31135</x:v>
      </x:c>
      <x:c r="N68" s="20" t="n">
        <x:f>G68*J68</x:f>
        <x:v>0</x:v>
      </x:c>
      <x:c r="O68" s="20" t="n">
        <x:f>G68*K68</x:f>
        <x:v>0</x:v>
      </x:c>
      <x:c r="P68" s="20" t="n">
        <x:f>G68*L68</x:f>
        <x:v>650</x:v>
      </x:c>
      <x:c r="Q68" s="20" t="n">
        <x:f>H68*INDEX(Inputs!$B$13:$D$13,1,MATCH(A68,Inputs!$B$6:$D$6,0))</x:f>
        <x:v>390</x:v>
      </x:c>
      <x:c r="R68" s="20" t="n">
        <x:f>SUM(M68:Q68)</x:f>
        <x:v>32175</x:v>
      </x:c>
      <x:c r="S68" s="20" t="n">
        <x:f>IF(AND(A67=A68,D67=D68),S67+R68,R68)</x:f>
        <x:v>96525</x:v>
      </x:c>
      <x:c r="T68" s="20" t="n">
        <x:f>MIN(S68,INDEX(Inputs!$B$20:$D$20,1,MATCH(A68,Inputs!$B$6:$D$6,0)))*INDEX(Inputs!$B$22:$D$22,1,MATCH(A68,Inputs!$B$6:$D$6,0))+MAX(MIN(S68,INDEX(Inputs!$B$21:$D$21,1,MATCH(A68,Inputs!$B$6:$D$6,0)))-INDEX(Inputs!$B$20:$D$20,1,MATCH(A68,Inputs!$B$6:$D$6,0)),0)*INDEX(Inputs!$B$23:$D$23,1,MATCH(A68,Inputs!$B$6:$D$6,0))+MAX(S68-INDEX(Inputs!$B$21:$D$21,1,MATCH(A68,Inputs!$B$6:$D$6,0)),0)*INDEX(Inputs!$B$24:$D$24,1,MATCH(A68,Inputs!$B$6:$D$6,0))</x:f>
        <x:v>7874.162499999999</x:v>
      </x:c>
      <x:c r="U68" s="20" t="n">
        <x:f>IF(AND(A67=A68,D67=D68),T67,0)</x:f>
        <x:v>5412.775</x:v>
      </x:c>
      <x:c r="V68" s="20" t="n">
        <x:f>T68-U68</x:f>
        <x:v>2461.3875</x:v>
      </x:c>
      <x:c r="W68" s="20" t="n">
        <x:f>R68+V68</x:f>
        <x:v>34636.3875</x:v>
      </x:c>
      <x:c r="X68" s="14" t="str">
        <x:f>IF(ABS(W68-SUM(M68:Q68)-V68)&lt;0.01,"OK","Check")</x:f>
        <x:v>OK</x:v>
      </x:c>
    </x:row>
    <x:row r="69">
      <x:c r="A69" s="14" t="n">
        <x:v>2026</x:v>
      </x:c>
      <x:c r="B69" s="14" t="str">
        <x:v>Q4</x:v>
      </x:c>
      <x:c r="C69" s="14" t="n">
        <x:v>4</x:v>
      </x:c>
      <x:c r="D69" s="14" t="n">
        <x:v>16</x:v>
      </x:c>
      <x:c r="E69" s="14" t="str">
        <x:f>INDEX(Roster!$B$6:$B$108,MATCH(D69,Roster!$A$6:$A$108,0))</x:f>
      </x:c>
      <x:c r="F69" s="14" t="str">
        <x:f>INDEX(Roster!$F$6:$F$108,MATCH(D69,Roster!$A$6:$A$108,0))</x:f>
        <x:v>No</x:v>
      </x:c>
      <x:c r="G69" s="14" t="n">
        <x:f>INDEX(Inputs!$B$7:$D$7,1,MATCH(A69,Inputs!$B$6:$D$6,0))</x:f>
        <x:v>13</x:v>
      </x:c>
      <x:c r="H69" s="14" t="n">
        <x:f>MIN(=INDEX(Inputs!$B$7:$D$7,1,MATCH(A69,Inputs!$B$6:$D$6,0)),MAX(0,INDEX(Inputs!$B$14:$D$14,1,MATCH(A69,Inputs!$B$6:$D$6,0))-(C69-1)*=INDEX(Inputs!$B$7:$D$7,1,MATCH(A69,Inputs!$B$6:$D$6,0))))</x:f>
        <x:v>0</x:v>
      </x:c>
      <x:c r="I69" s="20" t="n">
        <x:f>INDEX(Inputs!$B$8:$D$8,1,MATCH(A69,Inputs!$B$6:$D$6,0))</x:f>
        <x:v>2395</x:v>
      </x:c>
      <x:c r="J69" s="20" t="n">
        <x:f>INDEX(Roster!$C$6:$C$108,MATCH(D69,Roster!$A$6:$A$108,0))*(1+INDEX(Inputs!$B$9:$D$9,1,MATCH(A69,Inputs!$B$6:$D$6,0)))</x:f>
        <x:v>0</x:v>
      </x:c>
      <x:c r="K69" s="20" t="n">
        <x:f>IF(=INDEX(Roster!$F$6:$F$108,MATCH(D69,Roster!$A$6:$A$108,0))="Yes",0,=INDEX(Inputs!$B$8:$D$8,1,MATCH(A69,Inputs!$B$6:$D$6,0))*IF(=INDEX(Roster!$B$6:$B$108,MATCH(D69,Roster!$A$6:$A$108,0))="Principal",INDEX(Inputs!$B$10:$D$10,1,MATCH(A69,Inputs!$B$6:$D$6,0)),IF(=INDEX(Roster!$B$6:$B$108,MATCH(D69,Roster!$A$6:$A$108,0))="Associate Principal",INDEX(Inputs!$B$11:$D$11,1,MATCH(A69,Inputs!$B$6:$D$6,0)),IF(=INDEX(Roster!$B$6:$B$108,MATCH(D69,Roster!$A$6:$A$108,0))="Assistant Principal",INDEX(Inputs!$B$12:$D$12,1,MATCH(A69,Inputs!$B$6:$D$6,0)),0))))</x:f>
        <x:v>0</x:v>
      </x:c>
      <x:c r="L69" s="20" t="n">
        <x:f>IF(INDEX(Roster!$D$6:$D$108,MATCH(D69,Roster!$A$6:$A$108,0))&gt;=25,INDEX(Inputs!$B$19:$D$19,1,MATCH(A69,Inputs!$B$6:$D$6,0)),IF(INDEX(Roster!$D$6:$D$108,MATCH(D69,Roster!$A$6:$A$108,0))&gt;=20,INDEX(Inputs!$B$18:$D$18,1,MATCH(A69,Inputs!$B$6:$D$6,0)),IF(INDEX(Roster!$D$6:$D$108,MATCH(D69,Roster!$A$6:$A$108,0))&gt;=15,INDEX(Inputs!$B$17:$D$17,1,MATCH(A69,Inputs!$B$6:$D$6,0)),IF(INDEX(Roster!$D$6:$D$108,MATCH(D69,Roster!$A$6:$A$108,0))&gt;=10,INDEX(Inputs!$B$16:$D$16,1,MATCH(A69,Inputs!$B$6:$D$6,0)),IF(INDEX(Roster!$D$6:$D$108,MATCH(D69,Roster!$A$6:$A$108,0))&gt;=5,INDEX(Inputs!$B$15:$D$15,1,MATCH(A69,Inputs!$B$6:$D$6,0)),0)))))</x:f>
        <x:v>50</x:v>
      </x:c>
      <x:c r="M69" s="20" t="n">
        <x:f>G69*I69</x:f>
        <x:v>31135</x:v>
      </x:c>
      <x:c r="N69" s="20" t="n">
        <x:f>G69*J69</x:f>
        <x:v>0</x:v>
      </x:c>
      <x:c r="O69" s="20" t="n">
        <x:f>G69*K69</x:f>
        <x:v>0</x:v>
      </x:c>
      <x:c r="P69" s="20" t="n">
        <x:f>G69*L69</x:f>
        <x:v>650</x:v>
      </x:c>
      <x:c r="Q69" s="20" t="n">
        <x:f>H69*INDEX(Inputs!$B$13:$D$13,1,MATCH(A69,Inputs!$B$6:$D$6,0))</x:f>
        <x:v>0</x:v>
      </x:c>
      <x:c r="R69" s="20" t="n">
        <x:f>SUM(M69:Q69)</x:f>
        <x:v>31785</x:v>
      </x:c>
      <x:c r="S69" s="20" t="n">
        <x:f>IF(AND(A68=A69,D68=D69),S68+R69,R69)</x:f>
        <x:v>128310</x:v>
      </x:c>
      <x:c r="T69" s="20" t="n">
        <x:f>MIN(S69,INDEX(Inputs!$B$20:$D$20,1,MATCH(A69,Inputs!$B$6:$D$6,0)))*INDEX(Inputs!$B$22:$D$22,1,MATCH(A69,Inputs!$B$6:$D$6,0))+MAX(MIN(S69,INDEX(Inputs!$B$21:$D$21,1,MATCH(A69,Inputs!$B$6:$D$6,0)))-INDEX(Inputs!$B$20:$D$20,1,MATCH(A69,Inputs!$B$6:$D$6,0)),0)*INDEX(Inputs!$B$23:$D$23,1,MATCH(A69,Inputs!$B$6:$D$6,0))+MAX(S69-INDEX(Inputs!$B$21:$D$21,1,MATCH(A69,Inputs!$B$6:$D$6,0)),0)*INDEX(Inputs!$B$24:$D$24,1,MATCH(A69,Inputs!$B$6:$D$6,0))</x:f>
        <x:v>9774.437</x:v>
      </x:c>
      <x:c r="U69" s="20" t="n">
        <x:f>IF(AND(A68=A69,D68=D69),T68,0)</x:f>
        <x:v>7874.162499999999</x:v>
      </x:c>
      <x:c r="V69" s="20" t="n">
        <x:f>T69-U69</x:f>
        <x:v>1900.2745000000004</x:v>
      </x:c>
      <x:c r="W69" s="20" t="n">
        <x:f>R69+V69</x:f>
        <x:v>33685.2745</x:v>
      </x:c>
      <x:c r="X69" s="14" t="str">
        <x:f>IF(ABS(W69-SUM(M69:Q69)-V69)&lt;0.01,"OK","Check")</x:f>
        <x:v>OK</x:v>
      </x:c>
    </x:row>
    <x:row r="70">
      <x:c r="A70" s="14" t="n">
        <x:v>2026</x:v>
      </x:c>
      <x:c r="B70" s="14" t="str">
        <x:v>Q1</x:v>
      </x:c>
      <x:c r="C70" s="14" t="n">
        <x:v>1</x:v>
      </x:c>
      <x:c r="D70" s="14" t="n">
        <x:v>17</x:v>
      </x:c>
      <x:c r="E70" s="14" t="str">
        <x:f>INDEX(Roster!$B$6:$B$108,MATCH(D70,Roster!$A$6:$A$108,0))</x:f>
      </x:c>
      <x:c r="F70" s="14" t="str">
        <x:f>INDEX(Roster!$F$6:$F$108,MATCH(D70,Roster!$A$6:$A$108,0))</x:f>
        <x:v>No</x:v>
      </x:c>
      <x:c r="G70" s="14" t="n">
        <x:f>INDEX(Inputs!$B$7:$D$7,1,MATCH(A70,Inputs!$B$6:$D$6,0))</x:f>
        <x:v>13</x:v>
      </x:c>
      <x:c r="H70" s="14" t="n">
        <x:f>MIN(=INDEX(Inputs!$B$7:$D$7,1,MATCH(A70,Inputs!$B$6:$D$6,0)),MAX(0,INDEX(Inputs!$B$14:$D$14,1,MATCH(A70,Inputs!$B$6:$D$6,0))-(C70-1)*=INDEX(Inputs!$B$7:$D$7,1,MATCH(A70,Inputs!$B$6:$D$6,0))))</x:f>
        <x:v>13</x:v>
      </x:c>
      <x:c r="I70" s="20" t="n">
        <x:f>INDEX(Inputs!$B$8:$D$8,1,MATCH(A70,Inputs!$B$6:$D$6,0))</x:f>
        <x:v>2395</x:v>
      </x:c>
      <x:c r="J70" s="20" t="n">
        <x:f>INDEX(Roster!$C$6:$C$108,MATCH(D70,Roster!$A$6:$A$108,0))*(1+INDEX(Inputs!$B$9:$D$9,1,MATCH(A70,Inputs!$B$6:$D$6,0)))</x:f>
        <x:v>20</x:v>
      </x:c>
      <x:c r="K70" s="20" t="n">
        <x:f>IF(=INDEX(Roster!$F$6:$F$108,MATCH(D70,Roster!$A$6:$A$108,0))="Yes",0,=INDEX(Inputs!$B$8:$D$8,1,MATCH(A70,Inputs!$B$6:$D$6,0))*IF(=INDEX(Roster!$B$6:$B$108,MATCH(D70,Roster!$A$6:$A$108,0))="Principal",INDEX(Inputs!$B$10:$D$10,1,MATCH(A70,Inputs!$B$6:$D$6,0)),IF(=INDEX(Roster!$B$6:$B$108,MATCH(D70,Roster!$A$6:$A$108,0))="Associate Principal",INDEX(Inputs!$B$11:$D$11,1,MATCH(A70,Inputs!$B$6:$D$6,0)),IF(=INDEX(Roster!$B$6:$B$108,MATCH(D70,Roster!$A$6:$A$108,0))="Assistant Principal",INDEX(Inputs!$B$12:$D$12,1,MATCH(A70,Inputs!$B$6:$D$6,0)),0))))</x:f>
        <x:v>0</x:v>
      </x:c>
      <x:c r="L70" s="20" t="n">
        <x:f>IF(INDEX(Roster!$D$6:$D$108,MATCH(D70,Roster!$A$6:$A$108,0))&gt;=25,INDEX(Inputs!$B$19:$D$19,1,MATCH(A70,Inputs!$B$6:$D$6,0)),IF(INDEX(Roster!$D$6:$D$108,MATCH(D70,Roster!$A$6:$A$108,0))&gt;=20,INDEX(Inputs!$B$18:$D$18,1,MATCH(A70,Inputs!$B$6:$D$6,0)),IF(INDEX(Roster!$D$6:$D$108,MATCH(D70,Roster!$A$6:$A$108,0))&gt;=15,INDEX(Inputs!$B$17:$D$17,1,MATCH(A70,Inputs!$B$6:$D$6,0)),IF(INDEX(Roster!$D$6:$D$108,MATCH(D70,Roster!$A$6:$A$108,0))&gt;=10,INDEX(Inputs!$B$16:$D$16,1,MATCH(A70,Inputs!$B$6:$D$6,0)),IF(INDEX(Roster!$D$6:$D$108,MATCH(D70,Roster!$A$6:$A$108,0))&gt;=5,INDEX(Inputs!$B$15:$D$15,1,MATCH(A70,Inputs!$B$6:$D$6,0)),0)))))</x:f>
        <x:v>60</x:v>
      </x:c>
      <x:c r="M70" s="20" t="n">
        <x:f>G70*I70</x:f>
        <x:v>31135</x:v>
      </x:c>
      <x:c r="N70" s="20" t="n">
        <x:f>G70*J70</x:f>
        <x:v>260</x:v>
      </x:c>
      <x:c r="O70" s="20" t="n">
        <x:f>G70*K70</x:f>
        <x:v>0</x:v>
      </x:c>
      <x:c r="P70" s="20" t="n">
        <x:f>G70*L70</x:f>
        <x:v>780</x:v>
      </x:c>
      <x:c r="Q70" s="20" t="n">
        <x:f>H70*INDEX(Inputs!$B$13:$D$13,1,MATCH(A70,Inputs!$B$6:$D$6,0))</x:f>
        <x:v>390</x:v>
      </x:c>
      <x:c r="R70" s="20" t="n">
        <x:f>SUM(M70:Q70)</x:f>
        <x:v>32565</x:v>
      </x:c>
      <x:c r="S70" s="20" t="n">
        <x:f>IF(AND(A69=A70,D69=D70),S69+R70,R70)</x:f>
        <x:v>32565</x:v>
      </x:c>
      <x:c r="T70" s="20" t="n">
        <x:f>MIN(S70,INDEX(Inputs!$B$20:$D$20,1,MATCH(A70,Inputs!$B$6:$D$6,0)))*INDEX(Inputs!$B$22:$D$22,1,MATCH(A70,Inputs!$B$6:$D$6,0))+MAX(MIN(S70,INDEX(Inputs!$B$21:$D$21,1,MATCH(A70,Inputs!$B$6:$D$6,0)))-INDEX(Inputs!$B$20:$D$20,1,MATCH(A70,Inputs!$B$6:$D$6,0)),0)*INDEX(Inputs!$B$23:$D$23,1,MATCH(A70,Inputs!$B$6:$D$6,0))+MAX(S70-INDEX(Inputs!$B$21:$D$21,1,MATCH(A70,Inputs!$B$6:$D$6,0)),0)*INDEX(Inputs!$B$24:$D$24,1,MATCH(A70,Inputs!$B$6:$D$6,0))</x:f>
        <x:v>2981.2225</x:v>
      </x:c>
      <x:c r="U70" s="20" t="n">
        <x:f>IF(AND(A69=A70,D69=D70),T69,0)</x:f>
        <x:v>0</x:v>
      </x:c>
      <x:c r="V70" s="20" t="n">
        <x:f>T70-U70</x:f>
        <x:v>2981.2225</x:v>
      </x:c>
      <x:c r="W70" s="20" t="n">
        <x:f>R70+V70</x:f>
        <x:v>35546.2225</x:v>
      </x:c>
      <x:c r="X70" s="14" t="str">
        <x:f>IF(ABS(W70-SUM(M70:Q70)-V70)&lt;0.01,"OK","Check")</x:f>
        <x:v>OK</x:v>
      </x:c>
    </x:row>
    <x:row r="71">
      <x:c r="A71" s="14" t="n">
        <x:v>2026</x:v>
      </x:c>
      <x:c r="B71" s="14" t="str">
        <x:v>Q2</x:v>
      </x:c>
      <x:c r="C71" s="14" t="n">
        <x:v>2</x:v>
      </x:c>
      <x:c r="D71" s="14" t="n">
        <x:v>17</x:v>
      </x:c>
      <x:c r="E71" s="14" t="str">
        <x:f>INDEX(Roster!$B$6:$B$108,MATCH(D71,Roster!$A$6:$A$108,0))</x:f>
      </x:c>
      <x:c r="F71" s="14" t="str">
        <x:f>INDEX(Roster!$F$6:$F$108,MATCH(D71,Roster!$A$6:$A$108,0))</x:f>
        <x:v>No</x:v>
      </x:c>
      <x:c r="G71" s="14" t="n">
        <x:f>INDEX(Inputs!$B$7:$D$7,1,MATCH(A71,Inputs!$B$6:$D$6,0))</x:f>
        <x:v>13</x:v>
      </x:c>
      <x:c r="H71" s="14" t="n">
        <x:f>MIN(=INDEX(Inputs!$B$7:$D$7,1,MATCH(A71,Inputs!$B$6:$D$6,0)),MAX(0,INDEX(Inputs!$B$14:$D$14,1,MATCH(A71,Inputs!$B$6:$D$6,0))-(C71-1)*=INDEX(Inputs!$B$7:$D$7,1,MATCH(A71,Inputs!$B$6:$D$6,0))))</x:f>
        <x:v>13</x:v>
      </x:c>
      <x:c r="I71" s="20" t="n">
        <x:f>INDEX(Inputs!$B$8:$D$8,1,MATCH(A71,Inputs!$B$6:$D$6,0))</x:f>
        <x:v>2395</x:v>
      </x:c>
      <x:c r="J71" s="20" t="n">
        <x:f>INDEX(Roster!$C$6:$C$108,MATCH(D71,Roster!$A$6:$A$108,0))*(1+INDEX(Inputs!$B$9:$D$9,1,MATCH(A71,Inputs!$B$6:$D$6,0)))</x:f>
        <x:v>20</x:v>
      </x:c>
      <x:c r="K71" s="20" t="n">
        <x:f>IF(=INDEX(Roster!$F$6:$F$108,MATCH(D71,Roster!$A$6:$A$108,0))="Yes",0,=INDEX(Inputs!$B$8:$D$8,1,MATCH(A71,Inputs!$B$6:$D$6,0))*IF(=INDEX(Roster!$B$6:$B$108,MATCH(D71,Roster!$A$6:$A$108,0))="Principal",INDEX(Inputs!$B$10:$D$10,1,MATCH(A71,Inputs!$B$6:$D$6,0)),IF(=INDEX(Roster!$B$6:$B$108,MATCH(D71,Roster!$A$6:$A$108,0))="Associate Principal",INDEX(Inputs!$B$11:$D$11,1,MATCH(A71,Inputs!$B$6:$D$6,0)),IF(=INDEX(Roster!$B$6:$B$108,MATCH(D71,Roster!$A$6:$A$108,0))="Assistant Principal",INDEX(Inputs!$B$12:$D$12,1,MATCH(A71,Inputs!$B$6:$D$6,0)),0))))</x:f>
        <x:v>0</x:v>
      </x:c>
      <x:c r="L71" s="20" t="n">
        <x:f>IF(INDEX(Roster!$D$6:$D$108,MATCH(D71,Roster!$A$6:$A$108,0))&gt;=25,INDEX(Inputs!$B$19:$D$19,1,MATCH(A71,Inputs!$B$6:$D$6,0)),IF(INDEX(Roster!$D$6:$D$108,MATCH(D71,Roster!$A$6:$A$108,0))&gt;=20,INDEX(Inputs!$B$18:$D$18,1,MATCH(A71,Inputs!$B$6:$D$6,0)),IF(INDEX(Roster!$D$6:$D$108,MATCH(D71,Roster!$A$6:$A$108,0))&gt;=15,INDEX(Inputs!$B$17:$D$17,1,MATCH(A71,Inputs!$B$6:$D$6,0)),IF(INDEX(Roster!$D$6:$D$108,MATCH(D71,Roster!$A$6:$A$108,0))&gt;=10,INDEX(Inputs!$B$16:$D$16,1,MATCH(A71,Inputs!$B$6:$D$6,0)),IF(INDEX(Roster!$D$6:$D$108,MATCH(D71,Roster!$A$6:$A$108,0))&gt;=5,INDEX(Inputs!$B$15:$D$15,1,MATCH(A71,Inputs!$B$6:$D$6,0)),0)))))</x:f>
        <x:v>60</x:v>
      </x:c>
      <x:c r="M71" s="20" t="n">
        <x:f>G71*I71</x:f>
        <x:v>31135</x:v>
      </x:c>
      <x:c r="N71" s="20" t="n">
        <x:f>G71*J71</x:f>
        <x:v>260</x:v>
      </x:c>
      <x:c r="O71" s="20" t="n">
        <x:f>G71*K71</x:f>
        <x:v>0</x:v>
      </x:c>
      <x:c r="P71" s="20" t="n">
        <x:f>G71*L71</x:f>
        <x:v>780</x:v>
      </x:c>
      <x:c r="Q71" s="20" t="n">
        <x:f>H71*INDEX(Inputs!$B$13:$D$13,1,MATCH(A71,Inputs!$B$6:$D$6,0))</x:f>
        <x:v>390</x:v>
      </x:c>
      <x:c r="R71" s="20" t="n">
        <x:f>SUM(M71:Q71)</x:f>
        <x:v>32565</x:v>
      </x:c>
      <x:c r="S71" s="20" t="n">
        <x:f>IF(AND(A70=A71,D70=D71),S70+R71,R71)</x:f>
        <x:v>65130</x:v>
      </x:c>
      <x:c r="T71" s="20" t="n">
        <x:f>MIN(S71,INDEX(Inputs!$B$20:$D$20,1,MATCH(A71,Inputs!$B$6:$D$6,0)))*INDEX(Inputs!$B$22:$D$22,1,MATCH(A71,Inputs!$B$6:$D$6,0))+MAX(MIN(S71,INDEX(Inputs!$B$21:$D$21,1,MATCH(A71,Inputs!$B$6:$D$6,0)))-INDEX(Inputs!$B$20:$D$20,1,MATCH(A71,Inputs!$B$6:$D$6,0)),0)*INDEX(Inputs!$B$23:$D$23,1,MATCH(A71,Inputs!$B$6:$D$6,0))+MAX(S71-INDEX(Inputs!$B$21:$D$21,1,MATCH(A71,Inputs!$B$6:$D$6,0)),0)*INDEX(Inputs!$B$24:$D$24,1,MATCH(A71,Inputs!$B$6:$D$6,0))</x:f>
        <x:v>5472.445</x:v>
      </x:c>
      <x:c r="U71" s="20" t="n">
        <x:f>IF(AND(A70=A71,D70=D71),T70,0)</x:f>
        <x:v>2981.2225</x:v>
      </x:c>
      <x:c r="V71" s="20" t="n">
        <x:f>T71-U71</x:f>
        <x:v>2491.2225</x:v>
      </x:c>
      <x:c r="W71" s="20" t="n">
        <x:f>R71+V71</x:f>
        <x:v>35056.2225</x:v>
      </x:c>
      <x:c r="X71" s="14" t="str">
        <x:f>IF(ABS(W71-SUM(M71:Q71)-V71)&lt;0.01,"OK","Check")</x:f>
        <x:v>OK</x:v>
      </x:c>
    </x:row>
    <x:row r="72">
      <x:c r="A72" s="14" t="n">
        <x:v>2026</x:v>
      </x:c>
      <x:c r="B72" s="14" t="str">
        <x:v>Q3</x:v>
      </x:c>
      <x:c r="C72" s="14" t="n">
        <x:v>3</x:v>
      </x:c>
      <x:c r="D72" s="14" t="n">
        <x:v>17</x:v>
      </x:c>
      <x:c r="E72" s="14" t="str">
        <x:f>INDEX(Roster!$B$6:$B$108,MATCH(D72,Roster!$A$6:$A$108,0))</x:f>
      </x:c>
      <x:c r="F72" s="14" t="str">
        <x:f>INDEX(Roster!$F$6:$F$108,MATCH(D72,Roster!$A$6:$A$108,0))</x:f>
        <x:v>No</x:v>
      </x:c>
      <x:c r="G72" s="14" t="n">
        <x:f>INDEX(Inputs!$B$7:$D$7,1,MATCH(A72,Inputs!$B$6:$D$6,0))</x:f>
        <x:v>13</x:v>
      </x:c>
      <x:c r="H72" s="14" t="n">
        <x:f>MIN(=INDEX(Inputs!$B$7:$D$7,1,MATCH(A72,Inputs!$B$6:$D$6,0)),MAX(0,INDEX(Inputs!$B$14:$D$14,1,MATCH(A72,Inputs!$B$6:$D$6,0))-(C72-1)*=INDEX(Inputs!$B$7:$D$7,1,MATCH(A72,Inputs!$B$6:$D$6,0))))</x:f>
        <x:v>13</x:v>
      </x:c>
      <x:c r="I72" s="20" t="n">
        <x:f>INDEX(Inputs!$B$8:$D$8,1,MATCH(A72,Inputs!$B$6:$D$6,0))</x:f>
        <x:v>2395</x:v>
      </x:c>
      <x:c r="J72" s="20" t="n">
        <x:f>INDEX(Roster!$C$6:$C$108,MATCH(D72,Roster!$A$6:$A$108,0))*(1+INDEX(Inputs!$B$9:$D$9,1,MATCH(A72,Inputs!$B$6:$D$6,0)))</x:f>
        <x:v>20</x:v>
      </x:c>
      <x:c r="K72" s="20" t="n">
        <x:f>IF(=INDEX(Roster!$F$6:$F$108,MATCH(D72,Roster!$A$6:$A$108,0))="Yes",0,=INDEX(Inputs!$B$8:$D$8,1,MATCH(A72,Inputs!$B$6:$D$6,0))*IF(=INDEX(Roster!$B$6:$B$108,MATCH(D72,Roster!$A$6:$A$108,0))="Principal",INDEX(Inputs!$B$10:$D$10,1,MATCH(A72,Inputs!$B$6:$D$6,0)),IF(=INDEX(Roster!$B$6:$B$108,MATCH(D72,Roster!$A$6:$A$108,0))="Associate Principal",INDEX(Inputs!$B$11:$D$11,1,MATCH(A72,Inputs!$B$6:$D$6,0)),IF(=INDEX(Roster!$B$6:$B$108,MATCH(D72,Roster!$A$6:$A$108,0))="Assistant Principal",INDEX(Inputs!$B$12:$D$12,1,MATCH(A72,Inputs!$B$6:$D$6,0)),0))))</x:f>
        <x:v>0</x:v>
      </x:c>
      <x:c r="L72" s="20" t="n">
        <x:f>IF(INDEX(Roster!$D$6:$D$108,MATCH(D72,Roster!$A$6:$A$108,0))&gt;=25,INDEX(Inputs!$B$19:$D$19,1,MATCH(A72,Inputs!$B$6:$D$6,0)),IF(INDEX(Roster!$D$6:$D$108,MATCH(D72,Roster!$A$6:$A$108,0))&gt;=20,INDEX(Inputs!$B$18:$D$18,1,MATCH(A72,Inputs!$B$6:$D$6,0)),IF(INDEX(Roster!$D$6:$D$108,MATCH(D72,Roster!$A$6:$A$108,0))&gt;=15,INDEX(Inputs!$B$17:$D$17,1,MATCH(A72,Inputs!$B$6:$D$6,0)),IF(INDEX(Roster!$D$6:$D$108,MATCH(D72,Roster!$A$6:$A$108,0))&gt;=10,INDEX(Inputs!$B$16:$D$16,1,MATCH(A72,Inputs!$B$6:$D$6,0)),IF(INDEX(Roster!$D$6:$D$108,MATCH(D72,Roster!$A$6:$A$108,0))&gt;=5,INDEX(Inputs!$B$15:$D$15,1,MATCH(A72,Inputs!$B$6:$D$6,0)),0)))))</x:f>
        <x:v>60</x:v>
      </x:c>
      <x:c r="M72" s="20" t="n">
        <x:f>G72*I72</x:f>
        <x:v>31135</x:v>
      </x:c>
      <x:c r="N72" s="20" t="n">
        <x:f>G72*J72</x:f>
        <x:v>260</x:v>
      </x:c>
      <x:c r="O72" s="20" t="n">
        <x:f>G72*K72</x:f>
        <x:v>0</x:v>
      </x:c>
      <x:c r="P72" s="20" t="n">
        <x:f>G72*L72</x:f>
        <x:v>780</x:v>
      </x:c>
      <x:c r="Q72" s="20" t="n">
        <x:f>H72*INDEX(Inputs!$B$13:$D$13,1,MATCH(A72,Inputs!$B$6:$D$6,0))</x:f>
        <x:v>390</x:v>
      </x:c>
      <x:c r="R72" s="20" t="n">
        <x:f>SUM(M72:Q72)</x:f>
        <x:v>32565</x:v>
      </x:c>
      <x:c r="S72" s="20" t="n">
        <x:f>IF(AND(A71=A72,D71=D72),S71+R72,R72)</x:f>
        <x:v>97695</x:v>
      </x:c>
      <x:c r="T72" s="20" t="n">
        <x:f>MIN(S72,INDEX(Inputs!$B$20:$D$20,1,MATCH(A72,Inputs!$B$6:$D$6,0)))*INDEX(Inputs!$B$22:$D$22,1,MATCH(A72,Inputs!$B$6:$D$6,0))+MAX(MIN(S72,INDEX(Inputs!$B$21:$D$21,1,MATCH(A72,Inputs!$B$6:$D$6,0)))-INDEX(Inputs!$B$20:$D$20,1,MATCH(A72,Inputs!$B$6:$D$6,0)),0)*INDEX(Inputs!$B$23:$D$23,1,MATCH(A72,Inputs!$B$6:$D$6,0))+MAX(S72-INDEX(Inputs!$B$21:$D$21,1,MATCH(A72,Inputs!$B$6:$D$6,0)),0)*INDEX(Inputs!$B$24:$D$24,1,MATCH(A72,Inputs!$B$6:$D$6,0))</x:f>
        <x:v>7963.6675</x:v>
      </x:c>
      <x:c r="U72" s="20" t="n">
        <x:f>IF(AND(A71=A72,D71=D72),T71,0)</x:f>
        <x:v>5472.445</x:v>
      </x:c>
      <x:c r="V72" s="20" t="n">
        <x:f>T72-U72</x:f>
        <x:v>2491.2225</x:v>
      </x:c>
      <x:c r="W72" s="20" t="n">
        <x:f>R72+V72</x:f>
        <x:v>35056.2225</x:v>
      </x:c>
      <x:c r="X72" s="14" t="str">
        <x:f>IF(ABS(W72-SUM(M72:Q72)-V72)&lt;0.01,"OK","Check")</x:f>
        <x:v>OK</x:v>
      </x:c>
    </x:row>
    <x:row r="73">
      <x:c r="A73" s="14" t="n">
        <x:v>2026</x:v>
      </x:c>
      <x:c r="B73" s="14" t="str">
        <x:v>Q4</x:v>
      </x:c>
      <x:c r="C73" s="14" t="n">
        <x:v>4</x:v>
      </x:c>
      <x:c r="D73" s="14" t="n">
        <x:v>17</x:v>
      </x:c>
      <x:c r="E73" s="14" t="str">
        <x:f>INDEX(Roster!$B$6:$B$108,MATCH(D73,Roster!$A$6:$A$108,0))</x:f>
      </x:c>
      <x:c r="F73" s="14" t="str">
        <x:f>INDEX(Roster!$F$6:$F$108,MATCH(D73,Roster!$A$6:$A$108,0))</x:f>
        <x:v>No</x:v>
      </x:c>
      <x:c r="G73" s="14" t="n">
        <x:f>INDEX(Inputs!$B$7:$D$7,1,MATCH(A73,Inputs!$B$6:$D$6,0))</x:f>
        <x:v>13</x:v>
      </x:c>
      <x:c r="H73" s="14" t="n">
        <x:f>MIN(=INDEX(Inputs!$B$7:$D$7,1,MATCH(A73,Inputs!$B$6:$D$6,0)),MAX(0,INDEX(Inputs!$B$14:$D$14,1,MATCH(A73,Inputs!$B$6:$D$6,0))-(C73-1)*=INDEX(Inputs!$B$7:$D$7,1,MATCH(A73,Inputs!$B$6:$D$6,0))))</x:f>
        <x:v>0</x:v>
      </x:c>
      <x:c r="I73" s="20" t="n">
        <x:f>INDEX(Inputs!$B$8:$D$8,1,MATCH(A73,Inputs!$B$6:$D$6,0))</x:f>
        <x:v>2395</x:v>
      </x:c>
      <x:c r="J73" s="20" t="n">
        <x:f>INDEX(Roster!$C$6:$C$108,MATCH(D73,Roster!$A$6:$A$108,0))*(1+INDEX(Inputs!$B$9:$D$9,1,MATCH(A73,Inputs!$B$6:$D$6,0)))</x:f>
        <x:v>20</x:v>
      </x:c>
      <x:c r="K73" s="20" t="n">
        <x:f>IF(=INDEX(Roster!$F$6:$F$108,MATCH(D73,Roster!$A$6:$A$108,0))="Yes",0,=INDEX(Inputs!$B$8:$D$8,1,MATCH(A73,Inputs!$B$6:$D$6,0))*IF(=INDEX(Roster!$B$6:$B$108,MATCH(D73,Roster!$A$6:$A$108,0))="Principal",INDEX(Inputs!$B$10:$D$10,1,MATCH(A73,Inputs!$B$6:$D$6,0)),IF(=INDEX(Roster!$B$6:$B$108,MATCH(D73,Roster!$A$6:$A$108,0))="Associate Principal",INDEX(Inputs!$B$11:$D$11,1,MATCH(A73,Inputs!$B$6:$D$6,0)),IF(=INDEX(Roster!$B$6:$B$108,MATCH(D73,Roster!$A$6:$A$108,0))="Assistant Principal",INDEX(Inputs!$B$12:$D$12,1,MATCH(A73,Inputs!$B$6:$D$6,0)),0))))</x:f>
        <x:v>0</x:v>
      </x:c>
      <x:c r="L73" s="20" t="n">
        <x:f>IF(INDEX(Roster!$D$6:$D$108,MATCH(D73,Roster!$A$6:$A$108,0))&gt;=25,INDEX(Inputs!$B$19:$D$19,1,MATCH(A73,Inputs!$B$6:$D$6,0)),IF(INDEX(Roster!$D$6:$D$108,MATCH(D73,Roster!$A$6:$A$108,0))&gt;=20,INDEX(Inputs!$B$18:$D$18,1,MATCH(A73,Inputs!$B$6:$D$6,0)),IF(INDEX(Roster!$D$6:$D$108,MATCH(D73,Roster!$A$6:$A$108,0))&gt;=15,INDEX(Inputs!$B$17:$D$17,1,MATCH(A73,Inputs!$B$6:$D$6,0)),IF(INDEX(Roster!$D$6:$D$108,MATCH(D73,Roster!$A$6:$A$108,0))&gt;=10,INDEX(Inputs!$B$16:$D$16,1,MATCH(A73,Inputs!$B$6:$D$6,0)),IF(INDEX(Roster!$D$6:$D$108,MATCH(D73,Roster!$A$6:$A$108,0))&gt;=5,INDEX(Inputs!$B$15:$D$15,1,MATCH(A73,Inputs!$B$6:$D$6,0)),0)))))</x:f>
        <x:v>60</x:v>
      </x:c>
      <x:c r="M73" s="20" t="n">
        <x:f>G73*I73</x:f>
        <x:v>31135</x:v>
      </x:c>
      <x:c r="N73" s="20" t="n">
        <x:f>G73*J73</x:f>
        <x:v>260</x:v>
      </x:c>
      <x:c r="O73" s="20" t="n">
        <x:f>G73*K73</x:f>
        <x:v>0</x:v>
      </x:c>
      <x:c r="P73" s="20" t="n">
        <x:f>G73*L73</x:f>
        <x:v>780</x:v>
      </x:c>
      <x:c r="Q73" s="20" t="n">
        <x:f>H73*INDEX(Inputs!$B$13:$D$13,1,MATCH(A73,Inputs!$B$6:$D$6,0))</x:f>
        <x:v>0</x:v>
      </x:c>
      <x:c r="R73" s="20" t="n">
        <x:f>SUM(M73:Q73)</x:f>
        <x:v>32175</x:v>
      </x:c>
      <x:c r="S73" s="20" t="n">
        <x:f>IF(AND(A72=A73,D72=D73),S72+R73,R73)</x:f>
        <x:v>129870</x:v>
      </x:c>
      <x:c r="T73" s="20" t="n">
        <x:f>MIN(S73,INDEX(Inputs!$B$20:$D$20,1,MATCH(A73,Inputs!$B$6:$D$6,0)))*INDEX(Inputs!$B$22:$D$22,1,MATCH(A73,Inputs!$B$6:$D$6,0))+MAX(MIN(S73,INDEX(Inputs!$B$21:$D$21,1,MATCH(A73,Inputs!$B$6:$D$6,0)))-INDEX(Inputs!$B$20:$D$20,1,MATCH(A73,Inputs!$B$6:$D$6,0)),0)*INDEX(Inputs!$B$23:$D$23,1,MATCH(A73,Inputs!$B$6:$D$6,0))+MAX(S73-INDEX(Inputs!$B$21:$D$21,1,MATCH(A73,Inputs!$B$6:$D$6,0)),0)*INDEX(Inputs!$B$24:$D$24,1,MATCH(A73,Inputs!$B$6:$D$6,0))</x:f>
        <x:v>9797.057</x:v>
      </x:c>
      <x:c r="U73" s="20" t="n">
        <x:f>IF(AND(A72=A73,D72=D73),T72,0)</x:f>
        <x:v>7963.6675</x:v>
      </x:c>
      <x:c r="V73" s="20" t="n">
        <x:f>T73-U73</x:f>
        <x:v>1833.3895000000011</x:v>
      </x:c>
      <x:c r="W73" s="20" t="n">
        <x:f>R73+V73</x:f>
        <x:v>34008.389500000005</x:v>
      </x:c>
      <x:c r="X73" s="14" t="str">
        <x:f>IF(ABS(W73-SUM(M73:Q73)-V73)&lt;0.01,"OK","Check")</x:f>
        <x:v>OK</x:v>
      </x:c>
    </x:row>
    <x:row r="74">
      <x:c r="A74" s="14" t="n">
        <x:v>2026</x:v>
      </x:c>
      <x:c r="B74" s="14" t="str">
        <x:v>Q1</x:v>
      </x:c>
      <x:c r="C74" s="14" t="n">
        <x:v>1</x:v>
      </x:c>
      <x:c r="D74" s="14" t="n">
        <x:v>18</x:v>
      </x:c>
      <x:c r="E74" s="14" t="str">
        <x:f>INDEX(Roster!$B$6:$B$108,MATCH(D74,Roster!$A$6:$A$108,0))</x:f>
      </x:c>
      <x:c r="F74" s="14" t="str">
        <x:f>INDEX(Roster!$F$6:$F$108,MATCH(D74,Roster!$A$6:$A$108,0))</x:f>
        <x:v>No</x:v>
      </x:c>
      <x:c r="G74" s="14" t="n">
        <x:f>INDEX(Inputs!$B$7:$D$7,1,MATCH(A74,Inputs!$B$6:$D$6,0))</x:f>
        <x:v>13</x:v>
      </x:c>
      <x:c r="H74" s="14" t="n">
        <x:f>MIN(=INDEX(Inputs!$B$7:$D$7,1,MATCH(A74,Inputs!$B$6:$D$6,0)),MAX(0,INDEX(Inputs!$B$14:$D$14,1,MATCH(A74,Inputs!$B$6:$D$6,0))-(C74-1)*=INDEX(Inputs!$B$7:$D$7,1,MATCH(A74,Inputs!$B$6:$D$6,0))))</x:f>
        <x:v>13</x:v>
      </x:c>
      <x:c r="I74" s="20" t="n">
        <x:f>INDEX(Inputs!$B$8:$D$8,1,MATCH(A74,Inputs!$B$6:$D$6,0))</x:f>
        <x:v>2395</x:v>
      </x:c>
      <x:c r="J74" s="20" t="n">
        <x:f>INDEX(Roster!$C$6:$C$108,MATCH(D74,Roster!$A$6:$A$108,0))*(1+INDEX(Inputs!$B$9:$D$9,1,MATCH(A74,Inputs!$B$6:$D$6,0)))</x:f>
        <x:v>0</x:v>
      </x:c>
      <x:c r="K74" s="20" t="n">
        <x:f>IF(=INDEX(Roster!$F$6:$F$108,MATCH(D74,Roster!$A$6:$A$108,0))="Yes",0,=INDEX(Inputs!$B$8:$D$8,1,MATCH(A74,Inputs!$B$6:$D$6,0))*IF(=INDEX(Roster!$B$6:$B$108,MATCH(D74,Roster!$A$6:$A$108,0))="Principal",INDEX(Inputs!$B$10:$D$10,1,MATCH(A74,Inputs!$B$6:$D$6,0)),IF(=INDEX(Roster!$B$6:$B$108,MATCH(D74,Roster!$A$6:$A$108,0))="Associate Principal",INDEX(Inputs!$B$11:$D$11,1,MATCH(A74,Inputs!$B$6:$D$6,0)),IF(=INDEX(Roster!$B$6:$B$108,MATCH(D74,Roster!$A$6:$A$108,0))="Assistant Principal",INDEX(Inputs!$B$12:$D$12,1,MATCH(A74,Inputs!$B$6:$D$6,0)),0))))</x:f>
        <x:v>0</x:v>
      </x:c>
      <x:c r="L74" s="20" t="n">
        <x:f>IF(INDEX(Roster!$D$6:$D$108,MATCH(D74,Roster!$A$6:$A$108,0))&gt;=25,INDEX(Inputs!$B$19:$D$19,1,MATCH(A74,Inputs!$B$6:$D$6,0)),IF(INDEX(Roster!$D$6:$D$108,MATCH(D74,Roster!$A$6:$A$108,0))&gt;=20,INDEX(Inputs!$B$18:$D$18,1,MATCH(A74,Inputs!$B$6:$D$6,0)),IF(INDEX(Roster!$D$6:$D$108,MATCH(D74,Roster!$A$6:$A$108,0))&gt;=15,INDEX(Inputs!$B$17:$D$17,1,MATCH(A74,Inputs!$B$6:$D$6,0)),IF(INDEX(Roster!$D$6:$D$108,MATCH(D74,Roster!$A$6:$A$108,0))&gt;=10,INDEX(Inputs!$B$16:$D$16,1,MATCH(A74,Inputs!$B$6:$D$6,0)),IF(INDEX(Roster!$D$6:$D$108,MATCH(D74,Roster!$A$6:$A$108,0))&gt;=5,INDEX(Inputs!$B$15:$D$15,1,MATCH(A74,Inputs!$B$6:$D$6,0)),0)))))</x:f>
        <x:v>60</x:v>
      </x:c>
      <x:c r="M74" s="20" t="n">
        <x:f>G74*I74</x:f>
        <x:v>31135</x:v>
      </x:c>
      <x:c r="N74" s="20" t="n">
        <x:f>G74*J74</x:f>
        <x:v>0</x:v>
      </x:c>
      <x:c r="O74" s="20" t="n">
        <x:f>G74*K74</x:f>
        <x:v>0</x:v>
      </x:c>
      <x:c r="P74" s="20" t="n">
        <x:f>G74*L74</x:f>
        <x:v>780</x:v>
      </x:c>
      <x:c r="Q74" s="20" t="n">
        <x:f>H74*INDEX(Inputs!$B$13:$D$13,1,MATCH(A74,Inputs!$B$6:$D$6,0))</x:f>
        <x:v>390</x:v>
      </x:c>
      <x:c r="R74" s="20" t="n">
        <x:f>SUM(M74:Q74)</x:f>
        <x:v>32305</x:v>
      </x:c>
      <x:c r="S74" s="20" t="n">
        <x:f>IF(AND(A73=A74,D73=D74),S73+R74,R74)</x:f>
        <x:v>32305</x:v>
      </x:c>
      <x:c r="T74" s="20" t="n">
        <x:f>MIN(S74,INDEX(Inputs!$B$20:$D$20,1,MATCH(A74,Inputs!$B$6:$D$6,0)))*INDEX(Inputs!$B$22:$D$22,1,MATCH(A74,Inputs!$B$6:$D$6,0))+MAX(MIN(S74,INDEX(Inputs!$B$21:$D$21,1,MATCH(A74,Inputs!$B$6:$D$6,0)))-INDEX(Inputs!$B$20:$D$20,1,MATCH(A74,Inputs!$B$6:$D$6,0)),0)*INDEX(Inputs!$B$23:$D$23,1,MATCH(A74,Inputs!$B$6:$D$6,0))+MAX(S74-INDEX(Inputs!$B$21:$D$21,1,MATCH(A74,Inputs!$B$6:$D$6,0)),0)*INDEX(Inputs!$B$24:$D$24,1,MATCH(A74,Inputs!$B$6:$D$6,0))</x:f>
        <x:v>2961.3325</x:v>
      </x:c>
      <x:c r="U74" s="20" t="n">
        <x:f>IF(AND(A73=A74,D73=D74),T73,0)</x:f>
        <x:v>0</x:v>
      </x:c>
      <x:c r="V74" s="20" t="n">
        <x:f>T74-U74</x:f>
        <x:v>2961.3325</x:v>
      </x:c>
      <x:c r="W74" s="20" t="n">
        <x:f>R74+V74</x:f>
        <x:v>35266.3325</x:v>
      </x:c>
      <x:c r="X74" s="14" t="str">
        <x:f>IF(ABS(W74-SUM(M74:Q74)-V74)&lt;0.01,"OK","Check")</x:f>
        <x:v>OK</x:v>
      </x:c>
    </x:row>
    <x:row r="75">
      <x:c r="A75" s="14" t="n">
        <x:v>2026</x:v>
      </x:c>
      <x:c r="B75" s="14" t="str">
        <x:v>Q2</x:v>
      </x:c>
      <x:c r="C75" s="14" t="n">
        <x:v>2</x:v>
      </x:c>
      <x:c r="D75" s="14" t="n">
        <x:v>18</x:v>
      </x:c>
      <x:c r="E75" s="14" t="str">
        <x:f>INDEX(Roster!$B$6:$B$108,MATCH(D75,Roster!$A$6:$A$108,0))</x:f>
      </x:c>
      <x:c r="F75" s="14" t="str">
        <x:f>INDEX(Roster!$F$6:$F$108,MATCH(D75,Roster!$A$6:$A$108,0))</x:f>
        <x:v>No</x:v>
      </x:c>
      <x:c r="G75" s="14" t="n">
        <x:f>INDEX(Inputs!$B$7:$D$7,1,MATCH(A75,Inputs!$B$6:$D$6,0))</x:f>
        <x:v>13</x:v>
      </x:c>
      <x:c r="H75" s="14" t="n">
        <x:f>MIN(=INDEX(Inputs!$B$7:$D$7,1,MATCH(A75,Inputs!$B$6:$D$6,0)),MAX(0,INDEX(Inputs!$B$14:$D$14,1,MATCH(A75,Inputs!$B$6:$D$6,0))-(C75-1)*=INDEX(Inputs!$B$7:$D$7,1,MATCH(A75,Inputs!$B$6:$D$6,0))))</x:f>
        <x:v>13</x:v>
      </x:c>
      <x:c r="I75" s="20" t="n">
        <x:f>INDEX(Inputs!$B$8:$D$8,1,MATCH(A75,Inputs!$B$6:$D$6,0))</x:f>
        <x:v>2395</x:v>
      </x:c>
      <x:c r="J75" s="20" t="n">
        <x:f>INDEX(Roster!$C$6:$C$108,MATCH(D75,Roster!$A$6:$A$108,0))*(1+INDEX(Inputs!$B$9:$D$9,1,MATCH(A75,Inputs!$B$6:$D$6,0)))</x:f>
        <x:v>0</x:v>
      </x:c>
      <x:c r="K75" s="20" t="n">
        <x:f>IF(=INDEX(Roster!$F$6:$F$108,MATCH(D75,Roster!$A$6:$A$108,0))="Yes",0,=INDEX(Inputs!$B$8:$D$8,1,MATCH(A75,Inputs!$B$6:$D$6,0))*IF(=INDEX(Roster!$B$6:$B$108,MATCH(D75,Roster!$A$6:$A$108,0))="Principal",INDEX(Inputs!$B$10:$D$10,1,MATCH(A75,Inputs!$B$6:$D$6,0)),IF(=INDEX(Roster!$B$6:$B$108,MATCH(D75,Roster!$A$6:$A$108,0))="Associate Principal",INDEX(Inputs!$B$11:$D$11,1,MATCH(A75,Inputs!$B$6:$D$6,0)),IF(=INDEX(Roster!$B$6:$B$108,MATCH(D75,Roster!$A$6:$A$108,0))="Assistant Principal",INDEX(Inputs!$B$12:$D$12,1,MATCH(A75,Inputs!$B$6:$D$6,0)),0))))</x:f>
        <x:v>0</x:v>
      </x:c>
      <x:c r="L75" s="20" t="n">
        <x:f>IF(INDEX(Roster!$D$6:$D$108,MATCH(D75,Roster!$A$6:$A$108,0))&gt;=25,INDEX(Inputs!$B$19:$D$19,1,MATCH(A75,Inputs!$B$6:$D$6,0)),IF(INDEX(Roster!$D$6:$D$108,MATCH(D75,Roster!$A$6:$A$108,0))&gt;=20,INDEX(Inputs!$B$18:$D$18,1,MATCH(A75,Inputs!$B$6:$D$6,0)),IF(INDEX(Roster!$D$6:$D$108,MATCH(D75,Roster!$A$6:$A$108,0))&gt;=15,INDEX(Inputs!$B$17:$D$17,1,MATCH(A75,Inputs!$B$6:$D$6,0)),IF(INDEX(Roster!$D$6:$D$108,MATCH(D75,Roster!$A$6:$A$108,0))&gt;=10,INDEX(Inputs!$B$16:$D$16,1,MATCH(A75,Inputs!$B$6:$D$6,0)),IF(INDEX(Roster!$D$6:$D$108,MATCH(D75,Roster!$A$6:$A$108,0))&gt;=5,INDEX(Inputs!$B$15:$D$15,1,MATCH(A75,Inputs!$B$6:$D$6,0)),0)))))</x:f>
        <x:v>60</x:v>
      </x:c>
      <x:c r="M75" s="20" t="n">
        <x:f>G75*I75</x:f>
        <x:v>31135</x:v>
      </x:c>
      <x:c r="N75" s="20" t="n">
        <x:f>G75*J75</x:f>
        <x:v>0</x:v>
      </x:c>
      <x:c r="O75" s="20" t="n">
        <x:f>G75*K75</x:f>
        <x:v>0</x:v>
      </x:c>
      <x:c r="P75" s="20" t="n">
        <x:f>G75*L75</x:f>
        <x:v>780</x:v>
      </x:c>
      <x:c r="Q75" s="20" t="n">
        <x:f>H75*INDEX(Inputs!$B$13:$D$13,1,MATCH(A75,Inputs!$B$6:$D$6,0))</x:f>
        <x:v>390</x:v>
      </x:c>
      <x:c r="R75" s="20" t="n">
        <x:f>SUM(M75:Q75)</x:f>
        <x:v>32305</x:v>
      </x:c>
      <x:c r="S75" s="20" t="n">
        <x:f>IF(AND(A74=A75,D74=D75),S74+R75,R75)</x:f>
        <x:v>64610</x:v>
      </x:c>
      <x:c r="T75" s="20" t="n">
        <x:f>MIN(S75,INDEX(Inputs!$B$20:$D$20,1,MATCH(A75,Inputs!$B$6:$D$6,0)))*INDEX(Inputs!$B$22:$D$22,1,MATCH(A75,Inputs!$B$6:$D$6,0))+MAX(MIN(S75,INDEX(Inputs!$B$21:$D$21,1,MATCH(A75,Inputs!$B$6:$D$6,0)))-INDEX(Inputs!$B$20:$D$20,1,MATCH(A75,Inputs!$B$6:$D$6,0)),0)*INDEX(Inputs!$B$23:$D$23,1,MATCH(A75,Inputs!$B$6:$D$6,0))+MAX(S75-INDEX(Inputs!$B$21:$D$21,1,MATCH(A75,Inputs!$B$6:$D$6,0)),0)*INDEX(Inputs!$B$24:$D$24,1,MATCH(A75,Inputs!$B$6:$D$6,0))</x:f>
        <x:v>5432.665</x:v>
      </x:c>
      <x:c r="U75" s="20" t="n">
        <x:f>IF(AND(A74=A75,D74=D75),T74,0)</x:f>
        <x:v>2961.3325</x:v>
      </x:c>
      <x:c r="V75" s="20" t="n">
        <x:f>T75-U75</x:f>
        <x:v>2471.3325</x:v>
      </x:c>
      <x:c r="W75" s="20" t="n">
        <x:f>R75+V75</x:f>
        <x:v>34776.3325</x:v>
      </x:c>
      <x:c r="X75" s="14" t="str">
        <x:f>IF(ABS(W75-SUM(M75:Q75)-V75)&lt;0.01,"OK","Check")</x:f>
        <x:v>OK</x:v>
      </x:c>
    </x:row>
    <x:row r="76">
      <x:c r="A76" s="14" t="n">
        <x:v>2026</x:v>
      </x:c>
      <x:c r="B76" s="14" t="str">
        <x:v>Q3</x:v>
      </x:c>
      <x:c r="C76" s="14" t="n">
        <x:v>3</x:v>
      </x:c>
      <x:c r="D76" s="14" t="n">
        <x:v>18</x:v>
      </x:c>
      <x:c r="E76" s="14" t="str">
        <x:f>INDEX(Roster!$B$6:$B$108,MATCH(D76,Roster!$A$6:$A$108,0))</x:f>
      </x:c>
      <x:c r="F76" s="14" t="str">
        <x:f>INDEX(Roster!$F$6:$F$108,MATCH(D76,Roster!$A$6:$A$108,0))</x:f>
        <x:v>No</x:v>
      </x:c>
      <x:c r="G76" s="14" t="n">
        <x:f>INDEX(Inputs!$B$7:$D$7,1,MATCH(A76,Inputs!$B$6:$D$6,0))</x:f>
        <x:v>13</x:v>
      </x:c>
      <x:c r="H76" s="14" t="n">
        <x:f>MIN(=INDEX(Inputs!$B$7:$D$7,1,MATCH(A76,Inputs!$B$6:$D$6,0)),MAX(0,INDEX(Inputs!$B$14:$D$14,1,MATCH(A76,Inputs!$B$6:$D$6,0))-(C76-1)*=INDEX(Inputs!$B$7:$D$7,1,MATCH(A76,Inputs!$B$6:$D$6,0))))</x:f>
        <x:v>13</x:v>
      </x:c>
      <x:c r="I76" s="20" t="n">
        <x:f>INDEX(Inputs!$B$8:$D$8,1,MATCH(A76,Inputs!$B$6:$D$6,0))</x:f>
        <x:v>2395</x:v>
      </x:c>
      <x:c r="J76" s="20" t="n">
        <x:f>INDEX(Roster!$C$6:$C$108,MATCH(D76,Roster!$A$6:$A$108,0))*(1+INDEX(Inputs!$B$9:$D$9,1,MATCH(A76,Inputs!$B$6:$D$6,0)))</x:f>
        <x:v>0</x:v>
      </x:c>
      <x:c r="K76" s="20" t="n">
        <x:f>IF(=INDEX(Roster!$F$6:$F$108,MATCH(D76,Roster!$A$6:$A$108,0))="Yes",0,=INDEX(Inputs!$B$8:$D$8,1,MATCH(A76,Inputs!$B$6:$D$6,0))*IF(=INDEX(Roster!$B$6:$B$108,MATCH(D76,Roster!$A$6:$A$108,0))="Principal",INDEX(Inputs!$B$10:$D$10,1,MATCH(A76,Inputs!$B$6:$D$6,0)),IF(=INDEX(Roster!$B$6:$B$108,MATCH(D76,Roster!$A$6:$A$108,0))="Associate Principal",INDEX(Inputs!$B$11:$D$11,1,MATCH(A76,Inputs!$B$6:$D$6,0)),IF(=INDEX(Roster!$B$6:$B$108,MATCH(D76,Roster!$A$6:$A$108,0))="Assistant Principal",INDEX(Inputs!$B$12:$D$12,1,MATCH(A76,Inputs!$B$6:$D$6,0)),0))))</x:f>
        <x:v>0</x:v>
      </x:c>
      <x:c r="L76" s="20" t="n">
        <x:f>IF(INDEX(Roster!$D$6:$D$108,MATCH(D76,Roster!$A$6:$A$108,0))&gt;=25,INDEX(Inputs!$B$19:$D$19,1,MATCH(A76,Inputs!$B$6:$D$6,0)),IF(INDEX(Roster!$D$6:$D$108,MATCH(D76,Roster!$A$6:$A$108,0))&gt;=20,INDEX(Inputs!$B$18:$D$18,1,MATCH(A76,Inputs!$B$6:$D$6,0)),IF(INDEX(Roster!$D$6:$D$108,MATCH(D76,Roster!$A$6:$A$108,0))&gt;=15,INDEX(Inputs!$B$17:$D$17,1,MATCH(A76,Inputs!$B$6:$D$6,0)),IF(INDEX(Roster!$D$6:$D$108,MATCH(D76,Roster!$A$6:$A$108,0))&gt;=10,INDEX(Inputs!$B$16:$D$16,1,MATCH(A76,Inputs!$B$6:$D$6,0)),IF(INDEX(Roster!$D$6:$D$108,MATCH(D76,Roster!$A$6:$A$108,0))&gt;=5,INDEX(Inputs!$B$15:$D$15,1,MATCH(A76,Inputs!$B$6:$D$6,0)),0)))))</x:f>
        <x:v>60</x:v>
      </x:c>
      <x:c r="M76" s="20" t="n">
        <x:f>G76*I76</x:f>
        <x:v>31135</x:v>
      </x:c>
      <x:c r="N76" s="20" t="n">
        <x:f>G76*J76</x:f>
        <x:v>0</x:v>
      </x:c>
      <x:c r="O76" s="20" t="n">
        <x:f>G76*K76</x:f>
        <x:v>0</x:v>
      </x:c>
      <x:c r="P76" s="20" t="n">
        <x:f>G76*L76</x:f>
        <x:v>780</x:v>
      </x:c>
      <x:c r="Q76" s="20" t="n">
        <x:f>H76*INDEX(Inputs!$B$13:$D$13,1,MATCH(A76,Inputs!$B$6:$D$6,0))</x:f>
        <x:v>390</x:v>
      </x:c>
      <x:c r="R76" s="20" t="n">
        <x:f>SUM(M76:Q76)</x:f>
        <x:v>32305</x:v>
      </x:c>
      <x:c r="S76" s="20" t="n">
        <x:f>IF(AND(A75=A76,D75=D76),S75+R76,R76)</x:f>
        <x:v>96915</x:v>
      </x:c>
      <x:c r="T76" s="20" t="n">
        <x:f>MIN(S76,INDEX(Inputs!$B$20:$D$20,1,MATCH(A76,Inputs!$B$6:$D$6,0)))*INDEX(Inputs!$B$22:$D$22,1,MATCH(A76,Inputs!$B$6:$D$6,0))+MAX(MIN(S76,INDEX(Inputs!$B$21:$D$21,1,MATCH(A76,Inputs!$B$6:$D$6,0)))-INDEX(Inputs!$B$20:$D$20,1,MATCH(A76,Inputs!$B$6:$D$6,0)),0)*INDEX(Inputs!$B$23:$D$23,1,MATCH(A76,Inputs!$B$6:$D$6,0))+MAX(S76-INDEX(Inputs!$B$21:$D$21,1,MATCH(A76,Inputs!$B$6:$D$6,0)),0)*INDEX(Inputs!$B$24:$D$24,1,MATCH(A76,Inputs!$B$6:$D$6,0))</x:f>
        <x:v>7903.9974999999995</x:v>
      </x:c>
      <x:c r="U76" s="20" t="n">
        <x:f>IF(AND(A75=A76,D75=D76),T75,0)</x:f>
        <x:v>5432.665</x:v>
      </x:c>
      <x:c r="V76" s="20" t="n">
        <x:f>T76-U76</x:f>
        <x:v>2471.3324999999995</x:v>
      </x:c>
      <x:c r="W76" s="20" t="n">
        <x:f>R76+V76</x:f>
        <x:v>34776.3325</x:v>
      </x:c>
      <x:c r="X76" s="14" t="str">
        <x:f>IF(ABS(W76-SUM(M76:Q76)-V76)&lt;0.01,"OK","Check")</x:f>
        <x:v>OK</x:v>
      </x:c>
    </x:row>
    <x:row r="77">
      <x:c r="A77" s="14" t="n">
        <x:v>2026</x:v>
      </x:c>
      <x:c r="B77" s="14" t="str">
        <x:v>Q4</x:v>
      </x:c>
      <x:c r="C77" s="14" t="n">
        <x:v>4</x:v>
      </x:c>
      <x:c r="D77" s="14" t="n">
        <x:v>18</x:v>
      </x:c>
      <x:c r="E77" s="14" t="str">
        <x:f>INDEX(Roster!$B$6:$B$108,MATCH(D77,Roster!$A$6:$A$108,0))</x:f>
      </x:c>
      <x:c r="F77" s="14" t="str">
        <x:f>INDEX(Roster!$F$6:$F$108,MATCH(D77,Roster!$A$6:$A$108,0))</x:f>
        <x:v>No</x:v>
      </x:c>
      <x:c r="G77" s="14" t="n">
        <x:f>INDEX(Inputs!$B$7:$D$7,1,MATCH(A77,Inputs!$B$6:$D$6,0))</x:f>
        <x:v>13</x:v>
      </x:c>
      <x:c r="H77" s="14" t="n">
        <x:f>MIN(=INDEX(Inputs!$B$7:$D$7,1,MATCH(A77,Inputs!$B$6:$D$6,0)),MAX(0,INDEX(Inputs!$B$14:$D$14,1,MATCH(A77,Inputs!$B$6:$D$6,0))-(C77-1)*=INDEX(Inputs!$B$7:$D$7,1,MATCH(A77,Inputs!$B$6:$D$6,0))))</x:f>
        <x:v>0</x:v>
      </x:c>
      <x:c r="I77" s="20" t="n">
        <x:f>INDEX(Inputs!$B$8:$D$8,1,MATCH(A77,Inputs!$B$6:$D$6,0))</x:f>
        <x:v>2395</x:v>
      </x:c>
      <x:c r="J77" s="20" t="n">
        <x:f>INDEX(Roster!$C$6:$C$108,MATCH(D77,Roster!$A$6:$A$108,0))*(1+INDEX(Inputs!$B$9:$D$9,1,MATCH(A77,Inputs!$B$6:$D$6,0)))</x:f>
        <x:v>0</x:v>
      </x:c>
      <x:c r="K77" s="20" t="n">
        <x:f>IF(=INDEX(Roster!$F$6:$F$108,MATCH(D77,Roster!$A$6:$A$108,0))="Yes",0,=INDEX(Inputs!$B$8:$D$8,1,MATCH(A77,Inputs!$B$6:$D$6,0))*IF(=INDEX(Roster!$B$6:$B$108,MATCH(D77,Roster!$A$6:$A$108,0))="Principal",INDEX(Inputs!$B$10:$D$10,1,MATCH(A77,Inputs!$B$6:$D$6,0)),IF(=INDEX(Roster!$B$6:$B$108,MATCH(D77,Roster!$A$6:$A$108,0))="Associate Principal",INDEX(Inputs!$B$11:$D$11,1,MATCH(A77,Inputs!$B$6:$D$6,0)),IF(=INDEX(Roster!$B$6:$B$108,MATCH(D77,Roster!$A$6:$A$108,0))="Assistant Principal",INDEX(Inputs!$B$12:$D$12,1,MATCH(A77,Inputs!$B$6:$D$6,0)),0))))</x:f>
        <x:v>0</x:v>
      </x:c>
      <x:c r="L77" s="20" t="n">
        <x:f>IF(INDEX(Roster!$D$6:$D$108,MATCH(D77,Roster!$A$6:$A$108,0))&gt;=25,INDEX(Inputs!$B$19:$D$19,1,MATCH(A77,Inputs!$B$6:$D$6,0)),IF(INDEX(Roster!$D$6:$D$108,MATCH(D77,Roster!$A$6:$A$108,0))&gt;=20,INDEX(Inputs!$B$18:$D$18,1,MATCH(A77,Inputs!$B$6:$D$6,0)),IF(INDEX(Roster!$D$6:$D$108,MATCH(D77,Roster!$A$6:$A$108,0))&gt;=15,INDEX(Inputs!$B$17:$D$17,1,MATCH(A77,Inputs!$B$6:$D$6,0)),IF(INDEX(Roster!$D$6:$D$108,MATCH(D77,Roster!$A$6:$A$108,0))&gt;=10,INDEX(Inputs!$B$16:$D$16,1,MATCH(A77,Inputs!$B$6:$D$6,0)),IF(INDEX(Roster!$D$6:$D$108,MATCH(D77,Roster!$A$6:$A$108,0))&gt;=5,INDEX(Inputs!$B$15:$D$15,1,MATCH(A77,Inputs!$B$6:$D$6,0)),0)))))</x:f>
        <x:v>60</x:v>
      </x:c>
      <x:c r="M77" s="20" t="n">
        <x:f>G77*I77</x:f>
        <x:v>31135</x:v>
      </x:c>
      <x:c r="N77" s="20" t="n">
        <x:f>G77*J77</x:f>
        <x:v>0</x:v>
      </x:c>
      <x:c r="O77" s="20" t="n">
        <x:f>G77*K77</x:f>
        <x:v>0</x:v>
      </x:c>
      <x:c r="P77" s="20" t="n">
        <x:f>G77*L77</x:f>
        <x:v>780</x:v>
      </x:c>
      <x:c r="Q77" s="20" t="n">
        <x:f>H77*INDEX(Inputs!$B$13:$D$13,1,MATCH(A77,Inputs!$B$6:$D$6,0))</x:f>
        <x:v>0</x:v>
      </x:c>
      <x:c r="R77" s="20" t="n">
        <x:f>SUM(M77:Q77)</x:f>
        <x:v>31915</x:v>
      </x:c>
      <x:c r="S77" s="20" t="n">
        <x:f>IF(AND(A76=A77,D76=D77),S76+R77,R77)</x:f>
        <x:v>128830</x:v>
      </x:c>
      <x:c r="T77" s="20" t="n">
        <x:f>MIN(S77,INDEX(Inputs!$B$20:$D$20,1,MATCH(A77,Inputs!$B$6:$D$6,0)))*INDEX(Inputs!$B$22:$D$22,1,MATCH(A77,Inputs!$B$6:$D$6,0))+MAX(MIN(S77,INDEX(Inputs!$B$21:$D$21,1,MATCH(A77,Inputs!$B$6:$D$6,0)))-INDEX(Inputs!$B$20:$D$20,1,MATCH(A77,Inputs!$B$6:$D$6,0)),0)*INDEX(Inputs!$B$23:$D$23,1,MATCH(A77,Inputs!$B$6:$D$6,0))+MAX(S77-INDEX(Inputs!$B$21:$D$21,1,MATCH(A77,Inputs!$B$6:$D$6,0)),0)*INDEX(Inputs!$B$24:$D$24,1,MATCH(A77,Inputs!$B$6:$D$6,0))</x:f>
        <x:v>9781.976999999999</x:v>
      </x:c>
      <x:c r="U77" s="20" t="n">
        <x:f>IF(AND(A76=A77,D76=D77),T76,0)</x:f>
        <x:v>7903.9974999999995</x:v>
      </x:c>
      <x:c r="V77" s="20" t="n">
        <x:f>T77-U77</x:f>
        <x:v>1877.9794999999995</x:v>
      </x:c>
      <x:c r="W77" s="20" t="n">
        <x:f>R77+V77</x:f>
        <x:v>33792.9795</x:v>
      </x:c>
      <x:c r="X77" s="14" t="str">
        <x:f>IF(ABS(W77-SUM(M77:Q77)-V77)&lt;0.01,"OK","Check")</x:f>
        <x:v>OK</x:v>
      </x:c>
    </x:row>
    <x:row r="78">
      <x:c r="A78" s="14" t="n">
        <x:v>2026</x:v>
      </x:c>
      <x:c r="B78" s="14" t="str">
        <x:v>Q1</x:v>
      </x:c>
      <x:c r="C78" s="14" t="n">
        <x:v>1</x:v>
      </x:c>
      <x:c r="D78" s="14" t="n">
        <x:v>19</x:v>
      </x:c>
      <x:c r="E78" s="14" t="str">
        <x:f>INDEX(Roster!$B$6:$B$108,MATCH(D78,Roster!$A$6:$A$108,0))</x:f>
      </x:c>
      <x:c r="F78" s="14" t="str">
        <x:f>INDEX(Roster!$F$6:$F$108,MATCH(D78,Roster!$A$6:$A$108,0))</x:f>
        <x:v>No</x:v>
      </x:c>
      <x:c r="G78" s="14" t="n">
        <x:f>INDEX(Inputs!$B$7:$D$7,1,MATCH(A78,Inputs!$B$6:$D$6,0))</x:f>
        <x:v>13</x:v>
      </x:c>
      <x:c r="H78" s="14" t="n">
        <x:f>MIN(=INDEX(Inputs!$B$7:$D$7,1,MATCH(A78,Inputs!$B$6:$D$6,0)),MAX(0,INDEX(Inputs!$B$14:$D$14,1,MATCH(A78,Inputs!$B$6:$D$6,0))-(C78-1)*=INDEX(Inputs!$B$7:$D$7,1,MATCH(A78,Inputs!$B$6:$D$6,0))))</x:f>
        <x:v>13</x:v>
      </x:c>
      <x:c r="I78" s="20" t="n">
        <x:f>INDEX(Inputs!$B$8:$D$8,1,MATCH(A78,Inputs!$B$6:$D$6,0))</x:f>
        <x:v>2395</x:v>
      </x:c>
      <x:c r="J78" s="20" t="n">
        <x:f>INDEX(Roster!$C$6:$C$108,MATCH(D78,Roster!$A$6:$A$108,0))*(1+INDEX(Inputs!$B$9:$D$9,1,MATCH(A78,Inputs!$B$6:$D$6,0)))</x:f>
        <x:v>60</x:v>
      </x:c>
      <x:c r="K78" s="20" t="n">
        <x:f>IF(=INDEX(Roster!$F$6:$F$108,MATCH(D78,Roster!$A$6:$A$108,0))="Yes",0,=INDEX(Inputs!$B$8:$D$8,1,MATCH(A78,Inputs!$B$6:$D$6,0))*IF(=INDEX(Roster!$B$6:$B$108,MATCH(D78,Roster!$A$6:$A$108,0))="Principal",INDEX(Inputs!$B$10:$D$10,1,MATCH(A78,Inputs!$B$6:$D$6,0)),IF(=INDEX(Roster!$B$6:$B$108,MATCH(D78,Roster!$A$6:$A$108,0))="Associate Principal",INDEX(Inputs!$B$11:$D$11,1,MATCH(A78,Inputs!$B$6:$D$6,0)),IF(=INDEX(Roster!$B$6:$B$108,MATCH(D78,Roster!$A$6:$A$108,0))="Assistant Principal",INDEX(Inputs!$B$12:$D$12,1,MATCH(A78,Inputs!$B$6:$D$6,0)),0))))</x:f>
        <x:v>0</x:v>
      </x:c>
      <x:c r="L78" s="20" t="n">
        <x:f>IF(INDEX(Roster!$D$6:$D$108,MATCH(D78,Roster!$A$6:$A$108,0))&gt;=25,INDEX(Inputs!$B$19:$D$19,1,MATCH(A78,Inputs!$B$6:$D$6,0)),IF(INDEX(Roster!$D$6:$D$108,MATCH(D78,Roster!$A$6:$A$108,0))&gt;=20,INDEX(Inputs!$B$18:$D$18,1,MATCH(A78,Inputs!$B$6:$D$6,0)),IF(INDEX(Roster!$D$6:$D$108,MATCH(D78,Roster!$A$6:$A$108,0))&gt;=15,INDEX(Inputs!$B$17:$D$17,1,MATCH(A78,Inputs!$B$6:$D$6,0)),IF(INDEX(Roster!$D$6:$D$108,MATCH(D78,Roster!$A$6:$A$108,0))&gt;=10,INDEX(Inputs!$B$16:$D$16,1,MATCH(A78,Inputs!$B$6:$D$6,0)),IF(INDEX(Roster!$D$6:$D$108,MATCH(D78,Roster!$A$6:$A$108,0))&gt;=5,INDEX(Inputs!$B$15:$D$15,1,MATCH(A78,Inputs!$B$6:$D$6,0)),0)))))</x:f>
        <x:v>0</x:v>
      </x:c>
      <x:c r="M78" s="20" t="n">
        <x:f>G78*I78</x:f>
        <x:v>31135</x:v>
      </x:c>
      <x:c r="N78" s="20" t="n">
        <x:f>G78*J78</x:f>
        <x:v>780</x:v>
      </x:c>
      <x:c r="O78" s="20" t="n">
        <x:f>G78*K78</x:f>
        <x:v>0</x:v>
      </x:c>
      <x:c r="P78" s="20" t="n">
        <x:f>G78*L78</x:f>
        <x:v>0</x:v>
      </x:c>
      <x:c r="Q78" s="20" t="n">
        <x:f>H78*INDEX(Inputs!$B$13:$D$13,1,MATCH(A78,Inputs!$B$6:$D$6,0))</x:f>
        <x:v>390</x:v>
      </x:c>
      <x:c r="R78" s="20" t="n">
        <x:f>SUM(M78:Q78)</x:f>
        <x:v>32305</x:v>
      </x:c>
      <x:c r="S78" s="20" t="n">
        <x:f>IF(AND(A77=A78,D77=D78),S77+R78,R78)</x:f>
        <x:v>32305</x:v>
      </x:c>
      <x:c r="T78" s="20" t="n">
        <x:f>MIN(S78,INDEX(Inputs!$B$20:$D$20,1,MATCH(A78,Inputs!$B$6:$D$6,0)))*INDEX(Inputs!$B$22:$D$22,1,MATCH(A78,Inputs!$B$6:$D$6,0))+MAX(MIN(S78,INDEX(Inputs!$B$21:$D$21,1,MATCH(A78,Inputs!$B$6:$D$6,0)))-INDEX(Inputs!$B$20:$D$20,1,MATCH(A78,Inputs!$B$6:$D$6,0)),0)*INDEX(Inputs!$B$23:$D$23,1,MATCH(A78,Inputs!$B$6:$D$6,0))+MAX(S78-INDEX(Inputs!$B$21:$D$21,1,MATCH(A78,Inputs!$B$6:$D$6,0)),0)*INDEX(Inputs!$B$24:$D$24,1,MATCH(A78,Inputs!$B$6:$D$6,0))</x:f>
        <x:v>2961.3325</x:v>
      </x:c>
      <x:c r="U78" s="20" t="n">
        <x:f>IF(AND(A77=A78,D77=D78),T77,0)</x:f>
        <x:v>0</x:v>
      </x:c>
      <x:c r="V78" s="20" t="n">
        <x:f>T78-U78</x:f>
        <x:v>2961.3325</x:v>
      </x:c>
      <x:c r="W78" s="20" t="n">
        <x:f>R78+V78</x:f>
        <x:v>35266.3325</x:v>
      </x:c>
      <x:c r="X78" s="14" t="str">
        <x:f>IF(ABS(W78-SUM(M78:Q78)-V78)&lt;0.01,"OK","Check")</x:f>
        <x:v>OK</x:v>
      </x:c>
    </x:row>
    <x:row r="79">
      <x:c r="A79" s="14" t="n">
        <x:v>2026</x:v>
      </x:c>
      <x:c r="B79" s="14" t="str">
        <x:v>Q2</x:v>
      </x:c>
      <x:c r="C79" s="14" t="n">
        <x:v>2</x:v>
      </x:c>
      <x:c r="D79" s="14" t="n">
        <x:v>19</x:v>
      </x:c>
      <x:c r="E79" s="14" t="str">
        <x:f>INDEX(Roster!$B$6:$B$108,MATCH(D79,Roster!$A$6:$A$108,0))</x:f>
      </x:c>
      <x:c r="F79" s="14" t="str">
        <x:f>INDEX(Roster!$F$6:$F$108,MATCH(D79,Roster!$A$6:$A$108,0))</x:f>
        <x:v>No</x:v>
      </x:c>
      <x:c r="G79" s="14" t="n">
        <x:f>INDEX(Inputs!$B$7:$D$7,1,MATCH(A79,Inputs!$B$6:$D$6,0))</x:f>
        <x:v>13</x:v>
      </x:c>
      <x:c r="H79" s="14" t="n">
        <x:f>MIN(=INDEX(Inputs!$B$7:$D$7,1,MATCH(A79,Inputs!$B$6:$D$6,0)),MAX(0,INDEX(Inputs!$B$14:$D$14,1,MATCH(A79,Inputs!$B$6:$D$6,0))-(C79-1)*=INDEX(Inputs!$B$7:$D$7,1,MATCH(A79,Inputs!$B$6:$D$6,0))))</x:f>
        <x:v>13</x:v>
      </x:c>
      <x:c r="I79" s="20" t="n">
        <x:f>INDEX(Inputs!$B$8:$D$8,1,MATCH(A79,Inputs!$B$6:$D$6,0))</x:f>
        <x:v>2395</x:v>
      </x:c>
      <x:c r="J79" s="20" t="n">
        <x:f>INDEX(Roster!$C$6:$C$108,MATCH(D79,Roster!$A$6:$A$108,0))*(1+INDEX(Inputs!$B$9:$D$9,1,MATCH(A79,Inputs!$B$6:$D$6,0)))</x:f>
        <x:v>60</x:v>
      </x:c>
      <x:c r="K79" s="20" t="n">
        <x:f>IF(=INDEX(Roster!$F$6:$F$108,MATCH(D79,Roster!$A$6:$A$108,0))="Yes",0,=INDEX(Inputs!$B$8:$D$8,1,MATCH(A79,Inputs!$B$6:$D$6,0))*IF(=INDEX(Roster!$B$6:$B$108,MATCH(D79,Roster!$A$6:$A$108,0))="Principal",INDEX(Inputs!$B$10:$D$10,1,MATCH(A79,Inputs!$B$6:$D$6,0)),IF(=INDEX(Roster!$B$6:$B$108,MATCH(D79,Roster!$A$6:$A$108,0))="Associate Principal",INDEX(Inputs!$B$11:$D$11,1,MATCH(A79,Inputs!$B$6:$D$6,0)),IF(=INDEX(Roster!$B$6:$B$108,MATCH(D79,Roster!$A$6:$A$108,0))="Assistant Principal",INDEX(Inputs!$B$12:$D$12,1,MATCH(A79,Inputs!$B$6:$D$6,0)),0))))</x:f>
        <x:v>0</x:v>
      </x:c>
      <x:c r="L79" s="20" t="n">
        <x:f>IF(INDEX(Roster!$D$6:$D$108,MATCH(D79,Roster!$A$6:$A$108,0))&gt;=25,INDEX(Inputs!$B$19:$D$19,1,MATCH(A79,Inputs!$B$6:$D$6,0)),IF(INDEX(Roster!$D$6:$D$108,MATCH(D79,Roster!$A$6:$A$108,0))&gt;=20,INDEX(Inputs!$B$18:$D$18,1,MATCH(A79,Inputs!$B$6:$D$6,0)),IF(INDEX(Roster!$D$6:$D$108,MATCH(D79,Roster!$A$6:$A$108,0))&gt;=15,INDEX(Inputs!$B$17:$D$17,1,MATCH(A79,Inputs!$B$6:$D$6,0)),IF(INDEX(Roster!$D$6:$D$108,MATCH(D79,Roster!$A$6:$A$108,0))&gt;=10,INDEX(Inputs!$B$16:$D$16,1,MATCH(A79,Inputs!$B$6:$D$6,0)),IF(INDEX(Roster!$D$6:$D$108,MATCH(D79,Roster!$A$6:$A$108,0))&gt;=5,INDEX(Inputs!$B$15:$D$15,1,MATCH(A79,Inputs!$B$6:$D$6,0)),0)))))</x:f>
        <x:v>0</x:v>
      </x:c>
      <x:c r="M79" s="20" t="n">
        <x:f>G79*I79</x:f>
        <x:v>31135</x:v>
      </x:c>
      <x:c r="N79" s="20" t="n">
        <x:f>G79*J79</x:f>
        <x:v>780</x:v>
      </x:c>
      <x:c r="O79" s="20" t="n">
        <x:f>G79*K79</x:f>
        <x:v>0</x:v>
      </x:c>
      <x:c r="P79" s="20" t="n">
        <x:f>G79*L79</x:f>
        <x:v>0</x:v>
      </x:c>
      <x:c r="Q79" s="20" t="n">
        <x:f>H79*INDEX(Inputs!$B$13:$D$13,1,MATCH(A79,Inputs!$B$6:$D$6,0))</x:f>
        <x:v>390</x:v>
      </x:c>
      <x:c r="R79" s="20" t="n">
        <x:f>SUM(M79:Q79)</x:f>
        <x:v>32305</x:v>
      </x:c>
      <x:c r="S79" s="20" t="n">
        <x:f>IF(AND(A78=A79,D78=D79),S78+R79,R79)</x:f>
        <x:v>64610</x:v>
      </x:c>
      <x:c r="T79" s="20" t="n">
        <x:f>MIN(S79,INDEX(Inputs!$B$20:$D$20,1,MATCH(A79,Inputs!$B$6:$D$6,0)))*INDEX(Inputs!$B$22:$D$22,1,MATCH(A79,Inputs!$B$6:$D$6,0))+MAX(MIN(S79,INDEX(Inputs!$B$21:$D$21,1,MATCH(A79,Inputs!$B$6:$D$6,0)))-INDEX(Inputs!$B$20:$D$20,1,MATCH(A79,Inputs!$B$6:$D$6,0)),0)*INDEX(Inputs!$B$23:$D$23,1,MATCH(A79,Inputs!$B$6:$D$6,0))+MAX(S79-INDEX(Inputs!$B$21:$D$21,1,MATCH(A79,Inputs!$B$6:$D$6,0)),0)*INDEX(Inputs!$B$24:$D$24,1,MATCH(A79,Inputs!$B$6:$D$6,0))</x:f>
        <x:v>5432.665</x:v>
      </x:c>
      <x:c r="U79" s="20" t="n">
        <x:f>IF(AND(A78=A79,D78=D79),T78,0)</x:f>
        <x:v>2961.3325</x:v>
      </x:c>
      <x:c r="V79" s="20" t="n">
        <x:f>T79-U79</x:f>
        <x:v>2471.3325</x:v>
      </x:c>
      <x:c r="W79" s="20" t="n">
        <x:f>R79+V79</x:f>
        <x:v>34776.3325</x:v>
      </x:c>
      <x:c r="X79" s="14" t="str">
        <x:f>IF(ABS(W79-SUM(M79:Q79)-V79)&lt;0.01,"OK","Check")</x:f>
        <x:v>OK</x:v>
      </x:c>
    </x:row>
    <x:row r="80">
      <x:c r="A80" s="14" t="n">
        <x:v>2026</x:v>
      </x:c>
      <x:c r="B80" s="14" t="str">
        <x:v>Q3</x:v>
      </x:c>
      <x:c r="C80" s="14" t="n">
        <x:v>3</x:v>
      </x:c>
      <x:c r="D80" s="14" t="n">
        <x:v>19</x:v>
      </x:c>
      <x:c r="E80" s="14" t="str">
        <x:f>INDEX(Roster!$B$6:$B$108,MATCH(D80,Roster!$A$6:$A$108,0))</x:f>
      </x:c>
      <x:c r="F80" s="14" t="str">
        <x:f>INDEX(Roster!$F$6:$F$108,MATCH(D80,Roster!$A$6:$A$108,0))</x:f>
        <x:v>No</x:v>
      </x:c>
      <x:c r="G80" s="14" t="n">
        <x:f>INDEX(Inputs!$B$7:$D$7,1,MATCH(A80,Inputs!$B$6:$D$6,0))</x:f>
        <x:v>13</x:v>
      </x:c>
      <x:c r="H80" s="14" t="n">
        <x:f>MIN(=INDEX(Inputs!$B$7:$D$7,1,MATCH(A80,Inputs!$B$6:$D$6,0)),MAX(0,INDEX(Inputs!$B$14:$D$14,1,MATCH(A80,Inputs!$B$6:$D$6,0))-(C80-1)*=INDEX(Inputs!$B$7:$D$7,1,MATCH(A80,Inputs!$B$6:$D$6,0))))</x:f>
        <x:v>13</x:v>
      </x:c>
      <x:c r="I80" s="20" t="n">
        <x:f>INDEX(Inputs!$B$8:$D$8,1,MATCH(A80,Inputs!$B$6:$D$6,0))</x:f>
        <x:v>2395</x:v>
      </x:c>
      <x:c r="J80" s="20" t="n">
        <x:f>INDEX(Roster!$C$6:$C$108,MATCH(D80,Roster!$A$6:$A$108,0))*(1+INDEX(Inputs!$B$9:$D$9,1,MATCH(A80,Inputs!$B$6:$D$6,0)))</x:f>
        <x:v>60</x:v>
      </x:c>
      <x:c r="K80" s="20" t="n">
        <x:f>IF(=INDEX(Roster!$F$6:$F$108,MATCH(D80,Roster!$A$6:$A$108,0))="Yes",0,=INDEX(Inputs!$B$8:$D$8,1,MATCH(A80,Inputs!$B$6:$D$6,0))*IF(=INDEX(Roster!$B$6:$B$108,MATCH(D80,Roster!$A$6:$A$108,0))="Principal",INDEX(Inputs!$B$10:$D$10,1,MATCH(A80,Inputs!$B$6:$D$6,0)),IF(=INDEX(Roster!$B$6:$B$108,MATCH(D80,Roster!$A$6:$A$108,0))="Associate Principal",INDEX(Inputs!$B$11:$D$11,1,MATCH(A80,Inputs!$B$6:$D$6,0)),IF(=INDEX(Roster!$B$6:$B$108,MATCH(D80,Roster!$A$6:$A$108,0))="Assistant Principal",INDEX(Inputs!$B$12:$D$12,1,MATCH(A80,Inputs!$B$6:$D$6,0)),0))))</x:f>
        <x:v>0</x:v>
      </x:c>
      <x:c r="L80" s="20" t="n">
        <x:f>IF(INDEX(Roster!$D$6:$D$108,MATCH(D80,Roster!$A$6:$A$108,0))&gt;=25,INDEX(Inputs!$B$19:$D$19,1,MATCH(A80,Inputs!$B$6:$D$6,0)),IF(INDEX(Roster!$D$6:$D$108,MATCH(D80,Roster!$A$6:$A$108,0))&gt;=20,INDEX(Inputs!$B$18:$D$18,1,MATCH(A80,Inputs!$B$6:$D$6,0)),IF(INDEX(Roster!$D$6:$D$108,MATCH(D80,Roster!$A$6:$A$108,0))&gt;=15,INDEX(Inputs!$B$17:$D$17,1,MATCH(A80,Inputs!$B$6:$D$6,0)),IF(INDEX(Roster!$D$6:$D$108,MATCH(D80,Roster!$A$6:$A$108,0))&gt;=10,INDEX(Inputs!$B$16:$D$16,1,MATCH(A80,Inputs!$B$6:$D$6,0)),IF(INDEX(Roster!$D$6:$D$108,MATCH(D80,Roster!$A$6:$A$108,0))&gt;=5,INDEX(Inputs!$B$15:$D$15,1,MATCH(A80,Inputs!$B$6:$D$6,0)),0)))))</x:f>
        <x:v>0</x:v>
      </x:c>
      <x:c r="M80" s="20" t="n">
        <x:f>G80*I80</x:f>
        <x:v>31135</x:v>
      </x:c>
      <x:c r="N80" s="20" t="n">
        <x:f>G80*J80</x:f>
        <x:v>780</x:v>
      </x:c>
      <x:c r="O80" s="20" t="n">
        <x:f>G80*K80</x:f>
        <x:v>0</x:v>
      </x:c>
      <x:c r="P80" s="20" t="n">
        <x:f>G80*L80</x:f>
        <x:v>0</x:v>
      </x:c>
      <x:c r="Q80" s="20" t="n">
        <x:f>H80*INDEX(Inputs!$B$13:$D$13,1,MATCH(A80,Inputs!$B$6:$D$6,0))</x:f>
        <x:v>390</x:v>
      </x:c>
      <x:c r="R80" s="20" t="n">
        <x:f>SUM(M80:Q80)</x:f>
        <x:v>32305</x:v>
      </x:c>
      <x:c r="S80" s="20" t="n">
        <x:f>IF(AND(A79=A80,D79=D80),S79+R80,R80)</x:f>
        <x:v>96915</x:v>
      </x:c>
      <x:c r="T80" s="20" t="n">
        <x:f>MIN(S80,INDEX(Inputs!$B$20:$D$20,1,MATCH(A80,Inputs!$B$6:$D$6,0)))*INDEX(Inputs!$B$22:$D$22,1,MATCH(A80,Inputs!$B$6:$D$6,0))+MAX(MIN(S80,INDEX(Inputs!$B$21:$D$21,1,MATCH(A80,Inputs!$B$6:$D$6,0)))-INDEX(Inputs!$B$20:$D$20,1,MATCH(A80,Inputs!$B$6:$D$6,0)),0)*INDEX(Inputs!$B$23:$D$23,1,MATCH(A80,Inputs!$B$6:$D$6,0))+MAX(S80-INDEX(Inputs!$B$21:$D$21,1,MATCH(A80,Inputs!$B$6:$D$6,0)),0)*INDEX(Inputs!$B$24:$D$24,1,MATCH(A80,Inputs!$B$6:$D$6,0))</x:f>
        <x:v>7903.9974999999995</x:v>
      </x:c>
      <x:c r="U80" s="20" t="n">
        <x:f>IF(AND(A79=A80,D79=D80),T79,0)</x:f>
        <x:v>5432.665</x:v>
      </x:c>
      <x:c r="V80" s="20" t="n">
        <x:f>T80-U80</x:f>
        <x:v>2471.3324999999995</x:v>
      </x:c>
      <x:c r="W80" s="20" t="n">
        <x:f>R80+V80</x:f>
        <x:v>34776.3325</x:v>
      </x:c>
      <x:c r="X80" s="14" t="str">
        <x:f>IF(ABS(W80-SUM(M80:Q80)-V80)&lt;0.01,"OK","Check")</x:f>
        <x:v>OK</x:v>
      </x:c>
    </x:row>
    <x:row r="81">
      <x:c r="A81" s="14" t="n">
        <x:v>2026</x:v>
      </x:c>
      <x:c r="B81" s="14" t="str">
        <x:v>Q4</x:v>
      </x:c>
      <x:c r="C81" s="14" t="n">
        <x:v>4</x:v>
      </x:c>
      <x:c r="D81" s="14" t="n">
        <x:v>19</x:v>
      </x:c>
      <x:c r="E81" s="14" t="str">
        <x:f>INDEX(Roster!$B$6:$B$108,MATCH(D81,Roster!$A$6:$A$108,0))</x:f>
      </x:c>
      <x:c r="F81" s="14" t="str">
        <x:f>INDEX(Roster!$F$6:$F$108,MATCH(D81,Roster!$A$6:$A$108,0))</x:f>
        <x:v>No</x:v>
      </x:c>
      <x:c r="G81" s="14" t="n">
        <x:f>INDEX(Inputs!$B$7:$D$7,1,MATCH(A81,Inputs!$B$6:$D$6,0))</x:f>
        <x:v>13</x:v>
      </x:c>
      <x:c r="H81" s="14" t="n">
        <x:f>MIN(=INDEX(Inputs!$B$7:$D$7,1,MATCH(A81,Inputs!$B$6:$D$6,0)),MAX(0,INDEX(Inputs!$B$14:$D$14,1,MATCH(A81,Inputs!$B$6:$D$6,0))-(C81-1)*=INDEX(Inputs!$B$7:$D$7,1,MATCH(A81,Inputs!$B$6:$D$6,0))))</x:f>
        <x:v>0</x:v>
      </x:c>
      <x:c r="I81" s="20" t="n">
        <x:f>INDEX(Inputs!$B$8:$D$8,1,MATCH(A81,Inputs!$B$6:$D$6,0))</x:f>
        <x:v>2395</x:v>
      </x:c>
      <x:c r="J81" s="20" t="n">
        <x:f>INDEX(Roster!$C$6:$C$108,MATCH(D81,Roster!$A$6:$A$108,0))*(1+INDEX(Inputs!$B$9:$D$9,1,MATCH(A81,Inputs!$B$6:$D$6,0)))</x:f>
        <x:v>60</x:v>
      </x:c>
      <x:c r="K81" s="20" t="n">
        <x:f>IF(=INDEX(Roster!$F$6:$F$108,MATCH(D81,Roster!$A$6:$A$108,0))="Yes",0,=INDEX(Inputs!$B$8:$D$8,1,MATCH(A81,Inputs!$B$6:$D$6,0))*IF(=INDEX(Roster!$B$6:$B$108,MATCH(D81,Roster!$A$6:$A$108,0))="Principal",INDEX(Inputs!$B$10:$D$10,1,MATCH(A81,Inputs!$B$6:$D$6,0)),IF(=INDEX(Roster!$B$6:$B$108,MATCH(D81,Roster!$A$6:$A$108,0))="Associate Principal",INDEX(Inputs!$B$11:$D$11,1,MATCH(A81,Inputs!$B$6:$D$6,0)),IF(=INDEX(Roster!$B$6:$B$108,MATCH(D81,Roster!$A$6:$A$108,0))="Assistant Principal",INDEX(Inputs!$B$12:$D$12,1,MATCH(A81,Inputs!$B$6:$D$6,0)),0))))</x:f>
        <x:v>0</x:v>
      </x:c>
      <x:c r="L81" s="20" t="n">
        <x:f>IF(INDEX(Roster!$D$6:$D$108,MATCH(D81,Roster!$A$6:$A$108,0))&gt;=25,INDEX(Inputs!$B$19:$D$19,1,MATCH(A81,Inputs!$B$6:$D$6,0)),IF(INDEX(Roster!$D$6:$D$108,MATCH(D81,Roster!$A$6:$A$108,0))&gt;=20,INDEX(Inputs!$B$18:$D$18,1,MATCH(A81,Inputs!$B$6:$D$6,0)),IF(INDEX(Roster!$D$6:$D$108,MATCH(D81,Roster!$A$6:$A$108,0))&gt;=15,INDEX(Inputs!$B$17:$D$17,1,MATCH(A81,Inputs!$B$6:$D$6,0)),IF(INDEX(Roster!$D$6:$D$108,MATCH(D81,Roster!$A$6:$A$108,0))&gt;=10,INDEX(Inputs!$B$16:$D$16,1,MATCH(A81,Inputs!$B$6:$D$6,0)),IF(INDEX(Roster!$D$6:$D$108,MATCH(D81,Roster!$A$6:$A$108,0))&gt;=5,INDEX(Inputs!$B$15:$D$15,1,MATCH(A81,Inputs!$B$6:$D$6,0)),0)))))</x:f>
        <x:v>0</x:v>
      </x:c>
      <x:c r="M81" s="20" t="n">
        <x:f>G81*I81</x:f>
        <x:v>31135</x:v>
      </x:c>
      <x:c r="N81" s="20" t="n">
        <x:f>G81*J81</x:f>
        <x:v>780</x:v>
      </x:c>
      <x:c r="O81" s="20" t="n">
        <x:f>G81*K81</x:f>
        <x:v>0</x:v>
      </x:c>
      <x:c r="P81" s="20" t="n">
        <x:f>G81*L81</x:f>
        <x:v>0</x:v>
      </x:c>
      <x:c r="Q81" s="20" t="n">
        <x:f>H81*INDEX(Inputs!$B$13:$D$13,1,MATCH(A81,Inputs!$B$6:$D$6,0))</x:f>
        <x:v>0</x:v>
      </x:c>
      <x:c r="R81" s="20" t="n">
        <x:f>SUM(M81:Q81)</x:f>
        <x:v>31915</x:v>
      </x:c>
      <x:c r="S81" s="20" t="n">
        <x:f>IF(AND(A80=A81,D80=D81),S80+R81,R81)</x:f>
        <x:v>128830</x:v>
      </x:c>
      <x:c r="T81" s="20" t="n">
        <x:f>MIN(S81,INDEX(Inputs!$B$20:$D$20,1,MATCH(A81,Inputs!$B$6:$D$6,0)))*INDEX(Inputs!$B$22:$D$22,1,MATCH(A81,Inputs!$B$6:$D$6,0))+MAX(MIN(S81,INDEX(Inputs!$B$21:$D$21,1,MATCH(A81,Inputs!$B$6:$D$6,0)))-INDEX(Inputs!$B$20:$D$20,1,MATCH(A81,Inputs!$B$6:$D$6,0)),0)*INDEX(Inputs!$B$23:$D$23,1,MATCH(A81,Inputs!$B$6:$D$6,0))+MAX(S81-INDEX(Inputs!$B$21:$D$21,1,MATCH(A81,Inputs!$B$6:$D$6,0)),0)*INDEX(Inputs!$B$24:$D$24,1,MATCH(A81,Inputs!$B$6:$D$6,0))</x:f>
        <x:v>9781.976999999999</x:v>
      </x:c>
      <x:c r="U81" s="20" t="n">
        <x:f>IF(AND(A80=A81,D80=D81),T80,0)</x:f>
        <x:v>7903.9974999999995</x:v>
      </x:c>
      <x:c r="V81" s="20" t="n">
        <x:f>T81-U81</x:f>
        <x:v>1877.9794999999995</x:v>
      </x:c>
      <x:c r="W81" s="20" t="n">
        <x:f>R81+V81</x:f>
        <x:v>33792.9795</x:v>
      </x:c>
      <x:c r="X81" s="14" t="str">
        <x:f>IF(ABS(W81-SUM(M81:Q81)-V81)&lt;0.01,"OK","Check")</x:f>
        <x:v>OK</x:v>
      </x:c>
    </x:row>
    <x:row r="82">
      <x:c r="A82" s="14" t="n">
        <x:v>2026</x:v>
      </x:c>
      <x:c r="B82" s="14" t="str">
        <x:v>Q1</x:v>
      </x:c>
      <x:c r="C82" s="14" t="n">
        <x:v>1</x:v>
      </x:c>
      <x:c r="D82" s="14" t="n">
        <x:v>20</x:v>
      </x:c>
      <x:c r="E82" s="14" t="str">
        <x:f>INDEX(Roster!$B$6:$B$108,MATCH(D82,Roster!$A$6:$A$108,0))</x:f>
        <x:v>Associate Principal</x:v>
      </x:c>
      <x:c r="F82" s="14" t="str">
        <x:f>INDEX(Roster!$F$6:$F$108,MATCH(D82,Roster!$A$6:$A$108,0))</x:f>
        <x:v>Yes</x:v>
      </x:c>
      <x:c r="G82" s="14" t="n">
        <x:f>INDEX(Inputs!$B$7:$D$7,1,MATCH(A82,Inputs!$B$6:$D$6,0))</x:f>
        <x:v>13</x:v>
      </x:c>
      <x:c r="H82" s="14" t="n">
        <x:f>MIN(=INDEX(Inputs!$B$7:$D$7,1,MATCH(A82,Inputs!$B$6:$D$6,0)),MAX(0,INDEX(Inputs!$B$14:$D$14,1,MATCH(A82,Inputs!$B$6:$D$6,0))-(C82-1)*=INDEX(Inputs!$B$7:$D$7,1,MATCH(A82,Inputs!$B$6:$D$6,0))))</x:f>
        <x:v>13</x:v>
      </x:c>
      <x:c r="I82" s="20" t="n">
        <x:f>INDEX(Inputs!$B$8:$D$8,1,MATCH(A82,Inputs!$B$6:$D$6,0))</x:f>
        <x:v>2395</x:v>
      </x:c>
      <x:c r="J82" s="20" t="n">
        <x:f>INDEX(Roster!$C$6:$C$108,MATCH(D82,Roster!$A$6:$A$108,0))*(1+INDEX(Inputs!$B$9:$D$9,1,MATCH(A82,Inputs!$B$6:$D$6,0)))</x:f>
        <x:v>300</x:v>
      </x:c>
      <x:c r="K82" s="20" t="n">
        <x:f>IF(=INDEX(Roster!$F$6:$F$108,MATCH(D82,Roster!$A$6:$A$108,0))="Yes",0,=INDEX(Inputs!$B$8:$D$8,1,MATCH(A82,Inputs!$B$6:$D$6,0))*IF(=INDEX(Roster!$B$6:$B$108,MATCH(D82,Roster!$A$6:$A$108,0))="Principal",INDEX(Inputs!$B$10:$D$10,1,MATCH(A82,Inputs!$B$6:$D$6,0)),IF(=INDEX(Roster!$B$6:$B$108,MATCH(D82,Roster!$A$6:$A$108,0))="Associate Principal",INDEX(Inputs!$B$11:$D$11,1,MATCH(A82,Inputs!$B$6:$D$6,0)),IF(=INDEX(Roster!$B$6:$B$108,MATCH(D82,Roster!$A$6:$A$108,0))="Assistant Principal",INDEX(Inputs!$B$12:$D$12,1,MATCH(A82,Inputs!$B$6:$D$6,0)),0))))</x:f>
        <x:v>0</x:v>
      </x:c>
      <x:c r="L82" s="20" t="n">
        <x:f>IF(INDEX(Roster!$D$6:$D$108,MATCH(D82,Roster!$A$6:$A$108,0))&gt;=25,INDEX(Inputs!$B$19:$D$19,1,MATCH(A82,Inputs!$B$6:$D$6,0)),IF(INDEX(Roster!$D$6:$D$108,MATCH(D82,Roster!$A$6:$A$108,0))&gt;=20,INDEX(Inputs!$B$18:$D$18,1,MATCH(A82,Inputs!$B$6:$D$6,0)),IF(INDEX(Roster!$D$6:$D$108,MATCH(D82,Roster!$A$6:$A$108,0))&gt;=15,INDEX(Inputs!$B$17:$D$17,1,MATCH(A82,Inputs!$B$6:$D$6,0)),IF(INDEX(Roster!$D$6:$D$108,MATCH(D82,Roster!$A$6:$A$108,0))&gt;=10,INDEX(Inputs!$B$16:$D$16,1,MATCH(A82,Inputs!$B$6:$D$6,0)),IF(INDEX(Roster!$D$6:$D$108,MATCH(D82,Roster!$A$6:$A$108,0))&gt;=5,INDEX(Inputs!$B$15:$D$15,1,MATCH(A82,Inputs!$B$6:$D$6,0)),0)))))</x:f>
        <x:v>90</x:v>
      </x:c>
      <x:c r="M82" s="20" t="n">
        <x:f>G82*I82</x:f>
        <x:v>31135</x:v>
      </x:c>
      <x:c r="N82" s="20" t="n">
        <x:f>G82*J82</x:f>
        <x:v>3900</x:v>
      </x:c>
      <x:c r="O82" s="20" t="n">
        <x:f>G82*K82</x:f>
        <x:v>0</x:v>
      </x:c>
      <x:c r="P82" s="20" t="n">
        <x:f>G82*L82</x:f>
        <x:v>1170</x:v>
      </x:c>
      <x:c r="Q82" s="20" t="n">
        <x:f>H82*INDEX(Inputs!$B$13:$D$13,1,MATCH(A82,Inputs!$B$6:$D$6,0))</x:f>
        <x:v>390</x:v>
      </x:c>
      <x:c r="R82" s="20" t="n">
        <x:f>SUM(M82:Q82)</x:f>
        <x:v>36595</x:v>
      </x:c>
      <x:c r="S82" s="20" t="n">
        <x:f>IF(AND(A81=A82,D81=D82),S81+R82,R82)</x:f>
        <x:v>36595</x:v>
      </x:c>
      <x:c r="T82" s="20" t="n">
        <x:f>MIN(S82,INDEX(Inputs!$B$20:$D$20,1,MATCH(A82,Inputs!$B$6:$D$6,0)))*INDEX(Inputs!$B$22:$D$22,1,MATCH(A82,Inputs!$B$6:$D$6,0))+MAX(MIN(S82,INDEX(Inputs!$B$21:$D$21,1,MATCH(A82,Inputs!$B$6:$D$6,0)))-INDEX(Inputs!$B$20:$D$20,1,MATCH(A82,Inputs!$B$6:$D$6,0)),0)*INDEX(Inputs!$B$23:$D$23,1,MATCH(A82,Inputs!$B$6:$D$6,0))+MAX(S82-INDEX(Inputs!$B$21:$D$21,1,MATCH(A82,Inputs!$B$6:$D$6,0)),0)*INDEX(Inputs!$B$24:$D$24,1,MATCH(A82,Inputs!$B$6:$D$6,0))</x:f>
        <x:v>3289.5175</x:v>
      </x:c>
      <x:c r="U82" s="20" t="n">
        <x:f>IF(AND(A81=A82,D81=D82),T81,0)</x:f>
        <x:v>0</x:v>
      </x:c>
      <x:c r="V82" s="20" t="n">
        <x:f>T82-U82</x:f>
        <x:v>3289.5175</x:v>
      </x:c>
      <x:c r="W82" s="20" t="n">
        <x:f>R82+V82</x:f>
        <x:v>39884.5175</x:v>
      </x:c>
      <x:c r="X82" s="14" t="str">
        <x:f>IF(ABS(W82-SUM(M82:Q82)-V82)&lt;0.01,"OK","Check")</x:f>
        <x:v>OK</x:v>
      </x:c>
    </x:row>
    <x:row r="83">
      <x:c r="A83" s="14" t="n">
        <x:v>2026</x:v>
      </x:c>
      <x:c r="B83" s="14" t="str">
        <x:v>Q2</x:v>
      </x:c>
      <x:c r="C83" s="14" t="n">
        <x:v>2</x:v>
      </x:c>
      <x:c r="D83" s="14" t="n">
        <x:v>20</x:v>
      </x:c>
      <x:c r="E83" s="14" t="str">
        <x:f>INDEX(Roster!$B$6:$B$108,MATCH(D83,Roster!$A$6:$A$108,0))</x:f>
        <x:v>Associate Principal</x:v>
      </x:c>
      <x:c r="F83" s="14" t="str">
        <x:f>INDEX(Roster!$F$6:$F$108,MATCH(D83,Roster!$A$6:$A$108,0))</x:f>
        <x:v>Yes</x:v>
      </x:c>
      <x:c r="G83" s="14" t="n">
        <x:f>INDEX(Inputs!$B$7:$D$7,1,MATCH(A83,Inputs!$B$6:$D$6,0))</x:f>
        <x:v>13</x:v>
      </x:c>
      <x:c r="H83" s="14" t="n">
        <x:f>MIN(=INDEX(Inputs!$B$7:$D$7,1,MATCH(A83,Inputs!$B$6:$D$6,0)),MAX(0,INDEX(Inputs!$B$14:$D$14,1,MATCH(A83,Inputs!$B$6:$D$6,0))-(C83-1)*=INDEX(Inputs!$B$7:$D$7,1,MATCH(A83,Inputs!$B$6:$D$6,0))))</x:f>
        <x:v>13</x:v>
      </x:c>
      <x:c r="I83" s="20" t="n">
        <x:f>INDEX(Inputs!$B$8:$D$8,1,MATCH(A83,Inputs!$B$6:$D$6,0))</x:f>
        <x:v>2395</x:v>
      </x:c>
      <x:c r="J83" s="20" t="n">
        <x:f>INDEX(Roster!$C$6:$C$108,MATCH(D83,Roster!$A$6:$A$108,0))*(1+INDEX(Inputs!$B$9:$D$9,1,MATCH(A83,Inputs!$B$6:$D$6,0)))</x:f>
        <x:v>300</x:v>
      </x:c>
      <x:c r="K83" s="20" t="n">
        <x:f>IF(=INDEX(Roster!$F$6:$F$108,MATCH(D83,Roster!$A$6:$A$108,0))="Yes",0,=INDEX(Inputs!$B$8:$D$8,1,MATCH(A83,Inputs!$B$6:$D$6,0))*IF(=INDEX(Roster!$B$6:$B$108,MATCH(D83,Roster!$A$6:$A$108,0))="Principal",INDEX(Inputs!$B$10:$D$10,1,MATCH(A83,Inputs!$B$6:$D$6,0)),IF(=INDEX(Roster!$B$6:$B$108,MATCH(D83,Roster!$A$6:$A$108,0))="Associate Principal",INDEX(Inputs!$B$11:$D$11,1,MATCH(A83,Inputs!$B$6:$D$6,0)),IF(=INDEX(Roster!$B$6:$B$108,MATCH(D83,Roster!$A$6:$A$108,0))="Assistant Principal",INDEX(Inputs!$B$12:$D$12,1,MATCH(A83,Inputs!$B$6:$D$6,0)),0))))</x:f>
        <x:v>0</x:v>
      </x:c>
      <x:c r="L83" s="20" t="n">
        <x:f>IF(INDEX(Roster!$D$6:$D$108,MATCH(D83,Roster!$A$6:$A$108,0))&gt;=25,INDEX(Inputs!$B$19:$D$19,1,MATCH(A83,Inputs!$B$6:$D$6,0)),IF(INDEX(Roster!$D$6:$D$108,MATCH(D83,Roster!$A$6:$A$108,0))&gt;=20,INDEX(Inputs!$B$18:$D$18,1,MATCH(A83,Inputs!$B$6:$D$6,0)),IF(INDEX(Roster!$D$6:$D$108,MATCH(D83,Roster!$A$6:$A$108,0))&gt;=15,INDEX(Inputs!$B$17:$D$17,1,MATCH(A83,Inputs!$B$6:$D$6,0)),IF(INDEX(Roster!$D$6:$D$108,MATCH(D83,Roster!$A$6:$A$108,0))&gt;=10,INDEX(Inputs!$B$16:$D$16,1,MATCH(A83,Inputs!$B$6:$D$6,0)),IF(INDEX(Roster!$D$6:$D$108,MATCH(D83,Roster!$A$6:$A$108,0))&gt;=5,INDEX(Inputs!$B$15:$D$15,1,MATCH(A83,Inputs!$B$6:$D$6,0)),0)))))</x:f>
        <x:v>90</x:v>
      </x:c>
      <x:c r="M83" s="20" t="n">
        <x:f>G83*I83</x:f>
        <x:v>31135</x:v>
      </x:c>
      <x:c r="N83" s="20" t="n">
        <x:f>G83*J83</x:f>
        <x:v>3900</x:v>
      </x:c>
      <x:c r="O83" s="20" t="n">
        <x:f>G83*K83</x:f>
        <x:v>0</x:v>
      </x:c>
      <x:c r="P83" s="20" t="n">
        <x:f>G83*L83</x:f>
        <x:v>1170</x:v>
      </x:c>
      <x:c r="Q83" s="20" t="n">
        <x:f>H83*INDEX(Inputs!$B$13:$D$13,1,MATCH(A83,Inputs!$B$6:$D$6,0))</x:f>
        <x:v>390</x:v>
      </x:c>
      <x:c r="R83" s="20" t="n">
        <x:f>SUM(M83:Q83)</x:f>
        <x:v>36595</x:v>
      </x:c>
      <x:c r="S83" s="20" t="n">
        <x:f>IF(AND(A82=A83,D82=D83),S82+R83,R83)</x:f>
        <x:v>73190</x:v>
      </x:c>
      <x:c r="T83" s="20" t="n">
        <x:f>MIN(S83,INDEX(Inputs!$B$20:$D$20,1,MATCH(A83,Inputs!$B$6:$D$6,0)))*INDEX(Inputs!$B$22:$D$22,1,MATCH(A83,Inputs!$B$6:$D$6,0))+MAX(MIN(S83,INDEX(Inputs!$B$21:$D$21,1,MATCH(A83,Inputs!$B$6:$D$6,0)))-INDEX(Inputs!$B$20:$D$20,1,MATCH(A83,Inputs!$B$6:$D$6,0)),0)*INDEX(Inputs!$B$23:$D$23,1,MATCH(A83,Inputs!$B$6:$D$6,0))+MAX(S83-INDEX(Inputs!$B$21:$D$21,1,MATCH(A83,Inputs!$B$6:$D$6,0)),0)*INDEX(Inputs!$B$24:$D$24,1,MATCH(A83,Inputs!$B$6:$D$6,0))</x:f>
        <x:v>6089.035</x:v>
      </x:c>
      <x:c r="U83" s="20" t="n">
        <x:f>IF(AND(A82=A83,D82=D83),T82,0)</x:f>
        <x:v>3289.5175</x:v>
      </x:c>
      <x:c r="V83" s="20" t="n">
        <x:f>T83-U83</x:f>
        <x:v>2799.5175</x:v>
      </x:c>
      <x:c r="W83" s="20" t="n">
        <x:f>R83+V83</x:f>
        <x:v>39394.5175</x:v>
      </x:c>
      <x:c r="X83" s="14" t="str">
        <x:f>IF(ABS(W83-SUM(M83:Q83)-V83)&lt;0.01,"OK","Check")</x:f>
        <x:v>OK</x:v>
      </x:c>
    </x:row>
    <x:row r="84">
      <x:c r="A84" s="14" t="n">
        <x:v>2026</x:v>
      </x:c>
      <x:c r="B84" s="14" t="str">
        <x:v>Q3</x:v>
      </x:c>
      <x:c r="C84" s="14" t="n">
        <x:v>3</x:v>
      </x:c>
      <x:c r="D84" s="14" t="n">
        <x:v>20</x:v>
      </x:c>
      <x:c r="E84" s="14" t="str">
        <x:f>INDEX(Roster!$B$6:$B$108,MATCH(D84,Roster!$A$6:$A$108,0))</x:f>
        <x:v>Associate Principal</x:v>
      </x:c>
      <x:c r="F84" s="14" t="str">
        <x:f>INDEX(Roster!$F$6:$F$108,MATCH(D84,Roster!$A$6:$A$108,0))</x:f>
        <x:v>Yes</x:v>
      </x:c>
      <x:c r="G84" s="14" t="n">
        <x:f>INDEX(Inputs!$B$7:$D$7,1,MATCH(A84,Inputs!$B$6:$D$6,0))</x:f>
        <x:v>13</x:v>
      </x:c>
      <x:c r="H84" s="14" t="n">
        <x:f>MIN(=INDEX(Inputs!$B$7:$D$7,1,MATCH(A84,Inputs!$B$6:$D$6,0)),MAX(0,INDEX(Inputs!$B$14:$D$14,1,MATCH(A84,Inputs!$B$6:$D$6,0))-(C84-1)*=INDEX(Inputs!$B$7:$D$7,1,MATCH(A84,Inputs!$B$6:$D$6,0))))</x:f>
        <x:v>13</x:v>
      </x:c>
      <x:c r="I84" s="20" t="n">
        <x:f>INDEX(Inputs!$B$8:$D$8,1,MATCH(A84,Inputs!$B$6:$D$6,0))</x:f>
        <x:v>2395</x:v>
      </x:c>
      <x:c r="J84" s="20" t="n">
        <x:f>INDEX(Roster!$C$6:$C$108,MATCH(D84,Roster!$A$6:$A$108,0))*(1+INDEX(Inputs!$B$9:$D$9,1,MATCH(A84,Inputs!$B$6:$D$6,0)))</x:f>
        <x:v>300</x:v>
      </x:c>
      <x:c r="K84" s="20" t="n">
        <x:f>IF(=INDEX(Roster!$F$6:$F$108,MATCH(D84,Roster!$A$6:$A$108,0))="Yes",0,=INDEX(Inputs!$B$8:$D$8,1,MATCH(A84,Inputs!$B$6:$D$6,0))*IF(=INDEX(Roster!$B$6:$B$108,MATCH(D84,Roster!$A$6:$A$108,0))="Principal",INDEX(Inputs!$B$10:$D$10,1,MATCH(A84,Inputs!$B$6:$D$6,0)),IF(=INDEX(Roster!$B$6:$B$108,MATCH(D84,Roster!$A$6:$A$108,0))="Associate Principal",INDEX(Inputs!$B$11:$D$11,1,MATCH(A84,Inputs!$B$6:$D$6,0)),IF(=INDEX(Roster!$B$6:$B$108,MATCH(D84,Roster!$A$6:$A$108,0))="Assistant Principal",INDEX(Inputs!$B$12:$D$12,1,MATCH(A84,Inputs!$B$6:$D$6,0)),0))))</x:f>
        <x:v>0</x:v>
      </x:c>
      <x:c r="L84" s="20" t="n">
        <x:f>IF(INDEX(Roster!$D$6:$D$108,MATCH(D84,Roster!$A$6:$A$108,0))&gt;=25,INDEX(Inputs!$B$19:$D$19,1,MATCH(A84,Inputs!$B$6:$D$6,0)),IF(INDEX(Roster!$D$6:$D$108,MATCH(D84,Roster!$A$6:$A$108,0))&gt;=20,INDEX(Inputs!$B$18:$D$18,1,MATCH(A84,Inputs!$B$6:$D$6,0)),IF(INDEX(Roster!$D$6:$D$108,MATCH(D84,Roster!$A$6:$A$108,0))&gt;=15,INDEX(Inputs!$B$17:$D$17,1,MATCH(A84,Inputs!$B$6:$D$6,0)),IF(INDEX(Roster!$D$6:$D$108,MATCH(D84,Roster!$A$6:$A$108,0))&gt;=10,INDEX(Inputs!$B$16:$D$16,1,MATCH(A84,Inputs!$B$6:$D$6,0)),IF(INDEX(Roster!$D$6:$D$108,MATCH(D84,Roster!$A$6:$A$108,0))&gt;=5,INDEX(Inputs!$B$15:$D$15,1,MATCH(A84,Inputs!$B$6:$D$6,0)),0)))))</x:f>
        <x:v>90</x:v>
      </x:c>
      <x:c r="M84" s="20" t="n">
        <x:f>G84*I84</x:f>
        <x:v>31135</x:v>
      </x:c>
      <x:c r="N84" s="20" t="n">
        <x:f>G84*J84</x:f>
        <x:v>3900</x:v>
      </x:c>
      <x:c r="O84" s="20" t="n">
        <x:f>G84*K84</x:f>
        <x:v>0</x:v>
      </x:c>
      <x:c r="P84" s="20" t="n">
        <x:f>G84*L84</x:f>
        <x:v>1170</x:v>
      </x:c>
      <x:c r="Q84" s="20" t="n">
        <x:f>H84*INDEX(Inputs!$B$13:$D$13,1,MATCH(A84,Inputs!$B$6:$D$6,0))</x:f>
        <x:v>390</x:v>
      </x:c>
      <x:c r="R84" s="20" t="n">
        <x:f>SUM(M84:Q84)</x:f>
        <x:v>36595</x:v>
      </x:c>
      <x:c r="S84" s="20" t="n">
        <x:f>IF(AND(A83=A84,D83=D84),S83+R84,R84)</x:f>
        <x:v>109785</x:v>
      </x:c>
      <x:c r="T84" s="20" t="n">
        <x:f>MIN(S84,INDEX(Inputs!$B$20:$D$20,1,MATCH(A84,Inputs!$B$6:$D$6,0)))*INDEX(Inputs!$B$22:$D$22,1,MATCH(A84,Inputs!$B$6:$D$6,0))+MAX(MIN(S84,INDEX(Inputs!$B$21:$D$21,1,MATCH(A84,Inputs!$B$6:$D$6,0)))-INDEX(Inputs!$B$20:$D$20,1,MATCH(A84,Inputs!$B$6:$D$6,0)),0)*INDEX(Inputs!$B$23:$D$23,1,MATCH(A84,Inputs!$B$6:$D$6,0))+MAX(S84-INDEX(Inputs!$B$21:$D$21,1,MATCH(A84,Inputs!$B$6:$D$6,0)),0)*INDEX(Inputs!$B$24:$D$24,1,MATCH(A84,Inputs!$B$6:$D$6,0))</x:f>
        <x:v>8888.5525</x:v>
      </x:c>
      <x:c r="U84" s="20" t="n">
        <x:f>IF(AND(A83=A84,D83=D84),T83,0)</x:f>
        <x:v>6089.035</x:v>
      </x:c>
      <x:c r="V84" s="20" t="n">
        <x:f>T84-U84</x:f>
        <x:v>2799.5175</x:v>
      </x:c>
      <x:c r="W84" s="20" t="n">
        <x:f>R84+V84</x:f>
        <x:v>39394.5175</x:v>
      </x:c>
      <x:c r="X84" s="14" t="str">
        <x:f>IF(ABS(W84-SUM(M84:Q84)-V84)&lt;0.01,"OK","Check")</x:f>
        <x:v>OK</x:v>
      </x:c>
    </x:row>
    <x:row r="85">
      <x:c r="A85" s="14" t="n">
        <x:v>2026</x:v>
      </x:c>
      <x:c r="B85" s="14" t="str">
        <x:v>Q4</x:v>
      </x:c>
      <x:c r="C85" s="14" t="n">
        <x:v>4</x:v>
      </x:c>
      <x:c r="D85" s="14" t="n">
        <x:v>20</x:v>
      </x:c>
      <x:c r="E85" s="14" t="str">
        <x:f>INDEX(Roster!$B$6:$B$108,MATCH(D85,Roster!$A$6:$A$108,0))</x:f>
        <x:v>Associate Principal</x:v>
      </x:c>
      <x:c r="F85" s="14" t="str">
        <x:f>INDEX(Roster!$F$6:$F$108,MATCH(D85,Roster!$A$6:$A$108,0))</x:f>
        <x:v>Yes</x:v>
      </x:c>
      <x:c r="G85" s="14" t="n">
        <x:f>INDEX(Inputs!$B$7:$D$7,1,MATCH(A85,Inputs!$B$6:$D$6,0))</x:f>
        <x:v>13</x:v>
      </x:c>
      <x:c r="H85" s="14" t="n">
        <x:f>MIN(=INDEX(Inputs!$B$7:$D$7,1,MATCH(A85,Inputs!$B$6:$D$6,0)),MAX(0,INDEX(Inputs!$B$14:$D$14,1,MATCH(A85,Inputs!$B$6:$D$6,0))-(C85-1)*=INDEX(Inputs!$B$7:$D$7,1,MATCH(A85,Inputs!$B$6:$D$6,0))))</x:f>
        <x:v>0</x:v>
      </x:c>
      <x:c r="I85" s="20" t="n">
        <x:f>INDEX(Inputs!$B$8:$D$8,1,MATCH(A85,Inputs!$B$6:$D$6,0))</x:f>
        <x:v>2395</x:v>
      </x:c>
      <x:c r="J85" s="20" t="n">
        <x:f>INDEX(Roster!$C$6:$C$108,MATCH(D85,Roster!$A$6:$A$108,0))*(1+INDEX(Inputs!$B$9:$D$9,1,MATCH(A85,Inputs!$B$6:$D$6,0)))</x:f>
        <x:v>300</x:v>
      </x:c>
      <x:c r="K85" s="20" t="n">
        <x:f>IF(=INDEX(Roster!$F$6:$F$108,MATCH(D85,Roster!$A$6:$A$108,0))="Yes",0,=INDEX(Inputs!$B$8:$D$8,1,MATCH(A85,Inputs!$B$6:$D$6,0))*IF(=INDEX(Roster!$B$6:$B$108,MATCH(D85,Roster!$A$6:$A$108,0))="Principal",INDEX(Inputs!$B$10:$D$10,1,MATCH(A85,Inputs!$B$6:$D$6,0)),IF(=INDEX(Roster!$B$6:$B$108,MATCH(D85,Roster!$A$6:$A$108,0))="Associate Principal",INDEX(Inputs!$B$11:$D$11,1,MATCH(A85,Inputs!$B$6:$D$6,0)),IF(=INDEX(Roster!$B$6:$B$108,MATCH(D85,Roster!$A$6:$A$108,0))="Assistant Principal",INDEX(Inputs!$B$12:$D$12,1,MATCH(A85,Inputs!$B$6:$D$6,0)),0))))</x:f>
        <x:v>0</x:v>
      </x:c>
      <x:c r="L85" s="20" t="n">
        <x:f>IF(INDEX(Roster!$D$6:$D$108,MATCH(D85,Roster!$A$6:$A$108,0))&gt;=25,INDEX(Inputs!$B$19:$D$19,1,MATCH(A85,Inputs!$B$6:$D$6,0)),IF(INDEX(Roster!$D$6:$D$108,MATCH(D85,Roster!$A$6:$A$108,0))&gt;=20,INDEX(Inputs!$B$18:$D$18,1,MATCH(A85,Inputs!$B$6:$D$6,0)),IF(INDEX(Roster!$D$6:$D$108,MATCH(D85,Roster!$A$6:$A$108,0))&gt;=15,INDEX(Inputs!$B$17:$D$17,1,MATCH(A85,Inputs!$B$6:$D$6,0)),IF(INDEX(Roster!$D$6:$D$108,MATCH(D85,Roster!$A$6:$A$108,0))&gt;=10,INDEX(Inputs!$B$16:$D$16,1,MATCH(A85,Inputs!$B$6:$D$6,0)),IF(INDEX(Roster!$D$6:$D$108,MATCH(D85,Roster!$A$6:$A$108,0))&gt;=5,INDEX(Inputs!$B$15:$D$15,1,MATCH(A85,Inputs!$B$6:$D$6,0)),0)))))</x:f>
        <x:v>90</x:v>
      </x:c>
      <x:c r="M85" s="20" t="n">
        <x:f>G85*I85</x:f>
        <x:v>31135</x:v>
      </x:c>
      <x:c r="N85" s="20" t="n">
        <x:f>G85*J85</x:f>
        <x:v>3900</x:v>
      </x:c>
      <x:c r="O85" s="20" t="n">
        <x:f>G85*K85</x:f>
        <x:v>0</x:v>
      </x:c>
      <x:c r="P85" s="20" t="n">
        <x:f>G85*L85</x:f>
        <x:v>1170</x:v>
      </x:c>
      <x:c r="Q85" s="20" t="n">
        <x:f>H85*INDEX(Inputs!$B$13:$D$13,1,MATCH(A85,Inputs!$B$6:$D$6,0))</x:f>
        <x:v>0</x:v>
      </x:c>
      <x:c r="R85" s="20" t="n">
        <x:f>SUM(M85:Q85)</x:f>
        <x:v>36205</x:v>
      </x:c>
      <x:c r="S85" s="20" t="n">
        <x:f>IF(AND(A84=A85,D84=D85),S84+R85,R85)</x:f>
        <x:v>145990</x:v>
      </x:c>
      <x:c r="T85" s="20" t="n">
        <x:f>MIN(S85,INDEX(Inputs!$B$20:$D$20,1,MATCH(A85,Inputs!$B$6:$D$6,0)))*INDEX(Inputs!$B$22:$D$22,1,MATCH(A85,Inputs!$B$6:$D$6,0))+MAX(MIN(S85,INDEX(Inputs!$B$21:$D$21,1,MATCH(A85,Inputs!$B$6:$D$6,0)))-INDEX(Inputs!$B$20:$D$20,1,MATCH(A85,Inputs!$B$6:$D$6,0)),0)*INDEX(Inputs!$B$23:$D$23,1,MATCH(A85,Inputs!$B$6:$D$6,0))+MAX(S85-INDEX(Inputs!$B$21:$D$21,1,MATCH(A85,Inputs!$B$6:$D$6,0)),0)*INDEX(Inputs!$B$24:$D$24,1,MATCH(A85,Inputs!$B$6:$D$6,0))</x:f>
        <x:v>10030.797</x:v>
      </x:c>
      <x:c r="U85" s="20" t="n">
        <x:f>IF(AND(A84=A85,D84=D85),T84,0)</x:f>
        <x:v>8888.5525</x:v>
      </x:c>
      <x:c r="V85" s="20" t="n">
        <x:f>T85-U85</x:f>
        <x:v>1142.2445000000007</x:v>
      </x:c>
      <x:c r="W85" s="20" t="n">
        <x:f>R85+V85</x:f>
        <x:v>37347.2445</x:v>
      </x:c>
      <x:c r="X85" s="14" t="str">
        <x:f>IF(ABS(W85-SUM(M85:Q85)-V85)&lt;0.01,"OK","Check")</x:f>
        <x:v>OK</x:v>
      </x:c>
    </x:row>
    <x:row r="86">
      <x:c r="A86" s="14" t="n">
        <x:v>2026</x:v>
      </x:c>
      <x:c r="B86" s="14" t="str">
        <x:v>Q1</x:v>
      </x:c>
      <x:c r="C86" s="14" t="n">
        <x:v>1</x:v>
      </x:c>
      <x:c r="D86" s="14" t="n">
        <x:v>21</x:v>
      </x:c>
      <x:c r="E86" s="14" t="str">
        <x:f>INDEX(Roster!$B$6:$B$108,MATCH(D86,Roster!$A$6:$A$108,0))</x:f>
      </x:c>
      <x:c r="F86" s="14" t="str">
        <x:f>INDEX(Roster!$F$6:$F$108,MATCH(D86,Roster!$A$6:$A$108,0))</x:f>
        <x:v>No</x:v>
      </x:c>
      <x:c r="G86" s="14" t="n">
        <x:f>INDEX(Inputs!$B$7:$D$7,1,MATCH(A86,Inputs!$B$6:$D$6,0))</x:f>
        <x:v>13</x:v>
      </x:c>
      <x:c r="H86" s="14" t="n">
        <x:f>MIN(=INDEX(Inputs!$B$7:$D$7,1,MATCH(A86,Inputs!$B$6:$D$6,0)),MAX(0,INDEX(Inputs!$B$14:$D$14,1,MATCH(A86,Inputs!$B$6:$D$6,0))-(C86-1)*=INDEX(Inputs!$B$7:$D$7,1,MATCH(A86,Inputs!$B$6:$D$6,0))))</x:f>
        <x:v>13</x:v>
      </x:c>
      <x:c r="I86" s="20" t="n">
        <x:f>INDEX(Inputs!$B$8:$D$8,1,MATCH(A86,Inputs!$B$6:$D$6,0))</x:f>
        <x:v>2395</x:v>
      </x:c>
      <x:c r="J86" s="20" t="n">
        <x:f>INDEX(Roster!$C$6:$C$108,MATCH(D86,Roster!$A$6:$A$108,0))*(1+INDEX(Inputs!$B$9:$D$9,1,MATCH(A86,Inputs!$B$6:$D$6,0)))</x:f>
        <x:v>40</x:v>
      </x:c>
      <x:c r="K86" s="20" t="n">
        <x:f>IF(=INDEX(Roster!$F$6:$F$108,MATCH(D86,Roster!$A$6:$A$108,0))="Yes",0,=INDEX(Inputs!$B$8:$D$8,1,MATCH(A86,Inputs!$B$6:$D$6,0))*IF(=INDEX(Roster!$B$6:$B$108,MATCH(D86,Roster!$A$6:$A$108,0))="Principal",INDEX(Inputs!$B$10:$D$10,1,MATCH(A86,Inputs!$B$6:$D$6,0)),IF(=INDEX(Roster!$B$6:$B$108,MATCH(D86,Roster!$A$6:$A$108,0))="Associate Principal",INDEX(Inputs!$B$11:$D$11,1,MATCH(A86,Inputs!$B$6:$D$6,0)),IF(=INDEX(Roster!$B$6:$B$108,MATCH(D86,Roster!$A$6:$A$108,0))="Assistant Principal",INDEX(Inputs!$B$12:$D$12,1,MATCH(A86,Inputs!$B$6:$D$6,0)),0))))</x:f>
        <x:v>0</x:v>
      </x:c>
      <x:c r="L86" s="20" t="n">
        <x:f>IF(INDEX(Roster!$D$6:$D$108,MATCH(D86,Roster!$A$6:$A$108,0))&gt;=25,INDEX(Inputs!$B$19:$D$19,1,MATCH(A86,Inputs!$B$6:$D$6,0)),IF(INDEX(Roster!$D$6:$D$108,MATCH(D86,Roster!$A$6:$A$108,0))&gt;=20,INDEX(Inputs!$B$18:$D$18,1,MATCH(A86,Inputs!$B$6:$D$6,0)),IF(INDEX(Roster!$D$6:$D$108,MATCH(D86,Roster!$A$6:$A$108,0))&gt;=15,INDEX(Inputs!$B$17:$D$17,1,MATCH(A86,Inputs!$B$6:$D$6,0)),IF(INDEX(Roster!$D$6:$D$108,MATCH(D86,Roster!$A$6:$A$108,0))&gt;=10,INDEX(Inputs!$B$16:$D$16,1,MATCH(A86,Inputs!$B$6:$D$6,0)),IF(INDEX(Roster!$D$6:$D$108,MATCH(D86,Roster!$A$6:$A$108,0))&gt;=5,INDEX(Inputs!$B$15:$D$15,1,MATCH(A86,Inputs!$B$6:$D$6,0)),0)))))</x:f>
        <x:v>90</x:v>
      </x:c>
      <x:c r="M86" s="20" t="n">
        <x:f>G86*I86</x:f>
        <x:v>31135</x:v>
      </x:c>
      <x:c r="N86" s="20" t="n">
        <x:f>G86*J86</x:f>
        <x:v>520</x:v>
      </x:c>
      <x:c r="O86" s="20" t="n">
        <x:f>G86*K86</x:f>
        <x:v>0</x:v>
      </x:c>
      <x:c r="P86" s="20" t="n">
        <x:f>G86*L86</x:f>
        <x:v>1170</x:v>
      </x:c>
      <x:c r="Q86" s="20" t="n">
        <x:f>H86*INDEX(Inputs!$B$13:$D$13,1,MATCH(A86,Inputs!$B$6:$D$6,0))</x:f>
        <x:v>390</x:v>
      </x:c>
      <x:c r="R86" s="20" t="n">
        <x:f>SUM(M86:Q86)</x:f>
        <x:v>33215</x:v>
      </x:c>
      <x:c r="S86" s="20" t="n">
        <x:f>IF(AND(A85=A86,D85=D86),S85+R86,R86)</x:f>
        <x:v>33215</x:v>
      </x:c>
      <x:c r="T86" s="20" t="n">
        <x:f>MIN(S86,INDEX(Inputs!$B$20:$D$20,1,MATCH(A86,Inputs!$B$6:$D$6,0)))*INDEX(Inputs!$B$22:$D$22,1,MATCH(A86,Inputs!$B$6:$D$6,0))+MAX(MIN(S86,INDEX(Inputs!$B$21:$D$21,1,MATCH(A86,Inputs!$B$6:$D$6,0)))-INDEX(Inputs!$B$20:$D$20,1,MATCH(A86,Inputs!$B$6:$D$6,0)),0)*INDEX(Inputs!$B$23:$D$23,1,MATCH(A86,Inputs!$B$6:$D$6,0))+MAX(S86-INDEX(Inputs!$B$21:$D$21,1,MATCH(A86,Inputs!$B$6:$D$6,0)),0)*INDEX(Inputs!$B$24:$D$24,1,MATCH(A86,Inputs!$B$6:$D$6,0))</x:f>
        <x:v>3030.9475</x:v>
      </x:c>
      <x:c r="U86" s="20" t="n">
        <x:f>IF(AND(A85=A86,D85=D86),T85,0)</x:f>
        <x:v>0</x:v>
      </x:c>
      <x:c r="V86" s="20" t="n">
        <x:f>T86-U86</x:f>
        <x:v>3030.9475</x:v>
      </x:c>
      <x:c r="W86" s="20" t="n">
        <x:f>R86+V86</x:f>
        <x:v>36245.9475</x:v>
      </x:c>
      <x:c r="X86" s="14" t="str">
        <x:f>IF(ABS(W86-SUM(M86:Q86)-V86)&lt;0.01,"OK","Check")</x:f>
        <x:v>OK</x:v>
      </x:c>
    </x:row>
    <x:row r="87">
      <x:c r="A87" s="14" t="n">
        <x:v>2026</x:v>
      </x:c>
      <x:c r="B87" s="14" t="str">
        <x:v>Q2</x:v>
      </x:c>
      <x:c r="C87" s="14" t="n">
        <x:v>2</x:v>
      </x:c>
      <x:c r="D87" s="14" t="n">
        <x:v>21</x:v>
      </x:c>
      <x:c r="E87" s="14" t="str">
        <x:f>INDEX(Roster!$B$6:$B$108,MATCH(D87,Roster!$A$6:$A$108,0))</x:f>
      </x:c>
      <x:c r="F87" s="14" t="str">
        <x:f>INDEX(Roster!$F$6:$F$108,MATCH(D87,Roster!$A$6:$A$108,0))</x:f>
        <x:v>No</x:v>
      </x:c>
      <x:c r="G87" s="14" t="n">
        <x:f>INDEX(Inputs!$B$7:$D$7,1,MATCH(A87,Inputs!$B$6:$D$6,0))</x:f>
        <x:v>13</x:v>
      </x:c>
      <x:c r="H87" s="14" t="n">
        <x:f>MIN(=INDEX(Inputs!$B$7:$D$7,1,MATCH(A87,Inputs!$B$6:$D$6,0)),MAX(0,INDEX(Inputs!$B$14:$D$14,1,MATCH(A87,Inputs!$B$6:$D$6,0))-(C87-1)*=INDEX(Inputs!$B$7:$D$7,1,MATCH(A87,Inputs!$B$6:$D$6,0))))</x:f>
        <x:v>13</x:v>
      </x:c>
      <x:c r="I87" s="20" t="n">
        <x:f>INDEX(Inputs!$B$8:$D$8,1,MATCH(A87,Inputs!$B$6:$D$6,0))</x:f>
        <x:v>2395</x:v>
      </x:c>
      <x:c r="J87" s="20" t="n">
        <x:f>INDEX(Roster!$C$6:$C$108,MATCH(D87,Roster!$A$6:$A$108,0))*(1+INDEX(Inputs!$B$9:$D$9,1,MATCH(A87,Inputs!$B$6:$D$6,0)))</x:f>
        <x:v>40</x:v>
      </x:c>
      <x:c r="K87" s="20" t="n">
        <x:f>IF(=INDEX(Roster!$F$6:$F$108,MATCH(D87,Roster!$A$6:$A$108,0))="Yes",0,=INDEX(Inputs!$B$8:$D$8,1,MATCH(A87,Inputs!$B$6:$D$6,0))*IF(=INDEX(Roster!$B$6:$B$108,MATCH(D87,Roster!$A$6:$A$108,0))="Principal",INDEX(Inputs!$B$10:$D$10,1,MATCH(A87,Inputs!$B$6:$D$6,0)),IF(=INDEX(Roster!$B$6:$B$108,MATCH(D87,Roster!$A$6:$A$108,0))="Associate Principal",INDEX(Inputs!$B$11:$D$11,1,MATCH(A87,Inputs!$B$6:$D$6,0)),IF(=INDEX(Roster!$B$6:$B$108,MATCH(D87,Roster!$A$6:$A$108,0))="Assistant Principal",INDEX(Inputs!$B$12:$D$12,1,MATCH(A87,Inputs!$B$6:$D$6,0)),0))))</x:f>
        <x:v>0</x:v>
      </x:c>
      <x:c r="L87" s="20" t="n">
        <x:f>IF(INDEX(Roster!$D$6:$D$108,MATCH(D87,Roster!$A$6:$A$108,0))&gt;=25,INDEX(Inputs!$B$19:$D$19,1,MATCH(A87,Inputs!$B$6:$D$6,0)),IF(INDEX(Roster!$D$6:$D$108,MATCH(D87,Roster!$A$6:$A$108,0))&gt;=20,INDEX(Inputs!$B$18:$D$18,1,MATCH(A87,Inputs!$B$6:$D$6,0)),IF(INDEX(Roster!$D$6:$D$108,MATCH(D87,Roster!$A$6:$A$108,0))&gt;=15,INDEX(Inputs!$B$17:$D$17,1,MATCH(A87,Inputs!$B$6:$D$6,0)),IF(INDEX(Roster!$D$6:$D$108,MATCH(D87,Roster!$A$6:$A$108,0))&gt;=10,INDEX(Inputs!$B$16:$D$16,1,MATCH(A87,Inputs!$B$6:$D$6,0)),IF(INDEX(Roster!$D$6:$D$108,MATCH(D87,Roster!$A$6:$A$108,0))&gt;=5,INDEX(Inputs!$B$15:$D$15,1,MATCH(A87,Inputs!$B$6:$D$6,0)),0)))))</x:f>
        <x:v>90</x:v>
      </x:c>
      <x:c r="M87" s="20" t="n">
        <x:f>G87*I87</x:f>
        <x:v>31135</x:v>
      </x:c>
      <x:c r="N87" s="20" t="n">
        <x:f>G87*J87</x:f>
        <x:v>520</x:v>
      </x:c>
      <x:c r="O87" s="20" t="n">
        <x:f>G87*K87</x:f>
        <x:v>0</x:v>
      </x:c>
      <x:c r="P87" s="20" t="n">
        <x:f>G87*L87</x:f>
        <x:v>1170</x:v>
      </x:c>
      <x:c r="Q87" s="20" t="n">
        <x:f>H87*INDEX(Inputs!$B$13:$D$13,1,MATCH(A87,Inputs!$B$6:$D$6,0))</x:f>
        <x:v>390</x:v>
      </x:c>
      <x:c r="R87" s="20" t="n">
        <x:f>SUM(M87:Q87)</x:f>
        <x:v>33215</x:v>
      </x:c>
      <x:c r="S87" s="20" t="n">
        <x:f>IF(AND(A86=A87,D86=D87),S86+R87,R87)</x:f>
        <x:v>66430</x:v>
      </x:c>
      <x:c r="T87" s="20" t="n">
        <x:f>MIN(S87,INDEX(Inputs!$B$20:$D$20,1,MATCH(A87,Inputs!$B$6:$D$6,0)))*INDEX(Inputs!$B$22:$D$22,1,MATCH(A87,Inputs!$B$6:$D$6,0))+MAX(MIN(S87,INDEX(Inputs!$B$21:$D$21,1,MATCH(A87,Inputs!$B$6:$D$6,0)))-INDEX(Inputs!$B$20:$D$20,1,MATCH(A87,Inputs!$B$6:$D$6,0)),0)*INDEX(Inputs!$B$23:$D$23,1,MATCH(A87,Inputs!$B$6:$D$6,0))+MAX(S87-INDEX(Inputs!$B$21:$D$21,1,MATCH(A87,Inputs!$B$6:$D$6,0)),0)*INDEX(Inputs!$B$24:$D$24,1,MATCH(A87,Inputs!$B$6:$D$6,0))</x:f>
        <x:v>5571.8949999999995</x:v>
      </x:c>
      <x:c r="U87" s="20" t="n">
        <x:f>IF(AND(A86=A87,D86=D87),T86,0)</x:f>
        <x:v>3030.9475</x:v>
      </x:c>
      <x:c r="V87" s="20" t="n">
        <x:f>T87-U87</x:f>
        <x:v>2540.9474999999993</x:v>
      </x:c>
      <x:c r="W87" s="20" t="n">
        <x:f>R87+V87</x:f>
        <x:v>35755.9475</x:v>
      </x:c>
      <x:c r="X87" s="14" t="str">
        <x:f>IF(ABS(W87-SUM(M87:Q87)-V87)&lt;0.01,"OK","Check")</x:f>
        <x:v>OK</x:v>
      </x:c>
    </x:row>
    <x:row r="88">
      <x:c r="A88" s="14" t="n">
        <x:v>2026</x:v>
      </x:c>
      <x:c r="B88" s="14" t="str">
        <x:v>Q3</x:v>
      </x:c>
      <x:c r="C88" s="14" t="n">
        <x:v>3</x:v>
      </x:c>
      <x:c r="D88" s="14" t="n">
        <x:v>21</x:v>
      </x:c>
      <x:c r="E88" s="14" t="str">
        <x:f>INDEX(Roster!$B$6:$B$108,MATCH(D88,Roster!$A$6:$A$108,0))</x:f>
      </x:c>
      <x:c r="F88" s="14" t="str">
        <x:f>INDEX(Roster!$F$6:$F$108,MATCH(D88,Roster!$A$6:$A$108,0))</x:f>
        <x:v>No</x:v>
      </x:c>
      <x:c r="G88" s="14" t="n">
        <x:f>INDEX(Inputs!$B$7:$D$7,1,MATCH(A88,Inputs!$B$6:$D$6,0))</x:f>
        <x:v>13</x:v>
      </x:c>
      <x:c r="H88" s="14" t="n">
        <x:f>MIN(=INDEX(Inputs!$B$7:$D$7,1,MATCH(A88,Inputs!$B$6:$D$6,0)),MAX(0,INDEX(Inputs!$B$14:$D$14,1,MATCH(A88,Inputs!$B$6:$D$6,0))-(C88-1)*=INDEX(Inputs!$B$7:$D$7,1,MATCH(A88,Inputs!$B$6:$D$6,0))))</x:f>
        <x:v>13</x:v>
      </x:c>
      <x:c r="I88" s="20" t="n">
        <x:f>INDEX(Inputs!$B$8:$D$8,1,MATCH(A88,Inputs!$B$6:$D$6,0))</x:f>
        <x:v>2395</x:v>
      </x:c>
      <x:c r="J88" s="20" t="n">
        <x:f>INDEX(Roster!$C$6:$C$108,MATCH(D88,Roster!$A$6:$A$108,0))*(1+INDEX(Inputs!$B$9:$D$9,1,MATCH(A88,Inputs!$B$6:$D$6,0)))</x:f>
        <x:v>40</x:v>
      </x:c>
      <x:c r="K88" s="20" t="n">
        <x:f>IF(=INDEX(Roster!$F$6:$F$108,MATCH(D88,Roster!$A$6:$A$108,0))="Yes",0,=INDEX(Inputs!$B$8:$D$8,1,MATCH(A88,Inputs!$B$6:$D$6,0))*IF(=INDEX(Roster!$B$6:$B$108,MATCH(D88,Roster!$A$6:$A$108,0))="Principal",INDEX(Inputs!$B$10:$D$10,1,MATCH(A88,Inputs!$B$6:$D$6,0)),IF(=INDEX(Roster!$B$6:$B$108,MATCH(D88,Roster!$A$6:$A$108,0))="Associate Principal",INDEX(Inputs!$B$11:$D$11,1,MATCH(A88,Inputs!$B$6:$D$6,0)),IF(=INDEX(Roster!$B$6:$B$108,MATCH(D88,Roster!$A$6:$A$108,0))="Assistant Principal",INDEX(Inputs!$B$12:$D$12,1,MATCH(A88,Inputs!$B$6:$D$6,0)),0))))</x:f>
        <x:v>0</x:v>
      </x:c>
      <x:c r="L88" s="20" t="n">
        <x:f>IF(INDEX(Roster!$D$6:$D$108,MATCH(D88,Roster!$A$6:$A$108,0))&gt;=25,INDEX(Inputs!$B$19:$D$19,1,MATCH(A88,Inputs!$B$6:$D$6,0)),IF(INDEX(Roster!$D$6:$D$108,MATCH(D88,Roster!$A$6:$A$108,0))&gt;=20,INDEX(Inputs!$B$18:$D$18,1,MATCH(A88,Inputs!$B$6:$D$6,0)),IF(INDEX(Roster!$D$6:$D$108,MATCH(D88,Roster!$A$6:$A$108,0))&gt;=15,INDEX(Inputs!$B$17:$D$17,1,MATCH(A88,Inputs!$B$6:$D$6,0)),IF(INDEX(Roster!$D$6:$D$108,MATCH(D88,Roster!$A$6:$A$108,0))&gt;=10,INDEX(Inputs!$B$16:$D$16,1,MATCH(A88,Inputs!$B$6:$D$6,0)),IF(INDEX(Roster!$D$6:$D$108,MATCH(D88,Roster!$A$6:$A$108,0))&gt;=5,INDEX(Inputs!$B$15:$D$15,1,MATCH(A88,Inputs!$B$6:$D$6,0)),0)))))</x:f>
        <x:v>90</x:v>
      </x:c>
      <x:c r="M88" s="20" t="n">
        <x:f>G88*I88</x:f>
        <x:v>31135</x:v>
      </x:c>
      <x:c r="N88" s="20" t="n">
        <x:f>G88*J88</x:f>
        <x:v>520</x:v>
      </x:c>
      <x:c r="O88" s="20" t="n">
        <x:f>G88*K88</x:f>
        <x:v>0</x:v>
      </x:c>
      <x:c r="P88" s="20" t="n">
        <x:f>G88*L88</x:f>
        <x:v>1170</x:v>
      </x:c>
      <x:c r="Q88" s="20" t="n">
        <x:f>H88*INDEX(Inputs!$B$13:$D$13,1,MATCH(A88,Inputs!$B$6:$D$6,0))</x:f>
        <x:v>390</x:v>
      </x:c>
      <x:c r="R88" s="20" t="n">
        <x:f>SUM(M88:Q88)</x:f>
        <x:v>33215</x:v>
      </x:c>
      <x:c r="S88" s="20" t="n">
        <x:f>IF(AND(A87=A88,D87=D88),S87+R88,R88)</x:f>
        <x:v>99645</x:v>
      </x:c>
      <x:c r="T88" s="20" t="n">
        <x:f>MIN(S88,INDEX(Inputs!$B$20:$D$20,1,MATCH(A88,Inputs!$B$6:$D$6,0)))*INDEX(Inputs!$B$22:$D$22,1,MATCH(A88,Inputs!$B$6:$D$6,0))+MAX(MIN(S88,INDEX(Inputs!$B$21:$D$21,1,MATCH(A88,Inputs!$B$6:$D$6,0)))-INDEX(Inputs!$B$20:$D$20,1,MATCH(A88,Inputs!$B$6:$D$6,0)),0)*INDEX(Inputs!$B$23:$D$23,1,MATCH(A88,Inputs!$B$6:$D$6,0))+MAX(S88-INDEX(Inputs!$B$21:$D$21,1,MATCH(A88,Inputs!$B$6:$D$6,0)),0)*INDEX(Inputs!$B$24:$D$24,1,MATCH(A88,Inputs!$B$6:$D$6,0))</x:f>
        <x:v>8112.8425</x:v>
      </x:c>
      <x:c r="U88" s="20" t="n">
        <x:f>IF(AND(A87=A88,D87=D88),T87,0)</x:f>
        <x:v>5571.8949999999995</x:v>
      </x:c>
      <x:c r="V88" s="20" t="n">
        <x:f>T88-U88</x:f>
        <x:v>2540.9475</x:v>
      </x:c>
      <x:c r="W88" s="20" t="n">
        <x:f>R88+V88</x:f>
        <x:v>35755.9475</x:v>
      </x:c>
      <x:c r="X88" s="14" t="str">
        <x:f>IF(ABS(W88-SUM(M88:Q88)-V88)&lt;0.01,"OK","Check")</x:f>
        <x:v>OK</x:v>
      </x:c>
    </x:row>
    <x:row r="89">
      <x:c r="A89" s="14" t="n">
        <x:v>2026</x:v>
      </x:c>
      <x:c r="B89" s="14" t="str">
        <x:v>Q4</x:v>
      </x:c>
      <x:c r="C89" s="14" t="n">
        <x:v>4</x:v>
      </x:c>
      <x:c r="D89" s="14" t="n">
        <x:v>21</x:v>
      </x:c>
      <x:c r="E89" s="14" t="str">
        <x:f>INDEX(Roster!$B$6:$B$108,MATCH(D89,Roster!$A$6:$A$108,0))</x:f>
      </x:c>
      <x:c r="F89" s="14" t="str">
        <x:f>INDEX(Roster!$F$6:$F$108,MATCH(D89,Roster!$A$6:$A$108,0))</x:f>
        <x:v>No</x:v>
      </x:c>
      <x:c r="G89" s="14" t="n">
        <x:f>INDEX(Inputs!$B$7:$D$7,1,MATCH(A89,Inputs!$B$6:$D$6,0))</x:f>
        <x:v>13</x:v>
      </x:c>
      <x:c r="H89" s="14" t="n">
        <x:f>MIN(=INDEX(Inputs!$B$7:$D$7,1,MATCH(A89,Inputs!$B$6:$D$6,0)),MAX(0,INDEX(Inputs!$B$14:$D$14,1,MATCH(A89,Inputs!$B$6:$D$6,0))-(C89-1)*=INDEX(Inputs!$B$7:$D$7,1,MATCH(A89,Inputs!$B$6:$D$6,0))))</x:f>
        <x:v>0</x:v>
      </x:c>
      <x:c r="I89" s="20" t="n">
        <x:f>INDEX(Inputs!$B$8:$D$8,1,MATCH(A89,Inputs!$B$6:$D$6,0))</x:f>
        <x:v>2395</x:v>
      </x:c>
      <x:c r="J89" s="20" t="n">
        <x:f>INDEX(Roster!$C$6:$C$108,MATCH(D89,Roster!$A$6:$A$108,0))*(1+INDEX(Inputs!$B$9:$D$9,1,MATCH(A89,Inputs!$B$6:$D$6,0)))</x:f>
        <x:v>40</x:v>
      </x:c>
      <x:c r="K89" s="20" t="n">
        <x:f>IF(=INDEX(Roster!$F$6:$F$108,MATCH(D89,Roster!$A$6:$A$108,0))="Yes",0,=INDEX(Inputs!$B$8:$D$8,1,MATCH(A89,Inputs!$B$6:$D$6,0))*IF(=INDEX(Roster!$B$6:$B$108,MATCH(D89,Roster!$A$6:$A$108,0))="Principal",INDEX(Inputs!$B$10:$D$10,1,MATCH(A89,Inputs!$B$6:$D$6,0)),IF(=INDEX(Roster!$B$6:$B$108,MATCH(D89,Roster!$A$6:$A$108,0))="Associate Principal",INDEX(Inputs!$B$11:$D$11,1,MATCH(A89,Inputs!$B$6:$D$6,0)),IF(=INDEX(Roster!$B$6:$B$108,MATCH(D89,Roster!$A$6:$A$108,0))="Assistant Principal",INDEX(Inputs!$B$12:$D$12,1,MATCH(A89,Inputs!$B$6:$D$6,0)),0))))</x:f>
        <x:v>0</x:v>
      </x:c>
      <x:c r="L89" s="20" t="n">
        <x:f>IF(INDEX(Roster!$D$6:$D$108,MATCH(D89,Roster!$A$6:$A$108,0))&gt;=25,INDEX(Inputs!$B$19:$D$19,1,MATCH(A89,Inputs!$B$6:$D$6,0)),IF(INDEX(Roster!$D$6:$D$108,MATCH(D89,Roster!$A$6:$A$108,0))&gt;=20,INDEX(Inputs!$B$18:$D$18,1,MATCH(A89,Inputs!$B$6:$D$6,0)),IF(INDEX(Roster!$D$6:$D$108,MATCH(D89,Roster!$A$6:$A$108,0))&gt;=15,INDEX(Inputs!$B$17:$D$17,1,MATCH(A89,Inputs!$B$6:$D$6,0)),IF(INDEX(Roster!$D$6:$D$108,MATCH(D89,Roster!$A$6:$A$108,0))&gt;=10,INDEX(Inputs!$B$16:$D$16,1,MATCH(A89,Inputs!$B$6:$D$6,0)),IF(INDEX(Roster!$D$6:$D$108,MATCH(D89,Roster!$A$6:$A$108,0))&gt;=5,INDEX(Inputs!$B$15:$D$15,1,MATCH(A89,Inputs!$B$6:$D$6,0)),0)))))</x:f>
        <x:v>90</x:v>
      </x:c>
      <x:c r="M89" s="20" t="n">
        <x:f>G89*I89</x:f>
        <x:v>31135</x:v>
      </x:c>
      <x:c r="N89" s="20" t="n">
        <x:f>G89*J89</x:f>
        <x:v>520</x:v>
      </x:c>
      <x:c r="O89" s="20" t="n">
        <x:f>G89*K89</x:f>
        <x:v>0</x:v>
      </x:c>
      <x:c r="P89" s="20" t="n">
        <x:f>G89*L89</x:f>
        <x:v>1170</x:v>
      </x:c>
      <x:c r="Q89" s="20" t="n">
        <x:f>H89*INDEX(Inputs!$B$13:$D$13,1,MATCH(A89,Inputs!$B$6:$D$6,0))</x:f>
        <x:v>0</x:v>
      </x:c>
      <x:c r="R89" s="20" t="n">
        <x:f>SUM(M89:Q89)</x:f>
        <x:v>32825</x:v>
      </x:c>
      <x:c r="S89" s="20" t="n">
        <x:f>IF(AND(A88=A89,D88=D89),S88+R89,R89)</x:f>
        <x:v>132470</x:v>
      </x:c>
      <x:c r="T89" s="20" t="n">
        <x:f>MIN(S89,INDEX(Inputs!$B$20:$D$20,1,MATCH(A89,Inputs!$B$6:$D$6,0)))*INDEX(Inputs!$B$22:$D$22,1,MATCH(A89,Inputs!$B$6:$D$6,0))+MAX(MIN(S89,INDEX(Inputs!$B$21:$D$21,1,MATCH(A89,Inputs!$B$6:$D$6,0)))-INDEX(Inputs!$B$20:$D$20,1,MATCH(A89,Inputs!$B$6:$D$6,0)),0)*INDEX(Inputs!$B$23:$D$23,1,MATCH(A89,Inputs!$B$6:$D$6,0))+MAX(S89-INDEX(Inputs!$B$21:$D$21,1,MATCH(A89,Inputs!$B$6:$D$6,0)),0)*INDEX(Inputs!$B$24:$D$24,1,MATCH(A89,Inputs!$B$6:$D$6,0))</x:f>
        <x:v>9834.757</x:v>
      </x:c>
      <x:c r="U89" s="20" t="n">
        <x:f>IF(AND(A88=A89,D88=D89),T88,0)</x:f>
        <x:v>8112.8425</x:v>
      </x:c>
      <x:c r="V89" s="20" t="n">
        <x:f>T89-U89</x:f>
        <x:v>1721.9144999999999</x:v>
      </x:c>
      <x:c r="W89" s="20" t="n">
        <x:f>R89+V89</x:f>
        <x:v>34546.9145</x:v>
      </x:c>
      <x:c r="X89" s="14" t="str">
        <x:f>IF(ABS(W89-SUM(M89:Q89)-V89)&lt;0.01,"OK","Check")</x:f>
        <x:v>OK</x:v>
      </x:c>
    </x:row>
    <x:row r="90">
      <x:c r="A90" s="14" t="n">
        <x:v>2026</x:v>
      </x:c>
      <x:c r="B90" s="14" t="str">
        <x:v>Q1</x:v>
      </x:c>
      <x:c r="C90" s="14" t="n">
        <x:v>1</x:v>
      </x:c>
      <x:c r="D90" s="14" t="n">
        <x:v>22</x:v>
      </x:c>
      <x:c r="E90" s="14" t="str">
        <x:f>INDEX(Roster!$B$6:$B$108,MATCH(D90,Roster!$A$6:$A$108,0))</x:f>
        <x:v>Principal</x:v>
      </x:c>
      <x:c r="F90" s="14" t="str">
        <x:f>INDEX(Roster!$F$6:$F$108,MATCH(D90,Roster!$A$6:$A$108,0))</x:f>
        <x:v>No</x:v>
      </x:c>
      <x:c r="G90" s="14" t="n">
        <x:f>INDEX(Inputs!$B$7:$D$7,1,MATCH(A90,Inputs!$B$6:$D$6,0))</x:f>
        <x:v>13</x:v>
      </x:c>
      <x:c r="H90" s="14" t="n">
        <x:f>MIN(=INDEX(Inputs!$B$7:$D$7,1,MATCH(A90,Inputs!$B$6:$D$6,0)),MAX(0,INDEX(Inputs!$B$14:$D$14,1,MATCH(A90,Inputs!$B$6:$D$6,0))-(C90-1)*=INDEX(Inputs!$B$7:$D$7,1,MATCH(A90,Inputs!$B$6:$D$6,0))))</x:f>
        <x:v>13</x:v>
      </x:c>
      <x:c r="I90" s="20" t="n">
        <x:f>INDEX(Inputs!$B$8:$D$8,1,MATCH(A90,Inputs!$B$6:$D$6,0))</x:f>
        <x:v>2395</x:v>
      </x:c>
      <x:c r="J90" s="20" t="n">
        <x:f>INDEX(Roster!$C$6:$C$108,MATCH(D90,Roster!$A$6:$A$108,0))*(1+INDEX(Inputs!$B$9:$D$9,1,MATCH(A90,Inputs!$B$6:$D$6,0)))</x:f>
        <x:v>800</x:v>
      </x:c>
      <x:c r="K90" s="20" t="n">
        <x:f>IF(=INDEX(Roster!$F$6:$F$108,MATCH(D90,Roster!$A$6:$A$108,0))="Yes",0,=INDEX(Inputs!$B$8:$D$8,1,MATCH(A90,Inputs!$B$6:$D$6,0))*IF(=INDEX(Roster!$B$6:$B$108,MATCH(D90,Roster!$A$6:$A$108,0))="Principal",INDEX(Inputs!$B$10:$D$10,1,MATCH(A90,Inputs!$B$6:$D$6,0)),IF(=INDEX(Roster!$B$6:$B$108,MATCH(D90,Roster!$A$6:$A$108,0))="Associate Principal",INDEX(Inputs!$B$11:$D$11,1,MATCH(A90,Inputs!$B$6:$D$6,0)),IF(=INDEX(Roster!$B$6:$B$108,MATCH(D90,Roster!$A$6:$A$108,0))="Assistant Principal",INDEX(Inputs!$B$12:$D$12,1,MATCH(A90,Inputs!$B$6:$D$6,0)),0))))</x:f>
        <x:v>479</x:v>
      </x:c>
      <x:c r="L90" s="20" t="n">
        <x:f>IF(INDEX(Roster!$D$6:$D$108,MATCH(D90,Roster!$A$6:$A$108,0))&gt;=25,INDEX(Inputs!$B$19:$D$19,1,MATCH(A90,Inputs!$B$6:$D$6,0)),IF(INDEX(Roster!$D$6:$D$108,MATCH(D90,Roster!$A$6:$A$108,0))&gt;=20,INDEX(Inputs!$B$18:$D$18,1,MATCH(A90,Inputs!$B$6:$D$6,0)),IF(INDEX(Roster!$D$6:$D$108,MATCH(D90,Roster!$A$6:$A$108,0))&gt;=15,INDEX(Inputs!$B$17:$D$17,1,MATCH(A90,Inputs!$B$6:$D$6,0)),IF(INDEX(Roster!$D$6:$D$108,MATCH(D90,Roster!$A$6:$A$108,0))&gt;=10,INDEX(Inputs!$B$16:$D$16,1,MATCH(A90,Inputs!$B$6:$D$6,0)),IF(INDEX(Roster!$D$6:$D$108,MATCH(D90,Roster!$A$6:$A$108,0))&gt;=5,INDEX(Inputs!$B$15:$D$15,1,MATCH(A90,Inputs!$B$6:$D$6,0)),0)))))</x:f>
        <x:v>50</x:v>
      </x:c>
      <x:c r="M90" s="20" t="n">
        <x:f>G90*I90</x:f>
        <x:v>31135</x:v>
      </x:c>
      <x:c r="N90" s="20" t="n">
        <x:f>G90*J90</x:f>
        <x:v>10400</x:v>
      </x:c>
      <x:c r="O90" s="20" t="n">
        <x:f>G90*K90</x:f>
        <x:v>6227</x:v>
      </x:c>
      <x:c r="P90" s="20" t="n">
        <x:f>G90*L90</x:f>
        <x:v>650</x:v>
      </x:c>
      <x:c r="Q90" s="20" t="n">
        <x:f>H90*INDEX(Inputs!$B$13:$D$13,1,MATCH(A90,Inputs!$B$6:$D$6,0))</x:f>
        <x:v>390</x:v>
      </x:c>
      <x:c r="R90" s="20" t="n">
        <x:f>SUM(M90:Q90)</x:f>
        <x:v>48802</x:v>
      </x:c>
      <x:c r="S90" s="20" t="n">
        <x:f>IF(AND(A89=A90,D89=D90),S89+R90,R90)</x:f>
        <x:v>48802</x:v>
      </x:c>
      <x:c r="T90" s="20" t="n">
        <x:f>MIN(S90,INDEX(Inputs!$B$20:$D$20,1,MATCH(A90,Inputs!$B$6:$D$6,0)))*INDEX(Inputs!$B$22:$D$22,1,MATCH(A90,Inputs!$B$6:$D$6,0))+MAX(MIN(S90,INDEX(Inputs!$B$21:$D$21,1,MATCH(A90,Inputs!$B$6:$D$6,0)))-INDEX(Inputs!$B$20:$D$20,1,MATCH(A90,Inputs!$B$6:$D$6,0)),0)*INDEX(Inputs!$B$23:$D$23,1,MATCH(A90,Inputs!$B$6:$D$6,0))+MAX(S90-INDEX(Inputs!$B$21:$D$21,1,MATCH(A90,Inputs!$B$6:$D$6,0)),0)*INDEX(Inputs!$B$24:$D$24,1,MATCH(A90,Inputs!$B$6:$D$6,0))</x:f>
        <x:v>4223.353</x:v>
      </x:c>
      <x:c r="U90" s="20" t="n">
        <x:f>IF(AND(A89=A90,D89=D90),T89,0)</x:f>
        <x:v>0</x:v>
      </x:c>
      <x:c r="V90" s="20" t="n">
        <x:f>T90-U90</x:f>
        <x:v>4223.353</x:v>
      </x:c>
      <x:c r="W90" s="20" t="n">
        <x:f>R90+V90</x:f>
        <x:v>53025.353</x:v>
      </x:c>
      <x:c r="X90" s="14" t="str">
        <x:f>IF(ABS(W90-SUM(M90:Q90)-V90)&lt;0.01,"OK","Check")</x:f>
        <x:v>OK</x:v>
      </x:c>
    </x:row>
    <x:row r="91">
      <x:c r="A91" s="14" t="n">
        <x:v>2026</x:v>
      </x:c>
      <x:c r="B91" s="14" t="str">
        <x:v>Q2</x:v>
      </x:c>
      <x:c r="C91" s="14" t="n">
        <x:v>2</x:v>
      </x:c>
      <x:c r="D91" s="14" t="n">
        <x:v>22</x:v>
      </x:c>
      <x:c r="E91" s="14" t="str">
        <x:f>INDEX(Roster!$B$6:$B$108,MATCH(D91,Roster!$A$6:$A$108,0))</x:f>
        <x:v>Principal</x:v>
      </x:c>
      <x:c r="F91" s="14" t="str">
        <x:f>INDEX(Roster!$F$6:$F$108,MATCH(D91,Roster!$A$6:$A$108,0))</x:f>
        <x:v>No</x:v>
      </x:c>
      <x:c r="G91" s="14" t="n">
        <x:f>INDEX(Inputs!$B$7:$D$7,1,MATCH(A91,Inputs!$B$6:$D$6,0))</x:f>
        <x:v>13</x:v>
      </x:c>
      <x:c r="H91" s="14" t="n">
        <x:f>MIN(=INDEX(Inputs!$B$7:$D$7,1,MATCH(A91,Inputs!$B$6:$D$6,0)),MAX(0,INDEX(Inputs!$B$14:$D$14,1,MATCH(A91,Inputs!$B$6:$D$6,0))-(C91-1)*=INDEX(Inputs!$B$7:$D$7,1,MATCH(A91,Inputs!$B$6:$D$6,0))))</x:f>
        <x:v>13</x:v>
      </x:c>
      <x:c r="I91" s="20" t="n">
        <x:f>INDEX(Inputs!$B$8:$D$8,1,MATCH(A91,Inputs!$B$6:$D$6,0))</x:f>
        <x:v>2395</x:v>
      </x:c>
      <x:c r="J91" s="20" t="n">
        <x:f>INDEX(Roster!$C$6:$C$108,MATCH(D91,Roster!$A$6:$A$108,0))*(1+INDEX(Inputs!$B$9:$D$9,1,MATCH(A91,Inputs!$B$6:$D$6,0)))</x:f>
        <x:v>800</x:v>
      </x:c>
      <x:c r="K91" s="20" t="n">
        <x:f>IF(=INDEX(Roster!$F$6:$F$108,MATCH(D91,Roster!$A$6:$A$108,0))="Yes",0,=INDEX(Inputs!$B$8:$D$8,1,MATCH(A91,Inputs!$B$6:$D$6,0))*IF(=INDEX(Roster!$B$6:$B$108,MATCH(D91,Roster!$A$6:$A$108,0))="Principal",INDEX(Inputs!$B$10:$D$10,1,MATCH(A91,Inputs!$B$6:$D$6,0)),IF(=INDEX(Roster!$B$6:$B$108,MATCH(D91,Roster!$A$6:$A$108,0))="Associate Principal",INDEX(Inputs!$B$11:$D$11,1,MATCH(A91,Inputs!$B$6:$D$6,0)),IF(=INDEX(Roster!$B$6:$B$108,MATCH(D91,Roster!$A$6:$A$108,0))="Assistant Principal",INDEX(Inputs!$B$12:$D$12,1,MATCH(A91,Inputs!$B$6:$D$6,0)),0))))</x:f>
        <x:v>479</x:v>
      </x:c>
      <x:c r="L91" s="20" t="n">
        <x:f>IF(INDEX(Roster!$D$6:$D$108,MATCH(D91,Roster!$A$6:$A$108,0))&gt;=25,INDEX(Inputs!$B$19:$D$19,1,MATCH(A91,Inputs!$B$6:$D$6,0)),IF(INDEX(Roster!$D$6:$D$108,MATCH(D91,Roster!$A$6:$A$108,0))&gt;=20,INDEX(Inputs!$B$18:$D$18,1,MATCH(A91,Inputs!$B$6:$D$6,0)),IF(INDEX(Roster!$D$6:$D$108,MATCH(D91,Roster!$A$6:$A$108,0))&gt;=15,INDEX(Inputs!$B$17:$D$17,1,MATCH(A91,Inputs!$B$6:$D$6,0)),IF(INDEX(Roster!$D$6:$D$108,MATCH(D91,Roster!$A$6:$A$108,0))&gt;=10,INDEX(Inputs!$B$16:$D$16,1,MATCH(A91,Inputs!$B$6:$D$6,0)),IF(INDEX(Roster!$D$6:$D$108,MATCH(D91,Roster!$A$6:$A$108,0))&gt;=5,INDEX(Inputs!$B$15:$D$15,1,MATCH(A91,Inputs!$B$6:$D$6,0)),0)))))</x:f>
        <x:v>50</x:v>
      </x:c>
      <x:c r="M91" s="20" t="n">
        <x:f>G91*I91</x:f>
        <x:v>31135</x:v>
      </x:c>
      <x:c r="N91" s="20" t="n">
        <x:f>G91*J91</x:f>
        <x:v>10400</x:v>
      </x:c>
      <x:c r="O91" s="20" t="n">
        <x:f>G91*K91</x:f>
        <x:v>6227</x:v>
      </x:c>
      <x:c r="P91" s="20" t="n">
        <x:f>G91*L91</x:f>
        <x:v>650</x:v>
      </x:c>
      <x:c r="Q91" s="20" t="n">
        <x:f>H91*INDEX(Inputs!$B$13:$D$13,1,MATCH(A91,Inputs!$B$6:$D$6,0))</x:f>
        <x:v>390</x:v>
      </x:c>
      <x:c r="R91" s="20" t="n">
        <x:f>SUM(M91:Q91)</x:f>
        <x:v>48802</x:v>
      </x:c>
      <x:c r="S91" s="20" t="n">
        <x:f>IF(AND(A90=A91,D90=D91),S90+R91,R91)</x:f>
        <x:v>97604</x:v>
      </x:c>
      <x:c r="T91" s="20" t="n">
        <x:f>MIN(S91,INDEX(Inputs!$B$20:$D$20,1,MATCH(A91,Inputs!$B$6:$D$6,0)))*INDEX(Inputs!$B$22:$D$22,1,MATCH(A91,Inputs!$B$6:$D$6,0))+MAX(MIN(S91,INDEX(Inputs!$B$21:$D$21,1,MATCH(A91,Inputs!$B$6:$D$6,0)))-INDEX(Inputs!$B$20:$D$20,1,MATCH(A91,Inputs!$B$6:$D$6,0)),0)*INDEX(Inputs!$B$23:$D$23,1,MATCH(A91,Inputs!$B$6:$D$6,0))+MAX(S91-INDEX(Inputs!$B$21:$D$21,1,MATCH(A91,Inputs!$B$6:$D$6,0)),0)*INDEX(Inputs!$B$24:$D$24,1,MATCH(A91,Inputs!$B$6:$D$6,0))</x:f>
        <x:v>7956.706</x:v>
      </x:c>
      <x:c r="U91" s="20" t="n">
        <x:f>IF(AND(A90=A91,D90=D91),T90,0)</x:f>
        <x:v>4223.353</x:v>
      </x:c>
      <x:c r="V91" s="20" t="n">
        <x:f>T91-U91</x:f>
        <x:v>3733.353</x:v>
      </x:c>
      <x:c r="W91" s="20" t="n">
        <x:f>R91+V91</x:f>
        <x:v>52535.353</x:v>
      </x:c>
      <x:c r="X91" s="14" t="str">
        <x:f>IF(ABS(W91-SUM(M91:Q91)-V91)&lt;0.01,"OK","Check")</x:f>
        <x:v>OK</x:v>
      </x:c>
    </x:row>
    <x:row r="92">
      <x:c r="A92" s="14" t="n">
        <x:v>2026</x:v>
      </x:c>
      <x:c r="B92" s="14" t="str">
        <x:v>Q3</x:v>
      </x:c>
      <x:c r="C92" s="14" t="n">
        <x:v>3</x:v>
      </x:c>
      <x:c r="D92" s="14" t="n">
        <x:v>22</x:v>
      </x:c>
      <x:c r="E92" s="14" t="str">
        <x:f>INDEX(Roster!$B$6:$B$108,MATCH(D92,Roster!$A$6:$A$108,0))</x:f>
        <x:v>Principal</x:v>
      </x:c>
      <x:c r="F92" s="14" t="str">
        <x:f>INDEX(Roster!$F$6:$F$108,MATCH(D92,Roster!$A$6:$A$108,0))</x:f>
        <x:v>No</x:v>
      </x:c>
      <x:c r="G92" s="14" t="n">
        <x:f>INDEX(Inputs!$B$7:$D$7,1,MATCH(A92,Inputs!$B$6:$D$6,0))</x:f>
        <x:v>13</x:v>
      </x:c>
      <x:c r="H92" s="14" t="n">
        <x:f>MIN(=INDEX(Inputs!$B$7:$D$7,1,MATCH(A92,Inputs!$B$6:$D$6,0)),MAX(0,INDEX(Inputs!$B$14:$D$14,1,MATCH(A92,Inputs!$B$6:$D$6,0))-(C92-1)*=INDEX(Inputs!$B$7:$D$7,1,MATCH(A92,Inputs!$B$6:$D$6,0))))</x:f>
        <x:v>13</x:v>
      </x:c>
      <x:c r="I92" s="20" t="n">
        <x:f>INDEX(Inputs!$B$8:$D$8,1,MATCH(A92,Inputs!$B$6:$D$6,0))</x:f>
        <x:v>2395</x:v>
      </x:c>
      <x:c r="J92" s="20" t="n">
        <x:f>INDEX(Roster!$C$6:$C$108,MATCH(D92,Roster!$A$6:$A$108,0))*(1+INDEX(Inputs!$B$9:$D$9,1,MATCH(A92,Inputs!$B$6:$D$6,0)))</x:f>
        <x:v>800</x:v>
      </x:c>
      <x:c r="K92" s="20" t="n">
        <x:f>IF(=INDEX(Roster!$F$6:$F$108,MATCH(D92,Roster!$A$6:$A$108,0))="Yes",0,=INDEX(Inputs!$B$8:$D$8,1,MATCH(A92,Inputs!$B$6:$D$6,0))*IF(=INDEX(Roster!$B$6:$B$108,MATCH(D92,Roster!$A$6:$A$108,0))="Principal",INDEX(Inputs!$B$10:$D$10,1,MATCH(A92,Inputs!$B$6:$D$6,0)),IF(=INDEX(Roster!$B$6:$B$108,MATCH(D92,Roster!$A$6:$A$108,0))="Associate Principal",INDEX(Inputs!$B$11:$D$11,1,MATCH(A92,Inputs!$B$6:$D$6,0)),IF(=INDEX(Roster!$B$6:$B$108,MATCH(D92,Roster!$A$6:$A$108,0))="Assistant Principal",INDEX(Inputs!$B$12:$D$12,1,MATCH(A92,Inputs!$B$6:$D$6,0)),0))))</x:f>
        <x:v>479</x:v>
      </x:c>
      <x:c r="L92" s="20" t="n">
        <x:f>IF(INDEX(Roster!$D$6:$D$108,MATCH(D92,Roster!$A$6:$A$108,0))&gt;=25,INDEX(Inputs!$B$19:$D$19,1,MATCH(A92,Inputs!$B$6:$D$6,0)),IF(INDEX(Roster!$D$6:$D$108,MATCH(D92,Roster!$A$6:$A$108,0))&gt;=20,INDEX(Inputs!$B$18:$D$18,1,MATCH(A92,Inputs!$B$6:$D$6,0)),IF(INDEX(Roster!$D$6:$D$108,MATCH(D92,Roster!$A$6:$A$108,0))&gt;=15,INDEX(Inputs!$B$17:$D$17,1,MATCH(A92,Inputs!$B$6:$D$6,0)),IF(INDEX(Roster!$D$6:$D$108,MATCH(D92,Roster!$A$6:$A$108,0))&gt;=10,INDEX(Inputs!$B$16:$D$16,1,MATCH(A92,Inputs!$B$6:$D$6,0)),IF(INDEX(Roster!$D$6:$D$108,MATCH(D92,Roster!$A$6:$A$108,0))&gt;=5,INDEX(Inputs!$B$15:$D$15,1,MATCH(A92,Inputs!$B$6:$D$6,0)),0)))))</x:f>
        <x:v>50</x:v>
      </x:c>
      <x:c r="M92" s="20" t="n">
        <x:f>G92*I92</x:f>
        <x:v>31135</x:v>
      </x:c>
      <x:c r="N92" s="20" t="n">
        <x:f>G92*J92</x:f>
        <x:v>10400</x:v>
      </x:c>
      <x:c r="O92" s="20" t="n">
        <x:f>G92*K92</x:f>
        <x:v>6227</x:v>
      </x:c>
      <x:c r="P92" s="20" t="n">
        <x:f>G92*L92</x:f>
        <x:v>650</x:v>
      </x:c>
      <x:c r="Q92" s="20" t="n">
        <x:f>H92*INDEX(Inputs!$B$13:$D$13,1,MATCH(A92,Inputs!$B$6:$D$6,0))</x:f>
        <x:v>390</x:v>
      </x:c>
      <x:c r="R92" s="20" t="n">
        <x:f>SUM(M92:Q92)</x:f>
        <x:v>48802</x:v>
      </x:c>
      <x:c r="S92" s="20" t="n">
        <x:f>IF(AND(A91=A92,D91=D92),S91+R92,R92)</x:f>
        <x:v>146406</x:v>
      </x:c>
      <x:c r="T92" s="20" t="n">
        <x:f>MIN(S92,INDEX(Inputs!$B$20:$D$20,1,MATCH(A92,Inputs!$B$6:$D$6,0)))*INDEX(Inputs!$B$22:$D$22,1,MATCH(A92,Inputs!$B$6:$D$6,0))+MAX(MIN(S92,INDEX(Inputs!$B$21:$D$21,1,MATCH(A92,Inputs!$B$6:$D$6,0)))-INDEX(Inputs!$B$20:$D$20,1,MATCH(A92,Inputs!$B$6:$D$6,0)),0)*INDEX(Inputs!$B$23:$D$23,1,MATCH(A92,Inputs!$B$6:$D$6,0))+MAX(S92-INDEX(Inputs!$B$21:$D$21,1,MATCH(A92,Inputs!$B$6:$D$6,0)),0)*INDEX(Inputs!$B$24:$D$24,1,MATCH(A92,Inputs!$B$6:$D$6,0))</x:f>
        <x:v>10036.829</x:v>
      </x:c>
      <x:c r="U92" s="20" t="n">
        <x:f>IF(AND(A91=A92,D91=D92),T91,0)</x:f>
        <x:v>7956.706</x:v>
      </x:c>
      <x:c r="V92" s="20" t="n">
        <x:f>T92-U92</x:f>
        <x:v>2080.1229999999996</x:v>
      </x:c>
      <x:c r="W92" s="20" t="n">
        <x:f>R92+V92</x:f>
        <x:v>50882.123</x:v>
      </x:c>
      <x:c r="X92" s="14" t="str">
        <x:f>IF(ABS(W92-SUM(M92:Q92)-V92)&lt;0.01,"OK","Check")</x:f>
        <x:v>OK</x:v>
      </x:c>
    </x:row>
    <x:row r="93">
      <x:c r="A93" s="14" t="n">
        <x:v>2026</x:v>
      </x:c>
      <x:c r="B93" s="14" t="str">
        <x:v>Q4</x:v>
      </x:c>
      <x:c r="C93" s="14" t="n">
        <x:v>4</x:v>
      </x:c>
      <x:c r="D93" s="14" t="n">
        <x:v>22</x:v>
      </x:c>
      <x:c r="E93" s="14" t="str">
        <x:f>INDEX(Roster!$B$6:$B$108,MATCH(D93,Roster!$A$6:$A$108,0))</x:f>
        <x:v>Principal</x:v>
      </x:c>
      <x:c r="F93" s="14" t="str">
        <x:f>INDEX(Roster!$F$6:$F$108,MATCH(D93,Roster!$A$6:$A$108,0))</x:f>
        <x:v>No</x:v>
      </x:c>
      <x:c r="G93" s="14" t="n">
        <x:f>INDEX(Inputs!$B$7:$D$7,1,MATCH(A93,Inputs!$B$6:$D$6,0))</x:f>
        <x:v>13</x:v>
      </x:c>
      <x:c r="H93" s="14" t="n">
        <x:f>MIN(=INDEX(Inputs!$B$7:$D$7,1,MATCH(A93,Inputs!$B$6:$D$6,0)),MAX(0,INDEX(Inputs!$B$14:$D$14,1,MATCH(A93,Inputs!$B$6:$D$6,0))-(C93-1)*=INDEX(Inputs!$B$7:$D$7,1,MATCH(A93,Inputs!$B$6:$D$6,0))))</x:f>
        <x:v>0</x:v>
      </x:c>
      <x:c r="I93" s="20" t="n">
        <x:f>INDEX(Inputs!$B$8:$D$8,1,MATCH(A93,Inputs!$B$6:$D$6,0))</x:f>
        <x:v>2395</x:v>
      </x:c>
      <x:c r="J93" s="20" t="n">
        <x:f>INDEX(Roster!$C$6:$C$108,MATCH(D93,Roster!$A$6:$A$108,0))*(1+INDEX(Inputs!$B$9:$D$9,1,MATCH(A93,Inputs!$B$6:$D$6,0)))</x:f>
        <x:v>800</x:v>
      </x:c>
      <x:c r="K93" s="20" t="n">
        <x:f>IF(=INDEX(Roster!$F$6:$F$108,MATCH(D93,Roster!$A$6:$A$108,0))="Yes",0,=INDEX(Inputs!$B$8:$D$8,1,MATCH(A93,Inputs!$B$6:$D$6,0))*IF(=INDEX(Roster!$B$6:$B$108,MATCH(D93,Roster!$A$6:$A$108,0))="Principal",INDEX(Inputs!$B$10:$D$10,1,MATCH(A93,Inputs!$B$6:$D$6,0)),IF(=INDEX(Roster!$B$6:$B$108,MATCH(D93,Roster!$A$6:$A$108,0))="Associate Principal",INDEX(Inputs!$B$11:$D$11,1,MATCH(A93,Inputs!$B$6:$D$6,0)),IF(=INDEX(Roster!$B$6:$B$108,MATCH(D93,Roster!$A$6:$A$108,0))="Assistant Principal",INDEX(Inputs!$B$12:$D$12,1,MATCH(A93,Inputs!$B$6:$D$6,0)),0))))</x:f>
        <x:v>479</x:v>
      </x:c>
      <x:c r="L93" s="20" t="n">
        <x:f>IF(INDEX(Roster!$D$6:$D$108,MATCH(D93,Roster!$A$6:$A$108,0))&gt;=25,INDEX(Inputs!$B$19:$D$19,1,MATCH(A93,Inputs!$B$6:$D$6,0)),IF(INDEX(Roster!$D$6:$D$108,MATCH(D93,Roster!$A$6:$A$108,0))&gt;=20,INDEX(Inputs!$B$18:$D$18,1,MATCH(A93,Inputs!$B$6:$D$6,0)),IF(INDEX(Roster!$D$6:$D$108,MATCH(D93,Roster!$A$6:$A$108,0))&gt;=15,INDEX(Inputs!$B$17:$D$17,1,MATCH(A93,Inputs!$B$6:$D$6,0)),IF(INDEX(Roster!$D$6:$D$108,MATCH(D93,Roster!$A$6:$A$108,0))&gt;=10,INDEX(Inputs!$B$16:$D$16,1,MATCH(A93,Inputs!$B$6:$D$6,0)),IF(INDEX(Roster!$D$6:$D$108,MATCH(D93,Roster!$A$6:$A$108,0))&gt;=5,INDEX(Inputs!$B$15:$D$15,1,MATCH(A93,Inputs!$B$6:$D$6,0)),0)))))</x:f>
        <x:v>50</x:v>
      </x:c>
      <x:c r="M93" s="20" t="n">
        <x:f>G93*I93</x:f>
        <x:v>31135</x:v>
      </x:c>
      <x:c r="N93" s="20" t="n">
        <x:f>G93*J93</x:f>
        <x:v>10400</x:v>
      </x:c>
      <x:c r="O93" s="20" t="n">
        <x:f>G93*K93</x:f>
        <x:v>6227</x:v>
      </x:c>
      <x:c r="P93" s="20" t="n">
        <x:f>G93*L93</x:f>
        <x:v>650</x:v>
      </x:c>
      <x:c r="Q93" s="20" t="n">
        <x:f>H93*INDEX(Inputs!$B$13:$D$13,1,MATCH(A93,Inputs!$B$6:$D$6,0))</x:f>
        <x:v>0</x:v>
      </x:c>
      <x:c r="R93" s="20" t="n">
        <x:f>SUM(M93:Q93)</x:f>
        <x:v>48412</x:v>
      </x:c>
      <x:c r="S93" s="20" t="n">
        <x:f>IF(AND(A92=A93,D92=D93),S92+R93,R93)</x:f>
        <x:v>194818</x:v>
      </x:c>
      <x:c r="T93" s="20" t="n">
        <x:f>MIN(S93,INDEX(Inputs!$B$20:$D$20,1,MATCH(A93,Inputs!$B$6:$D$6,0)))*INDEX(Inputs!$B$22:$D$22,1,MATCH(A93,Inputs!$B$6:$D$6,0))+MAX(MIN(S93,INDEX(Inputs!$B$21:$D$21,1,MATCH(A93,Inputs!$B$6:$D$6,0)))-INDEX(Inputs!$B$20:$D$20,1,MATCH(A93,Inputs!$B$6:$D$6,0)),0)*INDEX(Inputs!$B$23:$D$23,1,MATCH(A93,Inputs!$B$6:$D$6,0))+MAX(S93-INDEX(Inputs!$B$21:$D$21,1,MATCH(A93,Inputs!$B$6:$D$6,0)),0)*INDEX(Inputs!$B$24:$D$24,1,MATCH(A93,Inputs!$B$6:$D$6,0))</x:f>
        <x:v>10738.803</x:v>
      </x:c>
      <x:c r="U93" s="20" t="n">
        <x:f>IF(AND(A92=A93,D92=D93),T92,0)</x:f>
        <x:v>10036.829</x:v>
      </x:c>
      <x:c r="V93" s="20" t="n">
        <x:f>T93-U93</x:f>
        <x:v>701.9740000000002</x:v>
      </x:c>
      <x:c r="W93" s="20" t="n">
        <x:f>R93+V93</x:f>
        <x:v>49113.974</x:v>
      </x:c>
      <x:c r="X93" s="14" t="str">
        <x:f>IF(ABS(W93-SUM(M93:Q93)-V93)&lt;0.01,"OK","Check")</x:f>
        <x:v>OK</x:v>
      </x:c>
    </x:row>
    <x:row r="94">
      <x:c r="A94" s="14" t="n">
        <x:v>2026</x:v>
      </x:c>
      <x:c r="B94" s="14" t="str">
        <x:v>Q1</x:v>
      </x:c>
      <x:c r="C94" s="14" t="n">
        <x:v>1</x:v>
      </x:c>
      <x:c r="D94" s="14" t="n">
        <x:v>23</x:v>
      </x:c>
      <x:c r="E94" s="14" t="str">
        <x:f>INDEX(Roster!$B$6:$B$108,MATCH(D94,Roster!$A$6:$A$108,0))</x:f>
      </x:c>
      <x:c r="F94" s="14" t="str">
        <x:f>INDEX(Roster!$F$6:$F$108,MATCH(D94,Roster!$A$6:$A$108,0))</x:f>
        <x:v>No</x:v>
      </x:c>
      <x:c r="G94" s="14" t="n">
        <x:f>INDEX(Inputs!$B$7:$D$7,1,MATCH(A94,Inputs!$B$6:$D$6,0))</x:f>
        <x:v>13</x:v>
      </x:c>
      <x:c r="H94" s="14" t="n">
        <x:f>MIN(=INDEX(Inputs!$B$7:$D$7,1,MATCH(A94,Inputs!$B$6:$D$6,0)),MAX(0,INDEX(Inputs!$B$14:$D$14,1,MATCH(A94,Inputs!$B$6:$D$6,0))-(C94-1)*=INDEX(Inputs!$B$7:$D$7,1,MATCH(A94,Inputs!$B$6:$D$6,0))))</x:f>
        <x:v>13</x:v>
      </x:c>
      <x:c r="I94" s="20" t="n">
        <x:f>INDEX(Inputs!$B$8:$D$8,1,MATCH(A94,Inputs!$B$6:$D$6,0))</x:f>
        <x:v>2395</x:v>
      </x:c>
      <x:c r="J94" s="20" t="n">
        <x:f>INDEX(Roster!$C$6:$C$108,MATCH(D94,Roster!$A$6:$A$108,0))*(1+INDEX(Inputs!$B$9:$D$9,1,MATCH(A94,Inputs!$B$6:$D$6,0)))</x:f>
        <x:v>400</x:v>
      </x:c>
      <x:c r="K94" s="20" t="n">
        <x:f>IF(=INDEX(Roster!$F$6:$F$108,MATCH(D94,Roster!$A$6:$A$108,0))="Yes",0,=INDEX(Inputs!$B$8:$D$8,1,MATCH(A94,Inputs!$B$6:$D$6,0))*IF(=INDEX(Roster!$B$6:$B$108,MATCH(D94,Roster!$A$6:$A$108,0))="Principal",INDEX(Inputs!$B$10:$D$10,1,MATCH(A94,Inputs!$B$6:$D$6,0)),IF(=INDEX(Roster!$B$6:$B$108,MATCH(D94,Roster!$A$6:$A$108,0))="Associate Principal",INDEX(Inputs!$B$11:$D$11,1,MATCH(A94,Inputs!$B$6:$D$6,0)),IF(=INDEX(Roster!$B$6:$B$108,MATCH(D94,Roster!$A$6:$A$108,0))="Assistant Principal",INDEX(Inputs!$B$12:$D$12,1,MATCH(A94,Inputs!$B$6:$D$6,0)),0))))</x:f>
        <x:v>0</x:v>
      </x:c>
      <x:c r="L94" s="20" t="n">
        <x:f>IF(INDEX(Roster!$D$6:$D$108,MATCH(D94,Roster!$A$6:$A$108,0))&gt;=25,INDEX(Inputs!$B$19:$D$19,1,MATCH(A94,Inputs!$B$6:$D$6,0)),IF(INDEX(Roster!$D$6:$D$108,MATCH(D94,Roster!$A$6:$A$108,0))&gt;=20,INDEX(Inputs!$B$18:$D$18,1,MATCH(A94,Inputs!$B$6:$D$6,0)),IF(INDEX(Roster!$D$6:$D$108,MATCH(D94,Roster!$A$6:$A$108,0))&gt;=15,INDEX(Inputs!$B$17:$D$17,1,MATCH(A94,Inputs!$B$6:$D$6,0)),IF(INDEX(Roster!$D$6:$D$108,MATCH(D94,Roster!$A$6:$A$108,0))&gt;=10,INDEX(Inputs!$B$16:$D$16,1,MATCH(A94,Inputs!$B$6:$D$6,0)),IF(INDEX(Roster!$D$6:$D$108,MATCH(D94,Roster!$A$6:$A$108,0))&gt;=5,INDEX(Inputs!$B$15:$D$15,1,MATCH(A94,Inputs!$B$6:$D$6,0)),0)))))</x:f>
        <x:v>50</x:v>
      </x:c>
      <x:c r="M94" s="20" t="n">
        <x:f>G94*I94</x:f>
        <x:v>31135</x:v>
      </x:c>
      <x:c r="N94" s="20" t="n">
        <x:f>G94*J94</x:f>
        <x:v>5200</x:v>
      </x:c>
      <x:c r="O94" s="20" t="n">
        <x:f>G94*K94</x:f>
        <x:v>0</x:v>
      </x:c>
      <x:c r="P94" s="20" t="n">
        <x:f>G94*L94</x:f>
        <x:v>650</x:v>
      </x:c>
      <x:c r="Q94" s="20" t="n">
        <x:f>H94*INDEX(Inputs!$B$13:$D$13,1,MATCH(A94,Inputs!$B$6:$D$6,0))</x:f>
        <x:v>390</x:v>
      </x:c>
      <x:c r="R94" s="20" t="n">
        <x:f>SUM(M94:Q94)</x:f>
        <x:v>37375</x:v>
      </x:c>
      <x:c r="S94" s="20" t="n">
        <x:f>IF(AND(A93=A94,D93=D94),S93+R94,R94)</x:f>
        <x:v>37375</x:v>
      </x:c>
      <x:c r="T94" s="20" t="n">
        <x:f>MIN(S94,INDEX(Inputs!$B$20:$D$20,1,MATCH(A94,Inputs!$B$6:$D$6,0)))*INDEX(Inputs!$B$22:$D$22,1,MATCH(A94,Inputs!$B$6:$D$6,0))+MAX(MIN(S94,INDEX(Inputs!$B$21:$D$21,1,MATCH(A94,Inputs!$B$6:$D$6,0)))-INDEX(Inputs!$B$20:$D$20,1,MATCH(A94,Inputs!$B$6:$D$6,0)),0)*INDEX(Inputs!$B$23:$D$23,1,MATCH(A94,Inputs!$B$6:$D$6,0))+MAX(S94-INDEX(Inputs!$B$21:$D$21,1,MATCH(A94,Inputs!$B$6:$D$6,0)),0)*INDEX(Inputs!$B$24:$D$24,1,MATCH(A94,Inputs!$B$6:$D$6,0))</x:f>
        <x:v>3349.1875</x:v>
      </x:c>
      <x:c r="U94" s="20" t="n">
        <x:f>IF(AND(A93=A94,D93=D94),T93,0)</x:f>
        <x:v>0</x:v>
      </x:c>
      <x:c r="V94" s="20" t="n">
        <x:f>T94-U94</x:f>
        <x:v>3349.1875</x:v>
      </x:c>
      <x:c r="W94" s="20" t="n">
        <x:f>R94+V94</x:f>
        <x:v>40724.1875</x:v>
      </x:c>
      <x:c r="X94" s="14" t="str">
        <x:f>IF(ABS(W94-SUM(M94:Q94)-V94)&lt;0.01,"OK","Check")</x:f>
        <x:v>OK</x:v>
      </x:c>
    </x:row>
    <x:row r="95">
      <x:c r="A95" s="14" t="n">
        <x:v>2026</x:v>
      </x:c>
      <x:c r="B95" s="14" t="str">
        <x:v>Q2</x:v>
      </x:c>
      <x:c r="C95" s="14" t="n">
        <x:v>2</x:v>
      </x:c>
      <x:c r="D95" s="14" t="n">
        <x:v>23</x:v>
      </x:c>
      <x:c r="E95" s="14" t="str">
        <x:f>INDEX(Roster!$B$6:$B$108,MATCH(D95,Roster!$A$6:$A$108,0))</x:f>
      </x:c>
      <x:c r="F95" s="14" t="str">
        <x:f>INDEX(Roster!$F$6:$F$108,MATCH(D95,Roster!$A$6:$A$108,0))</x:f>
        <x:v>No</x:v>
      </x:c>
      <x:c r="G95" s="14" t="n">
        <x:f>INDEX(Inputs!$B$7:$D$7,1,MATCH(A95,Inputs!$B$6:$D$6,0))</x:f>
        <x:v>13</x:v>
      </x:c>
      <x:c r="H95" s="14" t="n">
        <x:f>MIN(=INDEX(Inputs!$B$7:$D$7,1,MATCH(A95,Inputs!$B$6:$D$6,0)),MAX(0,INDEX(Inputs!$B$14:$D$14,1,MATCH(A95,Inputs!$B$6:$D$6,0))-(C95-1)*=INDEX(Inputs!$B$7:$D$7,1,MATCH(A95,Inputs!$B$6:$D$6,0))))</x:f>
        <x:v>13</x:v>
      </x:c>
      <x:c r="I95" s="20" t="n">
        <x:f>INDEX(Inputs!$B$8:$D$8,1,MATCH(A95,Inputs!$B$6:$D$6,0))</x:f>
        <x:v>2395</x:v>
      </x:c>
      <x:c r="J95" s="20" t="n">
        <x:f>INDEX(Roster!$C$6:$C$108,MATCH(D95,Roster!$A$6:$A$108,0))*(1+INDEX(Inputs!$B$9:$D$9,1,MATCH(A95,Inputs!$B$6:$D$6,0)))</x:f>
        <x:v>400</x:v>
      </x:c>
      <x:c r="K95" s="20" t="n">
        <x:f>IF(=INDEX(Roster!$F$6:$F$108,MATCH(D95,Roster!$A$6:$A$108,0))="Yes",0,=INDEX(Inputs!$B$8:$D$8,1,MATCH(A95,Inputs!$B$6:$D$6,0))*IF(=INDEX(Roster!$B$6:$B$108,MATCH(D95,Roster!$A$6:$A$108,0))="Principal",INDEX(Inputs!$B$10:$D$10,1,MATCH(A95,Inputs!$B$6:$D$6,0)),IF(=INDEX(Roster!$B$6:$B$108,MATCH(D95,Roster!$A$6:$A$108,0))="Associate Principal",INDEX(Inputs!$B$11:$D$11,1,MATCH(A95,Inputs!$B$6:$D$6,0)),IF(=INDEX(Roster!$B$6:$B$108,MATCH(D95,Roster!$A$6:$A$108,0))="Assistant Principal",INDEX(Inputs!$B$12:$D$12,1,MATCH(A95,Inputs!$B$6:$D$6,0)),0))))</x:f>
        <x:v>0</x:v>
      </x:c>
      <x:c r="L95" s="20" t="n">
        <x:f>IF(INDEX(Roster!$D$6:$D$108,MATCH(D95,Roster!$A$6:$A$108,0))&gt;=25,INDEX(Inputs!$B$19:$D$19,1,MATCH(A95,Inputs!$B$6:$D$6,0)),IF(INDEX(Roster!$D$6:$D$108,MATCH(D95,Roster!$A$6:$A$108,0))&gt;=20,INDEX(Inputs!$B$18:$D$18,1,MATCH(A95,Inputs!$B$6:$D$6,0)),IF(INDEX(Roster!$D$6:$D$108,MATCH(D95,Roster!$A$6:$A$108,0))&gt;=15,INDEX(Inputs!$B$17:$D$17,1,MATCH(A95,Inputs!$B$6:$D$6,0)),IF(INDEX(Roster!$D$6:$D$108,MATCH(D95,Roster!$A$6:$A$108,0))&gt;=10,INDEX(Inputs!$B$16:$D$16,1,MATCH(A95,Inputs!$B$6:$D$6,0)),IF(INDEX(Roster!$D$6:$D$108,MATCH(D95,Roster!$A$6:$A$108,0))&gt;=5,INDEX(Inputs!$B$15:$D$15,1,MATCH(A95,Inputs!$B$6:$D$6,0)),0)))))</x:f>
        <x:v>50</x:v>
      </x:c>
      <x:c r="M95" s="20" t="n">
        <x:f>G95*I95</x:f>
        <x:v>31135</x:v>
      </x:c>
      <x:c r="N95" s="20" t="n">
        <x:f>G95*J95</x:f>
        <x:v>5200</x:v>
      </x:c>
      <x:c r="O95" s="20" t="n">
        <x:f>G95*K95</x:f>
        <x:v>0</x:v>
      </x:c>
      <x:c r="P95" s="20" t="n">
        <x:f>G95*L95</x:f>
        <x:v>650</x:v>
      </x:c>
      <x:c r="Q95" s="20" t="n">
        <x:f>H95*INDEX(Inputs!$B$13:$D$13,1,MATCH(A95,Inputs!$B$6:$D$6,0))</x:f>
        <x:v>390</x:v>
      </x:c>
      <x:c r="R95" s="20" t="n">
        <x:f>SUM(M95:Q95)</x:f>
        <x:v>37375</x:v>
      </x:c>
      <x:c r="S95" s="20" t="n">
        <x:f>IF(AND(A94=A95,D94=D95),S94+R95,R95)</x:f>
        <x:v>74750</x:v>
      </x:c>
      <x:c r="T95" s="20" t="n">
        <x:f>MIN(S95,INDEX(Inputs!$B$20:$D$20,1,MATCH(A95,Inputs!$B$6:$D$6,0)))*INDEX(Inputs!$B$22:$D$22,1,MATCH(A95,Inputs!$B$6:$D$6,0))+MAX(MIN(S95,INDEX(Inputs!$B$21:$D$21,1,MATCH(A95,Inputs!$B$6:$D$6,0)))-INDEX(Inputs!$B$20:$D$20,1,MATCH(A95,Inputs!$B$6:$D$6,0)),0)*INDEX(Inputs!$B$23:$D$23,1,MATCH(A95,Inputs!$B$6:$D$6,0))+MAX(S95-INDEX(Inputs!$B$21:$D$21,1,MATCH(A95,Inputs!$B$6:$D$6,0)),0)*INDEX(Inputs!$B$24:$D$24,1,MATCH(A95,Inputs!$B$6:$D$6,0))</x:f>
        <x:v>6208.375</x:v>
      </x:c>
      <x:c r="U95" s="20" t="n">
        <x:f>IF(AND(A94=A95,D94=D95),T94,0)</x:f>
        <x:v>3349.1875</x:v>
      </x:c>
      <x:c r="V95" s="20" t="n">
        <x:f>T95-U95</x:f>
        <x:v>2859.1875</x:v>
      </x:c>
      <x:c r="W95" s="20" t="n">
        <x:f>R95+V95</x:f>
        <x:v>40234.1875</x:v>
      </x:c>
      <x:c r="X95" s="14" t="str">
        <x:f>IF(ABS(W95-SUM(M95:Q95)-V95)&lt;0.01,"OK","Check")</x:f>
        <x:v>OK</x:v>
      </x:c>
    </x:row>
    <x:row r="96">
      <x:c r="A96" s="14" t="n">
        <x:v>2026</x:v>
      </x:c>
      <x:c r="B96" s="14" t="str">
        <x:v>Q3</x:v>
      </x:c>
      <x:c r="C96" s="14" t="n">
        <x:v>3</x:v>
      </x:c>
      <x:c r="D96" s="14" t="n">
        <x:v>23</x:v>
      </x:c>
      <x:c r="E96" s="14" t="str">
        <x:f>INDEX(Roster!$B$6:$B$108,MATCH(D96,Roster!$A$6:$A$108,0))</x:f>
      </x:c>
      <x:c r="F96" s="14" t="str">
        <x:f>INDEX(Roster!$F$6:$F$108,MATCH(D96,Roster!$A$6:$A$108,0))</x:f>
        <x:v>No</x:v>
      </x:c>
      <x:c r="G96" s="14" t="n">
        <x:f>INDEX(Inputs!$B$7:$D$7,1,MATCH(A96,Inputs!$B$6:$D$6,0))</x:f>
        <x:v>13</x:v>
      </x:c>
      <x:c r="H96" s="14" t="n">
        <x:f>MIN(=INDEX(Inputs!$B$7:$D$7,1,MATCH(A96,Inputs!$B$6:$D$6,0)),MAX(0,INDEX(Inputs!$B$14:$D$14,1,MATCH(A96,Inputs!$B$6:$D$6,0))-(C96-1)*=INDEX(Inputs!$B$7:$D$7,1,MATCH(A96,Inputs!$B$6:$D$6,0))))</x:f>
        <x:v>13</x:v>
      </x:c>
      <x:c r="I96" s="20" t="n">
        <x:f>INDEX(Inputs!$B$8:$D$8,1,MATCH(A96,Inputs!$B$6:$D$6,0))</x:f>
        <x:v>2395</x:v>
      </x:c>
      <x:c r="J96" s="20" t="n">
        <x:f>INDEX(Roster!$C$6:$C$108,MATCH(D96,Roster!$A$6:$A$108,0))*(1+INDEX(Inputs!$B$9:$D$9,1,MATCH(A96,Inputs!$B$6:$D$6,0)))</x:f>
        <x:v>400</x:v>
      </x:c>
      <x:c r="K96" s="20" t="n">
        <x:f>IF(=INDEX(Roster!$F$6:$F$108,MATCH(D96,Roster!$A$6:$A$108,0))="Yes",0,=INDEX(Inputs!$B$8:$D$8,1,MATCH(A96,Inputs!$B$6:$D$6,0))*IF(=INDEX(Roster!$B$6:$B$108,MATCH(D96,Roster!$A$6:$A$108,0))="Principal",INDEX(Inputs!$B$10:$D$10,1,MATCH(A96,Inputs!$B$6:$D$6,0)),IF(=INDEX(Roster!$B$6:$B$108,MATCH(D96,Roster!$A$6:$A$108,0))="Associate Principal",INDEX(Inputs!$B$11:$D$11,1,MATCH(A96,Inputs!$B$6:$D$6,0)),IF(=INDEX(Roster!$B$6:$B$108,MATCH(D96,Roster!$A$6:$A$108,0))="Assistant Principal",INDEX(Inputs!$B$12:$D$12,1,MATCH(A96,Inputs!$B$6:$D$6,0)),0))))</x:f>
        <x:v>0</x:v>
      </x:c>
      <x:c r="L96" s="20" t="n">
        <x:f>IF(INDEX(Roster!$D$6:$D$108,MATCH(D96,Roster!$A$6:$A$108,0))&gt;=25,INDEX(Inputs!$B$19:$D$19,1,MATCH(A96,Inputs!$B$6:$D$6,0)),IF(INDEX(Roster!$D$6:$D$108,MATCH(D96,Roster!$A$6:$A$108,0))&gt;=20,INDEX(Inputs!$B$18:$D$18,1,MATCH(A96,Inputs!$B$6:$D$6,0)),IF(INDEX(Roster!$D$6:$D$108,MATCH(D96,Roster!$A$6:$A$108,0))&gt;=15,INDEX(Inputs!$B$17:$D$17,1,MATCH(A96,Inputs!$B$6:$D$6,0)),IF(INDEX(Roster!$D$6:$D$108,MATCH(D96,Roster!$A$6:$A$108,0))&gt;=10,INDEX(Inputs!$B$16:$D$16,1,MATCH(A96,Inputs!$B$6:$D$6,0)),IF(INDEX(Roster!$D$6:$D$108,MATCH(D96,Roster!$A$6:$A$108,0))&gt;=5,INDEX(Inputs!$B$15:$D$15,1,MATCH(A96,Inputs!$B$6:$D$6,0)),0)))))</x:f>
        <x:v>50</x:v>
      </x:c>
      <x:c r="M96" s="20" t="n">
        <x:f>G96*I96</x:f>
        <x:v>31135</x:v>
      </x:c>
      <x:c r="N96" s="20" t="n">
        <x:f>G96*J96</x:f>
        <x:v>5200</x:v>
      </x:c>
      <x:c r="O96" s="20" t="n">
        <x:f>G96*K96</x:f>
        <x:v>0</x:v>
      </x:c>
      <x:c r="P96" s="20" t="n">
        <x:f>G96*L96</x:f>
        <x:v>650</x:v>
      </x:c>
      <x:c r="Q96" s="20" t="n">
        <x:f>H96*INDEX(Inputs!$B$13:$D$13,1,MATCH(A96,Inputs!$B$6:$D$6,0))</x:f>
        <x:v>390</x:v>
      </x:c>
      <x:c r="R96" s="20" t="n">
        <x:f>SUM(M96:Q96)</x:f>
        <x:v>37375</x:v>
      </x:c>
      <x:c r="S96" s="20" t="n">
        <x:f>IF(AND(A95=A96,D95=D96),S95+R96,R96)</x:f>
        <x:v>112125</x:v>
      </x:c>
      <x:c r="T96" s="20" t="n">
        <x:f>MIN(S96,INDEX(Inputs!$B$20:$D$20,1,MATCH(A96,Inputs!$B$6:$D$6,0)))*INDEX(Inputs!$B$22:$D$22,1,MATCH(A96,Inputs!$B$6:$D$6,0))+MAX(MIN(S96,INDEX(Inputs!$B$21:$D$21,1,MATCH(A96,Inputs!$B$6:$D$6,0)))-INDEX(Inputs!$B$20:$D$20,1,MATCH(A96,Inputs!$B$6:$D$6,0)),0)*INDEX(Inputs!$B$23:$D$23,1,MATCH(A96,Inputs!$B$6:$D$6,0))+MAX(S96-INDEX(Inputs!$B$21:$D$21,1,MATCH(A96,Inputs!$B$6:$D$6,0)),0)*INDEX(Inputs!$B$24:$D$24,1,MATCH(A96,Inputs!$B$6:$D$6,0))</x:f>
        <x:v>9067.5625</x:v>
      </x:c>
      <x:c r="U96" s="20" t="n">
        <x:f>IF(AND(A95=A96,D95=D96),T95,0)</x:f>
        <x:v>6208.375</x:v>
      </x:c>
      <x:c r="V96" s="20" t="n">
        <x:f>T96-U96</x:f>
        <x:v>2859.1875</x:v>
      </x:c>
      <x:c r="W96" s="20" t="n">
        <x:f>R96+V96</x:f>
        <x:v>40234.1875</x:v>
      </x:c>
      <x:c r="X96" s="14" t="str">
        <x:f>IF(ABS(W96-SUM(M96:Q96)-V96)&lt;0.01,"OK","Check")</x:f>
        <x:v>OK</x:v>
      </x:c>
    </x:row>
    <x:row r="97">
      <x:c r="A97" s="14" t="n">
        <x:v>2026</x:v>
      </x:c>
      <x:c r="B97" s="14" t="str">
        <x:v>Q4</x:v>
      </x:c>
      <x:c r="C97" s="14" t="n">
        <x:v>4</x:v>
      </x:c>
      <x:c r="D97" s="14" t="n">
        <x:v>23</x:v>
      </x:c>
      <x:c r="E97" s="14" t="str">
        <x:f>INDEX(Roster!$B$6:$B$108,MATCH(D97,Roster!$A$6:$A$108,0))</x:f>
      </x:c>
      <x:c r="F97" s="14" t="str">
        <x:f>INDEX(Roster!$F$6:$F$108,MATCH(D97,Roster!$A$6:$A$108,0))</x:f>
        <x:v>No</x:v>
      </x:c>
      <x:c r="G97" s="14" t="n">
        <x:f>INDEX(Inputs!$B$7:$D$7,1,MATCH(A97,Inputs!$B$6:$D$6,0))</x:f>
        <x:v>13</x:v>
      </x:c>
      <x:c r="H97" s="14" t="n">
        <x:f>MIN(=INDEX(Inputs!$B$7:$D$7,1,MATCH(A97,Inputs!$B$6:$D$6,0)),MAX(0,INDEX(Inputs!$B$14:$D$14,1,MATCH(A97,Inputs!$B$6:$D$6,0))-(C97-1)*=INDEX(Inputs!$B$7:$D$7,1,MATCH(A97,Inputs!$B$6:$D$6,0))))</x:f>
        <x:v>0</x:v>
      </x:c>
      <x:c r="I97" s="20" t="n">
        <x:f>INDEX(Inputs!$B$8:$D$8,1,MATCH(A97,Inputs!$B$6:$D$6,0))</x:f>
        <x:v>2395</x:v>
      </x:c>
      <x:c r="J97" s="20" t="n">
        <x:f>INDEX(Roster!$C$6:$C$108,MATCH(D97,Roster!$A$6:$A$108,0))*(1+INDEX(Inputs!$B$9:$D$9,1,MATCH(A97,Inputs!$B$6:$D$6,0)))</x:f>
        <x:v>400</x:v>
      </x:c>
      <x:c r="K97" s="20" t="n">
        <x:f>IF(=INDEX(Roster!$F$6:$F$108,MATCH(D97,Roster!$A$6:$A$108,0))="Yes",0,=INDEX(Inputs!$B$8:$D$8,1,MATCH(A97,Inputs!$B$6:$D$6,0))*IF(=INDEX(Roster!$B$6:$B$108,MATCH(D97,Roster!$A$6:$A$108,0))="Principal",INDEX(Inputs!$B$10:$D$10,1,MATCH(A97,Inputs!$B$6:$D$6,0)),IF(=INDEX(Roster!$B$6:$B$108,MATCH(D97,Roster!$A$6:$A$108,0))="Associate Principal",INDEX(Inputs!$B$11:$D$11,1,MATCH(A97,Inputs!$B$6:$D$6,0)),IF(=INDEX(Roster!$B$6:$B$108,MATCH(D97,Roster!$A$6:$A$108,0))="Assistant Principal",INDEX(Inputs!$B$12:$D$12,1,MATCH(A97,Inputs!$B$6:$D$6,0)),0))))</x:f>
        <x:v>0</x:v>
      </x:c>
      <x:c r="L97" s="20" t="n">
        <x:f>IF(INDEX(Roster!$D$6:$D$108,MATCH(D97,Roster!$A$6:$A$108,0))&gt;=25,INDEX(Inputs!$B$19:$D$19,1,MATCH(A97,Inputs!$B$6:$D$6,0)),IF(INDEX(Roster!$D$6:$D$108,MATCH(D97,Roster!$A$6:$A$108,0))&gt;=20,INDEX(Inputs!$B$18:$D$18,1,MATCH(A97,Inputs!$B$6:$D$6,0)),IF(INDEX(Roster!$D$6:$D$108,MATCH(D97,Roster!$A$6:$A$108,0))&gt;=15,INDEX(Inputs!$B$17:$D$17,1,MATCH(A97,Inputs!$B$6:$D$6,0)),IF(INDEX(Roster!$D$6:$D$108,MATCH(D97,Roster!$A$6:$A$108,0))&gt;=10,INDEX(Inputs!$B$16:$D$16,1,MATCH(A97,Inputs!$B$6:$D$6,0)),IF(INDEX(Roster!$D$6:$D$108,MATCH(D97,Roster!$A$6:$A$108,0))&gt;=5,INDEX(Inputs!$B$15:$D$15,1,MATCH(A97,Inputs!$B$6:$D$6,0)),0)))))</x:f>
        <x:v>50</x:v>
      </x:c>
      <x:c r="M97" s="20" t="n">
        <x:f>G97*I97</x:f>
        <x:v>31135</x:v>
      </x:c>
      <x:c r="N97" s="20" t="n">
        <x:f>G97*J97</x:f>
        <x:v>5200</x:v>
      </x:c>
      <x:c r="O97" s="20" t="n">
        <x:f>G97*K97</x:f>
        <x:v>0</x:v>
      </x:c>
      <x:c r="P97" s="20" t="n">
        <x:f>G97*L97</x:f>
        <x:v>650</x:v>
      </x:c>
      <x:c r="Q97" s="20" t="n">
        <x:f>H97*INDEX(Inputs!$B$13:$D$13,1,MATCH(A97,Inputs!$B$6:$D$6,0))</x:f>
        <x:v>0</x:v>
      </x:c>
      <x:c r="R97" s="20" t="n">
        <x:f>SUM(M97:Q97)</x:f>
        <x:v>36985</x:v>
      </x:c>
      <x:c r="S97" s="20" t="n">
        <x:f>IF(AND(A96=A97,D96=D97),S96+R97,R97)</x:f>
        <x:v>149110</x:v>
      </x:c>
      <x:c r="T97" s="20" t="n">
        <x:f>MIN(S97,INDEX(Inputs!$B$20:$D$20,1,MATCH(A97,Inputs!$B$6:$D$6,0)))*INDEX(Inputs!$B$22:$D$22,1,MATCH(A97,Inputs!$B$6:$D$6,0))+MAX(MIN(S97,INDEX(Inputs!$B$21:$D$21,1,MATCH(A97,Inputs!$B$6:$D$6,0)))-INDEX(Inputs!$B$20:$D$20,1,MATCH(A97,Inputs!$B$6:$D$6,0)),0)*INDEX(Inputs!$B$23:$D$23,1,MATCH(A97,Inputs!$B$6:$D$6,0))+MAX(S97-INDEX(Inputs!$B$21:$D$21,1,MATCH(A97,Inputs!$B$6:$D$6,0)),0)*INDEX(Inputs!$B$24:$D$24,1,MATCH(A97,Inputs!$B$6:$D$6,0))</x:f>
        <x:v>10076.037</x:v>
      </x:c>
      <x:c r="U97" s="20" t="n">
        <x:f>IF(AND(A96=A97,D96=D97),T96,0)</x:f>
        <x:v>9067.5625</x:v>
      </x:c>
      <x:c r="V97" s="20" t="n">
        <x:f>T97-U97</x:f>
        <x:v>1008.4745000000003</x:v>
      </x:c>
      <x:c r="W97" s="20" t="n">
        <x:f>R97+V97</x:f>
        <x:v>37993.4745</x:v>
      </x:c>
      <x:c r="X97" s="14" t="str">
        <x:f>IF(ABS(W97-SUM(M97:Q97)-V97)&lt;0.01,"OK","Check")</x:f>
        <x:v>OK</x:v>
      </x:c>
    </x:row>
    <x:row r="98">
      <x:c r="A98" s="14" t="n">
        <x:v>2026</x:v>
      </x:c>
      <x:c r="B98" s="14" t="str">
        <x:v>Q1</x:v>
      </x:c>
      <x:c r="C98" s="14" t="n">
        <x:v>1</x:v>
      </x:c>
      <x:c r="D98" s="14" t="n">
        <x:v>24</x:v>
      </x:c>
      <x:c r="E98" s="14" t="str">
        <x:f>INDEX(Roster!$B$6:$B$108,MATCH(D98,Roster!$A$6:$A$108,0))</x:f>
        <x:v>Assistant Principal</x:v>
      </x:c>
      <x:c r="F98" s="14" t="str">
        <x:f>INDEX(Roster!$F$6:$F$108,MATCH(D98,Roster!$A$6:$A$108,0))</x:f>
        <x:v>No</x:v>
      </x:c>
      <x:c r="G98" s="14" t="n">
        <x:f>INDEX(Inputs!$B$7:$D$7,1,MATCH(A98,Inputs!$B$6:$D$6,0))</x:f>
        <x:v>13</x:v>
      </x:c>
      <x:c r="H98" s="14" t="n">
        <x:f>MIN(=INDEX(Inputs!$B$7:$D$7,1,MATCH(A98,Inputs!$B$6:$D$6,0)),MAX(0,INDEX(Inputs!$B$14:$D$14,1,MATCH(A98,Inputs!$B$6:$D$6,0))-(C98-1)*=INDEX(Inputs!$B$7:$D$7,1,MATCH(A98,Inputs!$B$6:$D$6,0))))</x:f>
        <x:v>13</x:v>
      </x:c>
      <x:c r="I98" s="20" t="n">
        <x:f>INDEX(Inputs!$B$8:$D$8,1,MATCH(A98,Inputs!$B$6:$D$6,0))</x:f>
        <x:v>2395</x:v>
      </x:c>
      <x:c r="J98" s="20" t="n">
        <x:f>INDEX(Roster!$C$6:$C$108,MATCH(D98,Roster!$A$6:$A$108,0))*(1+INDEX(Inputs!$B$9:$D$9,1,MATCH(A98,Inputs!$B$6:$D$6,0)))</x:f>
        <x:v>0</x:v>
      </x:c>
      <x:c r="K98" s="20" t="n">
        <x:f>IF(=INDEX(Roster!$F$6:$F$108,MATCH(D98,Roster!$A$6:$A$108,0))="Yes",0,=INDEX(Inputs!$B$8:$D$8,1,MATCH(A98,Inputs!$B$6:$D$6,0))*IF(=INDEX(Roster!$B$6:$B$108,MATCH(D98,Roster!$A$6:$A$108,0))="Principal",INDEX(Inputs!$B$10:$D$10,1,MATCH(A98,Inputs!$B$6:$D$6,0)),IF(=INDEX(Roster!$B$6:$B$108,MATCH(D98,Roster!$A$6:$A$108,0))="Associate Principal",INDEX(Inputs!$B$11:$D$11,1,MATCH(A98,Inputs!$B$6:$D$6,0)),IF(=INDEX(Roster!$B$6:$B$108,MATCH(D98,Roster!$A$6:$A$108,0))="Assistant Principal",INDEX(Inputs!$B$12:$D$12,1,MATCH(A98,Inputs!$B$6:$D$6,0)),0))))</x:f>
        <x:v>239.5</x:v>
      </x:c>
      <x:c r="L98" s="20" t="n">
        <x:f>IF(INDEX(Roster!$D$6:$D$108,MATCH(D98,Roster!$A$6:$A$108,0))&gt;=25,INDEX(Inputs!$B$19:$D$19,1,MATCH(A98,Inputs!$B$6:$D$6,0)),IF(INDEX(Roster!$D$6:$D$108,MATCH(D98,Roster!$A$6:$A$108,0))&gt;=20,INDEX(Inputs!$B$18:$D$18,1,MATCH(A98,Inputs!$B$6:$D$6,0)),IF(INDEX(Roster!$D$6:$D$108,MATCH(D98,Roster!$A$6:$A$108,0))&gt;=15,INDEX(Inputs!$B$17:$D$17,1,MATCH(A98,Inputs!$B$6:$D$6,0)),IF(INDEX(Roster!$D$6:$D$108,MATCH(D98,Roster!$A$6:$A$108,0))&gt;=10,INDEX(Inputs!$B$16:$D$16,1,MATCH(A98,Inputs!$B$6:$D$6,0)),IF(INDEX(Roster!$D$6:$D$108,MATCH(D98,Roster!$A$6:$A$108,0))&gt;=5,INDEX(Inputs!$B$15:$D$15,1,MATCH(A98,Inputs!$B$6:$D$6,0)),0)))))</x:f>
        <x:v>90</x:v>
      </x:c>
      <x:c r="M98" s="20" t="n">
        <x:f>G98*I98</x:f>
        <x:v>31135</x:v>
      </x:c>
      <x:c r="N98" s="20" t="n">
        <x:f>G98*J98</x:f>
        <x:v>0</x:v>
      </x:c>
      <x:c r="O98" s="20" t="n">
        <x:f>G98*K98</x:f>
        <x:v>3113.5</x:v>
      </x:c>
      <x:c r="P98" s="20" t="n">
        <x:f>G98*L98</x:f>
        <x:v>1170</x:v>
      </x:c>
      <x:c r="Q98" s="20" t="n">
        <x:f>H98*INDEX(Inputs!$B$13:$D$13,1,MATCH(A98,Inputs!$B$6:$D$6,0))</x:f>
        <x:v>390</x:v>
      </x:c>
      <x:c r="R98" s="20" t="n">
        <x:f>SUM(M98:Q98)</x:f>
        <x:v>35808.5</x:v>
      </x:c>
      <x:c r="S98" s="20" t="n">
        <x:f>IF(AND(A97=A98,D97=D98),S97+R98,R98)</x:f>
        <x:v>35808.5</x:v>
      </x:c>
      <x:c r="T98" s="20" t="n">
        <x:f>MIN(S98,INDEX(Inputs!$B$20:$D$20,1,MATCH(A98,Inputs!$B$6:$D$6,0)))*INDEX(Inputs!$B$22:$D$22,1,MATCH(A98,Inputs!$B$6:$D$6,0))+MAX(MIN(S98,INDEX(Inputs!$B$21:$D$21,1,MATCH(A98,Inputs!$B$6:$D$6,0)))-INDEX(Inputs!$B$20:$D$20,1,MATCH(A98,Inputs!$B$6:$D$6,0)),0)*INDEX(Inputs!$B$23:$D$23,1,MATCH(A98,Inputs!$B$6:$D$6,0))+MAX(S98-INDEX(Inputs!$B$21:$D$21,1,MATCH(A98,Inputs!$B$6:$D$6,0)),0)*INDEX(Inputs!$B$24:$D$24,1,MATCH(A98,Inputs!$B$6:$D$6,0))</x:f>
        <x:v>3229.35025</x:v>
      </x:c>
      <x:c r="U98" s="20" t="n">
        <x:f>IF(AND(A97=A98,D97=D98),T97,0)</x:f>
        <x:v>0</x:v>
      </x:c>
      <x:c r="V98" s="20" t="n">
        <x:f>T98-U98</x:f>
        <x:v>3229.35025</x:v>
      </x:c>
      <x:c r="W98" s="20" t="n">
        <x:f>R98+V98</x:f>
        <x:v>39037.85025</x:v>
      </x:c>
      <x:c r="X98" s="14" t="str">
        <x:f>IF(ABS(W98-SUM(M98:Q98)-V98)&lt;0.01,"OK","Check")</x:f>
        <x:v>OK</x:v>
      </x:c>
    </x:row>
    <x:row r="99">
      <x:c r="A99" s="14" t="n">
        <x:v>2026</x:v>
      </x:c>
      <x:c r="B99" s="14" t="str">
        <x:v>Q2</x:v>
      </x:c>
      <x:c r="C99" s="14" t="n">
        <x:v>2</x:v>
      </x:c>
      <x:c r="D99" s="14" t="n">
        <x:v>24</x:v>
      </x:c>
      <x:c r="E99" s="14" t="str">
        <x:f>INDEX(Roster!$B$6:$B$108,MATCH(D99,Roster!$A$6:$A$108,0))</x:f>
        <x:v>Assistant Principal</x:v>
      </x:c>
      <x:c r="F99" s="14" t="str">
        <x:f>INDEX(Roster!$F$6:$F$108,MATCH(D99,Roster!$A$6:$A$108,0))</x:f>
        <x:v>No</x:v>
      </x:c>
      <x:c r="G99" s="14" t="n">
        <x:f>INDEX(Inputs!$B$7:$D$7,1,MATCH(A99,Inputs!$B$6:$D$6,0))</x:f>
        <x:v>13</x:v>
      </x:c>
      <x:c r="H99" s="14" t="n">
        <x:f>MIN(=INDEX(Inputs!$B$7:$D$7,1,MATCH(A99,Inputs!$B$6:$D$6,0)),MAX(0,INDEX(Inputs!$B$14:$D$14,1,MATCH(A99,Inputs!$B$6:$D$6,0))-(C99-1)*=INDEX(Inputs!$B$7:$D$7,1,MATCH(A99,Inputs!$B$6:$D$6,0))))</x:f>
        <x:v>13</x:v>
      </x:c>
      <x:c r="I99" s="20" t="n">
        <x:f>INDEX(Inputs!$B$8:$D$8,1,MATCH(A99,Inputs!$B$6:$D$6,0))</x:f>
        <x:v>2395</x:v>
      </x:c>
      <x:c r="J99" s="20" t="n">
        <x:f>INDEX(Roster!$C$6:$C$108,MATCH(D99,Roster!$A$6:$A$108,0))*(1+INDEX(Inputs!$B$9:$D$9,1,MATCH(A99,Inputs!$B$6:$D$6,0)))</x:f>
        <x:v>0</x:v>
      </x:c>
      <x:c r="K99" s="20" t="n">
        <x:f>IF(=INDEX(Roster!$F$6:$F$108,MATCH(D99,Roster!$A$6:$A$108,0))="Yes",0,=INDEX(Inputs!$B$8:$D$8,1,MATCH(A99,Inputs!$B$6:$D$6,0))*IF(=INDEX(Roster!$B$6:$B$108,MATCH(D99,Roster!$A$6:$A$108,0))="Principal",INDEX(Inputs!$B$10:$D$10,1,MATCH(A99,Inputs!$B$6:$D$6,0)),IF(=INDEX(Roster!$B$6:$B$108,MATCH(D99,Roster!$A$6:$A$108,0))="Associate Principal",INDEX(Inputs!$B$11:$D$11,1,MATCH(A99,Inputs!$B$6:$D$6,0)),IF(=INDEX(Roster!$B$6:$B$108,MATCH(D99,Roster!$A$6:$A$108,0))="Assistant Principal",INDEX(Inputs!$B$12:$D$12,1,MATCH(A99,Inputs!$B$6:$D$6,0)),0))))</x:f>
        <x:v>239.5</x:v>
      </x:c>
      <x:c r="L99" s="20" t="n">
        <x:f>IF(INDEX(Roster!$D$6:$D$108,MATCH(D99,Roster!$A$6:$A$108,0))&gt;=25,INDEX(Inputs!$B$19:$D$19,1,MATCH(A99,Inputs!$B$6:$D$6,0)),IF(INDEX(Roster!$D$6:$D$108,MATCH(D99,Roster!$A$6:$A$108,0))&gt;=20,INDEX(Inputs!$B$18:$D$18,1,MATCH(A99,Inputs!$B$6:$D$6,0)),IF(INDEX(Roster!$D$6:$D$108,MATCH(D99,Roster!$A$6:$A$108,0))&gt;=15,INDEX(Inputs!$B$17:$D$17,1,MATCH(A99,Inputs!$B$6:$D$6,0)),IF(INDEX(Roster!$D$6:$D$108,MATCH(D99,Roster!$A$6:$A$108,0))&gt;=10,INDEX(Inputs!$B$16:$D$16,1,MATCH(A99,Inputs!$B$6:$D$6,0)),IF(INDEX(Roster!$D$6:$D$108,MATCH(D99,Roster!$A$6:$A$108,0))&gt;=5,INDEX(Inputs!$B$15:$D$15,1,MATCH(A99,Inputs!$B$6:$D$6,0)),0)))))</x:f>
        <x:v>90</x:v>
      </x:c>
      <x:c r="M99" s="20" t="n">
        <x:f>G99*I99</x:f>
        <x:v>31135</x:v>
      </x:c>
      <x:c r="N99" s="20" t="n">
        <x:f>G99*J99</x:f>
        <x:v>0</x:v>
      </x:c>
      <x:c r="O99" s="20" t="n">
        <x:f>G99*K99</x:f>
        <x:v>3113.5</x:v>
      </x:c>
      <x:c r="P99" s="20" t="n">
        <x:f>G99*L99</x:f>
        <x:v>1170</x:v>
      </x:c>
      <x:c r="Q99" s="20" t="n">
        <x:f>H99*INDEX(Inputs!$B$13:$D$13,1,MATCH(A99,Inputs!$B$6:$D$6,0))</x:f>
        <x:v>390</x:v>
      </x:c>
      <x:c r="R99" s="20" t="n">
        <x:f>SUM(M99:Q99)</x:f>
        <x:v>35808.5</x:v>
      </x:c>
      <x:c r="S99" s="20" t="n">
        <x:f>IF(AND(A98=A99,D98=D99),S98+R99,R99)</x:f>
        <x:v>71617</x:v>
      </x:c>
      <x:c r="T99" s="20" t="n">
        <x:f>MIN(S99,INDEX(Inputs!$B$20:$D$20,1,MATCH(A99,Inputs!$B$6:$D$6,0)))*INDEX(Inputs!$B$22:$D$22,1,MATCH(A99,Inputs!$B$6:$D$6,0))+MAX(MIN(S99,INDEX(Inputs!$B$21:$D$21,1,MATCH(A99,Inputs!$B$6:$D$6,0)))-INDEX(Inputs!$B$20:$D$20,1,MATCH(A99,Inputs!$B$6:$D$6,0)),0)*INDEX(Inputs!$B$23:$D$23,1,MATCH(A99,Inputs!$B$6:$D$6,0))+MAX(S99-INDEX(Inputs!$B$21:$D$21,1,MATCH(A99,Inputs!$B$6:$D$6,0)),0)*INDEX(Inputs!$B$24:$D$24,1,MATCH(A99,Inputs!$B$6:$D$6,0))</x:f>
        <x:v>5968.7005</x:v>
      </x:c>
      <x:c r="U99" s="20" t="n">
        <x:f>IF(AND(A98=A99,D98=D99),T98,0)</x:f>
        <x:v>3229.35025</x:v>
      </x:c>
      <x:c r="V99" s="20" t="n">
        <x:f>T99-U99</x:f>
        <x:v>2739.35025</x:v>
      </x:c>
      <x:c r="W99" s="20" t="n">
        <x:f>R99+V99</x:f>
        <x:v>38547.85025</x:v>
      </x:c>
      <x:c r="X99" s="14" t="str">
        <x:f>IF(ABS(W99-SUM(M99:Q99)-V99)&lt;0.01,"OK","Check")</x:f>
        <x:v>OK</x:v>
      </x:c>
    </x:row>
    <x:row r="100">
      <x:c r="A100" s="14" t="n">
        <x:v>2026</x:v>
      </x:c>
      <x:c r="B100" s="14" t="str">
        <x:v>Q3</x:v>
      </x:c>
      <x:c r="C100" s="14" t="n">
        <x:v>3</x:v>
      </x:c>
      <x:c r="D100" s="14" t="n">
        <x:v>24</x:v>
      </x:c>
      <x:c r="E100" s="14" t="str">
        <x:f>INDEX(Roster!$B$6:$B$108,MATCH(D100,Roster!$A$6:$A$108,0))</x:f>
        <x:v>Assistant Principal</x:v>
      </x:c>
      <x:c r="F100" s="14" t="str">
        <x:f>INDEX(Roster!$F$6:$F$108,MATCH(D100,Roster!$A$6:$A$108,0))</x:f>
        <x:v>No</x:v>
      </x:c>
      <x:c r="G100" s="14" t="n">
        <x:f>INDEX(Inputs!$B$7:$D$7,1,MATCH(A100,Inputs!$B$6:$D$6,0))</x:f>
        <x:v>13</x:v>
      </x:c>
      <x:c r="H100" s="14" t="n">
        <x:f>MIN(=INDEX(Inputs!$B$7:$D$7,1,MATCH(A100,Inputs!$B$6:$D$6,0)),MAX(0,INDEX(Inputs!$B$14:$D$14,1,MATCH(A100,Inputs!$B$6:$D$6,0))-(C100-1)*=INDEX(Inputs!$B$7:$D$7,1,MATCH(A100,Inputs!$B$6:$D$6,0))))</x:f>
        <x:v>13</x:v>
      </x:c>
      <x:c r="I100" s="20" t="n">
        <x:f>INDEX(Inputs!$B$8:$D$8,1,MATCH(A100,Inputs!$B$6:$D$6,0))</x:f>
        <x:v>2395</x:v>
      </x:c>
      <x:c r="J100" s="20" t="n">
        <x:f>INDEX(Roster!$C$6:$C$108,MATCH(D100,Roster!$A$6:$A$108,0))*(1+INDEX(Inputs!$B$9:$D$9,1,MATCH(A100,Inputs!$B$6:$D$6,0)))</x:f>
        <x:v>0</x:v>
      </x:c>
      <x:c r="K100" s="20" t="n">
        <x:f>IF(=INDEX(Roster!$F$6:$F$108,MATCH(D100,Roster!$A$6:$A$108,0))="Yes",0,=INDEX(Inputs!$B$8:$D$8,1,MATCH(A100,Inputs!$B$6:$D$6,0))*IF(=INDEX(Roster!$B$6:$B$108,MATCH(D100,Roster!$A$6:$A$108,0))="Principal",INDEX(Inputs!$B$10:$D$10,1,MATCH(A100,Inputs!$B$6:$D$6,0)),IF(=INDEX(Roster!$B$6:$B$108,MATCH(D100,Roster!$A$6:$A$108,0))="Associate Principal",INDEX(Inputs!$B$11:$D$11,1,MATCH(A100,Inputs!$B$6:$D$6,0)),IF(=INDEX(Roster!$B$6:$B$108,MATCH(D100,Roster!$A$6:$A$108,0))="Assistant Principal",INDEX(Inputs!$B$12:$D$12,1,MATCH(A100,Inputs!$B$6:$D$6,0)),0))))</x:f>
        <x:v>239.5</x:v>
      </x:c>
      <x:c r="L100" s="20" t="n">
        <x:f>IF(INDEX(Roster!$D$6:$D$108,MATCH(D100,Roster!$A$6:$A$108,0))&gt;=25,INDEX(Inputs!$B$19:$D$19,1,MATCH(A100,Inputs!$B$6:$D$6,0)),IF(INDEX(Roster!$D$6:$D$108,MATCH(D100,Roster!$A$6:$A$108,0))&gt;=20,INDEX(Inputs!$B$18:$D$18,1,MATCH(A100,Inputs!$B$6:$D$6,0)),IF(INDEX(Roster!$D$6:$D$108,MATCH(D100,Roster!$A$6:$A$108,0))&gt;=15,INDEX(Inputs!$B$17:$D$17,1,MATCH(A100,Inputs!$B$6:$D$6,0)),IF(INDEX(Roster!$D$6:$D$108,MATCH(D100,Roster!$A$6:$A$108,0))&gt;=10,INDEX(Inputs!$B$16:$D$16,1,MATCH(A100,Inputs!$B$6:$D$6,0)),IF(INDEX(Roster!$D$6:$D$108,MATCH(D100,Roster!$A$6:$A$108,0))&gt;=5,INDEX(Inputs!$B$15:$D$15,1,MATCH(A100,Inputs!$B$6:$D$6,0)),0)))))</x:f>
        <x:v>90</x:v>
      </x:c>
      <x:c r="M100" s="20" t="n">
        <x:f>G100*I100</x:f>
        <x:v>31135</x:v>
      </x:c>
      <x:c r="N100" s="20" t="n">
        <x:f>G100*J100</x:f>
        <x:v>0</x:v>
      </x:c>
      <x:c r="O100" s="20" t="n">
        <x:f>G100*K100</x:f>
        <x:v>3113.5</x:v>
      </x:c>
      <x:c r="P100" s="20" t="n">
        <x:f>G100*L100</x:f>
        <x:v>1170</x:v>
      </x:c>
      <x:c r="Q100" s="20" t="n">
        <x:f>H100*INDEX(Inputs!$B$13:$D$13,1,MATCH(A100,Inputs!$B$6:$D$6,0))</x:f>
        <x:v>390</x:v>
      </x:c>
      <x:c r="R100" s="20" t="n">
        <x:f>SUM(M100:Q100)</x:f>
        <x:v>35808.5</x:v>
      </x:c>
      <x:c r="S100" s="20" t="n">
        <x:f>IF(AND(A99=A100,D99=D100),S99+R100,R100)</x:f>
        <x:v>107425.5</x:v>
      </x:c>
      <x:c r="T100" s="20" t="n">
        <x:f>MIN(S100,INDEX(Inputs!$B$20:$D$20,1,MATCH(A100,Inputs!$B$6:$D$6,0)))*INDEX(Inputs!$B$22:$D$22,1,MATCH(A100,Inputs!$B$6:$D$6,0))+MAX(MIN(S100,INDEX(Inputs!$B$21:$D$21,1,MATCH(A100,Inputs!$B$6:$D$6,0)))-INDEX(Inputs!$B$20:$D$20,1,MATCH(A100,Inputs!$B$6:$D$6,0)),0)*INDEX(Inputs!$B$23:$D$23,1,MATCH(A100,Inputs!$B$6:$D$6,0))+MAX(S100-INDEX(Inputs!$B$21:$D$21,1,MATCH(A100,Inputs!$B$6:$D$6,0)),0)*INDEX(Inputs!$B$24:$D$24,1,MATCH(A100,Inputs!$B$6:$D$6,0))</x:f>
        <x:v>8708.050749999999</x:v>
      </x:c>
      <x:c r="U100" s="20" t="n">
        <x:f>IF(AND(A99=A100,D99=D100),T99,0)</x:f>
        <x:v>5968.7005</x:v>
      </x:c>
      <x:c r="V100" s="20" t="n">
        <x:f>T100-U100</x:f>
        <x:v>2739.3502499999986</x:v>
      </x:c>
      <x:c r="W100" s="20" t="n">
        <x:f>R100+V100</x:f>
        <x:v>38547.850249999996</x:v>
      </x:c>
      <x:c r="X100" s="14" t="str">
        <x:f>IF(ABS(W100-SUM(M100:Q100)-V100)&lt;0.01,"OK","Check")</x:f>
        <x:v>OK</x:v>
      </x:c>
    </x:row>
    <x:row r="101">
      <x:c r="A101" s="14" t="n">
        <x:v>2026</x:v>
      </x:c>
      <x:c r="B101" s="14" t="str">
        <x:v>Q4</x:v>
      </x:c>
      <x:c r="C101" s="14" t="n">
        <x:v>4</x:v>
      </x:c>
      <x:c r="D101" s="14" t="n">
        <x:v>24</x:v>
      </x:c>
      <x:c r="E101" s="14" t="str">
        <x:f>INDEX(Roster!$B$6:$B$108,MATCH(D101,Roster!$A$6:$A$108,0))</x:f>
        <x:v>Assistant Principal</x:v>
      </x:c>
      <x:c r="F101" s="14" t="str">
        <x:f>INDEX(Roster!$F$6:$F$108,MATCH(D101,Roster!$A$6:$A$108,0))</x:f>
        <x:v>No</x:v>
      </x:c>
      <x:c r="G101" s="14" t="n">
        <x:f>INDEX(Inputs!$B$7:$D$7,1,MATCH(A101,Inputs!$B$6:$D$6,0))</x:f>
        <x:v>13</x:v>
      </x:c>
      <x:c r="H101" s="14" t="n">
        <x:f>MIN(=INDEX(Inputs!$B$7:$D$7,1,MATCH(A101,Inputs!$B$6:$D$6,0)),MAX(0,INDEX(Inputs!$B$14:$D$14,1,MATCH(A101,Inputs!$B$6:$D$6,0))-(C101-1)*=INDEX(Inputs!$B$7:$D$7,1,MATCH(A101,Inputs!$B$6:$D$6,0))))</x:f>
        <x:v>0</x:v>
      </x:c>
      <x:c r="I101" s="20" t="n">
        <x:f>INDEX(Inputs!$B$8:$D$8,1,MATCH(A101,Inputs!$B$6:$D$6,0))</x:f>
        <x:v>2395</x:v>
      </x:c>
      <x:c r="J101" s="20" t="n">
        <x:f>INDEX(Roster!$C$6:$C$108,MATCH(D101,Roster!$A$6:$A$108,0))*(1+INDEX(Inputs!$B$9:$D$9,1,MATCH(A101,Inputs!$B$6:$D$6,0)))</x:f>
        <x:v>0</x:v>
      </x:c>
      <x:c r="K101" s="20" t="n">
        <x:f>IF(=INDEX(Roster!$F$6:$F$108,MATCH(D101,Roster!$A$6:$A$108,0))="Yes",0,=INDEX(Inputs!$B$8:$D$8,1,MATCH(A101,Inputs!$B$6:$D$6,0))*IF(=INDEX(Roster!$B$6:$B$108,MATCH(D101,Roster!$A$6:$A$108,0))="Principal",INDEX(Inputs!$B$10:$D$10,1,MATCH(A101,Inputs!$B$6:$D$6,0)),IF(=INDEX(Roster!$B$6:$B$108,MATCH(D101,Roster!$A$6:$A$108,0))="Associate Principal",INDEX(Inputs!$B$11:$D$11,1,MATCH(A101,Inputs!$B$6:$D$6,0)),IF(=INDEX(Roster!$B$6:$B$108,MATCH(D101,Roster!$A$6:$A$108,0))="Assistant Principal",INDEX(Inputs!$B$12:$D$12,1,MATCH(A101,Inputs!$B$6:$D$6,0)),0))))</x:f>
        <x:v>239.5</x:v>
      </x:c>
      <x:c r="L101" s="20" t="n">
        <x:f>IF(INDEX(Roster!$D$6:$D$108,MATCH(D101,Roster!$A$6:$A$108,0))&gt;=25,INDEX(Inputs!$B$19:$D$19,1,MATCH(A101,Inputs!$B$6:$D$6,0)),IF(INDEX(Roster!$D$6:$D$108,MATCH(D101,Roster!$A$6:$A$108,0))&gt;=20,INDEX(Inputs!$B$18:$D$18,1,MATCH(A101,Inputs!$B$6:$D$6,0)),IF(INDEX(Roster!$D$6:$D$108,MATCH(D101,Roster!$A$6:$A$108,0))&gt;=15,INDEX(Inputs!$B$17:$D$17,1,MATCH(A101,Inputs!$B$6:$D$6,0)),IF(INDEX(Roster!$D$6:$D$108,MATCH(D101,Roster!$A$6:$A$108,0))&gt;=10,INDEX(Inputs!$B$16:$D$16,1,MATCH(A101,Inputs!$B$6:$D$6,0)),IF(INDEX(Roster!$D$6:$D$108,MATCH(D101,Roster!$A$6:$A$108,0))&gt;=5,INDEX(Inputs!$B$15:$D$15,1,MATCH(A101,Inputs!$B$6:$D$6,0)),0)))))</x:f>
        <x:v>90</x:v>
      </x:c>
      <x:c r="M101" s="20" t="n">
        <x:f>G101*I101</x:f>
        <x:v>31135</x:v>
      </x:c>
      <x:c r="N101" s="20" t="n">
        <x:f>G101*J101</x:f>
        <x:v>0</x:v>
      </x:c>
      <x:c r="O101" s="20" t="n">
        <x:f>G101*K101</x:f>
        <x:v>3113.5</x:v>
      </x:c>
      <x:c r="P101" s="20" t="n">
        <x:f>G101*L101</x:f>
        <x:v>1170</x:v>
      </x:c>
      <x:c r="Q101" s="20" t="n">
        <x:f>H101*INDEX(Inputs!$B$13:$D$13,1,MATCH(A101,Inputs!$B$6:$D$6,0))</x:f>
        <x:v>0</x:v>
      </x:c>
      <x:c r="R101" s="20" t="n">
        <x:f>SUM(M101:Q101)</x:f>
        <x:v>35418.5</x:v>
      </x:c>
      <x:c r="S101" s="20" t="n">
        <x:f>IF(AND(A100=A101,D100=D101),S100+R101,R101)</x:f>
        <x:v>142844</x:v>
      </x:c>
      <x:c r="T101" s="20" t="n">
        <x:f>MIN(S101,INDEX(Inputs!$B$20:$D$20,1,MATCH(A101,Inputs!$B$6:$D$6,0)))*INDEX(Inputs!$B$22:$D$22,1,MATCH(A101,Inputs!$B$6:$D$6,0))+MAX(MIN(S101,INDEX(Inputs!$B$21:$D$21,1,MATCH(A101,Inputs!$B$6:$D$6,0)))-INDEX(Inputs!$B$20:$D$20,1,MATCH(A101,Inputs!$B$6:$D$6,0)),0)*INDEX(Inputs!$B$23:$D$23,1,MATCH(A101,Inputs!$B$6:$D$6,0))+MAX(S101-INDEX(Inputs!$B$21:$D$21,1,MATCH(A101,Inputs!$B$6:$D$6,0)),0)*INDEX(Inputs!$B$24:$D$24,1,MATCH(A101,Inputs!$B$6:$D$6,0))</x:f>
        <x:v>9985.18</x:v>
      </x:c>
      <x:c r="U101" s="20" t="n">
        <x:f>IF(AND(A100=A101,D100=D101),T100,0)</x:f>
        <x:v>8708.050749999999</x:v>
      </x:c>
      <x:c r="V101" s="20" t="n">
        <x:f>T101-U101</x:f>
        <x:v>1277.1292500000018</x:v>
      </x:c>
      <x:c r="W101" s="20" t="n">
        <x:f>R101+V101</x:f>
        <x:v>36695.62925</x:v>
      </x:c>
      <x:c r="X101" s="14" t="str">
        <x:f>IF(ABS(W101-SUM(M101:Q101)-V101)&lt;0.01,"OK","Check")</x:f>
        <x:v>OK</x:v>
      </x:c>
    </x:row>
    <x:row r="102">
      <x:c r="A102" s="14" t="n">
        <x:v>2026</x:v>
      </x:c>
      <x:c r="B102" s="14" t="str">
        <x:v>Q1</x:v>
      </x:c>
      <x:c r="C102" s="14" t="n">
        <x:v>1</x:v>
      </x:c>
      <x:c r="D102" s="14" t="n">
        <x:v>25</x:v>
      </x:c>
      <x:c r="E102" s="14" t="str">
        <x:f>INDEX(Roster!$B$6:$B$108,MATCH(D102,Roster!$A$6:$A$108,0))</x:f>
      </x:c>
      <x:c r="F102" s="14" t="str">
        <x:f>INDEX(Roster!$F$6:$F$108,MATCH(D102,Roster!$A$6:$A$108,0))</x:f>
        <x:v>No</x:v>
      </x:c>
      <x:c r="G102" s="14" t="n">
        <x:f>INDEX(Inputs!$B$7:$D$7,1,MATCH(A102,Inputs!$B$6:$D$6,0))</x:f>
        <x:v>13</x:v>
      </x:c>
      <x:c r="H102" s="14" t="n">
        <x:f>MIN(=INDEX(Inputs!$B$7:$D$7,1,MATCH(A102,Inputs!$B$6:$D$6,0)),MAX(0,INDEX(Inputs!$B$14:$D$14,1,MATCH(A102,Inputs!$B$6:$D$6,0))-(C102-1)*=INDEX(Inputs!$B$7:$D$7,1,MATCH(A102,Inputs!$B$6:$D$6,0))))</x:f>
        <x:v>13</x:v>
      </x:c>
      <x:c r="I102" s="20" t="n">
        <x:f>INDEX(Inputs!$B$8:$D$8,1,MATCH(A102,Inputs!$B$6:$D$6,0))</x:f>
        <x:v>2395</x:v>
      </x:c>
      <x:c r="J102" s="20" t="n">
        <x:f>INDEX(Roster!$C$6:$C$108,MATCH(D102,Roster!$A$6:$A$108,0))*(1+INDEX(Inputs!$B$9:$D$9,1,MATCH(A102,Inputs!$B$6:$D$6,0)))</x:f>
        <x:v>20</x:v>
      </x:c>
      <x:c r="K102" s="20" t="n">
        <x:f>IF(=INDEX(Roster!$F$6:$F$108,MATCH(D102,Roster!$A$6:$A$108,0))="Yes",0,=INDEX(Inputs!$B$8:$D$8,1,MATCH(A102,Inputs!$B$6:$D$6,0))*IF(=INDEX(Roster!$B$6:$B$108,MATCH(D102,Roster!$A$6:$A$108,0))="Principal",INDEX(Inputs!$B$10:$D$10,1,MATCH(A102,Inputs!$B$6:$D$6,0)),IF(=INDEX(Roster!$B$6:$B$108,MATCH(D102,Roster!$A$6:$A$108,0))="Associate Principal",INDEX(Inputs!$B$11:$D$11,1,MATCH(A102,Inputs!$B$6:$D$6,0)),IF(=INDEX(Roster!$B$6:$B$108,MATCH(D102,Roster!$A$6:$A$108,0))="Assistant Principal",INDEX(Inputs!$B$12:$D$12,1,MATCH(A102,Inputs!$B$6:$D$6,0)),0))))</x:f>
        <x:v>0</x:v>
      </x:c>
      <x:c r="L102" s="20" t="n">
        <x:f>IF(INDEX(Roster!$D$6:$D$108,MATCH(D102,Roster!$A$6:$A$108,0))&gt;=25,INDEX(Inputs!$B$19:$D$19,1,MATCH(A102,Inputs!$B$6:$D$6,0)),IF(INDEX(Roster!$D$6:$D$108,MATCH(D102,Roster!$A$6:$A$108,0))&gt;=20,INDEX(Inputs!$B$18:$D$18,1,MATCH(A102,Inputs!$B$6:$D$6,0)),IF(INDEX(Roster!$D$6:$D$108,MATCH(D102,Roster!$A$6:$A$108,0))&gt;=15,INDEX(Inputs!$B$17:$D$17,1,MATCH(A102,Inputs!$B$6:$D$6,0)),IF(INDEX(Roster!$D$6:$D$108,MATCH(D102,Roster!$A$6:$A$108,0))&gt;=10,INDEX(Inputs!$B$16:$D$16,1,MATCH(A102,Inputs!$B$6:$D$6,0)),IF(INDEX(Roster!$D$6:$D$108,MATCH(D102,Roster!$A$6:$A$108,0))&gt;=5,INDEX(Inputs!$B$15:$D$15,1,MATCH(A102,Inputs!$B$6:$D$6,0)),0)))))</x:f>
        <x:v>60</x:v>
      </x:c>
      <x:c r="M102" s="20" t="n">
        <x:f>G102*I102</x:f>
        <x:v>31135</x:v>
      </x:c>
      <x:c r="N102" s="20" t="n">
        <x:f>G102*J102</x:f>
        <x:v>260</x:v>
      </x:c>
      <x:c r="O102" s="20" t="n">
        <x:f>G102*K102</x:f>
        <x:v>0</x:v>
      </x:c>
      <x:c r="P102" s="20" t="n">
        <x:f>G102*L102</x:f>
        <x:v>780</x:v>
      </x:c>
      <x:c r="Q102" s="20" t="n">
        <x:f>H102*INDEX(Inputs!$B$13:$D$13,1,MATCH(A102,Inputs!$B$6:$D$6,0))</x:f>
        <x:v>390</x:v>
      </x:c>
      <x:c r="R102" s="20" t="n">
        <x:f>SUM(M102:Q102)</x:f>
        <x:v>32565</x:v>
      </x:c>
      <x:c r="S102" s="20" t="n">
        <x:f>IF(AND(A101=A102,D101=D102),S101+R102,R102)</x:f>
        <x:v>32565</x:v>
      </x:c>
      <x:c r="T102" s="20" t="n">
        <x:f>MIN(S102,INDEX(Inputs!$B$20:$D$20,1,MATCH(A102,Inputs!$B$6:$D$6,0)))*INDEX(Inputs!$B$22:$D$22,1,MATCH(A102,Inputs!$B$6:$D$6,0))+MAX(MIN(S102,INDEX(Inputs!$B$21:$D$21,1,MATCH(A102,Inputs!$B$6:$D$6,0)))-INDEX(Inputs!$B$20:$D$20,1,MATCH(A102,Inputs!$B$6:$D$6,0)),0)*INDEX(Inputs!$B$23:$D$23,1,MATCH(A102,Inputs!$B$6:$D$6,0))+MAX(S102-INDEX(Inputs!$B$21:$D$21,1,MATCH(A102,Inputs!$B$6:$D$6,0)),0)*INDEX(Inputs!$B$24:$D$24,1,MATCH(A102,Inputs!$B$6:$D$6,0))</x:f>
        <x:v>2981.2225</x:v>
      </x:c>
      <x:c r="U102" s="20" t="n">
        <x:f>IF(AND(A101=A102,D101=D102),T101,0)</x:f>
        <x:v>0</x:v>
      </x:c>
      <x:c r="V102" s="20" t="n">
        <x:f>T102-U102</x:f>
        <x:v>2981.2225</x:v>
      </x:c>
      <x:c r="W102" s="20" t="n">
        <x:f>R102+V102</x:f>
        <x:v>35546.2225</x:v>
      </x:c>
      <x:c r="X102" s="14" t="str">
        <x:f>IF(ABS(W102-SUM(M102:Q102)-V102)&lt;0.01,"OK","Check")</x:f>
        <x:v>OK</x:v>
      </x:c>
    </x:row>
    <x:row r="103">
      <x:c r="A103" s="14" t="n">
        <x:v>2026</x:v>
      </x:c>
      <x:c r="B103" s="14" t="str">
        <x:v>Q2</x:v>
      </x:c>
      <x:c r="C103" s="14" t="n">
        <x:v>2</x:v>
      </x:c>
      <x:c r="D103" s="14" t="n">
        <x:v>25</x:v>
      </x:c>
      <x:c r="E103" s="14" t="str">
        <x:f>INDEX(Roster!$B$6:$B$108,MATCH(D103,Roster!$A$6:$A$108,0))</x:f>
      </x:c>
      <x:c r="F103" s="14" t="str">
        <x:f>INDEX(Roster!$F$6:$F$108,MATCH(D103,Roster!$A$6:$A$108,0))</x:f>
        <x:v>No</x:v>
      </x:c>
      <x:c r="G103" s="14" t="n">
        <x:f>INDEX(Inputs!$B$7:$D$7,1,MATCH(A103,Inputs!$B$6:$D$6,0))</x:f>
        <x:v>13</x:v>
      </x:c>
      <x:c r="H103" s="14" t="n">
        <x:f>MIN(=INDEX(Inputs!$B$7:$D$7,1,MATCH(A103,Inputs!$B$6:$D$6,0)),MAX(0,INDEX(Inputs!$B$14:$D$14,1,MATCH(A103,Inputs!$B$6:$D$6,0))-(C103-1)*=INDEX(Inputs!$B$7:$D$7,1,MATCH(A103,Inputs!$B$6:$D$6,0))))</x:f>
        <x:v>13</x:v>
      </x:c>
      <x:c r="I103" s="20" t="n">
        <x:f>INDEX(Inputs!$B$8:$D$8,1,MATCH(A103,Inputs!$B$6:$D$6,0))</x:f>
        <x:v>2395</x:v>
      </x:c>
      <x:c r="J103" s="20" t="n">
        <x:f>INDEX(Roster!$C$6:$C$108,MATCH(D103,Roster!$A$6:$A$108,0))*(1+INDEX(Inputs!$B$9:$D$9,1,MATCH(A103,Inputs!$B$6:$D$6,0)))</x:f>
        <x:v>20</x:v>
      </x:c>
      <x:c r="K103" s="20" t="n">
        <x:f>IF(=INDEX(Roster!$F$6:$F$108,MATCH(D103,Roster!$A$6:$A$108,0))="Yes",0,=INDEX(Inputs!$B$8:$D$8,1,MATCH(A103,Inputs!$B$6:$D$6,0))*IF(=INDEX(Roster!$B$6:$B$108,MATCH(D103,Roster!$A$6:$A$108,0))="Principal",INDEX(Inputs!$B$10:$D$10,1,MATCH(A103,Inputs!$B$6:$D$6,0)),IF(=INDEX(Roster!$B$6:$B$108,MATCH(D103,Roster!$A$6:$A$108,0))="Associate Principal",INDEX(Inputs!$B$11:$D$11,1,MATCH(A103,Inputs!$B$6:$D$6,0)),IF(=INDEX(Roster!$B$6:$B$108,MATCH(D103,Roster!$A$6:$A$108,0))="Assistant Principal",INDEX(Inputs!$B$12:$D$12,1,MATCH(A103,Inputs!$B$6:$D$6,0)),0))))</x:f>
        <x:v>0</x:v>
      </x:c>
      <x:c r="L103" s="20" t="n">
        <x:f>IF(INDEX(Roster!$D$6:$D$108,MATCH(D103,Roster!$A$6:$A$108,0))&gt;=25,INDEX(Inputs!$B$19:$D$19,1,MATCH(A103,Inputs!$B$6:$D$6,0)),IF(INDEX(Roster!$D$6:$D$108,MATCH(D103,Roster!$A$6:$A$108,0))&gt;=20,INDEX(Inputs!$B$18:$D$18,1,MATCH(A103,Inputs!$B$6:$D$6,0)),IF(INDEX(Roster!$D$6:$D$108,MATCH(D103,Roster!$A$6:$A$108,0))&gt;=15,INDEX(Inputs!$B$17:$D$17,1,MATCH(A103,Inputs!$B$6:$D$6,0)),IF(INDEX(Roster!$D$6:$D$108,MATCH(D103,Roster!$A$6:$A$108,0))&gt;=10,INDEX(Inputs!$B$16:$D$16,1,MATCH(A103,Inputs!$B$6:$D$6,0)),IF(INDEX(Roster!$D$6:$D$108,MATCH(D103,Roster!$A$6:$A$108,0))&gt;=5,INDEX(Inputs!$B$15:$D$15,1,MATCH(A103,Inputs!$B$6:$D$6,0)),0)))))</x:f>
        <x:v>60</x:v>
      </x:c>
      <x:c r="M103" s="20" t="n">
        <x:f>G103*I103</x:f>
        <x:v>31135</x:v>
      </x:c>
      <x:c r="N103" s="20" t="n">
        <x:f>G103*J103</x:f>
        <x:v>260</x:v>
      </x:c>
      <x:c r="O103" s="20" t="n">
        <x:f>G103*K103</x:f>
        <x:v>0</x:v>
      </x:c>
      <x:c r="P103" s="20" t="n">
        <x:f>G103*L103</x:f>
        <x:v>780</x:v>
      </x:c>
      <x:c r="Q103" s="20" t="n">
        <x:f>H103*INDEX(Inputs!$B$13:$D$13,1,MATCH(A103,Inputs!$B$6:$D$6,0))</x:f>
        <x:v>390</x:v>
      </x:c>
      <x:c r="R103" s="20" t="n">
        <x:f>SUM(M103:Q103)</x:f>
        <x:v>32565</x:v>
      </x:c>
      <x:c r="S103" s="20" t="n">
        <x:f>IF(AND(A102=A103,D102=D103),S102+R103,R103)</x:f>
        <x:v>65130</x:v>
      </x:c>
      <x:c r="T103" s="20" t="n">
        <x:f>MIN(S103,INDEX(Inputs!$B$20:$D$20,1,MATCH(A103,Inputs!$B$6:$D$6,0)))*INDEX(Inputs!$B$22:$D$22,1,MATCH(A103,Inputs!$B$6:$D$6,0))+MAX(MIN(S103,INDEX(Inputs!$B$21:$D$21,1,MATCH(A103,Inputs!$B$6:$D$6,0)))-INDEX(Inputs!$B$20:$D$20,1,MATCH(A103,Inputs!$B$6:$D$6,0)),0)*INDEX(Inputs!$B$23:$D$23,1,MATCH(A103,Inputs!$B$6:$D$6,0))+MAX(S103-INDEX(Inputs!$B$21:$D$21,1,MATCH(A103,Inputs!$B$6:$D$6,0)),0)*INDEX(Inputs!$B$24:$D$24,1,MATCH(A103,Inputs!$B$6:$D$6,0))</x:f>
        <x:v>5472.445</x:v>
      </x:c>
      <x:c r="U103" s="20" t="n">
        <x:f>IF(AND(A102=A103,D102=D103),T102,0)</x:f>
        <x:v>2981.2225</x:v>
      </x:c>
      <x:c r="V103" s="20" t="n">
        <x:f>T103-U103</x:f>
        <x:v>2491.2225</x:v>
      </x:c>
      <x:c r="W103" s="20" t="n">
        <x:f>R103+V103</x:f>
        <x:v>35056.2225</x:v>
      </x:c>
      <x:c r="X103" s="14" t="str">
        <x:f>IF(ABS(W103-SUM(M103:Q103)-V103)&lt;0.01,"OK","Check")</x:f>
        <x:v>OK</x:v>
      </x:c>
    </x:row>
    <x:row r="104">
      <x:c r="A104" s="14" t="n">
        <x:v>2026</x:v>
      </x:c>
      <x:c r="B104" s="14" t="str">
        <x:v>Q3</x:v>
      </x:c>
      <x:c r="C104" s="14" t="n">
        <x:v>3</x:v>
      </x:c>
      <x:c r="D104" s="14" t="n">
        <x:v>25</x:v>
      </x:c>
      <x:c r="E104" s="14" t="str">
        <x:f>INDEX(Roster!$B$6:$B$108,MATCH(D104,Roster!$A$6:$A$108,0))</x:f>
      </x:c>
      <x:c r="F104" s="14" t="str">
        <x:f>INDEX(Roster!$F$6:$F$108,MATCH(D104,Roster!$A$6:$A$108,0))</x:f>
        <x:v>No</x:v>
      </x:c>
      <x:c r="G104" s="14" t="n">
        <x:f>INDEX(Inputs!$B$7:$D$7,1,MATCH(A104,Inputs!$B$6:$D$6,0))</x:f>
        <x:v>13</x:v>
      </x:c>
      <x:c r="H104" s="14" t="n">
        <x:f>MIN(=INDEX(Inputs!$B$7:$D$7,1,MATCH(A104,Inputs!$B$6:$D$6,0)),MAX(0,INDEX(Inputs!$B$14:$D$14,1,MATCH(A104,Inputs!$B$6:$D$6,0))-(C104-1)*=INDEX(Inputs!$B$7:$D$7,1,MATCH(A104,Inputs!$B$6:$D$6,0))))</x:f>
        <x:v>13</x:v>
      </x:c>
      <x:c r="I104" s="20" t="n">
        <x:f>INDEX(Inputs!$B$8:$D$8,1,MATCH(A104,Inputs!$B$6:$D$6,0))</x:f>
        <x:v>2395</x:v>
      </x:c>
      <x:c r="J104" s="20" t="n">
        <x:f>INDEX(Roster!$C$6:$C$108,MATCH(D104,Roster!$A$6:$A$108,0))*(1+INDEX(Inputs!$B$9:$D$9,1,MATCH(A104,Inputs!$B$6:$D$6,0)))</x:f>
        <x:v>20</x:v>
      </x:c>
      <x:c r="K104" s="20" t="n">
        <x:f>IF(=INDEX(Roster!$F$6:$F$108,MATCH(D104,Roster!$A$6:$A$108,0))="Yes",0,=INDEX(Inputs!$B$8:$D$8,1,MATCH(A104,Inputs!$B$6:$D$6,0))*IF(=INDEX(Roster!$B$6:$B$108,MATCH(D104,Roster!$A$6:$A$108,0))="Principal",INDEX(Inputs!$B$10:$D$10,1,MATCH(A104,Inputs!$B$6:$D$6,0)),IF(=INDEX(Roster!$B$6:$B$108,MATCH(D104,Roster!$A$6:$A$108,0))="Associate Principal",INDEX(Inputs!$B$11:$D$11,1,MATCH(A104,Inputs!$B$6:$D$6,0)),IF(=INDEX(Roster!$B$6:$B$108,MATCH(D104,Roster!$A$6:$A$108,0))="Assistant Principal",INDEX(Inputs!$B$12:$D$12,1,MATCH(A104,Inputs!$B$6:$D$6,0)),0))))</x:f>
        <x:v>0</x:v>
      </x:c>
      <x:c r="L104" s="20" t="n">
        <x:f>IF(INDEX(Roster!$D$6:$D$108,MATCH(D104,Roster!$A$6:$A$108,0))&gt;=25,INDEX(Inputs!$B$19:$D$19,1,MATCH(A104,Inputs!$B$6:$D$6,0)),IF(INDEX(Roster!$D$6:$D$108,MATCH(D104,Roster!$A$6:$A$108,0))&gt;=20,INDEX(Inputs!$B$18:$D$18,1,MATCH(A104,Inputs!$B$6:$D$6,0)),IF(INDEX(Roster!$D$6:$D$108,MATCH(D104,Roster!$A$6:$A$108,0))&gt;=15,INDEX(Inputs!$B$17:$D$17,1,MATCH(A104,Inputs!$B$6:$D$6,0)),IF(INDEX(Roster!$D$6:$D$108,MATCH(D104,Roster!$A$6:$A$108,0))&gt;=10,INDEX(Inputs!$B$16:$D$16,1,MATCH(A104,Inputs!$B$6:$D$6,0)),IF(INDEX(Roster!$D$6:$D$108,MATCH(D104,Roster!$A$6:$A$108,0))&gt;=5,INDEX(Inputs!$B$15:$D$15,1,MATCH(A104,Inputs!$B$6:$D$6,0)),0)))))</x:f>
        <x:v>60</x:v>
      </x:c>
      <x:c r="M104" s="20" t="n">
        <x:f>G104*I104</x:f>
        <x:v>31135</x:v>
      </x:c>
      <x:c r="N104" s="20" t="n">
        <x:f>G104*J104</x:f>
        <x:v>260</x:v>
      </x:c>
      <x:c r="O104" s="20" t="n">
        <x:f>G104*K104</x:f>
        <x:v>0</x:v>
      </x:c>
      <x:c r="P104" s="20" t="n">
        <x:f>G104*L104</x:f>
        <x:v>780</x:v>
      </x:c>
      <x:c r="Q104" s="20" t="n">
        <x:f>H104*INDEX(Inputs!$B$13:$D$13,1,MATCH(A104,Inputs!$B$6:$D$6,0))</x:f>
        <x:v>390</x:v>
      </x:c>
      <x:c r="R104" s="20" t="n">
        <x:f>SUM(M104:Q104)</x:f>
        <x:v>32565</x:v>
      </x:c>
      <x:c r="S104" s="20" t="n">
        <x:f>IF(AND(A103=A104,D103=D104),S103+R104,R104)</x:f>
        <x:v>97695</x:v>
      </x:c>
      <x:c r="T104" s="20" t="n">
        <x:f>MIN(S104,INDEX(Inputs!$B$20:$D$20,1,MATCH(A104,Inputs!$B$6:$D$6,0)))*INDEX(Inputs!$B$22:$D$22,1,MATCH(A104,Inputs!$B$6:$D$6,0))+MAX(MIN(S104,INDEX(Inputs!$B$21:$D$21,1,MATCH(A104,Inputs!$B$6:$D$6,0)))-INDEX(Inputs!$B$20:$D$20,1,MATCH(A104,Inputs!$B$6:$D$6,0)),0)*INDEX(Inputs!$B$23:$D$23,1,MATCH(A104,Inputs!$B$6:$D$6,0))+MAX(S104-INDEX(Inputs!$B$21:$D$21,1,MATCH(A104,Inputs!$B$6:$D$6,0)),0)*INDEX(Inputs!$B$24:$D$24,1,MATCH(A104,Inputs!$B$6:$D$6,0))</x:f>
        <x:v>7963.6675</x:v>
      </x:c>
      <x:c r="U104" s="20" t="n">
        <x:f>IF(AND(A103=A104,D103=D104),T103,0)</x:f>
        <x:v>5472.445</x:v>
      </x:c>
      <x:c r="V104" s="20" t="n">
        <x:f>T104-U104</x:f>
        <x:v>2491.2225</x:v>
      </x:c>
      <x:c r="W104" s="20" t="n">
        <x:f>R104+V104</x:f>
        <x:v>35056.2225</x:v>
      </x:c>
      <x:c r="X104" s="14" t="str">
        <x:f>IF(ABS(W104-SUM(M104:Q104)-V104)&lt;0.01,"OK","Check")</x:f>
        <x:v>OK</x:v>
      </x:c>
    </x:row>
    <x:row r="105">
      <x:c r="A105" s="14" t="n">
        <x:v>2026</x:v>
      </x:c>
      <x:c r="B105" s="14" t="str">
        <x:v>Q4</x:v>
      </x:c>
      <x:c r="C105" s="14" t="n">
        <x:v>4</x:v>
      </x:c>
      <x:c r="D105" s="14" t="n">
        <x:v>25</x:v>
      </x:c>
      <x:c r="E105" s="14" t="str">
        <x:f>INDEX(Roster!$B$6:$B$108,MATCH(D105,Roster!$A$6:$A$108,0))</x:f>
      </x:c>
      <x:c r="F105" s="14" t="str">
        <x:f>INDEX(Roster!$F$6:$F$108,MATCH(D105,Roster!$A$6:$A$108,0))</x:f>
        <x:v>No</x:v>
      </x:c>
      <x:c r="G105" s="14" t="n">
        <x:f>INDEX(Inputs!$B$7:$D$7,1,MATCH(A105,Inputs!$B$6:$D$6,0))</x:f>
        <x:v>13</x:v>
      </x:c>
      <x:c r="H105" s="14" t="n">
        <x:f>MIN(=INDEX(Inputs!$B$7:$D$7,1,MATCH(A105,Inputs!$B$6:$D$6,0)),MAX(0,INDEX(Inputs!$B$14:$D$14,1,MATCH(A105,Inputs!$B$6:$D$6,0))-(C105-1)*=INDEX(Inputs!$B$7:$D$7,1,MATCH(A105,Inputs!$B$6:$D$6,0))))</x:f>
        <x:v>0</x:v>
      </x:c>
      <x:c r="I105" s="20" t="n">
        <x:f>INDEX(Inputs!$B$8:$D$8,1,MATCH(A105,Inputs!$B$6:$D$6,0))</x:f>
        <x:v>2395</x:v>
      </x:c>
      <x:c r="J105" s="20" t="n">
        <x:f>INDEX(Roster!$C$6:$C$108,MATCH(D105,Roster!$A$6:$A$108,0))*(1+INDEX(Inputs!$B$9:$D$9,1,MATCH(A105,Inputs!$B$6:$D$6,0)))</x:f>
        <x:v>20</x:v>
      </x:c>
      <x:c r="K105" s="20" t="n">
        <x:f>IF(=INDEX(Roster!$F$6:$F$108,MATCH(D105,Roster!$A$6:$A$108,0))="Yes",0,=INDEX(Inputs!$B$8:$D$8,1,MATCH(A105,Inputs!$B$6:$D$6,0))*IF(=INDEX(Roster!$B$6:$B$108,MATCH(D105,Roster!$A$6:$A$108,0))="Principal",INDEX(Inputs!$B$10:$D$10,1,MATCH(A105,Inputs!$B$6:$D$6,0)),IF(=INDEX(Roster!$B$6:$B$108,MATCH(D105,Roster!$A$6:$A$108,0))="Associate Principal",INDEX(Inputs!$B$11:$D$11,1,MATCH(A105,Inputs!$B$6:$D$6,0)),IF(=INDEX(Roster!$B$6:$B$108,MATCH(D105,Roster!$A$6:$A$108,0))="Assistant Principal",INDEX(Inputs!$B$12:$D$12,1,MATCH(A105,Inputs!$B$6:$D$6,0)),0))))</x:f>
        <x:v>0</x:v>
      </x:c>
      <x:c r="L105" s="20" t="n">
        <x:f>IF(INDEX(Roster!$D$6:$D$108,MATCH(D105,Roster!$A$6:$A$108,0))&gt;=25,INDEX(Inputs!$B$19:$D$19,1,MATCH(A105,Inputs!$B$6:$D$6,0)),IF(INDEX(Roster!$D$6:$D$108,MATCH(D105,Roster!$A$6:$A$108,0))&gt;=20,INDEX(Inputs!$B$18:$D$18,1,MATCH(A105,Inputs!$B$6:$D$6,0)),IF(INDEX(Roster!$D$6:$D$108,MATCH(D105,Roster!$A$6:$A$108,0))&gt;=15,INDEX(Inputs!$B$17:$D$17,1,MATCH(A105,Inputs!$B$6:$D$6,0)),IF(INDEX(Roster!$D$6:$D$108,MATCH(D105,Roster!$A$6:$A$108,0))&gt;=10,INDEX(Inputs!$B$16:$D$16,1,MATCH(A105,Inputs!$B$6:$D$6,0)),IF(INDEX(Roster!$D$6:$D$108,MATCH(D105,Roster!$A$6:$A$108,0))&gt;=5,INDEX(Inputs!$B$15:$D$15,1,MATCH(A105,Inputs!$B$6:$D$6,0)),0)))))</x:f>
        <x:v>60</x:v>
      </x:c>
      <x:c r="M105" s="20" t="n">
        <x:f>G105*I105</x:f>
        <x:v>31135</x:v>
      </x:c>
      <x:c r="N105" s="20" t="n">
        <x:f>G105*J105</x:f>
        <x:v>260</x:v>
      </x:c>
      <x:c r="O105" s="20" t="n">
        <x:f>G105*K105</x:f>
        <x:v>0</x:v>
      </x:c>
      <x:c r="P105" s="20" t="n">
        <x:f>G105*L105</x:f>
        <x:v>780</x:v>
      </x:c>
      <x:c r="Q105" s="20" t="n">
        <x:f>H105*INDEX(Inputs!$B$13:$D$13,1,MATCH(A105,Inputs!$B$6:$D$6,0))</x:f>
        <x:v>0</x:v>
      </x:c>
      <x:c r="R105" s="20" t="n">
        <x:f>SUM(M105:Q105)</x:f>
        <x:v>32175</x:v>
      </x:c>
      <x:c r="S105" s="20" t="n">
        <x:f>IF(AND(A104=A105,D104=D105),S104+R105,R105)</x:f>
        <x:v>129870</x:v>
      </x:c>
      <x:c r="T105" s="20" t="n">
        <x:f>MIN(S105,INDEX(Inputs!$B$20:$D$20,1,MATCH(A105,Inputs!$B$6:$D$6,0)))*INDEX(Inputs!$B$22:$D$22,1,MATCH(A105,Inputs!$B$6:$D$6,0))+MAX(MIN(S105,INDEX(Inputs!$B$21:$D$21,1,MATCH(A105,Inputs!$B$6:$D$6,0)))-INDEX(Inputs!$B$20:$D$20,1,MATCH(A105,Inputs!$B$6:$D$6,0)),0)*INDEX(Inputs!$B$23:$D$23,1,MATCH(A105,Inputs!$B$6:$D$6,0))+MAX(S105-INDEX(Inputs!$B$21:$D$21,1,MATCH(A105,Inputs!$B$6:$D$6,0)),0)*INDEX(Inputs!$B$24:$D$24,1,MATCH(A105,Inputs!$B$6:$D$6,0))</x:f>
        <x:v>9797.057</x:v>
      </x:c>
      <x:c r="U105" s="20" t="n">
        <x:f>IF(AND(A104=A105,D104=D105),T104,0)</x:f>
        <x:v>7963.6675</x:v>
      </x:c>
      <x:c r="V105" s="20" t="n">
        <x:f>T105-U105</x:f>
        <x:v>1833.3895000000011</x:v>
      </x:c>
      <x:c r="W105" s="20" t="n">
        <x:f>R105+V105</x:f>
        <x:v>34008.389500000005</x:v>
      </x:c>
      <x:c r="X105" s="14" t="str">
        <x:f>IF(ABS(W105-SUM(M105:Q105)-V105)&lt;0.01,"OK","Check")</x:f>
        <x:v>OK</x:v>
      </x:c>
    </x:row>
    <x:row r="106">
      <x:c r="A106" s="14" t="n">
        <x:v>2026</x:v>
      </x:c>
      <x:c r="B106" s="14" t="str">
        <x:v>Q1</x:v>
      </x:c>
      <x:c r="C106" s="14" t="n">
        <x:v>1</x:v>
      </x:c>
      <x:c r="D106" s="14" t="n">
        <x:v>26</x:v>
      </x:c>
      <x:c r="E106" s="14" t="str">
        <x:f>INDEX(Roster!$B$6:$B$108,MATCH(D106,Roster!$A$6:$A$108,0))</x:f>
      </x:c>
      <x:c r="F106" s="14" t="str">
        <x:f>INDEX(Roster!$F$6:$F$108,MATCH(D106,Roster!$A$6:$A$108,0))</x:f>
        <x:v>No</x:v>
      </x:c>
      <x:c r="G106" s="14" t="n">
        <x:f>INDEX(Inputs!$B$7:$D$7,1,MATCH(A106,Inputs!$B$6:$D$6,0))</x:f>
        <x:v>13</x:v>
      </x:c>
      <x:c r="H106" s="14" t="n">
        <x:f>MIN(=INDEX(Inputs!$B$7:$D$7,1,MATCH(A106,Inputs!$B$6:$D$6,0)),MAX(0,INDEX(Inputs!$B$14:$D$14,1,MATCH(A106,Inputs!$B$6:$D$6,0))-(C106-1)*=INDEX(Inputs!$B$7:$D$7,1,MATCH(A106,Inputs!$B$6:$D$6,0))))</x:f>
        <x:v>13</x:v>
      </x:c>
      <x:c r="I106" s="20" t="n">
        <x:f>INDEX(Inputs!$B$8:$D$8,1,MATCH(A106,Inputs!$B$6:$D$6,0))</x:f>
        <x:v>2395</x:v>
      </x:c>
      <x:c r="J106" s="20" t="n">
        <x:f>INDEX(Roster!$C$6:$C$108,MATCH(D106,Roster!$A$6:$A$108,0))*(1+INDEX(Inputs!$B$9:$D$9,1,MATCH(A106,Inputs!$B$6:$D$6,0)))</x:f>
        <x:v>60</x:v>
      </x:c>
      <x:c r="K106" s="20" t="n">
        <x:f>IF(=INDEX(Roster!$F$6:$F$108,MATCH(D106,Roster!$A$6:$A$108,0))="Yes",0,=INDEX(Inputs!$B$8:$D$8,1,MATCH(A106,Inputs!$B$6:$D$6,0))*IF(=INDEX(Roster!$B$6:$B$108,MATCH(D106,Roster!$A$6:$A$108,0))="Principal",INDEX(Inputs!$B$10:$D$10,1,MATCH(A106,Inputs!$B$6:$D$6,0)),IF(=INDEX(Roster!$B$6:$B$108,MATCH(D106,Roster!$A$6:$A$108,0))="Associate Principal",INDEX(Inputs!$B$11:$D$11,1,MATCH(A106,Inputs!$B$6:$D$6,0)),IF(=INDEX(Roster!$B$6:$B$108,MATCH(D106,Roster!$A$6:$A$108,0))="Assistant Principal",INDEX(Inputs!$B$12:$D$12,1,MATCH(A106,Inputs!$B$6:$D$6,0)),0))))</x:f>
        <x:v>0</x:v>
      </x:c>
      <x:c r="L106" s="20" t="n">
        <x:f>IF(INDEX(Roster!$D$6:$D$108,MATCH(D106,Roster!$A$6:$A$108,0))&gt;=25,INDEX(Inputs!$B$19:$D$19,1,MATCH(A106,Inputs!$B$6:$D$6,0)),IF(INDEX(Roster!$D$6:$D$108,MATCH(D106,Roster!$A$6:$A$108,0))&gt;=20,INDEX(Inputs!$B$18:$D$18,1,MATCH(A106,Inputs!$B$6:$D$6,0)),IF(INDEX(Roster!$D$6:$D$108,MATCH(D106,Roster!$A$6:$A$108,0))&gt;=15,INDEX(Inputs!$B$17:$D$17,1,MATCH(A106,Inputs!$B$6:$D$6,0)),IF(INDEX(Roster!$D$6:$D$108,MATCH(D106,Roster!$A$6:$A$108,0))&gt;=10,INDEX(Inputs!$B$16:$D$16,1,MATCH(A106,Inputs!$B$6:$D$6,0)),IF(INDEX(Roster!$D$6:$D$108,MATCH(D106,Roster!$A$6:$A$108,0))&gt;=5,INDEX(Inputs!$B$15:$D$15,1,MATCH(A106,Inputs!$B$6:$D$6,0)),0)))))</x:f>
        <x:v>90</x:v>
      </x:c>
      <x:c r="M106" s="20" t="n">
        <x:f>G106*I106</x:f>
        <x:v>31135</x:v>
      </x:c>
      <x:c r="N106" s="20" t="n">
        <x:f>G106*J106</x:f>
        <x:v>780</x:v>
      </x:c>
      <x:c r="O106" s="20" t="n">
        <x:f>G106*K106</x:f>
        <x:v>0</x:v>
      </x:c>
      <x:c r="P106" s="20" t="n">
        <x:f>G106*L106</x:f>
        <x:v>1170</x:v>
      </x:c>
      <x:c r="Q106" s="20" t="n">
        <x:f>H106*INDEX(Inputs!$B$13:$D$13,1,MATCH(A106,Inputs!$B$6:$D$6,0))</x:f>
        <x:v>390</x:v>
      </x:c>
      <x:c r="R106" s="20" t="n">
        <x:f>SUM(M106:Q106)</x:f>
        <x:v>33475</x:v>
      </x:c>
      <x:c r="S106" s="20" t="n">
        <x:f>IF(AND(A105=A106,D105=D106),S105+R106,R106)</x:f>
        <x:v>33475</x:v>
      </x:c>
      <x:c r="T106" s="20" t="n">
        <x:f>MIN(S106,INDEX(Inputs!$B$20:$D$20,1,MATCH(A106,Inputs!$B$6:$D$6,0)))*INDEX(Inputs!$B$22:$D$22,1,MATCH(A106,Inputs!$B$6:$D$6,0))+MAX(MIN(S106,INDEX(Inputs!$B$21:$D$21,1,MATCH(A106,Inputs!$B$6:$D$6,0)))-INDEX(Inputs!$B$20:$D$20,1,MATCH(A106,Inputs!$B$6:$D$6,0)),0)*INDEX(Inputs!$B$23:$D$23,1,MATCH(A106,Inputs!$B$6:$D$6,0))+MAX(S106-INDEX(Inputs!$B$21:$D$21,1,MATCH(A106,Inputs!$B$6:$D$6,0)),0)*INDEX(Inputs!$B$24:$D$24,1,MATCH(A106,Inputs!$B$6:$D$6,0))</x:f>
        <x:v>3050.8374999999996</x:v>
      </x:c>
      <x:c r="U106" s="20" t="n">
        <x:f>IF(AND(A105=A106,D105=D106),T105,0)</x:f>
        <x:v>0</x:v>
      </x:c>
      <x:c r="V106" s="20" t="n">
        <x:f>T106-U106</x:f>
        <x:v>3050.8374999999996</x:v>
      </x:c>
      <x:c r="W106" s="20" t="n">
        <x:f>R106+V106</x:f>
        <x:v>36525.8375</x:v>
      </x:c>
      <x:c r="X106" s="14" t="str">
        <x:f>IF(ABS(W106-SUM(M106:Q106)-V106)&lt;0.01,"OK","Check")</x:f>
        <x:v>OK</x:v>
      </x:c>
    </x:row>
    <x:row r="107">
      <x:c r="A107" s="14" t="n">
        <x:v>2026</x:v>
      </x:c>
      <x:c r="B107" s="14" t="str">
        <x:v>Q2</x:v>
      </x:c>
      <x:c r="C107" s="14" t="n">
        <x:v>2</x:v>
      </x:c>
      <x:c r="D107" s="14" t="n">
        <x:v>26</x:v>
      </x:c>
      <x:c r="E107" s="14" t="str">
        <x:f>INDEX(Roster!$B$6:$B$108,MATCH(D107,Roster!$A$6:$A$108,0))</x:f>
      </x:c>
      <x:c r="F107" s="14" t="str">
        <x:f>INDEX(Roster!$F$6:$F$108,MATCH(D107,Roster!$A$6:$A$108,0))</x:f>
        <x:v>No</x:v>
      </x:c>
      <x:c r="G107" s="14" t="n">
        <x:f>INDEX(Inputs!$B$7:$D$7,1,MATCH(A107,Inputs!$B$6:$D$6,0))</x:f>
        <x:v>13</x:v>
      </x:c>
      <x:c r="H107" s="14" t="n">
        <x:f>MIN(=INDEX(Inputs!$B$7:$D$7,1,MATCH(A107,Inputs!$B$6:$D$6,0)),MAX(0,INDEX(Inputs!$B$14:$D$14,1,MATCH(A107,Inputs!$B$6:$D$6,0))-(C107-1)*=INDEX(Inputs!$B$7:$D$7,1,MATCH(A107,Inputs!$B$6:$D$6,0))))</x:f>
        <x:v>13</x:v>
      </x:c>
      <x:c r="I107" s="20" t="n">
        <x:f>INDEX(Inputs!$B$8:$D$8,1,MATCH(A107,Inputs!$B$6:$D$6,0))</x:f>
        <x:v>2395</x:v>
      </x:c>
      <x:c r="J107" s="20" t="n">
        <x:f>INDEX(Roster!$C$6:$C$108,MATCH(D107,Roster!$A$6:$A$108,0))*(1+INDEX(Inputs!$B$9:$D$9,1,MATCH(A107,Inputs!$B$6:$D$6,0)))</x:f>
        <x:v>60</x:v>
      </x:c>
      <x:c r="K107" s="20" t="n">
        <x:f>IF(=INDEX(Roster!$F$6:$F$108,MATCH(D107,Roster!$A$6:$A$108,0))="Yes",0,=INDEX(Inputs!$B$8:$D$8,1,MATCH(A107,Inputs!$B$6:$D$6,0))*IF(=INDEX(Roster!$B$6:$B$108,MATCH(D107,Roster!$A$6:$A$108,0))="Principal",INDEX(Inputs!$B$10:$D$10,1,MATCH(A107,Inputs!$B$6:$D$6,0)),IF(=INDEX(Roster!$B$6:$B$108,MATCH(D107,Roster!$A$6:$A$108,0))="Associate Principal",INDEX(Inputs!$B$11:$D$11,1,MATCH(A107,Inputs!$B$6:$D$6,0)),IF(=INDEX(Roster!$B$6:$B$108,MATCH(D107,Roster!$A$6:$A$108,0))="Assistant Principal",INDEX(Inputs!$B$12:$D$12,1,MATCH(A107,Inputs!$B$6:$D$6,0)),0))))</x:f>
        <x:v>0</x:v>
      </x:c>
      <x:c r="L107" s="20" t="n">
        <x:f>IF(INDEX(Roster!$D$6:$D$108,MATCH(D107,Roster!$A$6:$A$108,0))&gt;=25,INDEX(Inputs!$B$19:$D$19,1,MATCH(A107,Inputs!$B$6:$D$6,0)),IF(INDEX(Roster!$D$6:$D$108,MATCH(D107,Roster!$A$6:$A$108,0))&gt;=20,INDEX(Inputs!$B$18:$D$18,1,MATCH(A107,Inputs!$B$6:$D$6,0)),IF(INDEX(Roster!$D$6:$D$108,MATCH(D107,Roster!$A$6:$A$108,0))&gt;=15,INDEX(Inputs!$B$17:$D$17,1,MATCH(A107,Inputs!$B$6:$D$6,0)),IF(INDEX(Roster!$D$6:$D$108,MATCH(D107,Roster!$A$6:$A$108,0))&gt;=10,INDEX(Inputs!$B$16:$D$16,1,MATCH(A107,Inputs!$B$6:$D$6,0)),IF(INDEX(Roster!$D$6:$D$108,MATCH(D107,Roster!$A$6:$A$108,0))&gt;=5,INDEX(Inputs!$B$15:$D$15,1,MATCH(A107,Inputs!$B$6:$D$6,0)),0)))))</x:f>
        <x:v>90</x:v>
      </x:c>
      <x:c r="M107" s="20" t="n">
        <x:f>G107*I107</x:f>
        <x:v>31135</x:v>
      </x:c>
      <x:c r="N107" s="20" t="n">
        <x:f>G107*J107</x:f>
        <x:v>780</x:v>
      </x:c>
      <x:c r="O107" s="20" t="n">
        <x:f>G107*K107</x:f>
        <x:v>0</x:v>
      </x:c>
      <x:c r="P107" s="20" t="n">
        <x:f>G107*L107</x:f>
        <x:v>1170</x:v>
      </x:c>
      <x:c r="Q107" s="20" t="n">
        <x:f>H107*INDEX(Inputs!$B$13:$D$13,1,MATCH(A107,Inputs!$B$6:$D$6,0))</x:f>
        <x:v>390</x:v>
      </x:c>
      <x:c r="R107" s="20" t="n">
        <x:f>SUM(M107:Q107)</x:f>
        <x:v>33475</x:v>
      </x:c>
      <x:c r="S107" s="20" t="n">
        <x:f>IF(AND(A106=A107,D106=D107),S106+R107,R107)</x:f>
        <x:v>66950</x:v>
      </x:c>
      <x:c r="T107" s="20" t="n">
        <x:f>MIN(S107,INDEX(Inputs!$B$20:$D$20,1,MATCH(A107,Inputs!$B$6:$D$6,0)))*INDEX(Inputs!$B$22:$D$22,1,MATCH(A107,Inputs!$B$6:$D$6,0))+MAX(MIN(S107,INDEX(Inputs!$B$21:$D$21,1,MATCH(A107,Inputs!$B$6:$D$6,0)))-INDEX(Inputs!$B$20:$D$20,1,MATCH(A107,Inputs!$B$6:$D$6,0)),0)*INDEX(Inputs!$B$23:$D$23,1,MATCH(A107,Inputs!$B$6:$D$6,0))+MAX(S107-INDEX(Inputs!$B$21:$D$21,1,MATCH(A107,Inputs!$B$6:$D$6,0)),0)*INDEX(Inputs!$B$24:$D$24,1,MATCH(A107,Inputs!$B$6:$D$6,0))</x:f>
        <x:v>5611.675</x:v>
      </x:c>
      <x:c r="U107" s="20" t="n">
        <x:f>IF(AND(A106=A107,D106=D107),T106,0)</x:f>
        <x:v>3050.8374999999996</x:v>
      </x:c>
      <x:c r="V107" s="20" t="n">
        <x:f>T107-U107</x:f>
        <x:v>2560.8375000000005</x:v>
      </x:c>
      <x:c r="W107" s="20" t="n">
        <x:f>R107+V107</x:f>
        <x:v>36035.8375</x:v>
      </x:c>
      <x:c r="X107" s="14" t="str">
        <x:f>IF(ABS(W107-SUM(M107:Q107)-V107)&lt;0.01,"OK","Check")</x:f>
        <x:v>OK</x:v>
      </x:c>
    </x:row>
    <x:row r="108">
      <x:c r="A108" s="14" t="n">
        <x:v>2026</x:v>
      </x:c>
      <x:c r="B108" s="14" t="str">
        <x:v>Q3</x:v>
      </x:c>
      <x:c r="C108" s="14" t="n">
        <x:v>3</x:v>
      </x:c>
      <x:c r="D108" s="14" t="n">
        <x:v>26</x:v>
      </x:c>
      <x:c r="E108" s="14" t="str">
        <x:f>INDEX(Roster!$B$6:$B$108,MATCH(D108,Roster!$A$6:$A$108,0))</x:f>
      </x:c>
      <x:c r="F108" s="14" t="str">
        <x:f>INDEX(Roster!$F$6:$F$108,MATCH(D108,Roster!$A$6:$A$108,0))</x:f>
        <x:v>No</x:v>
      </x:c>
      <x:c r="G108" s="14" t="n">
        <x:f>INDEX(Inputs!$B$7:$D$7,1,MATCH(A108,Inputs!$B$6:$D$6,0))</x:f>
        <x:v>13</x:v>
      </x:c>
      <x:c r="H108" s="14" t="n">
        <x:f>MIN(=INDEX(Inputs!$B$7:$D$7,1,MATCH(A108,Inputs!$B$6:$D$6,0)),MAX(0,INDEX(Inputs!$B$14:$D$14,1,MATCH(A108,Inputs!$B$6:$D$6,0))-(C108-1)*=INDEX(Inputs!$B$7:$D$7,1,MATCH(A108,Inputs!$B$6:$D$6,0))))</x:f>
        <x:v>13</x:v>
      </x:c>
      <x:c r="I108" s="20" t="n">
        <x:f>INDEX(Inputs!$B$8:$D$8,1,MATCH(A108,Inputs!$B$6:$D$6,0))</x:f>
        <x:v>2395</x:v>
      </x:c>
      <x:c r="J108" s="20" t="n">
        <x:f>INDEX(Roster!$C$6:$C$108,MATCH(D108,Roster!$A$6:$A$108,0))*(1+INDEX(Inputs!$B$9:$D$9,1,MATCH(A108,Inputs!$B$6:$D$6,0)))</x:f>
        <x:v>60</x:v>
      </x:c>
      <x:c r="K108" s="20" t="n">
        <x:f>IF(=INDEX(Roster!$F$6:$F$108,MATCH(D108,Roster!$A$6:$A$108,0))="Yes",0,=INDEX(Inputs!$B$8:$D$8,1,MATCH(A108,Inputs!$B$6:$D$6,0))*IF(=INDEX(Roster!$B$6:$B$108,MATCH(D108,Roster!$A$6:$A$108,0))="Principal",INDEX(Inputs!$B$10:$D$10,1,MATCH(A108,Inputs!$B$6:$D$6,0)),IF(=INDEX(Roster!$B$6:$B$108,MATCH(D108,Roster!$A$6:$A$108,0))="Associate Principal",INDEX(Inputs!$B$11:$D$11,1,MATCH(A108,Inputs!$B$6:$D$6,0)),IF(=INDEX(Roster!$B$6:$B$108,MATCH(D108,Roster!$A$6:$A$108,0))="Assistant Principal",INDEX(Inputs!$B$12:$D$12,1,MATCH(A108,Inputs!$B$6:$D$6,0)),0))))</x:f>
        <x:v>0</x:v>
      </x:c>
      <x:c r="L108" s="20" t="n">
        <x:f>IF(INDEX(Roster!$D$6:$D$108,MATCH(D108,Roster!$A$6:$A$108,0))&gt;=25,INDEX(Inputs!$B$19:$D$19,1,MATCH(A108,Inputs!$B$6:$D$6,0)),IF(INDEX(Roster!$D$6:$D$108,MATCH(D108,Roster!$A$6:$A$108,0))&gt;=20,INDEX(Inputs!$B$18:$D$18,1,MATCH(A108,Inputs!$B$6:$D$6,0)),IF(INDEX(Roster!$D$6:$D$108,MATCH(D108,Roster!$A$6:$A$108,0))&gt;=15,INDEX(Inputs!$B$17:$D$17,1,MATCH(A108,Inputs!$B$6:$D$6,0)),IF(INDEX(Roster!$D$6:$D$108,MATCH(D108,Roster!$A$6:$A$108,0))&gt;=10,INDEX(Inputs!$B$16:$D$16,1,MATCH(A108,Inputs!$B$6:$D$6,0)),IF(INDEX(Roster!$D$6:$D$108,MATCH(D108,Roster!$A$6:$A$108,0))&gt;=5,INDEX(Inputs!$B$15:$D$15,1,MATCH(A108,Inputs!$B$6:$D$6,0)),0)))))</x:f>
        <x:v>90</x:v>
      </x:c>
      <x:c r="M108" s="20" t="n">
        <x:f>G108*I108</x:f>
        <x:v>31135</x:v>
      </x:c>
      <x:c r="N108" s="20" t="n">
        <x:f>G108*J108</x:f>
        <x:v>780</x:v>
      </x:c>
      <x:c r="O108" s="20" t="n">
        <x:f>G108*K108</x:f>
        <x:v>0</x:v>
      </x:c>
      <x:c r="P108" s="20" t="n">
        <x:f>G108*L108</x:f>
        <x:v>1170</x:v>
      </x:c>
      <x:c r="Q108" s="20" t="n">
        <x:f>H108*INDEX(Inputs!$B$13:$D$13,1,MATCH(A108,Inputs!$B$6:$D$6,0))</x:f>
        <x:v>390</x:v>
      </x:c>
      <x:c r="R108" s="20" t="n">
        <x:f>SUM(M108:Q108)</x:f>
        <x:v>33475</x:v>
      </x:c>
      <x:c r="S108" s="20" t="n">
        <x:f>IF(AND(A107=A108,D107=D108),S107+R108,R108)</x:f>
        <x:v>100425</x:v>
      </x:c>
      <x:c r="T108" s="20" t="n">
        <x:f>MIN(S108,INDEX(Inputs!$B$20:$D$20,1,MATCH(A108,Inputs!$B$6:$D$6,0)))*INDEX(Inputs!$B$22:$D$22,1,MATCH(A108,Inputs!$B$6:$D$6,0))+MAX(MIN(S108,INDEX(Inputs!$B$21:$D$21,1,MATCH(A108,Inputs!$B$6:$D$6,0)))-INDEX(Inputs!$B$20:$D$20,1,MATCH(A108,Inputs!$B$6:$D$6,0)),0)*INDEX(Inputs!$B$23:$D$23,1,MATCH(A108,Inputs!$B$6:$D$6,0))+MAX(S108-INDEX(Inputs!$B$21:$D$21,1,MATCH(A108,Inputs!$B$6:$D$6,0)),0)*INDEX(Inputs!$B$24:$D$24,1,MATCH(A108,Inputs!$B$6:$D$6,0))</x:f>
        <x:v>8172.5125</x:v>
      </x:c>
      <x:c r="U108" s="20" t="n">
        <x:f>IF(AND(A107=A108,D107=D108),T107,0)</x:f>
        <x:v>5611.675</x:v>
      </x:c>
      <x:c r="V108" s="20" t="n">
        <x:f>T108-U108</x:f>
        <x:v>2560.8374999999996</x:v>
      </x:c>
      <x:c r="W108" s="20" t="n">
        <x:f>R108+V108</x:f>
        <x:v>36035.8375</x:v>
      </x:c>
      <x:c r="X108" s="14" t="str">
        <x:f>IF(ABS(W108-SUM(M108:Q108)-V108)&lt;0.01,"OK","Check")</x:f>
        <x:v>OK</x:v>
      </x:c>
    </x:row>
    <x:row r="109">
      <x:c r="A109" s="14" t="n">
        <x:v>2026</x:v>
      </x:c>
      <x:c r="B109" s="14" t="str">
        <x:v>Q4</x:v>
      </x:c>
      <x:c r="C109" s="14" t="n">
        <x:v>4</x:v>
      </x:c>
      <x:c r="D109" s="14" t="n">
        <x:v>26</x:v>
      </x:c>
      <x:c r="E109" s="14" t="str">
        <x:f>INDEX(Roster!$B$6:$B$108,MATCH(D109,Roster!$A$6:$A$108,0))</x:f>
      </x:c>
      <x:c r="F109" s="14" t="str">
        <x:f>INDEX(Roster!$F$6:$F$108,MATCH(D109,Roster!$A$6:$A$108,0))</x:f>
        <x:v>No</x:v>
      </x:c>
      <x:c r="G109" s="14" t="n">
        <x:f>INDEX(Inputs!$B$7:$D$7,1,MATCH(A109,Inputs!$B$6:$D$6,0))</x:f>
        <x:v>13</x:v>
      </x:c>
      <x:c r="H109" s="14" t="n">
        <x:f>MIN(=INDEX(Inputs!$B$7:$D$7,1,MATCH(A109,Inputs!$B$6:$D$6,0)),MAX(0,INDEX(Inputs!$B$14:$D$14,1,MATCH(A109,Inputs!$B$6:$D$6,0))-(C109-1)*=INDEX(Inputs!$B$7:$D$7,1,MATCH(A109,Inputs!$B$6:$D$6,0))))</x:f>
        <x:v>0</x:v>
      </x:c>
      <x:c r="I109" s="20" t="n">
        <x:f>INDEX(Inputs!$B$8:$D$8,1,MATCH(A109,Inputs!$B$6:$D$6,0))</x:f>
        <x:v>2395</x:v>
      </x:c>
      <x:c r="J109" s="20" t="n">
        <x:f>INDEX(Roster!$C$6:$C$108,MATCH(D109,Roster!$A$6:$A$108,0))*(1+INDEX(Inputs!$B$9:$D$9,1,MATCH(A109,Inputs!$B$6:$D$6,0)))</x:f>
        <x:v>60</x:v>
      </x:c>
      <x:c r="K109" s="20" t="n">
        <x:f>IF(=INDEX(Roster!$F$6:$F$108,MATCH(D109,Roster!$A$6:$A$108,0))="Yes",0,=INDEX(Inputs!$B$8:$D$8,1,MATCH(A109,Inputs!$B$6:$D$6,0))*IF(=INDEX(Roster!$B$6:$B$108,MATCH(D109,Roster!$A$6:$A$108,0))="Principal",INDEX(Inputs!$B$10:$D$10,1,MATCH(A109,Inputs!$B$6:$D$6,0)),IF(=INDEX(Roster!$B$6:$B$108,MATCH(D109,Roster!$A$6:$A$108,0))="Associate Principal",INDEX(Inputs!$B$11:$D$11,1,MATCH(A109,Inputs!$B$6:$D$6,0)),IF(=INDEX(Roster!$B$6:$B$108,MATCH(D109,Roster!$A$6:$A$108,0))="Assistant Principal",INDEX(Inputs!$B$12:$D$12,1,MATCH(A109,Inputs!$B$6:$D$6,0)),0))))</x:f>
        <x:v>0</x:v>
      </x:c>
      <x:c r="L109" s="20" t="n">
        <x:f>IF(INDEX(Roster!$D$6:$D$108,MATCH(D109,Roster!$A$6:$A$108,0))&gt;=25,INDEX(Inputs!$B$19:$D$19,1,MATCH(A109,Inputs!$B$6:$D$6,0)),IF(INDEX(Roster!$D$6:$D$108,MATCH(D109,Roster!$A$6:$A$108,0))&gt;=20,INDEX(Inputs!$B$18:$D$18,1,MATCH(A109,Inputs!$B$6:$D$6,0)),IF(INDEX(Roster!$D$6:$D$108,MATCH(D109,Roster!$A$6:$A$108,0))&gt;=15,INDEX(Inputs!$B$17:$D$17,1,MATCH(A109,Inputs!$B$6:$D$6,0)),IF(INDEX(Roster!$D$6:$D$108,MATCH(D109,Roster!$A$6:$A$108,0))&gt;=10,INDEX(Inputs!$B$16:$D$16,1,MATCH(A109,Inputs!$B$6:$D$6,0)),IF(INDEX(Roster!$D$6:$D$108,MATCH(D109,Roster!$A$6:$A$108,0))&gt;=5,INDEX(Inputs!$B$15:$D$15,1,MATCH(A109,Inputs!$B$6:$D$6,0)),0)))))</x:f>
        <x:v>90</x:v>
      </x:c>
      <x:c r="M109" s="20" t="n">
        <x:f>G109*I109</x:f>
        <x:v>31135</x:v>
      </x:c>
      <x:c r="N109" s="20" t="n">
        <x:f>G109*J109</x:f>
        <x:v>780</x:v>
      </x:c>
      <x:c r="O109" s="20" t="n">
        <x:f>G109*K109</x:f>
        <x:v>0</x:v>
      </x:c>
      <x:c r="P109" s="20" t="n">
        <x:f>G109*L109</x:f>
        <x:v>1170</x:v>
      </x:c>
      <x:c r="Q109" s="20" t="n">
        <x:f>H109*INDEX(Inputs!$B$13:$D$13,1,MATCH(A109,Inputs!$B$6:$D$6,0))</x:f>
        <x:v>0</x:v>
      </x:c>
      <x:c r="R109" s="20" t="n">
        <x:f>SUM(M109:Q109)</x:f>
        <x:v>33085</x:v>
      </x:c>
      <x:c r="S109" s="20" t="n">
        <x:f>IF(AND(A108=A109,D108=D109),S108+R109,R109)</x:f>
        <x:v>133510</x:v>
      </x:c>
      <x:c r="T109" s="20" t="n">
        <x:f>MIN(S109,INDEX(Inputs!$B$20:$D$20,1,MATCH(A109,Inputs!$B$6:$D$6,0)))*INDEX(Inputs!$B$22:$D$22,1,MATCH(A109,Inputs!$B$6:$D$6,0))+MAX(MIN(S109,INDEX(Inputs!$B$21:$D$21,1,MATCH(A109,Inputs!$B$6:$D$6,0)))-INDEX(Inputs!$B$20:$D$20,1,MATCH(A109,Inputs!$B$6:$D$6,0)),0)*INDEX(Inputs!$B$23:$D$23,1,MATCH(A109,Inputs!$B$6:$D$6,0))+MAX(S109-INDEX(Inputs!$B$21:$D$21,1,MATCH(A109,Inputs!$B$6:$D$6,0)),0)*INDEX(Inputs!$B$24:$D$24,1,MATCH(A109,Inputs!$B$6:$D$6,0))</x:f>
        <x:v>9849.837</x:v>
      </x:c>
      <x:c r="U109" s="20" t="n">
        <x:f>IF(AND(A108=A109,D108=D109),T108,0)</x:f>
        <x:v>8172.5125</x:v>
      </x:c>
      <x:c r="V109" s="20" t="n">
        <x:f>T109-U109</x:f>
        <x:v>1677.3244999999997</x:v>
      </x:c>
      <x:c r="W109" s="20" t="n">
        <x:f>R109+V109</x:f>
        <x:v>34762.3245</x:v>
      </x:c>
      <x:c r="X109" s="14" t="str">
        <x:f>IF(ABS(W109-SUM(M109:Q109)-V109)&lt;0.01,"OK","Check")</x:f>
        <x:v>OK</x:v>
      </x:c>
    </x:row>
    <x:row r="110">
      <x:c r="A110" s="14" t="n">
        <x:v>2026</x:v>
      </x:c>
      <x:c r="B110" s="14" t="str">
        <x:v>Q1</x:v>
      </x:c>
      <x:c r="C110" s="14" t="n">
        <x:v>1</x:v>
      </x:c>
      <x:c r="D110" s="14" t="n">
        <x:v>27</x:v>
      </x:c>
      <x:c r="E110" s="14" t="str">
        <x:f>INDEX(Roster!$B$6:$B$108,MATCH(D110,Roster!$A$6:$A$108,0))</x:f>
        <x:v>Assistant Principal</x:v>
      </x:c>
      <x:c r="F110" s="14" t="str">
        <x:f>INDEX(Roster!$F$6:$F$108,MATCH(D110,Roster!$A$6:$A$108,0))</x:f>
        <x:v>No</x:v>
      </x:c>
      <x:c r="G110" s="14" t="n">
        <x:f>INDEX(Inputs!$B$7:$D$7,1,MATCH(A110,Inputs!$B$6:$D$6,0))</x:f>
        <x:v>13</x:v>
      </x:c>
      <x:c r="H110" s="14" t="n">
        <x:f>MIN(=INDEX(Inputs!$B$7:$D$7,1,MATCH(A110,Inputs!$B$6:$D$6,0)),MAX(0,INDEX(Inputs!$B$14:$D$14,1,MATCH(A110,Inputs!$B$6:$D$6,0))-(C110-1)*=INDEX(Inputs!$B$7:$D$7,1,MATCH(A110,Inputs!$B$6:$D$6,0))))</x:f>
        <x:v>13</x:v>
      </x:c>
      <x:c r="I110" s="20" t="n">
        <x:f>INDEX(Inputs!$B$8:$D$8,1,MATCH(A110,Inputs!$B$6:$D$6,0))</x:f>
        <x:v>2395</x:v>
      </x:c>
      <x:c r="J110" s="20" t="n">
        <x:f>INDEX(Roster!$C$6:$C$108,MATCH(D110,Roster!$A$6:$A$108,0))*(1+INDEX(Inputs!$B$9:$D$9,1,MATCH(A110,Inputs!$B$6:$D$6,0)))</x:f>
        <x:v>0</x:v>
      </x:c>
      <x:c r="K110" s="20" t="n">
        <x:f>IF(=INDEX(Roster!$F$6:$F$108,MATCH(D110,Roster!$A$6:$A$108,0))="Yes",0,=INDEX(Inputs!$B$8:$D$8,1,MATCH(A110,Inputs!$B$6:$D$6,0))*IF(=INDEX(Roster!$B$6:$B$108,MATCH(D110,Roster!$A$6:$A$108,0))="Principal",INDEX(Inputs!$B$10:$D$10,1,MATCH(A110,Inputs!$B$6:$D$6,0)),IF(=INDEX(Roster!$B$6:$B$108,MATCH(D110,Roster!$A$6:$A$108,0))="Associate Principal",INDEX(Inputs!$B$11:$D$11,1,MATCH(A110,Inputs!$B$6:$D$6,0)),IF(=INDEX(Roster!$B$6:$B$108,MATCH(D110,Roster!$A$6:$A$108,0))="Assistant Principal",INDEX(Inputs!$B$12:$D$12,1,MATCH(A110,Inputs!$B$6:$D$6,0)),0))))</x:f>
        <x:v>239.5</x:v>
      </x:c>
      <x:c r="L110" s="20" t="n">
        <x:f>IF(INDEX(Roster!$D$6:$D$108,MATCH(D110,Roster!$A$6:$A$108,0))&gt;=25,INDEX(Inputs!$B$19:$D$19,1,MATCH(A110,Inputs!$B$6:$D$6,0)),IF(INDEX(Roster!$D$6:$D$108,MATCH(D110,Roster!$A$6:$A$108,0))&gt;=20,INDEX(Inputs!$B$18:$D$18,1,MATCH(A110,Inputs!$B$6:$D$6,0)),IF(INDEX(Roster!$D$6:$D$108,MATCH(D110,Roster!$A$6:$A$108,0))&gt;=15,INDEX(Inputs!$B$17:$D$17,1,MATCH(A110,Inputs!$B$6:$D$6,0)),IF(INDEX(Roster!$D$6:$D$108,MATCH(D110,Roster!$A$6:$A$108,0))&gt;=10,INDEX(Inputs!$B$16:$D$16,1,MATCH(A110,Inputs!$B$6:$D$6,0)),IF(INDEX(Roster!$D$6:$D$108,MATCH(D110,Roster!$A$6:$A$108,0))&gt;=5,INDEX(Inputs!$B$15:$D$15,1,MATCH(A110,Inputs!$B$6:$D$6,0)),0)))))</x:f>
        <x:v>0</x:v>
      </x:c>
      <x:c r="M110" s="20" t="n">
        <x:f>G110*I110</x:f>
        <x:v>31135</x:v>
      </x:c>
      <x:c r="N110" s="20" t="n">
        <x:f>G110*J110</x:f>
        <x:v>0</x:v>
      </x:c>
      <x:c r="O110" s="20" t="n">
        <x:f>G110*K110</x:f>
        <x:v>3113.5</x:v>
      </x:c>
      <x:c r="P110" s="20" t="n">
        <x:f>G110*L110</x:f>
        <x:v>0</x:v>
      </x:c>
      <x:c r="Q110" s="20" t="n">
        <x:f>H110*INDEX(Inputs!$B$13:$D$13,1,MATCH(A110,Inputs!$B$6:$D$6,0))</x:f>
        <x:v>390</x:v>
      </x:c>
      <x:c r="R110" s="20" t="n">
        <x:f>SUM(M110:Q110)</x:f>
        <x:v>34638.5</x:v>
      </x:c>
      <x:c r="S110" s="20" t="n">
        <x:f>IF(AND(A109=A110,D109=D110),S109+R110,R110)</x:f>
        <x:v>34638.5</x:v>
      </x:c>
      <x:c r="T110" s="20" t="n">
        <x:f>MIN(S110,INDEX(Inputs!$B$20:$D$20,1,MATCH(A110,Inputs!$B$6:$D$6,0)))*INDEX(Inputs!$B$22:$D$22,1,MATCH(A110,Inputs!$B$6:$D$6,0))+MAX(MIN(S110,INDEX(Inputs!$B$21:$D$21,1,MATCH(A110,Inputs!$B$6:$D$6,0)))-INDEX(Inputs!$B$20:$D$20,1,MATCH(A110,Inputs!$B$6:$D$6,0)),0)*INDEX(Inputs!$B$23:$D$23,1,MATCH(A110,Inputs!$B$6:$D$6,0))+MAX(S110-INDEX(Inputs!$B$21:$D$21,1,MATCH(A110,Inputs!$B$6:$D$6,0)),0)*INDEX(Inputs!$B$24:$D$24,1,MATCH(A110,Inputs!$B$6:$D$6,0))</x:f>
        <x:v>3139.84525</x:v>
      </x:c>
      <x:c r="U110" s="20" t="n">
        <x:f>IF(AND(A109=A110,D109=D110),T109,0)</x:f>
        <x:v>0</x:v>
      </x:c>
      <x:c r="V110" s="20" t="n">
        <x:f>T110-U110</x:f>
        <x:v>3139.84525</x:v>
      </x:c>
      <x:c r="W110" s="20" t="n">
        <x:f>R110+V110</x:f>
        <x:v>37778.34525</x:v>
      </x:c>
      <x:c r="X110" s="14" t="str">
        <x:f>IF(ABS(W110-SUM(M110:Q110)-V110)&lt;0.01,"OK","Check")</x:f>
        <x:v>OK</x:v>
      </x:c>
    </x:row>
    <x:row r="111">
      <x:c r="A111" s="14" t="n">
        <x:v>2026</x:v>
      </x:c>
      <x:c r="B111" s="14" t="str">
        <x:v>Q2</x:v>
      </x:c>
      <x:c r="C111" s="14" t="n">
        <x:v>2</x:v>
      </x:c>
      <x:c r="D111" s="14" t="n">
        <x:v>27</x:v>
      </x:c>
      <x:c r="E111" s="14" t="str">
        <x:f>INDEX(Roster!$B$6:$B$108,MATCH(D111,Roster!$A$6:$A$108,0))</x:f>
        <x:v>Assistant Principal</x:v>
      </x:c>
      <x:c r="F111" s="14" t="str">
        <x:f>INDEX(Roster!$F$6:$F$108,MATCH(D111,Roster!$A$6:$A$108,0))</x:f>
        <x:v>No</x:v>
      </x:c>
      <x:c r="G111" s="14" t="n">
        <x:f>INDEX(Inputs!$B$7:$D$7,1,MATCH(A111,Inputs!$B$6:$D$6,0))</x:f>
        <x:v>13</x:v>
      </x:c>
      <x:c r="H111" s="14" t="n">
        <x:f>MIN(=INDEX(Inputs!$B$7:$D$7,1,MATCH(A111,Inputs!$B$6:$D$6,0)),MAX(0,INDEX(Inputs!$B$14:$D$14,1,MATCH(A111,Inputs!$B$6:$D$6,0))-(C111-1)*=INDEX(Inputs!$B$7:$D$7,1,MATCH(A111,Inputs!$B$6:$D$6,0))))</x:f>
        <x:v>13</x:v>
      </x:c>
      <x:c r="I111" s="20" t="n">
        <x:f>INDEX(Inputs!$B$8:$D$8,1,MATCH(A111,Inputs!$B$6:$D$6,0))</x:f>
        <x:v>2395</x:v>
      </x:c>
      <x:c r="J111" s="20" t="n">
        <x:f>INDEX(Roster!$C$6:$C$108,MATCH(D111,Roster!$A$6:$A$108,0))*(1+INDEX(Inputs!$B$9:$D$9,1,MATCH(A111,Inputs!$B$6:$D$6,0)))</x:f>
        <x:v>0</x:v>
      </x:c>
      <x:c r="K111" s="20" t="n">
        <x:f>IF(=INDEX(Roster!$F$6:$F$108,MATCH(D111,Roster!$A$6:$A$108,0))="Yes",0,=INDEX(Inputs!$B$8:$D$8,1,MATCH(A111,Inputs!$B$6:$D$6,0))*IF(=INDEX(Roster!$B$6:$B$108,MATCH(D111,Roster!$A$6:$A$108,0))="Principal",INDEX(Inputs!$B$10:$D$10,1,MATCH(A111,Inputs!$B$6:$D$6,0)),IF(=INDEX(Roster!$B$6:$B$108,MATCH(D111,Roster!$A$6:$A$108,0))="Associate Principal",INDEX(Inputs!$B$11:$D$11,1,MATCH(A111,Inputs!$B$6:$D$6,0)),IF(=INDEX(Roster!$B$6:$B$108,MATCH(D111,Roster!$A$6:$A$108,0))="Assistant Principal",INDEX(Inputs!$B$12:$D$12,1,MATCH(A111,Inputs!$B$6:$D$6,0)),0))))</x:f>
        <x:v>239.5</x:v>
      </x:c>
      <x:c r="L111" s="20" t="n">
        <x:f>IF(INDEX(Roster!$D$6:$D$108,MATCH(D111,Roster!$A$6:$A$108,0))&gt;=25,INDEX(Inputs!$B$19:$D$19,1,MATCH(A111,Inputs!$B$6:$D$6,0)),IF(INDEX(Roster!$D$6:$D$108,MATCH(D111,Roster!$A$6:$A$108,0))&gt;=20,INDEX(Inputs!$B$18:$D$18,1,MATCH(A111,Inputs!$B$6:$D$6,0)),IF(INDEX(Roster!$D$6:$D$108,MATCH(D111,Roster!$A$6:$A$108,0))&gt;=15,INDEX(Inputs!$B$17:$D$17,1,MATCH(A111,Inputs!$B$6:$D$6,0)),IF(INDEX(Roster!$D$6:$D$108,MATCH(D111,Roster!$A$6:$A$108,0))&gt;=10,INDEX(Inputs!$B$16:$D$16,1,MATCH(A111,Inputs!$B$6:$D$6,0)),IF(INDEX(Roster!$D$6:$D$108,MATCH(D111,Roster!$A$6:$A$108,0))&gt;=5,INDEX(Inputs!$B$15:$D$15,1,MATCH(A111,Inputs!$B$6:$D$6,0)),0)))))</x:f>
        <x:v>0</x:v>
      </x:c>
      <x:c r="M111" s="20" t="n">
        <x:f>G111*I111</x:f>
        <x:v>31135</x:v>
      </x:c>
      <x:c r="N111" s="20" t="n">
        <x:f>G111*J111</x:f>
        <x:v>0</x:v>
      </x:c>
      <x:c r="O111" s="20" t="n">
        <x:f>G111*K111</x:f>
        <x:v>3113.5</x:v>
      </x:c>
      <x:c r="P111" s="20" t="n">
        <x:f>G111*L111</x:f>
        <x:v>0</x:v>
      </x:c>
      <x:c r="Q111" s="20" t="n">
        <x:f>H111*INDEX(Inputs!$B$13:$D$13,1,MATCH(A111,Inputs!$B$6:$D$6,0))</x:f>
        <x:v>390</x:v>
      </x:c>
      <x:c r="R111" s="20" t="n">
        <x:f>SUM(M111:Q111)</x:f>
        <x:v>34638.5</x:v>
      </x:c>
      <x:c r="S111" s="20" t="n">
        <x:f>IF(AND(A110=A111,D110=D111),S110+R111,R111)</x:f>
        <x:v>69277</x:v>
      </x:c>
      <x:c r="T111" s="20" t="n">
        <x:f>MIN(S111,INDEX(Inputs!$B$20:$D$20,1,MATCH(A111,Inputs!$B$6:$D$6,0)))*INDEX(Inputs!$B$22:$D$22,1,MATCH(A111,Inputs!$B$6:$D$6,0))+MAX(MIN(S111,INDEX(Inputs!$B$21:$D$21,1,MATCH(A111,Inputs!$B$6:$D$6,0)))-INDEX(Inputs!$B$20:$D$20,1,MATCH(A111,Inputs!$B$6:$D$6,0)),0)*INDEX(Inputs!$B$23:$D$23,1,MATCH(A111,Inputs!$B$6:$D$6,0))+MAX(S111-INDEX(Inputs!$B$21:$D$21,1,MATCH(A111,Inputs!$B$6:$D$6,0)),0)*INDEX(Inputs!$B$24:$D$24,1,MATCH(A111,Inputs!$B$6:$D$6,0))</x:f>
        <x:v>5789.6905</x:v>
      </x:c>
      <x:c r="U111" s="20" t="n">
        <x:f>IF(AND(A110=A111,D110=D111),T110,0)</x:f>
        <x:v>3139.84525</x:v>
      </x:c>
      <x:c r="V111" s="20" t="n">
        <x:f>T111-U111</x:f>
        <x:v>2649.84525</x:v>
      </x:c>
      <x:c r="W111" s="20" t="n">
        <x:f>R111+V111</x:f>
        <x:v>37288.34525</x:v>
      </x:c>
      <x:c r="X111" s="14" t="str">
        <x:f>IF(ABS(W111-SUM(M111:Q111)-V111)&lt;0.01,"OK","Check")</x:f>
        <x:v>OK</x:v>
      </x:c>
    </x:row>
    <x:row r="112">
      <x:c r="A112" s="14" t="n">
        <x:v>2026</x:v>
      </x:c>
      <x:c r="B112" s="14" t="str">
        <x:v>Q3</x:v>
      </x:c>
      <x:c r="C112" s="14" t="n">
        <x:v>3</x:v>
      </x:c>
      <x:c r="D112" s="14" t="n">
        <x:v>27</x:v>
      </x:c>
      <x:c r="E112" s="14" t="str">
        <x:f>INDEX(Roster!$B$6:$B$108,MATCH(D112,Roster!$A$6:$A$108,0))</x:f>
        <x:v>Assistant Principal</x:v>
      </x:c>
      <x:c r="F112" s="14" t="str">
        <x:f>INDEX(Roster!$F$6:$F$108,MATCH(D112,Roster!$A$6:$A$108,0))</x:f>
        <x:v>No</x:v>
      </x:c>
      <x:c r="G112" s="14" t="n">
        <x:f>INDEX(Inputs!$B$7:$D$7,1,MATCH(A112,Inputs!$B$6:$D$6,0))</x:f>
        <x:v>13</x:v>
      </x:c>
      <x:c r="H112" s="14" t="n">
        <x:f>MIN(=INDEX(Inputs!$B$7:$D$7,1,MATCH(A112,Inputs!$B$6:$D$6,0)),MAX(0,INDEX(Inputs!$B$14:$D$14,1,MATCH(A112,Inputs!$B$6:$D$6,0))-(C112-1)*=INDEX(Inputs!$B$7:$D$7,1,MATCH(A112,Inputs!$B$6:$D$6,0))))</x:f>
        <x:v>13</x:v>
      </x:c>
      <x:c r="I112" s="20" t="n">
        <x:f>INDEX(Inputs!$B$8:$D$8,1,MATCH(A112,Inputs!$B$6:$D$6,0))</x:f>
        <x:v>2395</x:v>
      </x:c>
      <x:c r="J112" s="20" t="n">
        <x:f>INDEX(Roster!$C$6:$C$108,MATCH(D112,Roster!$A$6:$A$108,0))*(1+INDEX(Inputs!$B$9:$D$9,1,MATCH(A112,Inputs!$B$6:$D$6,0)))</x:f>
        <x:v>0</x:v>
      </x:c>
      <x:c r="K112" s="20" t="n">
        <x:f>IF(=INDEX(Roster!$F$6:$F$108,MATCH(D112,Roster!$A$6:$A$108,0))="Yes",0,=INDEX(Inputs!$B$8:$D$8,1,MATCH(A112,Inputs!$B$6:$D$6,0))*IF(=INDEX(Roster!$B$6:$B$108,MATCH(D112,Roster!$A$6:$A$108,0))="Principal",INDEX(Inputs!$B$10:$D$10,1,MATCH(A112,Inputs!$B$6:$D$6,0)),IF(=INDEX(Roster!$B$6:$B$108,MATCH(D112,Roster!$A$6:$A$108,0))="Associate Principal",INDEX(Inputs!$B$11:$D$11,1,MATCH(A112,Inputs!$B$6:$D$6,0)),IF(=INDEX(Roster!$B$6:$B$108,MATCH(D112,Roster!$A$6:$A$108,0))="Assistant Principal",INDEX(Inputs!$B$12:$D$12,1,MATCH(A112,Inputs!$B$6:$D$6,0)),0))))</x:f>
        <x:v>239.5</x:v>
      </x:c>
      <x:c r="L112" s="20" t="n">
        <x:f>IF(INDEX(Roster!$D$6:$D$108,MATCH(D112,Roster!$A$6:$A$108,0))&gt;=25,INDEX(Inputs!$B$19:$D$19,1,MATCH(A112,Inputs!$B$6:$D$6,0)),IF(INDEX(Roster!$D$6:$D$108,MATCH(D112,Roster!$A$6:$A$108,0))&gt;=20,INDEX(Inputs!$B$18:$D$18,1,MATCH(A112,Inputs!$B$6:$D$6,0)),IF(INDEX(Roster!$D$6:$D$108,MATCH(D112,Roster!$A$6:$A$108,0))&gt;=15,INDEX(Inputs!$B$17:$D$17,1,MATCH(A112,Inputs!$B$6:$D$6,0)),IF(INDEX(Roster!$D$6:$D$108,MATCH(D112,Roster!$A$6:$A$108,0))&gt;=10,INDEX(Inputs!$B$16:$D$16,1,MATCH(A112,Inputs!$B$6:$D$6,0)),IF(INDEX(Roster!$D$6:$D$108,MATCH(D112,Roster!$A$6:$A$108,0))&gt;=5,INDEX(Inputs!$B$15:$D$15,1,MATCH(A112,Inputs!$B$6:$D$6,0)),0)))))</x:f>
        <x:v>0</x:v>
      </x:c>
      <x:c r="M112" s="20" t="n">
        <x:f>G112*I112</x:f>
        <x:v>31135</x:v>
      </x:c>
      <x:c r="N112" s="20" t="n">
        <x:f>G112*J112</x:f>
        <x:v>0</x:v>
      </x:c>
      <x:c r="O112" s="20" t="n">
        <x:f>G112*K112</x:f>
        <x:v>3113.5</x:v>
      </x:c>
      <x:c r="P112" s="20" t="n">
        <x:f>G112*L112</x:f>
        <x:v>0</x:v>
      </x:c>
      <x:c r="Q112" s="20" t="n">
        <x:f>H112*INDEX(Inputs!$B$13:$D$13,1,MATCH(A112,Inputs!$B$6:$D$6,0))</x:f>
        <x:v>390</x:v>
      </x:c>
      <x:c r="R112" s="20" t="n">
        <x:f>SUM(M112:Q112)</x:f>
        <x:v>34638.5</x:v>
      </x:c>
      <x:c r="S112" s="20" t="n">
        <x:f>IF(AND(A111=A112,D111=D112),S111+R112,R112)</x:f>
        <x:v>103915.5</x:v>
      </x:c>
      <x:c r="T112" s="20" t="n">
        <x:f>MIN(S112,INDEX(Inputs!$B$20:$D$20,1,MATCH(A112,Inputs!$B$6:$D$6,0)))*INDEX(Inputs!$B$22:$D$22,1,MATCH(A112,Inputs!$B$6:$D$6,0))+MAX(MIN(S112,INDEX(Inputs!$B$21:$D$21,1,MATCH(A112,Inputs!$B$6:$D$6,0)))-INDEX(Inputs!$B$20:$D$20,1,MATCH(A112,Inputs!$B$6:$D$6,0)),0)*INDEX(Inputs!$B$23:$D$23,1,MATCH(A112,Inputs!$B$6:$D$6,0))+MAX(S112-INDEX(Inputs!$B$21:$D$21,1,MATCH(A112,Inputs!$B$6:$D$6,0)),0)*INDEX(Inputs!$B$24:$D$24,1,MATCH(A112,Inputs!$B$6:$D$6,0))</x:f>
        <x:v>8439.53575</x:v>
      </x:c>
      <x:c r="U112" s="20" t="n">
        <x:f>IF(AND(A111=A112,D111=D112),T111,0)</x:f>
        <x:v>5789.6905</x:v>
      </x:c>
      <x:c r="V112" s="20" t="n">
        <x:f>T112-U112</x:f>
        <x:v>2649.8452499999994</x:v>
      </x:c>
      <x:c r="W112" s="20" t="n">
        <x:f>R112+V112</x:f>
        <x:v>37288.34525</x:v>
      </x:c>
      <x:c r="X112" s="14" t="str">
        <x:f>IF(ABS(W112-SUM(M112:Q112)-V112)&lt;0.01,"OK","Check")</x:f>
        <x:v>OK</x:v>
      </x:c>
    </x:row>
    <x:row r="113">
      <x:c r="A113" s="14" t="n">
        <x:v>2026</x:v>
      </x:c>
      <x:c r="B113" s="14" t="str">
        <x:v>Q4</x:v>
      </x:c>
      <x:c r="C113" s="14" t="n">
        <x:v>4</x:v>
      </x:c>
      <x:c r="D113" s="14" t="n">
        <x:v>27</x:v>
      </x:c>
      <x:c r="E113" s="14" t="str">
        <x:f>INDEX(Roster!$B$6:$B$108,MATCH(D113,Roster!$A$6:$A$108,0))</x:f>
        <x:v>Assistant Principal</x:v>
      </x:c>
      <x:c r="F113" s="14" t="str">
        <x:f>INDEX(Roster!$F$6:$F$108,MATCH(D113,Roster!$A$6:$A$108,0))</x:f>
        <x:v>No</x:v>
      </x:c>
      <x:c r="G113" s="14" t="n">
        <x:f>INDEX(Inputs!$B$7:$D$7,1,MATCH(A113,Inputs!$B$6:$D$6,0))</x:f>
        <x:v>13</x:v>
      </x:c>
      <x:c r="H113" s="14" t="n">
        <x:f>MIN(=INDEX(Inputs!$B$7:$D$7,1,MATCH(A113,Inputs!$B$6:$D$6,0)),MAX(0,INDEX(Inputs!$B$14:$D$14,1,MATCH(A113,Inputs!$B$6:$D$6,0))-(C113-1)*=INDEX(Inputs!$B$7:$D$7,1,MATCH(A113,Inputs!$B$6:$D$6,0))))</x:f>
        <x:v>0</x:v>
      </x:c>
      <x:c r="I113" s="20" t="n">
        <x:f>INDEX(Inputs!$B$8:$D$8,1,MATCH(A113,Inputs!$B$6:$D$6,0))</x:f>
        <x:v>2395</x:v>
      </x:c>
      <x:c r="J113" s="20" t="n">
        <x:f>INDEX(Roster!$C$6:$C$108,MATCH(D113,Roster!$A$6:$A$108,0))*(1+INDEX(Inputs!$B$9:$D$9,1,MATCH(A113,Inputs!$B$6:$D$6,0)))</x:f>
        <x:v>0</x:v>
      </x:c>
      <x:c r="K113" s="20" t="n">
        <x:f>IF(=INDEX(Roster!$F$6:$F$108,MATCH(D113,Roster!$A$6:$A$108,0))="Yes",0,=INDEX(Inputs!$B$8:$D$8,1,MATCH(A113,Inputs!$B$6:$D$6,0))*IF(=INDEX(Roster!$B$6:$B$108,MATCH(D113,Roster!$A$6:$A$108,0))="Principal",INDEX(Inputs!$B$10:$D$10,1,MATCH(A113,Inputs!$B$6:$D$6,0)),IF(=INDEX(Roster!$B$6:$B$108,MATCH(D113,Roster!$A$6:$A$108,0))="Associate Principal",INDEX(Inputs!$B$11:$D$11,1,MATCH(A113,Inputs!$B$6:$D$6,0)),IF(=INDEX(Roster!$B$6:$B$108,MATCH(D113,Roster!$A$6:$A$108,0))="Assistant Principal",INDEX(Inputs!$B$12:$D$12,1,MATCH(A113,Inputs!$B$6:$D$6,0)),0))))</x:f>
        <x:v>239.5</x:v>
      </x:c>
      <x:c r="L113" s="20" t="n">
        <x:f>IF(INDEX(Roster!$D$6:$D$108,MATCH(D113,Roster!$A$6:$A$108,0))&gt;=25,INDEX(Inputs!$B$19:$D$19,1,MATCH(A113,Inputs!$B$6:$D$6,0)),IF(INDEX(Roster!$D$6:$D$108,MATCH(D113,Roster!$A$6:$A$108,0))&gt;=20,INDEX(Inputs!$B$18:$D$18,1,MATCH(A113,Inputs!$B$6:$D$6,0)),IF(INDEX(Roster!$D$6:$D$108,MATCH(D113,Roster!$A$6:$A$108,0))&gt;=15,INDEX(Inputs!$B$17:$D$17,1,MATCH(A113,Inputs!$B$6:$D$6,0)),IF(INDEX(Roster!$D$6:$D$108,MATCH(D113,Roster!$A$6:$A$108,0))&gt;=10,INDEX(Inputs!$B$16:$D$16,1,MATCH(A113,Inputs!$B$6:$D$6,0)),IF(INDEX(Roster!$D$6:$D$108,MATCH(D113,Roster!$A$6:$A$108,0))&gt;=5,INDEX(Inputs!$B$15:$D$15,1,MATCH(A113,Inputs!$B$6:$D$6,0)),0)))))</x:f>
        <x:v>0</x:v>
      </x:c>
      <x:c r="M113" s="20" t="n">
        <x:f>G113*I113</x:f>
        <x:v>31135</x:v>
      </x:c>
      <x:c r="N113" s="20" t="n">
        <x:f>G113*J113</x:f>
        <x:v>0</x:v>
      </x:c>
      <x:c r="O113" s="20" t="n">
        <x:f>G113*K113</x:f>
        <x:v>3113.5</x:v>
      </x:c>
      <x:c r="P113" s="20" t="n">
        <x:f>G113*L113</x:f>
        <x:v>0</x:v>
      </x:c>
      <x:c r="Q113" s="20" t="n">
        <x:f>H113*INDEX(Inputs!$B$13:$D$13,1,MATCH(A113,Inputs!$B$6:$D$6,0))</x:f>
        <x:v>0</x:v>
      </x:c>
      <x:c r="R113" s="20" t="n">
        <x:f>SUM(M113:Q113)</x:f>
        <x:v>34248.5</x:v>
      </x:c>
      <x:c r="S113" s="20" t="n">
        <x:f>IF(AND(A112=A113,D112=D113),S112+R113,R113)</x:f>
        <x:v>138164</x:v>
      </x:c>
      <x:c r="T113" s="20" t="n">
        <x:f>MIN(S113,INDEX(Inputs!$B$20:$D$20,1,MATCH(A113,Inputs!$B$6:$D$6,0)))*INDEX(Inputs!$B$22:$D$22,1,MATCH(A113,Inputs!$B$6:$D$6,0))+MAX(MIN(S113,INDEX(Inputs!$B$21:$D$21,1,MATCH(A113,Inputs!$B$6:$D$6,0)))-INDEX(Inputs!$B$20:$D$20,1,MATCH(A113,Inputs!$B$6:$D$6,0)),0)*INDEX(Inputs!$B$23:$D$23,1,MATCH(A113,Inputs!$B$6:$D$6,0))+MAX(S113-INDEX(Inputs!$B$21:$D$21,1,MATCH(A113,Inputs!$B$6:$D$6,0)),0)*INDEX(Inputs!$B$24:$D$24,1,MATCH(A113,Inputs!$B$6:$D$6,0))</x:f>
        <x:v>9917.32</x:v>
      </x:c>
      <x:c r="U113" s="20" t="n">
        <x:f>IF(AND(A112=A113,D112=D113),T112,0)</x:f>
        <x:v>8439.53575</x:v>
      </x:c>
      <x:c r="V113" s="20" t="n">
        <x:f>T113-U113</x:f>
        <x:v>1477.7842500000006</x:v>
      </x:c>
      <x:c r="W113" s="20" t="n">
        <x:f>R113+V113</x:f>
        <x:v>35726.28425</x:v>
      </x:c>
      <x:c r="X113" s="14" t="str">
        <x:f>IF(ABS(W113-SUM(M113:Q113)-V113)&lt;0.01,"OK","Check")</x:f>
        <x:v>OK</x:v>
      </x:c>
    </x:row>
    <x:row r="114">
      <x:c r="A114" s="14" t="n">
        <x:v>2026</x:v>
      </x:c>
      <x:c r="B114" s="14" t="str">
        <x:v>Q1</x:v>
      </x:c>
      <x:c r="C114" s="14" t="n">
        <x:v>1</x:v>
      </x:c>
      <x:c r="D114" s="14" t="n">
        <x:v>28</x:v>
      </x:c>
      <x:c r="E114" s="14" t="str">
        <x:f>INDEX(Roster!$B$6:$B$108,MATCH(D114,Roster!$A$6:$A$108,0))</x:f>
      </x:c>
      <x:c r="F114" s="14" t="str">
        <x:f>INDEX(Roster!$F$6:$F$108,MATCH(D114,Roster!$A$6:$A$108,0))</x:f>
        <x:v>No</x:v>
      </x:c>
      <x:c r="G114" s="14" t="n">
        <x:f>INDEX(Inputs!$B$7:$D$7,1,MATCH(A114,Inputs!$B$6:$D$6,0))</x:f>
        <x:v>13</x:v>
      </x:c>
      <x:c r="H114" s="14" t="n">
        <x:f>MIN(=INDEX(Inputs!$B$7:$D$7,1,MATCH(A114,Inputs!$B$6:$D$6,0)),MAX(0,INDEX(Inputs!$B$14:$D$14,1,MATCH(A114,Inputs!$B$6:$D$6,0))-(C114-1)*=INDEX(Inputs!$B$7:$D$7,1,MATCH(A114,Inputs!$B$6:$D$6,0))))</x:f>
        <x:v>13</x:v>
      </x:c>
      <x:c r="I114" s="20" t="n">
        <x:f>INDEX(Inputs!$B$8:$D$8,1,MATCH(A114,Inputs!$B$6:$D$6,0))</x:f>
        <x:v>2395</x:v>
      </x:c>
      <x:c r="J114" s="20" t="n">
        <x:f>INDEX(Roster!$C$6:$C$108,MATCH(D114,Roster!$A$6:$A$108,0))*(1+INDEX(Inputs!$B$9:$D$9,1,MATCH(A114,Inputs!$B$6:$D$6,0)))</x:f>
        <x:v>240</x:v>
      </x:c>
      <x:c r="K114" s="20" t="n">
        <x:f>IF(=INDEX(Roster!$F$6:$F$108,MATCH(D114,Roster!$A$6:$A$108,0))="Yes",0,=INDEX(Inputs!$B$8:$D$8,1,MATCH(A114,Inputs!$B$6:$D$6,0))*IF(=INDEX(Roster!$B$6:$B$108,MATCH(D114,Roster!$A$6:$A$108,0))="Principal",INDEX(Inputs!$B$10:$D$10,1,MATCH(A114,Inputs!$B$6:$D$6,0)),IF(=INDEX(Roster!$B$6:$B$108,MATCH(D114,Roster!$A$6:$A$108,0))="Associate Principal",INDEX(Inputs!$B$11:$D$11,1,MATCH(A114,Inputs!$B$6:$D$6,0)),IF(=INDEX(Roster!$B$6:$B$108,MATCH(D114,Roster!$A$6:$A$108,0))="Assistant Principal",INDEX(Inputs!$B$12:$D$12,1,MATCH(A114,Inputs!$B$6:$D$6,0)),0))))</x:f>
        <x:v>0</x:v>
      </x:c>
      <x:c r="L114" s="20" t="n">
        <x:f>IF(INDEX(Roster!$D$6:$D$108,MATCH(D114,Roster!$A$6:$A$108,0))&gt;=25,INDEX(Inputs!$B$19:$D$19,1,MATCH(A114,Inputs!$B$6:$D$6,0)),IF(INDEX(Roster!$D$6:$D$108,MATCH(D114,Roster!$A$6:$A$108,0))&gt;=20,INDEX(Inputs!$B$18:$D$18,1,MATCH(A114,Inputs!$B$6:$D$6,0)),IF(INDEX(Roster!$D$6:$D$108,MATCH(D114,Roster!$A$6:$A$108,0))&gt;=15,INDEX(Inputs!$B$17:$D$17,1,MATCH(A114,Inputs!$B$6:$D$6,0)),IF(INDEX(Roster!$D$6:$D$108,MATCH(D114,Roster!$A$6:$A$108,0))&gt;=10,INDEX(Inputs!$B$16:$D$16,1,MATCH(A114,Inputs!$B$6:$D$6,0)),IF(INDEX(Roster!$D$6:$D$108,MATCH(D114,Roster!$A$6:$A$108,0))&gt;=5,INDEX(Inputs!$B$15:$D$15,1,MATCH(A114,Inputs!$B$6:$D$6,0)),0)))))</x:f>
        <x:v>90</x:v>
      </x:c>
      <x:c r="M114" s="20" t="n">
        <x:f>G114*I114</x:f>
        <x:v>31135</x:v>
      </x:c>
      <x:c r="N114" s="20" t="n">
        <x:f>G114*J114</x:f>
        <x:v>3120</x:v>
      </x:c>
      <x:c r="O114" s="20" t="n">
        <x:f>G114*K114</x:f>
        <x:v>0</x:v>
      </x:c>
      <x:c r="P114" s="20" t="n">
        <x:f>G114*L114</x:f>
        <x:v>1170</x:v>
      </x:c>
      <x:c r="Q114" s="20" t="n">
        <x:f>H114*INDEX(Inputs!$B$13:$D$13,1,MATCH(A114,Inputs!$B$6:$D$6,0))</x:f>
        <x:v>390</x:v>
      </x:c>
      <x:c r="R114" s="20" t="n">
        <x:f>SUM(M114:Q114)</x:f>
        <x:v>35815</x:v>
      </x:c>
      <x:c r="S114" s="20" t="n">
        <x:f>IF(AND(A113=A114,D113=D114),S113+R114,R114)</x:f>
        <x:v>35815</x:v>
      </x:c>
      <x:c r="T114" s="20" t="n">
        <x:f>MIN(S114,INDEX(Inputs!$B$20:$D$20,1,MATCH(A114,Inputs!$B$6:$D$6,0)))*INDEX(Inputs!$B$22:$D$22,1,MATCH(A114,Inputs!$B$6:$D$6,0))+MAX(MIN(S114,INDEX(Inputs!$B$21:$D$21,1,MATCH(A114,Inputs!$B$6:$D$6,0)))-INDEX(Inputs!$B$20:$D$20,1,MATCH(A114,Inputs!$B$6:$D$6,0)),0)*INDEX(Inputs!$B$23:$D$23,1,MATCH(A114,Inputs!$B$6:$D$6,0))+MAX(S114-INDEX(Inputs!$B$21:$D$21,1,MATCH(A114,Inputs!$B$6:$D$6,0)),0)*INDEX(Inputs!$B$24:$D$24,1,MATCH(A114,Inputs!$B$6:$D$6,0))</x:f>
        <x:v>3229.8475</x:v>
      </x:c>
      <x:c r="U114" s="20" t="n">
        <x:f>IF(AND(A113=A114,D113=D114),T113,0)</x:f>
        <x:v>0</x:v>
      </x:c>
      <x:c r="V114" s="20" t="n">
        <x:f>T114-U114</x:f>
        <x:v>3229.8475</x:v>
      </x:c>
      <x:c r="W114" s="20" t="n">
        <x:f>R114+V114</x:f>
        <x:v>39044.8475</x:v>
      </x:c>
      <x:c r="X114" s="14" t="str">
        <x:f>IF(ABS(W114-SUM(M114:Q114)-V114)&lt;0.01,"OK","Check")</x:f>
        <x:v>OK</x:v>
      </x:c>
    </x:row>
    <x:row r="115">
      <x:c r="A115" s="14" t="n">
        <x:v>2026</x:v>
      </x:c>
      <x:c r="B115" s="14" t="str">
        <x:v>Q2</x:v>
      </x:c>
      <x:c r="C115" s="14" t="n">
        <x:v>2</x:v>
      </x:c>
      <x:c r="D115" s="14" t="n">
        <x:v>28</x:v>
      </x:c>
      <x:c r="E115" s="14" t="str">
        <x:f>INDEX(Roster!$B$6:$B$108,MATCH(D115,Roster!$A$6:$A$108,0))</x:f>
      </x:c>
      <x:c r="F115" s="14" t="str">
        <x:f>INDEX(Roster!$F$6:$F$108,MATCH(D115,Roster!$A$6:$A$108,0))</x:f>
        <x:v>No</x:v>
      </x:c>
      <x:c r="G115" s="14" t="n">
        <x:f>INDEX(Inputs!$B$7:$D$7,1,MATCH(A115,Inputs!$B$6:$D$6,0))</x:f>
        <x:v>13</x:v>
      </x:c>
      <x:c r="H115" s="14" t="n">
        <x:f>MIN(=INDEX(Inputs!$B$7:$D$7,1,MATCH(A115,Inputs!$B$6:$D$6,0)),MAX(0,INDEX(Inputs!$B$14:$D$14,1,MATCH(A115,Inputs!$B$6:$D$6,0))-(C115-1)*=INDEX(Inputs!$B$7:$D$7,1,MATCH(A115,Inputs!$B$6:$D$6,0))))</x:f>
        <x:v>13</x:v>
      </x:c>
      <x:c r="I115" s="20" t="n">
        <x:f>INDEX(Inputs!$B$8:$D$8,1,MATCH(A115,Inputs!$B$6:$D$6,0))</x:f>
        <x:v>2395</x:v>
      </x:c>
      <x:c r="J115" s="20" t="n">
        <x:f>INDEX(Roster!$C$6:$C$108,MATCH(D115,Roster!$A$6:$A$108,0))*(1+INDEX(Inputs!$B$9:$D$9,1,MATCH(A115,Inputs!$B$6:$D$6,0)))</x:f>
        <x:v>240</x:v>
      </x:c>
      <x:c r="K115" s="20" t="n">
        <x:f>IF(=INDEX(Roster!$F$6:$F$108,MATCH(D115,Roster!$A$6:$A$108,0))="Yes",0,=INDEX(Inputs!$B$8:$D$8,1,MATCH(A115,Inputs!$B$6:$D$6,0))*IF(=INDEX(Roster!$B$6:$B$108,MATCH(D115,Roster!$A$6:$A$108,0))="Principal",INDEX(Inputs!$B$10:$D$10,1,MATCH(A115,Inputs!$B$6:$D$6,0)),IF(=INDEX(Roster!$B$6:$B$108,MATCH(D115,Roster!$A$6:$A$108,0))="Associate Principal",INDEX(Inputs!$B$11:$D$11,1,MATCH(A115,Inputs!$B$6:$D$6,0)),IF(=INDEX(Roster!$B$6:$B$108,MATCH(D115,Roster!$A$6:$A$108,0))="Assistant Principal",INDEX(Inputs!$B$12:$D$12,1,MATCH(A115,Inputs!$B$6:$D$6,0)),0))))</x:f>
        <x:v>0</x:v>
      </x:c>
      <x:c r="L115" s="20" t="n">
        <x:f>IF(INDEX(Roster!$D$6:$D$108,MATCH(D115,Roster!$A$6:$A$108,0))&gt;=25,INDEX(Inputs!$B$19:$D$19,1,MATCH(A115,Inputs!$B$6:$D$6,0)),IF(INDEX(Roster!$D$6:$D$108,MATCH(D115,Roster!$A$6:$A$108,0))&gt;=20,INDEX(Inputs!$B$18:$D$18,1,MATCH(A115,Inputs!$B$6:$D$6,0)),IF(INDEX(Roster!$D$6:$D$108,MATCH(D115,Roster!$A$6:$A$108,0))&gt;=15,INDEX(Inputs!$B$17:$D$17,1,MATCH(A115,Inputs!$B$6:$D$6,0)),IF(INDEX(Roster!$D$6:$D$108,MATCH(D115,Roster!$A$6:$A$108,0))&gt;=10,INDEX(Inputs!$B$16:$D$16,1,MATCH(A115,Inputs!$B$6:$D$6,0)),IF(INDEX(Roster!$D$6:$D$108,MATCH(D115,Roster!$A$6:$A$108,0))&gt;=5,INDEX(Inputs!$B$15:$D$15,1,MATCH(A115,Inputs!$B$6:$D$6,0)),0)))))</x:f>
        <x:v>90</x:v>
      </x:c>
      <x:c r="M115" s="20" t="n">
        <x:f>G115*I115</x:f>
        <x:v>31135</x:v>
      </x:c>
      <x:c r="N115" s="20" t="n">
        <x:f>G115*J115</x:f>
        <x:v>3120</x:v>
      </x:c>
      <x:c r="O115" s="20" t="n">
        <x:f>G115*K115</x:f>
        <x:v>0</x:v>
      </x:c>
      <x:c r="P115" s="20" t="n">
        <x:f>G115*L115</x:f>
        <x:v>1170</x:v>
      </x:c>
      <x:c r="Q115" s="20" t="n">
        <x:f>H115*INDEX(Inputs!$B$13:$D$13,1,MATCH(A115,Inputs!$B$6:$D$6,0))</x:f>
        <x:v>390</x:v>
      </x:c>
      <x:c r="R115" s="20" t="n">
        <x:f>SUM(M115:Q115)</x:f>
        <x:v>35815</x:v>
      </x:c>
      <x:c r="S115" s="20" t="n">
        <x:f>IF(AND(A114=A115,D114=D115),S114+R115,R115)</x:f>
        <x:v>71630</x:v>
      </x:c>
      <x:c r="T115" s="20" t="n">
        <x:f>MIN(S115,INDEX(Inputs!$B$20:$D$20,1,MATCH(A115,Inputs!$B$6:$D$6,0)))*INDEX(Inputs!$B$22:$D$22,1,MATCH(A115,Inputs!$B$6:$D$6,0))+MAX(MIN(S115,INDEX(Inputs!$B$21:$D$21,1,MATCH(A115,Inputs!$B$6:$D$6,0)))-INDEX(Inputs!$B$20:$D$20,1,MATCH(A115,Inputs!$B$6:$D$6,0)),0)*INDEX(Inputs!$B$23:$D$23,1,MATCH(A115,Inputs!$B$6:$D$6,0))+MAX(S115-INDEX(Inputs!$B$21:$D$21,1,MATCH(A115,Inputs!$B$6:$D$6,0)),0)*INDEX(Inputs!$B$24:$D$24,1,MATCH(A115,Inputs!$B$6:$D$6,0))</x:f>
        <x:v>5969.695</x:v>
      </x:c>
      <x:c r="U115" s="20" t="n">
        <x:f>IF(AND(A114=A115,D114=D115),T114,0)</x:f>
        <x:v>3229.8475</x:v>
      </x:c>
      <x:c r="V115" s="20" t="n">
        <x:f>T115-U115</x:f>
        <x:v>2739.8475</x:v>
      </x:c>
      <x:c r="W115" s="20" t="n">
        <x:f>R115+V115</x:f>
        <x:v>38554.8475</x:v>
      </x:c>
      <x:c r="X115" s="14" t="str">
        <x:f>IF(ABS(W115-SUM(M115:Q115)-V115)&lt;0.01,"OK","Check")</x:f>
        <x:v>OK</x:v>
      </x:c>
    </x:row>
    <x:row r="116">
      <x:c r="A116" s="14" t="n">
        <x:v>2026</x:v>
      </x:c>
      <x:c r="B116" s="14" t="str">
        <x:v>Q3</x:v>
      </x:c>
      <x:c r="C116" s="14" t="n">
        <x:v>3</x:v>
      </x:c>
      <x:c r="D116" s="14" t="n">
        <x:v>28</x:v>
      </x:c>
      <x:c r="E116" s="14" t="str">
        <x:f>INDEX(Roster!$B$6:$B$108,MATCH(D116,Roster!$A$6:$A$108,0))</x:f>
      </x:c>
      <x:c r="F116" s="14" t="str">
        <x:f>INDEX(Roster!$F$6:$F$108,MATCH(D116,Roster!$A$6:$A$108,0))</x:f>
        <x:v>No</x:v>
      </x:c>
      <x:c r="G116" s="14" t="n">
        <x:f>INDEX(Inputs!$B$7:$D$7,1,MATCH(A116,Inputs!$B$6:$D$6,0))</x:f>
        <x:v>13</x:v>
      </x:c>
      <x:c r="H116" s="14" t="n">
        <x:f>MIN(=INDEX(Inputs!$B$7:$D$7,1,MATCH(A116,Inputs!$B$6:$D$6,0)),MAX(0,INDEX(Inputs!$B$14:$D$14,1,MATCH(A116,Inputs!$B$6:$D$6,0))-(C116-1)*=INDEX(Inputs!$B$7:$D$7,1,MATCH(A116,Inputs!$B$6:$D$6,0))))</x:f>
        <x:v>13</x:v>
      </x:c>
      <x:c r="I116" s="20" t="n">
        <x:f>INDEX(Inputs!$B$8:$D$8,1,MATCH(A116,Inputs!$B$6:$D$6,0))</x:f>
        <x:v>2395</x:v>
      </x:c>
      <x:c r="J116" s="20" t="n">
        <x:f>INDEX(Roster!$C$6:$C$108,MATCH(D116,Roster!$A$6:$A$108,0))*(1+INDEX(Inputs!$B$9:$D$9,1,MATCH(A116,Inputs!$B$6:$D$6,0)))</x:f>
        <x:v>240</x:v>
      </x:c>
      <x:c r="K116" s="20" t="n">
        <x:f>IF(=INDEX(Roster!$F$6:$F$108,MATCH(D116,Roster!$A$6:$A$108,0))="Yes",0,=INDEX(Inputs!$B$8:$D$8,1,MATCH(A116,Inputs!$B$6:$D$6,0))*IF(=INDEX(Roster!$B$6:$B$108,MATCH(D116,Roster!$A$6:$A$108,0))="Principal",INDEX(Inputs!$B$10:$D$10,1,MATCH(A116,Inputs!$B$6:$D$6,0)),IF(=INDEX(Roster!$B$6:$B$108,MATCH(D116,Roster!$A$6:$A$108,0))="Associate Principal",INDEX(Inputs!$B$11:$D$11,1,MATCH(A116,Inputs!$B$6:$D$6,0)),IF(=INDEX(Roster!$B$6:$B$108,MATCH(D116,Roster!$A$6:$A$108,0))="Assistant Principal",INDEX(Inputs!$B$12:$D$12,1,MATCH(A116,Inputs!$B$6:$D$6,0)),0))))</x:f>
        <x:v>0</x:v>
      </x:c>
      <x:c r="L116" s="20" t="n">
        <x:f>IF(INDEX(Roster!$D$6:$D$108,MATCH(D116,Roster!$A$6:$A$108,0))&gt;=25,INDEX(Inputs!$B$19:$D$19,1,MATCH(A116,Inputs!$B$6:$D$6,0)),IF(INDEX(Roster!$D$6:$D$108,MATCH(D116,Roster!$A$6:$A$108,0))&gt;=20,INDEX(Inputs!$B$18:$D$18,1,MATCH(A116,Inputs!$B$6:$D$6,0)),IF(INDEX(Roster!$D$6:$D$108,MATCH(D116,Roster!$A$6:$A$108,0))&gt;=15,INDEX(Inputs!$B$17:$D$17,1,MATCH(A116,Inputs!$B$6:$D$6,0)),IF(INDEX(Roster!$D$6:$D$108,MATCH(D116,Roster!$A$6:$A$108,0))&gt;=10,INDEX(Inputs!$B$16:$D$16,1,MATCH(A116,Inputs!$B$6:$D$6,0)),IF(INDEX(Roster!$D$6:$D$108,MATCH(D116,Roster!$A$6:$A$108,0))&gt;=5,INDEX(Inputs!$B$15:$D$15,1,MATCH(A116,Inputs!$B$6:$D$6,0)),0)))))</x:f>
        <x:v>90</x:v>
      </x:c>
      <x:c r="M116" s="20" t="n">
        <x:f>G116*I116</x:f>
        <x:v>31135</x:v>
      </x:c>
      <x:c r="N116" s="20" t="n">
        <x:f>G116*J116</x:f>
        <x:v>3120</x:v>
      </x:c>
      <x:c r="O116" s="20" t="n">
        <x:f>G116*K116</x:f>
        <x:v>0</x:v>
      </x:c>
      <x:c r="P116" s="20" t="n">
        <x:f>G116*L116</x:f>
        <x:v>1170</x:v>
      </x:c>
      <x:c r="Q116" s="20" t="n">
        <x:f>H116*INDEX(Inputs!$B$13:$D$13,1,MATCH(A116,Inputs!$B$6:$D$6,0))</x:f>
        <x:v>390</x:v>
      </x:c>
      <x:c r="R116" s="20" t="n">
        <x:f>SUM(M116:Q116)</x:f>
        <x:v>35815</x:v>
      </x:c>
      <x:c r="S116" s="20" t="n">
        <x:f>IF(AND(A115=A116,D115=D116),S115+R116,R116)</x:f>
        <x:v>107445</x:v>
      </x:c>
      <x:c r="T116" s="20" t="n">
        <x:f>MIN(S116,INDEX(Inputs!$B$20:$D$20,1,MATCH(A116,Inputs!$B$6:$D$6,0)))*INDEX(Inputs!$B$22:$D$22,1,MATCH(A116,Inputs!$B$6:$D$6,0))+MAX(MIN(S116,INDEX(Inputs!$B$21:$D$21,1,MATCH(A116,Inputs!$B$6:$D$6,0)))-INDEX(Inputs!$B$20:$D$20,1,MATCH(A116,Inputs!$B$6:$D$6,0)),0)*INDEX(Inputs!$B$23:$D$23,1,MATCH(A116,Inputs!$B$6:$D$6,0))+MAX(S116-INDEX(Inputs!$B$21:$D$21,1,MATCH(A116,Inputs!$B$6:$D$6,0)),0)*INDEX(Inputs!$B$24:$D$24,1,MATCH(A116,Inputs!$B$6:$D$6,0))</x:f>
        <x:v>8709.5425</x:v>
      </x:c>
      <x:c r="U116" s="20" t="n">
        <x:f>IF(AND(A115=A116,D115=D116),T115,0)</x:f>
        <x:v>5969.695</x:v>
      </x:c>
      <x:c r="V116" s="20" t="n">
        <x:f>T116-U116</x:f>
        <x:v>2739.8475</x:v>
      </x:c>
      <x:c r="W116" s="20" t="n">
        <x:f>R116+V116</x:f>
        <x:v>38554.8475</x:v>
      </x:c>
      <x:c r="X116" s="14" t="str">
        <x:f>IF(ABS(W116-SUM(M116:Q116)-V116)&lt;0.01,"OK","Check")</x:f>
        <x:v>OK</x:v>
      </x:c>
    </x:row>
    <x:row r="117">
      <x:c r="A117" s="14" t="n">
        <x:v>2026</x:v>
      </x:c>
      <x:c r="B117" s="14" t="str">
        <x:v>Q4</x:v>
      </x:c>
      <x:c r="C117" s="14" t="n">
        <x:v>4</x:v>
      </x:c>
      <x:c r="D117" s="14" t="n">
        <x:v>28</x:v>
      </x:c>
      <x:c r="E117" s="14" t="str">
        <x:f>INDEX(Roster!$B$6:$B$108,MATCH(D117,Roster!$A$6:$A$108,0))</x:f>
      </x:c>
      <x:c r="F117" s="14" t="str">
        <x:f>INDEX(Roster!$F$6:$F$108,MATCH(D117,Roster!$A$6:$A$108,0))</x:f>
        <x:v>No</x:v>
      </x:c>
      <x:c r="G117" s="14" t="n">
        <x:f>INDEX(Inputs!$B$7:$D$7,1,MATCH(A117,Inputs!$B$6:$D$6,0))</x:f>
        <x:v>13</x:v>
      </x:c>
      <x:c r="H117" s="14" t="n">
        <x:f>MIN(=INDEX(Inputs!$B$7:$D$7,1,MATCH(A117,Inputs!$B$6:$D$6,0)),MAX(0,INDEX(Inputs!$B$14:$D$14,1,MATCH(A117,Inputs!$B$6:$D$6,0))-(C117-1)*=INDEX(Inputs!$B$7:$D$7,1,MATCH(A117,Inputs!$B$6:$D$6,0))))</x:f>
        <x:v>0</x:v>
      </x:c>
      <x:c r="I117" s="20" t="n">
        <x:f>INDEX(Inputs!$B$8:$D$8,1,MATCH(A117,Inputs!$B$6:$D$6,0))</x:f>
        <x:v>2395</x:v>
      </x:c>
      <x:c r="J117" s="20" t="n">
        <x:f>INDEX(Roster!$C$6:$C$108,MATCH(D117,Roster!$A$6:$A$108,0))*(1+INDEX(Inputs!$B$9:$D$9,1,MATCH(A117,Inputs!$B$6:$D$6,0)))</x:f>
        <x:v>240</x:v>
      </x:c>
      <x:c r="K117" s="20" t="n">
        <x:f>IF(=INDEX(Roster!$F$6:$F$108,MATCH(D117,Roster!$A$6:$A$108,0))="Yes",0,=INDEX(Inputs!$B$8:$D$8,1,MATCH(A117,Inputs!$B$6:$D$6,0))*IF(=INDEX(Roster!$B$6:$B$108,MATCH(D117,Roster!$A$6:$A$108,0))="Principal",INDEX(Inputs!$B$10:$D$10,1,MATCH(A117,Inputs!$B$6:$D$6,0)),IF(=INDEX(Roster!$B$6:$B$108,MATCH(D117,Roster!$A$6:$A$108,0))="Associate Principal",INDEX(Inputs!$B$11:$D$11,1,MATCH(A117,Inputs!$B$6:$D$6,0)),IF(=INDEX(Roster!$B$6:$B$108,MATCH(D117,Roster!$A$6:$A$108,0))="Assistant Principal",INDEX(Inputs!$B$12:$D$12,1,MATCH(A117,Inputs!$B$6:$D$6,0)),0))))</x:f>
        <x:v>0</x:v>
      </x:c>
      <x:c r="L117" s="20" t="n">
        <x:f>IF(INDEX(Roster!$D$6:$D$108,MATCH(D117,Roster!$A$6:$A$108,0))&gt;=25,INDEX(Inputs!$B$19:$D$19,1,MATCH(A117,Inputs!$B$6:$D$6,0)),IF(INDEX(Roster!$D$6:$D$108,MATCH(D117,Roster!$A$6:$A$108,0))&gt;=20,INDEX(Inputs!$B$18:$D$18,1,MATCH(A117,Inputs!$B$6:$D$6,0)),IF(INDEX(Roster!$D$6:$D$108,MATCH(D117,Roster!$A$6:$A$108,0))&gt;=15,INDEX(Inputs!$B$17:$D$17,1,MATCH(A117,Inputs!$B$6:$D$6,0)),IF(INDEX(Roster!$D$6:$D$108,MATCH(D117,Roster!$A$6:$A$108,0))&gt;=10,INDEX(Inputs!$B$16:$D$16,1,MATCH(A117,Inputs!$B$6:$D$6,0)),IF(INDEX(Roster!$D$6:$D$108,MATCH(D117,Roster!$A$6:$A$108,0))&gt;=5,INDEX(Inputs!$B$15:$D$15,1,MATCH(A117,Inputs!$B$6:$D$6,0)),0)))))</x:f>
        <x:v>90</x:v>
      </x:c>
      <x:c r="M117" s="20" t="n">
        <x:f>G117*I117</x:f>
        <x:v>31135</x:v>
      </x:c>
      <x:c r="N117" s="20" t="n">
        <x:f>G117*J117</x:f>
        <x:v>3120</x:v>
      </x:c>
      <x:c r="O117" s="20" t="n">
        <x:f>G117*K117</x:f>
        <x:v>0</x:v>
      </x:c>
      <x:c r="P117" s="20" t="n">
        <x:f>G117*L117</x:f>
        <x:v>1170</x:v>
      </x:c>
      <x:c r="Q117" s="20" t="n">
        <x:f>H117*INDEX(Inputs!$B$13:$D$13,1,MATCH(A117,Inputs!$B$6:$D$6,0))</x:f>
        <x:v>0</x:v>
      </x:c>
      <x:c r="R117" s="20" t="n">
        <x:f>SUM(M117:Q117)</x:f>
        <x:v>35425</x:v>
      </x:c>
      <x:c r="S117" s="20" t="n">
        <x:f>IF(AND(A116=A117,D116=D117),S116+R117,R117)</x:f>
        <x:v>142870</x:v>
      </x:c>
      <x:c r="T117" s="20" t="n">
        <x:f>MIN(S117,INDEX(Inputs!$B$20:$D$20,1,MATCH(A117,Inputs!$B$6:$D$6,0)))*INDEX(Inputs!$B$22:$D$22,1,MATCH(A117,Inputs!$B$6:$D$6,0))+MAX(MIN(S117,INDEX(Inputs!$B$21:$D$21,1,MATCH(A117,Inputs!$B$6:$D$6,0)))-INDEX(Inputs!$B$20:$D$20,1,MATCH(A117,Inputs!$B$6:$D$6,0)),0)*INDEX(Inputs!$B$23:$D$23,1,MATCH(A117,Inputs!$B$6:$D$6,0))+MAX(S117-INDEX(Inputs!$B$21:$D$21,1,MATCH(A117,Inputs!$B$6:$D$6,0)),0)*INDEX(Inputs!$B$24:$D$24,1,MATCH(A117,Inputs!$B$6:$D$6,0))</x:f>
        <x:v>9985.557</x:v>
      </x:c>
      <x:c r="U117" s="20" t="n">
        <x:f>IF(AND(A116=A117,D116=D117),T116,0)</x:f>
        <x:v>8709.5425</x:v>
      </x:c>
      <x:c r="V117" s="20" t="n">
        <x:f>T117-U117</x:f>
        <x:v>1276.0145000000011</x:v>
      </x:c>
      <x:c r="W117" s="20" t="n">
        <x:f>R117+V117</x:f>
        <x:v>36701.014500000005</x:v>
      </x:c>
      <x:c r="X117" s="14" t="str">
        <x:f>IF(ABS(W117-SUM(M117:Q117)-V117)&lt;0.01,"OK","Check")</x:f>
        <x:v>OK</x:v>
      </x:c>
    </x:row>
    <x:row r="118">
      <x:c r="A118" s="14" t="n">
        <x:v>2026</x:v>
      </x:c>
      <x:c r="B118" s="14" t="str">
        <x:v>Q1</x:v>
      </x:c>
      <x:c r="C118" s="14" t="n">
        <x:v>1</x:v>
      </x:c>
      <x:c r="D118" s="14" t="n">
        <x:v>29</x:v>
      </x:c>
      <x:c r="E118" s="14" t="str">
        <x:f>INDEX(Roster!$B$6:$B$108,MATCH(D118,Roster!$A$6:$A$108,0))</x:f>
        <x:v>Assistant Principal</x:v>
      </x:c>
      <x:c r="F118" s="14" t="str">
        <x:f>INDEX(Roster!$F$6:$F$108,MATCH(D118,Roster!$A$6:$A$108,0))</x:f>
        <x:v>No</x:v>
      </x:c>
      <x:c r="G118" s="14" t="n">
        <x:f>INDEX(Inputs!$B$7:$D$7,1,MATCH(A118,Inputs!$B$6:$D$6,0))</x:f>
        <x:v>13</x:v>
      </x:c>
      <x:c r="H118" s="14" t="n">
        <x:f>MIN(=INDEX(Inputs!$B$7:$D$7,1,MATCH(A118,Inputs!$B$6:$D$6,0)),MAX(0,INDEX(Inputs!$B$14:$D$14,1,MATCH(A118,Inputs!$B$6:$D$6,0))-(C118-1)*=INDEX(Inputs!$B$7:$D$7,1,MATCH(A118,Inputs!$B$6:$D$6,0))))</x:f>
        <x:v>13</x:v>
      </x:c>
      <x:c r="I118" s="20" t="n">
        <x:f>INDEX(Inputs!$B$8:$D$8,1,MATCH(A118,Inputs!$B$6:$D$6,0))</x:f>
        <x:v>2395</x:v>
      </x:c>
      <x:c r="J118" s="20" t="n">
        <x:f>INDEX(Roster!$C$6:$C$108,MATCH(D118,Roster!$A$6:$A$108,0))*(1+INDEX(Inputs!$B$9:$D$9,1,MATCH(A118,Inputs!$B$6:$D$6,0)))</x:f>
        <x:v>0</x:v>
      </x:c>
      <x:c r="K118" s="20" t="n">
        <x:f>IF(=INDEX(Roster!$F$6:$F$108,MATCH(D118,Roster!$A$6:$A$108,0))="Yes",0,=INDEX(Inputs!$B$8:$D$8,1,MATCH(A118,Inputs!$B$6:$D$6,0))*IF(=INDEX(Roster!$B$6:$B$108,MATCH(D118,Roster!$A$6:$A$108,0))="Principal",INDEX(Inputs!$B$10:$D$10,1,MATCH(A118,Inputs!$B$6:$D$6,0)),IF(=INDEX(Roster!$B$6:$B$108,MATCH(D118,Roster!$A$6:$A$108,0))="Associate Principal",INDEX(Inputs!$B$11:$D$11,1,MATCH(A118,Inputs!$B$6:$D$6,0)),IF(=INDEX(Roster!$B$6:$B$108,MATCH(D118,Roster!$A$6:$A$108,0))="Assistant Principal",INDEX(Inputs!$B$12:$D$12,1,MATCH(A118,Inputs!$B$6:$D$6,0)),0))))</x:f>
        <x:v>239.5</x:v>
      </x:c>
      <x:c r="L118" s="20" t="n">
        <x:f>IF(INDEX(Roster!$D$6:$D$108,MATCH(D118,Roster!$A$6:$A$108,0))&gt;=25,INDEX(Inputs!$B$19:$D$19,1,MATCH(A118,Inputs!$B$6:$D$6,0)),IF(INDEX(Roster!$D$6:$D$108,MATCH(D118,Roster!$A$6:$A$108,0))&gt;=20,INDEX(Inputs!$B$18:$D$18,1,MATCH(A118,Inputs!$B$6:$D$6,0)),IF(INDEX(Roster!$D$6:$D$108,MATCH(D118,Roster!$A$6:$A$108,0))&gt;=15,INDEX(Inputs!$B$17:$D$17,1,MATCH(A118,Inputs!$B$6:$D$6,0)),IF(INDEX(Roster!$D$6:$D$108,MATCH(D118,Roster!$A$6:$A$108,0))&gt;=10,INDEX(Inputs!$B$16:$D$16,1,MATCH(A118,Inputs!$B$6:$D$6,0)),IF(INDEX(Roster!$D$6:$D$108,MATCH(D118,Roster!$A$6:$A$108,0))&gt;=5,INDEX(Inputs!$B$15:$D$15,1,MATCH(A118,Inputs!$B$6:$D$6,0)),0)))))</x:f>
        <x:v>90</x:v>
      </x:c>
      <x:c r="M118" s="20" t="n">
        <x:f>G118*I118</x:f>
        <x:v>31135</x:v>
      </x:c>
      <x:c r="N118" s="20" t="n">
        <x:f>G118*J118</x:f>
        <x:v>0</x:v>
      </x:c>
      <x:c r="O118" s="20" t="n">
        <x:f>G118*K118</x:f>
        <x:v>3113.5</x:v>
      </x:c>
      <x:c r="P118" s="20" t="n">
        <x:f>G118*L118</x:f>
        <x:v>1170</x:v>
      </x:c>
      <x:c r="Q118" s="20" t="n">
        <x:f>H118*INDEX(Inputs!$B$13:$D$13,1,MATCH(A118,Inputs!$B$6:$D$6,0))</x:f>
        <x:v>390</x:v>
      </x:c>
      <x:c r="R118" s="20" t="n">
        <x:f>SUM(M118:Q118)</x:f>
        <x:v>35808.5</x:v>
      </x:c>
      <x:c r="S118" s="20" t="n">
        <x:f>IF(AND(A117=A118,D117=D118),S117+R118,R118)</x:f>
        <x:v>35808.5</x:v>
      </x:c>
      <x:c r="T118" s="20" t="n">
        <x:f>MIN(S118,INDEX(Inputs!$B$20:$D$20,1,MATCH(A118,Inputs!$B$6:$D$6,0)))*INDEX(Inputs!$B$22:$D$22,1,MATCH(A118,Inputs!$B$6:$D$6,0))+MAX(MIN(S118,INDEX(Inputs!$B$21:$D$21,1,MATCH(A118,Inputs!$B$6:$D$6,0)))-INDEX(Inputs!$B$20:$D$20,1,MATCH(A118,Inputs!$B$6:$D$6,0)),0)*INDEX(Inputs!$B$23:$D$23,1,MATCH(A118,Inputs!$B$6:$D$6,0))+MAX(S118-INDEX(Inputs!$B$21:$D$21,1,MATCH(A118,Inputs!$B$6:$D$6,0)),0)*INDEX(Inputs!$B$24:$D$24,1,MATCH(A118,Inputs!$B$6:$D$6,0))</x:f>
        <x:v>3229.35025</x:v>
      </x:c>
      <x:c r="U118" s="20" t="n">
        <x:f>IF(AND(A117=A118,D117=D118),T117,0)</x:f>
        <x:v>0</x:v>
      </x:c>
      <x:c r="V118" s="20" t="n">
        <x:f>T118-U118</x:f>
        <x:v>3229.35025</x:v>
      </x:c>
      <x:c r="W118" s="20" t="n">
        <x:f>R118+V118</x:f>
        <x:v>39037.85025</x:v>
      </x:c>
      <x:c r="X118" s="14" t="str">
        <x:f>IF(ABS(W118-SUM(M118:Q118)-V118)&lt;0.01,"OK","Check")</x:f>
        <x:v>OK</x:v>
      </x:c>
    </x:row>
    <x:row r="119">
      <x:c r="A119" s="14" t="n">
        <x:v>2026</x:v>
      </x:c>
      <x:c r="B119" s="14" t="str">
        <x:v>Q2</x:v>
      </x:c>
      <x:c r="C119" s="14" t="n">
        <x:v>2</x:v>
      </x:c>
      <x:c r="D119" s="14" t="n">
        <x:v>29</x:v>
      </x:c>
      <x:c r="E119" s="14" t="str">
        <x:f>INDEX(Roster!$B$6:$B$108,MATCH(D119,Roster!$A$6:$A$108,0))</x:f>
        <x:v>Assistant Principal</x:v>
      </x:c>
      <x:c r="F119" s="14" t="str">
        <x:f>INDEX(Roster!$F$6:$F$108,MATCH(D119,Roster!$A$6:$A$108,0))</x:f>
        <x:v>No</x:v>
      </x:c>
      <x:c r="G119" s="14" t="n">
        <x:f>INDEX(Inputs!$B$7:$D$7,1,MATCH(A119,Inputs!$B$6:$D$6,0))</x:f>
        <x:v>13</x:v>
      </x:c>
      <x:c r="H119" s="14" t="n">
        <x:f>MIN(=INDEX(Inputs!$B$7:$D$7,1,MATCH(A119,Inputs!$B$6:$D$6,0)),MAX(0,INDEX(Inputs!$B$14:$D$14,1,MATCH(A119,Inputs!$B$6:$D$6,0))-(C119-1)*=INDEX(Inputs!$B$7:$D$7,1,MATCH(A119,Inputs!$B$6:$D$6,0))))</x:f>
        <x:v>13</x:v>
      </x:c>
      <x:c r="I119" s="20" t="n">
        <x:f>INDEX(Inputs!$B$8:$D$8,1,MATCH(A119,Inputs!$B$6:$D$6,0))</x:f>
        <x:v>2395</x:v>
      </x:c>
      <x:c r="J119" s="20" t="n">
        <x:f>INDEX(Roster!$C$6:$C$108,MATCH(D119,Roster!$A$6:$A$108,0))*(1+INDEX(Inputs!$B$9:$D$9,1,MATCH(A119,Inputs!$B$6:$D$6,0)))</x:f>
        <x:v>0</x:v>
      </x:c>
      <x:c r="K119" s="20" t="n">
        <x:f>IF(=INDEX(Roster!$F$6:$F$108,MATCH(D119,Roster!$A$6:$A$108,0))="Yes",0,=INDEX(Inputs!$B$8:$D$8,1,MATCH(A119,Inputs!$B$6:$D$6,0))*IF(=INDEX(Roster!$B$6:$B$108,MATCH(D119,Roster!$A$6:$A$108,0))="Principal",INDEX(Inputs!$B$10:$D$10,1,MATCH(A119,Inputs!$B$6:$D$6,0)),IF(=INDEX(Roster!$B$6:$B$108,MATCH(D119,Roster!$A$6:$A$108,0))="Associate Principal",INDEX(Inputs!$B$11:$D$11,1,MATCH(A119,Inputs!$B$6:$D$6,0)),IF(=INDEX(Roster!$B$6:$B$108,MATCH(D119,Roster!$A$6:$A$108,0))="Assistant Principal",INDEX(Inputs!$B$12:$D$12,1,MATCH(A119,Inputs!$B$6:$D$6,0)),0))))</x:f>
        <x:v>239.5</x:v>
      </x:c>
      <x:c r="L119" s="20" t="n">
        <x:f>IF(INDEX(Roster!$D$6:$D$108,MATCH(D119,Roster!$A$6:$A$108,0))&gt;=25,INDEX(Inputs!$B$19:$D$19,1,MATCH(A119,Inputs!$B$6:$D$6,0)),IF(INDEX(Roster!$D$6:$D$108,MATCH(D119,Roster!$A$6:$A$108,0))&gt;=20,INDEX(Inputs!$B$18:$D$18,1,MATCH(A119,Inputs!$B$6:$D$6,0)),IF(INDEX(Roster!$D$6:$D$108,MATCH(D119,Roster!$A$6:$A$108,0))&gt;=15,INDEX(Inputs!$B$17:$D$17,1,MATCH(A119,Inputs!$B$6:$D$6,0)),IF(INDEX(Roster!$D$6:$D$108,MATCH(D119,Roster!$A$6:$A$108,0))&gt;=10,INDEX(Inputs!$B$16:$D$16,1,MATCH(A119,Inputs!$B$6:$D$6,0)),IF(INDEX(Roster!$D$6:$D$108,MATCH(D119,Roster!$A$6:$A$108,0))&gt;=5,INDEX(Inputs!$B$15:$D$15,1,MATCH(A119,Inputs!$B$6:$D$6,0)),0)))))</x:f>
        <x:v>90</x:v>
      </x:c>
      <x:c r="M119" s="20" t="n">
        <x:f>G119*I119</x:f>
        <x:v>31135</x:v>
      </x:c>
      <x:c r="N119" s="20" t="n">
        <x:f>G119*J119</x:f>
        <x:v>0</x:v>
      </x:c>
      <x:c r="O119" s="20" t="n">
        <x:f>G119*K119</x:f>
        <x:v>3113.5</x:v>
      </x:c>
      <x:c r="P119" s="20" t="n">
        <x:f>G119*L119</x:f>
        <x:v>1170</x:v>
      </x:c>
      <x:c r="Q119" s="20" t="n">
        <x:f>H119*INDEX(Inputs!$B$13:$D$13,1,MATCH(A119,Inputs!$B$6:$D$6,0))</x:f>
        <x:v>390</x:v>
      </x:c>
      <x:c r="R119" s="20" t="n">
        <x:f>SUM(M119:Q119)</x:f>
        <x:v>35808.5</x:v>
      </x:c>
      <x:c r="S119" s="20" t="n">
        <x:f>IF(AND(A118=A119,D118=D119),S118+R119,R119)</x:f>
        <x:v>71617</x:v>
      </x:c>
      <x:c r="T119" s="20" t="n">
        <x:f>MIN(S119,INDEX(Inputs!$B$20:$D$20,1,MATCH(A119,Inputs!$B$6:$D$6,0)))*INDEX(Inputs!$B$22:$D$22,1,MATCH(A119,Inputs!$B$6:$D$6,0))+MAX(MIN(S119,INDEX(Inputs!$B$21:$D$21,1,MATCH(A119,Inputs!$B$6:$D$6,0)))-INDEX(Inputs!$B$20:$D$20,1,MATCH(A119,Inputs!$B$6:$D$6,0)),0)*INDEX(Inputs!$B$23:$D$23,1,MATCH(A119,Inputs!$B$6:$D$6,0))+MAX(S119-INDEX(Inputs!$B$21:$D$21,1,MATCH(A119,Inputs!$B$6:$D$6,0)),0)*INDEX(Inputs!$B$24:$D$24,1,MATCH(A119,Inputs!$B$6:$D$6,0))</x:f>
        <x:v>5968.7005</x:v>
      </x:c>
      <x:c r="U119" s="20" t="n">
        <x:f>IF(AND(A118=A119,D118=D119),T118,0)</x:f>
        <x:v>3229.35025</x:v>
      </x:c>
      <x:c r="V119" s="20" t="n">
        <x:f>T119-U119</x:f>
        <x:v>2739.35025</x:v>
      </x:c>
      <x:c r="W119" s="20" t="n">
        <x:f>R119+V119</x:f>
        <x:v>38547.85025</x:v>
      </x:c>
      <x:c r="X119" s="14" t="str">
        <x:f>IF(ABS(W119-SUM(M119:Q119)-V119)&lt;0.01,"OK","Check")</x:f>
        <x:v>OK</x:v>
      </x:c>
    </x:row>
    <x:row r="120">
      <x:c r="A120" s="14" t="n">
        <x:v>2026</x:v>
      </x:c>
      <x:c r="B120" s="14" t="str">
        <x:v>Q3</x:v>
      </x:c>
      <x:c r="C120" s="14" t="n">
        <x:v>3</x:v>
      </x:c>
      <x:c r="D120" s="14" t="n">
        <x:v>29</x:v>
      </x:c>
      <x:c r="E120" s="14" t="str">
        <x:f>INDEX(Roster!$B$6:$B$108,MATCH(D120,Roster!$A$6:$A$108,0))</x:f>
        <x:v>Assistant Principal</x:v>
      </x:c>
      <x:c r="F120" s="14" t="str">
        <x:f>INDEX(Roster!$F$6:$F$108,MATCH(D120,Roster!$A$6:$A$108,0))</x:f>
        <x:v>No</x:v>
      </x:c>
      <x:c r="G120" s="14" t="n">
        <x:f>INDEX(Inputs!$B$7:$D$7,1,MATCH(A120,Inputs!$B$6:$D$6,0))</x:f>
        <x:v>13</x:v>
      </x:c>
      <x:c r="H120" s="14" t="n">
        <x:f>MIN(=INDEX(Inputs!$B$7:$D$7,1,MATCH(A120,Inputs!$B$6:$D$6,0)),MAX(0,INDEX(Inputs!$B$14:$D$14,1,MATCH(A120,Inputs!$B$6:$D$6,0))-(C120-1)*=INDEX(Inputs!$B$7:$D$7,1,MATCH(A120,Inputs!$B$6:$D$6,0))))</x:f>
        <x:v>13</x:v>
      </x:c>
      <x:c r="I120" s="20" t="n">
        <x:f>INDEX(Inputs!$B$8:$D$8,1,MATCH(A120,Inputs!$B$6:$D$6,0))</x:f>
        <x:v>2395</x:v>
      </x:c>
      <x:c r="J120" s="20" t="n">
        <x:f>INDEX(Roster!$C$6:$C$108,MATCH(D120,Roster!$A$6:$A$108,0))*(1+INDEX(Inputs!$B$9:$D$9,1,MATCH(A120,Inputs!$B$6:$D$6,0)))</x:f>
        <x:v>0</x:v>
      </x:c>
      <x:c r="K120" s="20" t="n">
        <x:f>IF(=INDEX(Roster!$F$6:$F$108,MATCH(D120,Roster!$A$6:$A$108,0))="Yes",0,=INDEX(Inputs!$B$8:$D$8,1,MATCH(A120,Inputs!$B$6:$D$6,0))*IF(=INDEX(Roster!$B$6:$B$108,MATCH(D120,Roster!$A$6:$A$108,0))="Principal",INDEX(Inputs!$B$10:$D$10,1,MATCH(A120,Inputs!$B$6:$D$6,0)),IF(=INDEX(Roster!$B$6:$B$108,MATCH(D120,Roster!$A$6:$A$108,0))="Associate Principal",INDEX(Inputs!$B$11:$D$11,1,MATCH(A120,Inputs!$B$6:$D$6,0)),IF(=INDEX(Roster!$B$6:$B$108,MATCH(D120,Roster!$A$6:$A$108,0))="Assistant Principal",INDEX(Inputs!$B$12:$D$12,1,MATCH(A120,Inputs!$B$6:$D$6,0)),0))))</x:f>
        <x:v>239.5</x:v>
      </x:c>
      <x:c r="L120" s="20" t="n">
        <x:f>IF(INDEX(Roster!$D$6:$D$108,MATCH(D120,Roster!$A$6:$A$108,0))&gt;=25,INDEX(Inputs!$B$19:$D$19,1,MATCH(A120,Inputs!$B$6:$D$6,0)),IF(INDEX(Roster!$D$6:$D$108,MATCH(D120,Roster!$A$6:$A$108,0))&gt;=20,INDEX(Inputs!$B$18:$D$18,1,MATCH(A120,Inputs!$B$6:$D$6,0)),IF(INDEX(Roster!$D$6:$D$108,MATCH(D120,Roster!$A$6:$A$108,0))&gt;=15,INDEX(Inputs!$B$17:$D$17,1,MATCH(A120,Inputs!$B$6:$D$6,0)),IF(INDEX(Roster!$D$6:$D$108,MATCH(D120,Roster!$A$6:$A$108,0))&gt;=10,INDEX(Inputs!$B$16:$D$16,1,MATCH(A120,Inputs!$B$6:$D$6,0)),IF(INDEX(Roster!$D$6:$D$108,MATCH(D120,Roster!$A$6:$A$108,0))&gt;=5,INDEX(Inputs!$B$15:$D$15,1,MATCH(A120,Inputs!$B$6:$D$6,0)),0)))))</x:f>
        <x:v>90</x:v>
      </x:c>
      <x:c r="M120" s="20" t="n">
        <x:f>G120*I120</x:f>
        <x:v>31135</x:v>
      </x:c>
      <x:c r="N120" s="20" t="n">
        <x:f>G120*J120</x:f>
        <x:v>0</x:v>
      </x:c>
      <x:c r="O120" s="20" t="n">
        <x:f>G120*K120</x:f>
        <x:v>3113.5</x:v>
      </x:c>
      <x:c r="P120" s="20" t="n">
        <x:f>G120*L120</x:f>
        <x:v>1170</x:v>
      </x:c>
      <x:c r="Q120" s="20" t="n">
        <x:f>H120*INDEX(Inputs!$B$13:$D$13,1,MATCH(A120,Inputs!$B$6:$D$6,0))</x:f>
        <x:v>390</x:v>
      </x:c>
      <x:c r="R120" s="20" t="n">
        <x:f>SUM(M120:Q120)</x:f>
        <x:v>35808.5</x:v>
      </x:c>
      <x:c r="S120" s="20" t="n">
        <x:f>IF(AND(A119=A120,D119=D120),S119+R120,R120)</x:f>
        <x:v>107425.5</x:v>
      </x:c>
      <x:c r="T120" s="20" t="n">
        <x:f>MIN(S120,INDEX(Inputs!$B$20:$D$20,1,MATCH(A120,Inputs!$B$6:$D$6,0)))*INDEX(Inputs!$B$22:$D$22,1,MATCH(A120,Inputs!$B$6:$D$6,0))+MAX(MIN(S120,INDEX(Inputs!$B$21:$D$21,1,MATCH(A120,Inputs!$B$6:$D$6,0)))-INDEX(Inputs!$B$20:$D$20,1,MATCH(A120,Inputs!$B$6:$D$6,0)),0)*INDEX(Inputs!$B$23:$D$23,1,MATCH(A120,Inputs!$B$6:$D$6,0))+MAX(S120-INDEX(Inputs!$B$21:$D$21,1,MATCH(A120,Inputs!$B$6:$D$6,0)),0)*INDEX(Inputs!$B$24:$D$24,1,MATCH(A120,Inputs!$B$6:$D$6,0))</x:f>
        <x:v>8708.050749999999</x:v>
      </x:c>
      <x:c r="U120" s="20" t="n">
        <x:f>IF(AND(A119=A120,D119=D120),T119,0)</x:f>
        <x:v>5968.7005</x:v>
      </x:c>
      <x:c r="V120" s="20" t="n">
        <x:f>T120-U120</x:f>
        <x:v>2739.3502499999986</x:v>
      </x:c>
      <x:c r="W120" s="20" t="n">
        <x:f>R120+V120</x:f>
        <x:v>38547.850249999996</x:v>
      </x:c>
      <x:c r="X120" s="14" t="str">
        <x:f>IF(ABS(W120-SUM(M120:Q120)-V120)&lt;0.01,"OK","Check")</x:f>
        <x:v>OK</x:v>
      </x:c>
    </x:row>
    <x:row r="121">
      <x:c r="A121" s="14" t="n">
        <x:v>2026</x:v>
      </x:c>
      <x:c r="B121" s="14" t="str">
        <x:v>Q4</x:v>
      </x:c>
      <x:c r="C121" s="14" t="n">
        <x:v>4</x:v>
      </x:c>
      <x:c r="D121" s="14" t="n">
        <x:v>29</x:v>
      </x:c>
      <x:c r="E121" s="14" t="str">
        <x:f>INDEX(Roster!$B$6:$B$108,MATCH(D121,Roster!$A$6:$A$108,0))</x:f>
        <x:v>Assistant Principal</x:v>
      </x:c>
      <x:c r="F121" s="14" t="str">
        <x:f>INDEX(Roster!$F$6:$F$108,MATCH(D121,Roster!$A$6:$A$108,0))</x:f>
        <x:v>No</x:v>
      </x:c>
      <x:c r="G121" s="14" t="n">
        <x:f>INDEX(Inputs!$B$7:$D$7,1,MATCH(A121,Inputs!$B$6:$D$6,0))</x:f>
        <x:v>13</x:v>
      </x:c>
      <x:c r="H121" s="14" t="n">
        <x:f>MIN(=INDEX(Inputs!$B$7:$D$7,1,MATCH(A121,Inputs!$B$6:$D$6,0)),MAX(0,INDEX(Inputs!$B$14:$D$14,1,MATCH(A121,Inputs!$B$6:$D$6,0))-(C121-1)*=INDEX(Inputs!$B$7:$D$7,1,MATCH(A121,Inputs!$B$6:$D$6,0))))</x:f>
        <x:v>0</x:v>
      </x:c>
      <x:c r="I121" s="20" t="n">
        <x:f>INDEX(Inputs!$B$8:$D$8,1,MATCH(A121,Inputs!$B$6:$D$6,0))</x:f>
        <x:v>2395</x:v>
      </x:c>
      <x:c r="J121" s="20" t="n">
        <x:f>INDEX(Roster!$C$6:$C$108,MATCH(D121,Roster!$A$6:$A$108,0))*(1+INDEX(Inputs!$B$9:$D$9,1,MATCH(A121,Inputs!$B$6:$D$6,0)))</x:f>
        <x:v>0</x:v>
      </x:c>
      <x:c r="K121" s="20" t="n">
        <x:f>IF(=INDEX(Roster!$F$6:$F$108,MATCH(D121,Roster!$A$6:$A$108,0))="Yes",0,=INDEX(Inputs!$B$8:$D$8,1,MATCH(A121,Inputs!$B$6:$D$6,0))*IF(=INDEX(Roster!$B$6:$B$108,MATCH(D121,Roster!$A$6:$A$108,0))="Principal",INDEX(Inputs!$B$10:$D$10,1,MATCH(A121,Inputs!$B$6:$D$6,0)),IF(=INDEX(Roster!$B$6:$B$108,MATCH(D121,Roster!$A$6:$A$108,0))="Associate Principal",INDEX(Inputs!$B$11:$D$11,1,MATCH(A121,Inputs!$B$6:$D$6,0)),IF(=INDEX(Roster!$B$6:$B$108,MATCH(D121,Roster!$A$6:$A$108,0))="Assistant Principal",INDEX(Inputs!$B$12:$D$12,1,MATCH(A121,Inputs!$B$6:$D$6,0)),0))))</x:f>
        <x:v>239.5</x:v>
      </x:c>
      <x:c r="L121" s="20" t="n">
        <x:f>IF(INDEX(Roster!$D$6:$D$108,MATCH(D121,Roster!$A$6:$A$108,0))&gt;=25,INDEX(Inputs!$B$19:$D$19,1,MATCH(A121,Inputs!$B$6:$D$6,0)),IF(INDEX(Roster!$D$6:$D$108,MATCH(D121,Roster!$A$6:$A$108,0))&gt;=20,INDEX(Inputs!$B$18:$D$18,1,MATCH(A121,Inputs!$B$6:$D$6,0)),IF(INDEX(Roster!$D$6:$D$108,MATCH(D121,Roster!$A$6:$A$108,0))&gt;=15,INDEX(Inputs!$B$17:$D$17,1,MATCH(A121,Inputs!$B$6:$D$6,0)),IF(INDEX(Roster!$D$6:$D$108,MATCH(D121,Roster!$A$6:$A$108,0))&gt;=10,INDEX(Inputs!$B$16:$D$16,1,MATCH(A121,Inputs!$B$6:$D$6,0)),IF(INDEX(Roster!$D$6:$D$108,MATCH(D121,Roster!$A$6:$A$108,0))&gt;=5,INDEX(Inputs!$B$15:$D$15,1,MATCH(A121,Inputs!$B$6:$D$6,0)),0)))))</x:f>
        <x:v>90</x:v>
      </x:c>
      <x:c r="M121" s="20" t="n">
        <x:f>G121*I121</x:f>
        <x:v>31135</x:v>
      </x:c>
      <x:c r="N121" s="20" t="n">
        <x:f>G121*J121</x:f>
        <x:v>0</x:v>
      </x:c>
      <x:c r="O121" s="20" t="n">
        <x:f>G121*K121</x:f>
        <x:v>3113.5</x:v>
      </x:c>
      <x:c r="P121" s="20" t="n">
        <x:f>G121*L121</x:f>
        <x:v>1170</x:v>
      </x:c>
      <x:c r="Q121" s="20" t="n">
        <x:f>H121*INDEX(Inputs!$B$13:$D$13,1,MATCH(A121,Inputs!$B$6:$D$6,0))</x:f>
        <x:v>0</x:v>
      </x:c>
      <x:c r="R121" s="20" t="n">
        <x:f>SUM(M121:Q121)</x:f>
        <x:v>35418.5</x:v>
      </x:c>
      <x:c r="S121" s="20" t="n">
        <x:f>IF(AND(A120=A121,D120=D121),S120+R121,R121)</x:f>
        <x:v>142844</x:v>
      </x:c>
      <x:c r="T121" s="20" t="n">
        <x:f>MIN(S121,INDEX(Inputs!$B$20:$D$20,1,MATCH(A121,Inputs!$B$6:$D$6,0)))*INDEX(Inputs!$B$22:$D$22,1,MATCH(A121,Inputs!$B$6:$D$6,0))+MAX(MIN(S121,INDEX(Inputs!$B$21:$D$21,1,MATCH(A121,Inputs!$B$6:$D$6,0)))-INDEX(Inputs!$B$20:$D$20,1,MATCH(A121,Inputs!$B$6:$D$6,0)),0)*INDEX(Inputs!$B$23:$D$23,1,MATCH(A121,Inputs!$B$6:$D$6,0))+MAX(S121-INDEX(Inputs!$B$21:$D$21,1,MATCH(A121,Inputs!$B$6:$D$6,0)),0)*INDEX(Inputs!$B$24:$D$24,1,MATCH(A121,Inputs!$B$6:$D$6,0))</x:f>
        <x:v>9985.18</x:v>
      </x:c>
      <x:c r="U121" s="20" t="n">
        <x:f>IF(AND(A120=A121,D120=D121),T120,0)</x:f>
        <x:v>8708.050749999999</x:v>
      </x:c>
      <x:c r="V121" s="20" t="n">
        <x:f>T121-U121</x:f>
        <x:v>1277.1292500000018</x:v>
      </x:c>
      <x:c r="W121" s="20" t="n">
        <x:f>R121+V121</x:f>
        <x:v>36695.62925</x:v>
      </x:c>
      <x:c r="X121" s="14" t="str">
        <x:f>IF(ABS(W121-SUM(M121:Q121)-V121)&lt;0.01,"OK","Check")</x:f>
        <x:v>OK</x:v>
      </x:c>
    </x:row>
    <x:row r="122">
      <x:c r="A122" s="14" t="n">
        <x:v>2026</x:v>
      </x:c>
      <x:c r="B122" s="14" t="str">
        <x:v>Q1</x:v>
      </x:c>
      <x:c r="C122" s="14" t="n">
        <x:v>1</x:v>
      </x:c>
      <x:c r="D122" s="14" t="n">
        <x:v>30</x:v>
      </x:c>
      <x:c r="E122" s="14" t="str">
        <x:f>INDEX(Roster!$B$6:$B$108,MATCH(D122,Roster!$A$6:$A$108,0))</x:f>
      </x:c>
      <x:c r="F122" s="14" t="str">
        <x:f>INDEX(Roster!$F$6:$F$108,MATCH(D122,Roster!$A$6:$A$108,0))</x:f>
        <x:v>No</x:v>
      </x:c>
      <x:c r="G122" s="14" t="n">
        <x:f>INDEX(Inputs!$B$7:$D$7,1,MATCH(A122,Inputs!$B$6:$D$6,0))</x:f>
        <x:v>13</x:v>
      </x:c>
      <x:c r="H122" s="14" t="n">
        <x:f>MIN(=INDEX(Inputs!$B$7:$D$7,1,MATCH(A122,Inputs!$B$6:$D$6,0)),MAX(0,INDEX(Inputs!$B$14:$D$14,1,MATCH(A122,Inputs!$B$6:$D$6,0))-(C122-1)*=INDEX(Inputs!$B$7:$D$7,1,MATCH(A122,Inputs!$B$6:$D$6,0))))</x:f>
        <x:v>13</x:v>
      </x:c>
      <x:c r="I122" s="20" t="n">
        <x:f>INDEX(Inputs!$B$8:$D$8,1,MATCH(A122,Inputs!$B$6:$D$6,0))</x:f>
        <x:v>2395</x:v>
      </x:c>
      <x:c r="J122" s="20" t="n">
        <x:f>INDEX(Roster!$C$6:$C$108,MATCH(D122,Roster!$A$6:$A$108,0))*(1+INDEX(Inputs!$B$9:$D$9,1,MATCH(A122,Inputs!$B$6:$D$6,0)))</x:f>
        <x:v>60</x:v>
      </x:c>
      <x:c r="K122" s="20" t="n">
        <x:f>IF(=INDEX(Roster!$F$6:$F$108,MATCH(D122,Roster!$A$6:$A$108,0))="Yes",0,=INDEX(Inputs!$B$8:$D$8,1,MATCH(A122,Inputs!$B$6:$D$6,0))*IF(=INDEX(Roster!$B$6:$B$108,MATCH(D122,Roster!$A$6:$A$108,0))="Principal",INDEX(Inputs!$B$10:$D$10,1,MATCH(A122,Inputs!$B$6:$D$6,0)),IF(=INDEX(Roster!$B$6:$B$108,MATCH(D122,Roster!$A$6:$A$108,0))="Associate Principal",INDEX(Inputs!$B$11:$D$11,1,MATCH(A122,Inputs!$B$6:$D$6,0)),IF(=INDEX(Roster!$B$6:$B$108,MATCH(D122,Roster!$A$6:$A$108,0))="Assistant Principal",INDEX(Inputs!$B$12:$D$12,1,MATCH(A122,Inputs!$B$6:$D$6,0)),0))))</x:f>
        <x:v>0</x:v>
      </x:c>
      <x:c r="L122" s="20" t="n">
        <x:f>IF(INDEX(Roster!$D$6:$D$108,MATCH(D122,Roster!$A$6:$A$108,0))&gt;=25,INDEX(Inputs!$B$19:$D$19,1,MATCH(A122,Inputs!$B$6:$D$6,0)),IF(INDEX(Roster!$D$6:$D$108,MATCH(D122,Roster!$A$6:$A$108,0))&gt;=20,INDEX(Inputs!$B$18:$D$18,1,MATCH(A122,Inputs!$B$6:$D$6,0)),IF(INDEX(Roster!$D$6:$D$108,MATCH(D122,Roster!$A$6:$A$108,0))&gt;=15,INDEX(Inputs!$B$17:$D$17,1,MATCH(A122,Inputs!$B$6:$D$6,0)),IF(INDEX(Roster!$D$6:$D$108,MATCH(D122,Roster!$A$6:$A$108,0))&gt;=10,INDEX(Inputs!$B$16:$D$16,1,MATCH(A122,Inputs!$B$6:$D$6,0)),IF(INDEX(Roster!$D$6:$D$108,MATCH(D122,Roster!$A$6:$A$108,0))&gt;=5,INDEX(Inputs!$B$15:$D$15,1,MATCH(A122,Inputs!$B$6:$D$6,0)),0)))))</x:f>
        <x:v>80</x:v>
      </x:c>
      <x:c r="M122" s="20" t="n">
        <x:f>G122*I122</x:f>
        <x:v>31135</x:v>
      </x:c>
      <x:c r="N122" s="20" t="n">
        <x:f>G122*J122</x:f>
        <x:v>780</x:v>
      </x:c>
      <x:c r="O122" s="20" t="n">
        <x:f>G122*K122</x:f>
        <x:v>0</x:v>
      </x:c>
      <x:c r="P122" s="20" t="n">
        <x:f>G122*L122</x:f>
        <x:v>1040</x:v>
      </x:c>
      <x:c r="Q122" s="20" t="n">
        <x:f>H122*INDEX(Inputs!$B$13:$D$13,1,MATCH(A122,Inputs!$B$6:$D$6,0))</x:f>
        <x:v>390</x:v>
      </x:c>
      <x:c r="R122" s="20" t="n">
        <x:f>SUM(M122:Q122)</x:f>
        <x:v>33345</x:v>
      </x:c>
      <x:c r="S122" s="20" t="n">
        <x:f>IF(AND(A121=A122,D121=D122),S121+R122,R122)</x:f>
        <x:v>33345</x:v>
      </x:c>
      <x:c r="T122" s="20" t="n">
        <x:f>MIN(S122,INDEX(Inputs!$B$20:$D$20,1,MATCH(A122,Inputs!$B$6:$D$6,0)))*INDEX(Inputs!$B$22:$D$22,1,MATCH(A122,Inputs!$B$6:$D$6,0))+MAX(MIN(S122,INDEX(Inputs!$B$21:$D$21,1,MATCH(A122,Inputs!$B$6:$D$6,0)))-INDEX(Inputs!$B$20:$D$20,1,MATCH(A122,Inputs!$B$6:$D$6,0)),0)*INDEX(Inputs!$B$23:$D$23,1,MATCH(A122,Inputs!$B$6:$D$6,0))+MAX(S122-INDEX(Inputs!$B$21:$D$21,1,MATCH(A122,Inputs!$B$6:$D$6,0)),0)*INDEX(Inputs!$B$24:$D$24,1,MATCH(A122,Inputs!$B$6:$D$6,0))</x:f>
        <x:v>3040.8925</x:v>
      </x:c>
      <x:c r="U122" s="20" t="n">
        <x:f>IF(AND(A121=A122,D121=D122),T121,0)</x:f>
        <x:v>0</x:v>
      </x:c>
      <x:c r="V122" s="20" t="n">
        <x:f>T122-U122</x:f>
        <x:v>3040.8925</x:v>
      </x:c>
      <x:c r="W122" s="20" t="n">
        <x:f>R122+V122</x:f>
        <x:v>36385.8925</x:v>
      </x:c>
      <x:c r="X122" s="14" t="str">
        <x:f>IF(ABS(W122-SUM(M122:Q122)-V122)&lt;0.01,"OK","Check")</x:f>
        <x:v>OK</x:v>
      </x:c>
    </x:row>
    <x:row r="123">
      <x:c r="A123" s="14" t="n">
        <x:v>2026</x:v>
      </x:c>
      <x:c r="B123" s="14" t="str">
        <x:v>Q2</x:v>
      </x:c>
      <x:c r="C123" s="14" t="n">
        <x:v>2</x:v>
      </x:c>
      <x:c r="D123" s="14" t="n">
        <x:v>30</x:v>
      </x:c>
      <x:c r="E123" s="14" t="str">
        <x:f>INDEX(Roster!$B$6:$B$108,MATCH(D123,Roster!$A$6:$A$108,0))</x:f>
      </x:c>
      <x:c r="F123" s="14" t="str">
        <x:f>INDEX(Roster!$F$6:$F$108,MATCH(D123,Roster!$A$6:$A$108,0))</x:f>
        <x:v>No</x:v>
      </x:c>
      <x:c r="G123" s="14" t="n">
        <x:f>INDEX(Inputs!$B$7:$D$7,1,MATCH(A123,Inputs!$B$6:$D$6,0))</x:f>
        <x:v>13</x:v>
      </x:c>
      <x:c r="H123" s="14" t="n">
        <x:f>MIN(=INDEX(Inputs!$B$7:$D$7,1,MATCH(A123,Inputs!$B$6:$D$6,0)),MAX(0,INDEX(Inputs!$B$14:$D$14,1,MATCH(A123,Inputs!$B$6:$D$6,0))-(C123-1)*=INDEX(Inputs!$B$7:$D$7,1,MATCH(A123,Inputs!$B$6:$D$6,0))))</x:f>
        <x:v>13</x:v>
      </x:c>
      <x:c r="I123" s="20" t="n">
        <x:f>INDEX(Inputs!$B$8:$D$8,1,MATCH(A123,Inputs!$B$6:$D$6,0))</x:f>
        <x:v>2395</x:v>
      </x:c>
      <x:c r="J123" s="20" t="n">
        <x:f>INDEX(Roster!$C$6:$C$108,MATCH(D123,Roster!$A$6:$A$108,0))*(1+INDEX(Inputs!$B$9:$D$9,1,MATCH(A123,Inputs!$B$6:$D$6,0)))</x:f>
        <x:v>60</x:v>
      </x:c>
      <x:c r="K123" s="20" t="n">
        <x:f>IF(=INDEX(Roster!$F$6:$F$108,MATCH(D123,Roster!$A$6:$A$108,0))="Yes",0,=INDEX(Inputs!$B$8:$D$8,1,MATCH(A123,Inputs!$B$6:$D$6,0))*IF(=INDEX(Roster!$B$6:$B$108,MATCH(D123,Roster!$A$6:$A$108,0))="Principal",INDEX(Inputs!$B$10:$D$10,1,MATCH(A123,Inputs!$B$6:$D$6,0)),IF(=INDEX(Roster!$B$6:$B$108,MATCH(D123,Roster!$A$6:$A$108,0))="Associate Principal",INDEX(Inputs!$B$11:$D$11,1,MATCH(A123,Inputs!$B$6:$D$6,0)),IF(=INDEX(Roster!$B$6:$B$108,MATCH(D123,Roster!$A$6:$A$108,0))="Assistant Principal",INDEX(Inputs!$B$12:$D$12,1,MATCH(A123,Inputs!$B$6:$D$6,0)),0))))</x:f>
        <x:v>0</x:v>
      </x:c>
      <x:c r="L123" s="20" t="n">
        <x:f>IF(INDEX(Roster!$D$6:$D$108,MATCH(D123,Roster!$A$6:$A$108,0))&gt;=25,INDEX(Inputs!$B$19:$D$19,1,MATCH(A123,Inputs!$B$6:$D$6,0)),IF(INDEX(Roster!$D$6:$D$108,MATCH(D123,Roster!$A$6:$A$108,0))&gt;=20,INDEX(Inputs!$B$18:$D$18,1,MATCH(A123,Inputs!$B$6:$D$6,0)),IF(INDEX(Roster!$D$6:$D$108,MATCH(D123,Roster!$A$6:$A$108,0))&gt;=15,INDEX(Inputs!$B$17:$D$17,1,MATCH(A123,Inputs!$B$6:$D$6,0)),IF(INDEX(Roster!$D$6:$D$108,MATCH(D123,Roster!$A$6:$A$108,0))&gt;=10,INDEX(Inputs!$B$16:$D$16,1,MATCH(A123,Inputs!$B$6:$D$6,0)),IF(INDEX(Roster!$D$6:$D$108,MATCH(D123,Roster!$A$6:$A$108,0))&gt;=5,INDEX(Inputs!$B$15:$D$15,1,MATCH(A123,Inputs!$B$6:$D$6,0)),0)))))</x:f>
        <x:v>80</x:v>
      </x:c>
      <x:c r="M123" s="20" t="n">
        <x:f>G123*I123</x:f>
        <x:v>31135</x:v>
      </x:c>
      <x:c r="N123" s="20" t="n">
        <x:f>G123*J123</x:f>
        <x:v>780</x:v>
      </x:c>
      <x:c r="O123" s="20" t="n">
        <x:f>G123*K123</x:f>
        <x:v>0</x:v>
      </x:c>
      <x:c r="P123" s="20" t="n">
        <x:f>G123*L123</x:f>
        <x:v>1040</x:v>
      </x:c>
      <x:c r="Q123" s="20" t="n">
        <x:f>H123*INDEX(Inputs!$B$13:$D$13,1,MATCH(A123,Inputs!$B$6:$D$6,0))</x:f>
        <x:v>390</x:v>
      </x:c>
      <x:c r="R123" s="20" t="n">
        <x:f>SUM(M123:Q123)</x:f>
        <x:v>33345</x:v>
      </x:c>
      <x:c r="S123" s="20" t="n">
        <x:f>IF(AND(A122=A123,D122=D123),S122+R123,R123)</x:f>
        <x:v>66690</x:v>
      </x:c>
      <x:c r="T123" s="20" t="n">
        <x:f>MIN(S123,INDEX(Inputs!$B$20:$D$20,1,MATCH(A123,Inputs!$B$6:$D$6,0)))*INDEX(Inputs!$B$22:$D$22,1,MATCH(A123,Inputs!$B$6:$D$6,0))+MAX(MIN(S123,INDEX(Inputs!$B$21:$D$21,1,MATCH(A123,Inputs!$B$6:$D$6,0)))-INDEX(Inputs!$B$20:$D$20,1,MATCH(A123,Inputs!$B$6:$D$6,0)),0)*INDEX(Inputs!$B$23:$D$23,1,MATCH(A123,Inputs!$B$6:$D$6,0))+MAX(S123-INDEX(Inputs!$B$21:$D$21,1,MATCH(A123,Inputs!$B$6:$D$6,0)),0)*INDEX(Inputs!$B$24:$D$24,1,MATCH(A123,Inputs!$B$6:$D$6,0))</x:f>
        <x:v>5591.785</x:v>
      </x:c>
      <x:c r="U123" s="20" t="n">
        <x:f>IF(AND(A122=A123,D122=D123),T122,0)</x:f>
        <x:v>3040.8925</x:v>
      </x:c>
      <x:c r="V123" s="20" t="n">
        <x:f>T123-U123</x:f>
        <x:v>2550.8925</x:v>
      </x:c>
      <x:c r="W123" s="20" t="n">
        <x:f>R123+V123</x:f>
        <x:v>35895.8925</x:v>
      </x:c>
      <x:c r="X123" s="14" t="str">
        <x:f>IF(ABS(W123-SUM(M123:Q123)-V123)&lt;0.01,"OK","Check")</x:f>
        <x:v>OK</x:v>
      </x:c>
    </x:row>
    <x:row r="124">
      <x:c r="A124" s="14" t="n">
        <x:v>2026</x:v>
      </x:c>
      <x:c r="B124" s="14" t="str">
        <x:v>Q3</x:v>
      </x:c>
      <x:c r="C124" s="14" t="n">
        <x:v>3</x:v>
      </x:c>
      <x:c r="D124" s="14" t="n">
        <x:v>30</x:v>
      </x:c>
      <x:c r="E124" s="14" t="str">
        <x:f>INDEX(Roster!$B$6:$B$108,MATCH(D124,Roster!$A$6:$A$108,0))</x:f>
      </x:c>
      <x:c r="F124" s="14" t="str">
        <x:f>INDEX(Roster!$F$6:$F$108,MATCH(D124,Roster!$A$6:$A$108,0))</x:f>
        <x:v>No</x:v>
      </x:c>
      <x:c r="G124" s="14" t="n">
        <x:f>INDEX(Inputs!$B$7:$D$7,1,MATCH(A124,Inputs!$B$6:$D$6,0))</x:f>
        <x:v>13</x:v>
      </x:c>
      <x:c r="H124" s="14" t="n">
        <x:f>MIN(=INDEX(Inputs!$B$7:$D$7,1,MATCH(A124,Inputs!$B$6:$D$6,0)),MAX(0,INDEX(Inputs!$B$14:$D$14,1,MATCH(A124,Inputs!$B$6:$D$6,0))-(C124-1)*=INDEX(Inputs!$B$7:$D$7,1,MATCH(A124,Inputs!$B$6:$D$6,0))))</x:f>
        <x:v>13</x:v>
      </x:c>
      <x:c r="I124" s="20" t="n">
        <x:f>INDEX(Inputs!$B$8:$D$8,1,MATCH(A124,Inputs!$B$6:$D$6,0))</x:f>
        <x:v>2395</x:v>
      </x:c>
      <x:c r="J124" s="20" t="n">
        <x:f>INDEX(Roster!$C$6:$C$108,MATCH(D124,Roster!$A$6:$A$108,0))*(1+INDEX(Inputs!$B$9:$D$9,1,MATCH(A124,Inputs!$B$6:$D$6,0)))</x:f>
        <x:v>60</x:v>
      </x:c>
      <x:c r="K124" s="20" t="n">
        <x:f>IF(=INDEX(Roster!$F$6:$F$108,MATCH(D124,Roster!$A$6:$A$108,0))="Yes",0,=INDEX(Inputs!$B$8:$D$8,1,MATCH(A124,Inputs!$B$6:$D$6,0))*IF(=INDEX(Roster!$B$6:$B$108,MATCH(D124,Roster!$A$6:$A$108,0))="Principal",INDEX(Inputs!$B$10:$D$10,1,MATCH(A124,Inputs!$B$6:$D$6,0)),IF(=INDEX(Roster!$B$6:$B$108,MATCH(D124,Roster!$A$6:$A$108,0))="Associate Principal",INDEX(Inputs!$B$11:$D$11,1,MATCH(A124,Inputs!$B$6:$D$6,0)),IF(=INDEX(Roster!$B$6:$B$108,MATCH(D124,Roster!$A$6:$A$108,0))="Assistant Principal",INDEX(Inputs!$B$12:$D$12,1,MATCH(A124,Inputs!$B$6:$D$6,0)),0))))</x:f>
        <x:v>0</x:v>
      </x:c>
      <x:c r="L124" s="20" t="n">
        <x:f>IF(INDEX(Roster!$D$6:$D$108,MATCH(D124,Roster!$A$6:$A$108,0))&gt;=25,INDEX(Inputs!$B$19:$D$19,1,MATCH(A124,Inputs!$B$6:$D$6,0)),IF(INDEX(Roster!$D$6:$D$108,MATCH(D124,Roster!$A$6:$A$108,0))&gt;=20,INDEX(Inputs!$B$18:$D$18,1,MATCH(A124,Inputs!$B$6:$D$6,0)),IF(INDEX(Roster!$D$6:$D$108,MATCH(D124,Roster!$A$6:$A$108,0))&gt;=15,INDEX(Inputs!$B$17:$D$17,1,MATCH(A124,Inputs!$B$6:$D$6,0)),IF(INDEX(Roster!$D$6:$D$108,MATCH(D124,Roster!$A$6:$A$108,0))&gt;=10,INDEX(Inputs!$B$16:$D$16,1,MATCH(A124,Inputs!$B$6:$D$6,0)),IF(INDEX(Roster!$D$6:$D$108,MATCH(D124,Roster!$A$6:$A$108,0))&gt;=5,INDEX(Inputs!$B$15:$D$15,1,MATCH(A124,Inputs!$B$6:$D$6,0)),0)))))</x:f>
        <x:v>80</x:v>
      </x:c>
      <x:c r="M124" s="20" t="n">
        <x:f>G124*I124</x:f>
        <x:v>31135</x:v>
      </x:c>
      <x:c r="N124" s="20" t="n">
        <x:f>G124*J124</x:f>
        <x:v>780</x:v>
      </x:c>
      <x:c r="O124" s="20" t="n">
        <x:f>G124*K124</x:f>
        <x:v>0</x:v>
      </x:c>
      <x:c r="P124" s="20" t="n">
        <x:f>G124*L124</x:f>
        <x:v>1040</x:v>
      </x:c>
      <x:c r="Q124" s="20" t="n">
        <x:f>H124*INDEX(Inputs!$B$13:$D$13,1,MATCH(A124,Inputs!$B$6:$D$6,0))</x:f>
        <x:v>390</x:v>
      </x:c>
      <x:c r="R124" s="20" t="n">
        <x:f>SUM(M124:Q124)</x:f>
        <x:v>33345</x:v>
      </x:c>
      <x:c r="S124" s="20" t="n">
        <x:f>IF(AND(A123=A124,D123=D124),S123+R124,R124)</x:f>
        <x:v>100035</x:v>
      </x:c>
      <x:c r="T124" s="20" t="n">
        <x:f>MIN(S124,INDEX(Inputs!$B$20:$D$20,1,MATCH(A124,Inputs!$B$6:$D$6,0)))*INDEX(Inputs!$B$22:$D$22,1,MATCH(A124,Inputs!$B$6:$D$6,0))+MAX(MIN(S124,INDEX(Inputs!$B$21:$D$21,1,MATCH(A124,Inputs!$B$6:$D$6,0)))-INDEX(Inputs!$B$20:$D$20,1,MATCH(A124,Inputs!$B$6:$D$6,0)),0)*INDEX(Inputs!$B$23:$D$23,1,MATCH(A124,Inputs!$B$6:$D$6,0))+MAX(S124-INDEX(Inputs!$B$21:$D$21,1,MATCH(A124,Inputs!$B$6:$D$6,0)),0)*INDEX(Inputs!$B$24:$D$24,1,MATCH(A124,Inputs!$B$6:$D$6,0))</x:f>
        <x:v>8142.6775</x:v>
      </x:c>
      <x:c r="U124" s="20" t="n">
        <x:f>IF(AND(A123=A124,D123=D124),T123,0)</x:f>
        <x:v>5591.785</x:v>
      </x:c>
      <x:c r="V124" s="20" t="n">
        <x:f>T124-U124</x:f>
        <x:v>2550.8925</x:v>
      </x:c>
      <x:c r="W124" s="20" t="n">
        <x:f>R124+V124</x:f>
        <x:v>35895.8925</x:v>
      </x:c>
      <x:c r="X124" s="14" t="str">
        <x:f>IF(ABS(W124-SUM(M124:Q124)-V124)&lt;0.01,"OK","Check")</x:f>
        <x:v>OK</x:v>
      </x:c>
    </x:row>
    <x:row r="125">
      <x:c r="A125" s="14" t="n">
        <x:v>2026</x:v>
      </x:c>
      <x:c r="B125" s="14" t="str">
        <x:v>Q4</x:v>
      </x:c>
      <x:c r="C125" s="14" t="n">
        <x:v>4</x:v>
      </x:c>
      <x:c r="D125" s="14" t="n">
        <x:v>30</x:v>
      </x:c>
      <x:c r="E125" s="14" t="str">
        <x:f>INDEX(Roster!$B$6:$B$108,MATCH(D125,Roster!$A$6:$A$108,0))</x:f>
      </x:c>
      <x:c r="F125" s="14" t="str">
        <x:f>INDEX(Roster!$F$6:$F$108,MATCH(D125,Roster!$A$6:$A$108,0))</x:f>
        <x:v>No</x:v>
      </x:c>
      <x:c r="G125" s="14" t="n">
        <x:f>INDEX(Inputs!$B$7:$D$7,1,MATCH(A125,Inputs!$B$6:$D$6,0))</x:f>
        <x:v>13</x:v>
      </x:c>
      <x:c r="H125" s="14" t="n">
        <x:f>MIN(=INDEX(Inputs!$B$7:$D$7,1,MATCH(A125,Inputs!$B$6:$D$6,0)),MAX(0,INDEX(Inputs!$B$14:$D$14,1,MATCH(A125,Inputs!$B$6:$D$6,0))-(C125-1)*=INDEX(Inputs!$B$7:$D$7,1,MATCH(A125,Inputs!$B$6:$D$6,0))))</x:f>
        <x:v>0</x:v>
      </x:c>
      <x:c r="I125" s="20" t="n">
        <x:f>INDEX(Inputs!$B$8:$D$8,1,MATCH(A125,Inputs!$B$6:$D$6,0))</x:f>
        <x:v>2395</x:v>
      </x:c>
      <x:c r="J125" s="20" t="n">
        <x:f>INDEX(Roster!$C$6:$C$108,MATCH(D125,Roster!$A$6:$A$108,0))*(1+INDEX(Inputs!$B$9:$D$9,1,MATCH(A125,Inputs!$B$6:$D$6,0)))</x:f>
        <x:v>60</x:v>
      </x:c>
      <x:c r="K125" s="20" t="n">
        <x:f>IF(=INDEX(Roster!$F$6:$F$108,MATCH(D125,Roster!$A$6:$A$108,0))="Yes",0,=INDEX(Inputs!$B$8:$D$8,1,MATCH(A125,Inputs!$B$6:$D$6,0))*IF(=INDEX(Roster!$B$6:$B$108,MATCH(D125,Roster!$A$6:$A$108,0))="Principal",INDEX(Inputs!$B$10:$D$10,1,MATCH(A125,Inputs!$B$6:$D$6,0)),IF(=INDEX(Roster!$B$6:$B$108,MATCH(D125,Roster!$A$6:$A$108,0))="Associate Principal",INDEX(Inputs!$B$11:$D$11,1,MATCH(A125,Inputs!$B$6:$D$6,0)),IF(=INDEX(Roster!$B$6:$B$108,MATCH(D125,Roster!$A$6:$A$108,0))="Assistant Principal",INDEX(Inputs!$B$12:$D$12,1,MATCH(A125,Inputs!$B$6:$D$6,0)),0))))</x:f>
        <x:v>0</x:v>
      </x:c>
      <x:c r="L125" s="20" t="n">
        <x:f>IF(INDEX(Roster!$D$6:$D$108,MATCH(D125,Roster!$A$6:$A$108,0))&gt;=25,INDEX(Inputs!$B$19:$D$19,1,MATCH(A125,Inputs!$B$6:$D$6,0)),IF(INDEX(Roster!$D$6:$D$108,MATCH(D125,Roster!$A$6:$A$108,0))&gt;=20,INDEX(Inputs!$B$18:$D$18,1,MATCH(A125,Inputs!$B$6:$D$6,0)),IF(INDEX(Roster!$D$6:$D$108,MATCH(D125,Roster!$A$6:$A$108,0))&gt;=15,INDEX(Inputs!$B$17:$D$17,1,MATCH(A125,Inputs!$B$6:$D$6,0)),IF(INDEX(Roster!$D$6:$D$108,MATCH(D125,Roster!$A$6:$A$108,0))&gt;=10,INDEX(Inputs!$B$16:$D$16,1,MATCH(A125,Inputs!$B$6:$D$6,0)),IF(INDEX(Roster!$D$6:$D$108,MATCH(D125,Roster!$A$6:$A$108,0))&gt;=5,INDEX(Inputs!$B$15:$D$15,1,MATCH(A125,Inputs!$B$6:$D$6,0)),0)))))</x:f>
        <x:v>80</x:v>
      </x:c>
      <x:c r="M125" s="20" t="n">
        <x:f>G125*I125</x:f>
        <x:v>31135</x:v>
      </x:c>
      <x:c r="N125" s="20" t="n">
        <x:f>G125*J125</x:f>
        <x:v>780</x:v>
      </x:c>
      <x:c r="O125" s="20" t="n">
        <x:f>G125*K125</x:f>
        <x:v>0</x:v>
      </x:c>
      <x:c r="P125" s="20" t="n">
        <x:f>G125*L125</x:f>
        <x:v>1040</x:v>
      </x:c>
      <x:c r="Q125" s="20" t="n">
        <x:f>H125*INDEX(Inputs!$B$13:$D$13,1,MATCH(A125,Inputs!$B$6:$D$6,0))</x:f>
        <x:v>0</x:v>
      </x:c>
      <x:c r="R125" s="20" t="n">
        <x:f>SUM(M125:Q125)</x:f>
        <x:v>32955</x:v>
      </x:c>
      <x:c r="S125" s="20" t="n">
        <x:f>IF(AND(A124=A125,D124=D125),S124+R125,R125)</x:f>
        <x:v>132990</x:v>
      </x:c>
      <x:c r="T125" s="20" t="n">
        <x:f>MIN(S125,INDEX(Inputs!$B$20:$D$20,1,MATCH(A125,Inputs!$B$6:$D$6,0)))*INDEX(Inputs!$B$22:$D$22,1,MATCH(A125,Inputs!$B$6:$D$6,0))+MAX(MIN(S125,INDEX(Inputs!$B$21:$D$21,1,MATCH(A125,Inputs!$B$6:$D$6,0)))-INDEX(Inputs!$B$20:$D$20,1,MATCH(A125,Inputs!$B$6:$D$6,0)),0)*INDEX(Inputs!$B$23:$D$23,1,MATCH(A125,Inputs!$B$6:$D$6,0))+MAX(S125-INDEX(Inputs!$B$21:$D$21,1,MATCH(A125,Inputs!$B$6:$D$6,0)),0)*INDEX(Inputs!$B$24:$D$24,1,MATCH(A125,Inputs!$B$6:$D$6,0))</x:f>
        <x:v>9842.297</x:v>
      </x:c>
      <x:c r="U125" s="20" t="n">
        <x:f>IF(AND(A124=A125,D124=D125),T124,0)</x:f>
        <x:v>8142.6775</x:v>
      </x:c>
      <x:c r="V125" s="20" t="n">
        <x:f>T125-U125</x:f>
        <x:v>1699.6195000000007</x:v>
      </x:c>
      <x:c r="W125" s="20" t="n">
        <x:f>R125+V125</x:f>
        <x:v>34654.6195</x:v>
      </x:c>
      <x:c r="X125" s="14" t="str">
        <x:f>IF(ABS(W125-SUM(M125:Q125)-V125)&lt;0.01,"OK","Check")</x:f>
        <x:v>OK</x:v>
      </x:c>
    </x:row>
    <x:row r="126">
      <x:c r="A126" s="14" t="n">
        <x:v>2026</x:v>
      </x:c>
      <x:c r="B126" s="14" t="str">
        <x:v>Q1</x:v>
      </x:c>
      <x:c r="C126" s="14" t="n">
        <x:v>1</x:v>
      </x:c>
      <x:c r="D126" s="14" t="n">
        <x:v>31</x:v>
      </x:c>
      <x:c r="E126" s="14" t="str">
        <x:f>INDEX(Roster!$B$6:$B$108,MATCH(D126,Roster!$A$6:$A$108,0))</x:f>
        <x:v>Associate Principal</x:v>
      </x:c>
      <x:c r="F126" s="14" t="str">
        <x:f>INDEX(Roster!$F$6:$F$108,MATCH(D126,Roster!$A$6:$A$108,0))</x:f>
        <x:v>Yes</x:v>
      </x:c>
      <x:c r="G126" s="14" t="n">
        <x:f>INDEX(Inputs!$B$7:$D$7,1,MATCH(A126,Inputs!$B$6:$D$6,0))</x:f>
        <x:v>13</x:v>
      </x:c>
      <x:c r="H126" s="14" t="n">
        <x:f>MIN(=INDEX(Inputs!$B$7:$D$7,1,MATCH(A126,Inputs!$B$6:$D$6,0)),MAX(0,INDEX(Inputs!$B$14:$D$14,1,MATCH(A126,Inputs!$B$6:$D$6,0))-(C126-1)*=INDEX(Inputs!$B$7:$D$7,1,MATCH(A126,Inputs!$B$6:$D$6,0))))</x:f>
        <x:v>13</x:v>
      </x:c>
      <x:c r="I126" s="20" t="n">
        <x:f>INDEX(Inputs!$B$8:$D$8,1,MATCH(A126,Inputs!$B$6:$D$6,0))</x:f>
        <x:v>2395</x:v>
      </x:c>
      <x:c r="J126" s="20" t="n">
        <x:f>INDEX(Roster!$C$6:$C$108,MATCH(D126,Roster!$A$6:$A$108,0))*(1+INDEX(Inputs!$B$9:$D$9,1,MATCH(A126,Inputs!$B$6:$D$6,0)))</x:f>
        <x:v>775</x:v>
      </x:c>
      <x:c r="K126" s="20" t="n">
        <x:f>IF(=INDEX(Roster!$F$6:$F$108,MATCH(D126,Roster!$A$6:$A$108,0))="Yes",0,=INDEX(Inputs!$B$8:$D$8,1,MATCH(A126,Inputs!$B$6:$D$6,0))*IF(=INDEX(Roster!$B$6:$B$108,MATCH(D126,Roster!$A$6:$A$108,0))="Principal",INDEX(Inputs!$B$10:$D$10,1,MATCH(A126,Inputs!$B$6:$D$6,0)),IF(=INDEX(Roster!$B$6:$B$108,MATCH(D126,Roster!$A$6:$A$108,0))="Associate Principal",INDEX(Inputs!$B$11:$D$11,1,MATCH(A126,Inputs!$B$6:$D$6,0)),IF(=INDEX(Roster!$B$6:$B$108,MATCH(D126,Roster!$A$6:$A$108,0))="Assistant Principal",INDEX(Inputs!$B$12:$D$12,1,MATCH(A126,Inputs!$B$6:$D$6,0)),0))))</x:f>
        <x:v>0</x:v>
      </x:c>
      <x:c r="L126" s="20" t="n">
        <x:f>IF(INDEX(Roster!$D$6:$D$108,MATCH(D126,Roster!$A$6:$A$108,0))&gt;=25,INDEX(Inputs!$B$19:$D$19,1,MATCH(A126,Inputs!$B$6:$D$6,0)),IF(INDEX(Roster!$D$6:$D$108,MATCH(D126,Roster!$A$6:$A$108,0))&gt;=20,INDEX(Inputs!$B$18:$D$18,1,MATCH(A126,Inputs!$B$6:$D$6,0)),IF(INDEX(Roster!$D$6:$D$108,MATCH(D126,Roster!$A$6:$A$108,0))&gt;=15,INDEX(Inputs!$B$17:$D$17,1,MATCH(A126,Inputs!$B$6:$D$6,0)),IF(INDEX(Roster!$D$6:$D$108,MATCH(D126,Roster!$A$6:$A$108,0))&gt;=10,INDEX(Inputs!$B$16:$D$16,1,MATCH(A126,Inputs!$B$6:$D$6,0)),IF(INDEX(Roster!$D$6:$D$108,MATCH(D126,Roster!$A$6:$A$108,0))&gt;=5,INDEX(Inputs!$B$15:$D$15,1,MATCH(A126,Inputs!$B$6:$D$6,0)),0)))))</x:f>
        <x:v>0</x:v>
      </x:c>
      <x:c r="M126" s="20" t="n">
        <x:f>G126*I126</x:f>
        <x:v>31135</x:v>
      </x:c>
      <x:c r="N126" s="20" t="n">
        <x:f>G126*J126</x:f>
        <x:v>10075</x:v>
      </x:c>
      <x:c r="O126" s="20" t="n">
        <x:f>G126*K126</x:f>
        <x:v>0</x:v>
      </x:c>
      <x:c r="P126" s="20" t="n">
        <x:f>G126*L126</x:f>
        <x:v>0</x:v>
      </x:c>
      <x:c r="Q126" s="20" t="n">
        <x:f>H126*INDEX(Inputs!$B$13:$D$13,1,MATCH(A126,Inputs!$B$6:$D$6,0))</x:f>
        <x:v>390</x:v>
      </x:c>
      <x:c r="R126" s="20" t="n">
        <x:f>SUM(M126:Q126)</x:f>
        <x:v>41600</x:v>
      </x:c>
      <x:c r="S126" s="20" t="n">
        <x:f>IF(AND(A125=A126,D125=D126),S125+R126,R126)</x:f>
        <x:v>41600</x:v>
      </x:c>
      <x:c r="T126" s="20" t="n">
        <x:f>MIN(S126,INDEX(Inputs!$B$20:$D$20,1,MATCH(A126,Inputs!$B$6:$D$6,0)))*INDEX(Inputs!$B$22:$D$22,1,MATCH(A126,Inputs!$B$6:$D$6,0))+MAX(MIN(S126,INDEX(Inputs!$B$21:$D$21,1,MATCH(A126,Inputs!$B$6:$D$6,0)))-INDEX(Inputs!$B$20:$D$20,1,MATCH(A126,Inputs!$B$6:$D$6,0)),0)*INDEX(Inputs!$B$23:$D$23,1,MATCH(A126,Inputs!$B$6:$D$6,0))+MAX(S126-INDEX(Inputs!$B$21:$D$21,1,MATCH(A126,Inputs!$B$6:$D$6,0)),0)*INDEX(Inputs!$B$24:$D$24,1,MATCH(A126,Inputs!$B$6:$D$6,0))</x:f>
        <x:v>3672.4</x:v>
      </x:c>
      <x:c r="U126" s="20" t="n">
        <x:f>IF(AND(A125=A126,D125=D126),T125,0)</x:f>
        <x:v>0</x:v>
      </x:c>
      <x:c r="V126" s="20" t="n">
        <x:f>T126-U126</x:f>
        <x:v>3672.4</x:v>
      </x:c>
      <x:c r="W126" s="20" t="n">
        <x:f>R126+V126</x:f>
        <x:v>45272.4</x:v>
      </x:c>
      <x:c r="X126" s="14" t="str">
        <x:f>IF(ABS(W126-SUM(M126:Q126)-V126)&lt;0.01,"OK","Check")</x:f>
        <x:v>OK</x:v>
      </x:c>
    </x:row>
    <x:row r="127">
      <x:c r="A127" s="14" t="n">
        <x:v>2026</x:v>
      </x:c>
      <x:c r="B127" s="14" t="str">
        <x:v>Q2</x:v>
      </x:c>
      <x:c r="C127" s="14" t="n">
        <x:v>2</x:v>
      </x:c>
      <x:c r="D127" s="14" t="n">
        <x:v>31</x:v>
      </x:c>
      <x:c r="E127" s="14" t="str">
        <x:f>INDEX(Roster!$B$6:$B$108,MATCH(D127,Roster!$A$6:$A$108,0))</x:f>
        <x:v>Associate Principal</x:v>
      </x:c>
      <x:c r="F127" s="14" t="str">
        <x:f>INDEX(Roster!$F$6:$F$108,MATCH(D127,Roster!$A$6:$A$108,0))</x:f>
        <x:v>Yes</x:v>
      </x:c>
      <x:c r="G127" s="14" t="n">
        <x:f>INDEX(Inputs!$B$7:$D$7,1,MATCH(A127,Inputs!$B$6:$D$6,0))</x:f>
        <x:v>13</x:v>
      </x:c>
      <x:c r="H127" s="14" t="n">
        <x:f>MIN(=INDEX(Inputs!$B$7:$D$7,1,MATCH(A127,Inputs!$B$6:$D$6,0)),MAX(0,INDEX(Inputs!$B$14:$D$14,1,MATCH(A127,Inputs!$B$6:$D$6,0))-(C127-1)*=INDEX(Inputs!$B$7:$D$7,1,MATCH(A127,Inputs!$B$6:$D$6,0))))</x:f>
        <x:v>13</x:v>
      </x:c>
      <x:c r="I127" s="20" t="n">
        <x:f>INDEX(Inputs!$B$8:$D$8,1,MATCH(A127,Inputs!$B$6:$D$6,0))</x:f>
        <x:v>2395</x:v>
      </x:c>
      <x:c r="J127" s="20" t="n">
        <x:f>INDEX(Roster!$C$6:$C$108,MATCH(D127,Roster!$A$6:$A$108,0))*(1+INDEX(Inputs!$B$9:$D$9,1,MATCH(A127,Inputs!$B$6:$D$6,0)))</x:f>
        <x:v>775</x:v>
      </x:c>
      <x:c r="K127" s="20" t="n">
        <x:f>IF(=INDEX(Roster!$F$6:$F$108,MATCH(D127,Roster!$A$6:$A$108,0))="Yes",0,=INDEX(Inputs!$B$8:$D$8,1,MATCH(A127,Inputs!$B$6:$D$6,0))*IF(=INDEX(Roster!$B$6:$B$108,MATCH(D127,Roster!$A$6:$A$108,0))="Principal",INDEX(Inputs!$B$10:$D$10,1,MATCH(A127,Inputs!$B$6:$D$6,0)),IF(=INDEX(Roster!$B$6:$B$108,MATCH(D127,Roster!$A$6:$A$108,0))="Associate Principal",INDEX(Inputs!$B$11:$D$11,1,MATCH(A127,Inputs!$B$6:$D$6,0)),IF(=INDEX(Roster!$B$6:$B$108,MATCH(D127,Roster!$A$6:$A$108,0))="Assistant Principal",INDEX(Inputs!$B$12:$D$12,1,MATCH(A127,Inputs!$B$6:$D$6,0)),0))))</x:f>
        <x:v>0</x:v>
      </x:c>
      <x:c r="L127" s="20" t="n">
        <x:f>IF(INDEX(Roster!$D$6:$D$108,MATCH(D127,Roster!$A$6:$A$108,0))&gt;=25,INDEX(Inputs!$B$19:$D$19,1,MATCH(A127,Inputs!$B$6:$D$6,0)),IF(INDEX(Roster!$D$6:$D$108,MATCH(D127,Roster!$A$6:$A$108,0))&gt;=20,INDEX(Inputs!$B$18:$D$18,1,MATCH(A127,Inputs!$B$6:$D$6,0)),IF(INDEX(Roster!$D$6:$D$108,MATCH(D127,Roster!$A$6:$A$108,0))&gt;=15,INDEX(Inputs!$B$17:$D$17,1,MATCH(A127,Inputs!$B$6:$D$6,0)),IF(INDEX(Roster!$D$6:$D$108,MATCH(D127,Roster!$A$6:$A$108,0))&gt;=10,INDEX(Inputs!$B$16:$D$16,1,MATCH(A127,Inputs!$B$6:$D$6,0)),IF(INDEX(Roster!$D$6:$D$108,MATCH(D127,Roster!$A$6:$A$108,0))&gt;=5,INDEX(Inputs!$B$15:$D$15,1,MATCH(A127,Inputs!$B$6:$D$6,0)),0)))))</x:f>
        <x:v>0</x:v>
      </x:c>
      <x:c r="M127" s="20" t="n">
        <x:f>G127*I127</x:f>
        <x:v>31135</x:v>
      </x:c>
      <x:c r="N127" s="20" t="n">
        <x:f>G127*J127</x:f>
        <x:v>10075</x:v>
      </x:c>
      <x:c r="O127" s="20" t="n">
        <x:f>G127*K127</x:f>
        <x:v>0</x:v>
      </x:c>
      <x:c r="P127" s="20" t="n">
        <x:f>G127*L127</x:f>
        <x:v>0</x:v>
      </x:c>
      <x:c r="Q127" s="20" t="n">
        <x:f>H127*INDEX(Inputs!$B$13:$D$13,1,MATCH(A127,Inputs!$B$6:$D$6,0))</x:f>
        <x:v>390</x:v>
      </x:c>
      <x:c r="R127" s="20" t="n">
        <x:f>SUM(M127:Q127)</x:f>
        <x:v>41600</x:v>
      </x:c>
      <x:c r="S127" s="20" t="n">
        <x:f>IF(AND(A126=A127,D126=D127),S126+R127,R127)</x:f>
        <x:v>83200</x:v>
      </x:c>
      <x:c r="T127" s="20" t="n">
        <x:f>MIN(S127,INDEX(Inputs!$B$20:$D$20,1,MATCH(A127,Inputs!$B$6:$D$6,0)))*INDEX(Inputs!$B$22:$D$22,1,MATCH(A127,Inputs!$B$6:$D$6,0))+MAX(MIN(S127,INDEX(Inputs!$B$21:$D$21,1,MATCH(A127,Inputs!$B$6:$D$6,0)))-INDEX(Inputs!$B$20:$D$20,1,MATCH(A127,Inputs!$B$6:$D$6,0)),0)*INDEX(Inputs!$B$23:$D$23,1,MATCH(A127,Inputs!$B$6:$D$6,0))+MAX(S127-INDEX(Inputs!$B$21:$D$21,1,MATCH(A127,Inputs!$B$6:$D$6,0)),0)*INDEX(Inputs!$B$24:$D$24,1,MATCH(A127,Inputs!$B$6:$D$6,0))</x:f>
        <x:v>6854.8</x:v>
      </x:c>
      <x:c r="U127" s="20" t="n">
        <x:f>IF(AND(A126=A127,D126=D127),T126,0)</x:f>
        <x:v>3672.4</x:v>
      </x:c>
      <x:c r="V127" s="20" t="n">
        <x:f>T127-U127</x:f>
        <x:v>3182.4</x:v>
      </x:c>
      <x:c r="W127" s="20" t="n">
        <x:f>R127+V127</x:f>
        <x:v>44782.4</x:v>
      </x:c>
      <x:c r="X127" s="14" t="str">
        <x:f>IF(ABS(W127-SUM(M127:Q127)-V127)&lt;0.01,"OK","Check")</x:f>
        <x:v>OK</x:v>
      </x:c>
    </x:row>
    <x:row r="128">
      <x:c r="A128" s="14" t="n">
        <x:v>2026</x:v>
      </x:c>
      <x:c r="B128" s="14" t="str">
        <x:v>Q3</x:v>
      </x:c>
      <x:c r="C128" s="14" t="n">
        <x:v>3</x:v>
      </x:c>
      <x:c r="D128" s="14" t="n">
        <x:v>31</x:v>
      </x:c>
      <x:c r="E128" s="14" t="str">
        <x:f>INDEX(Roster!$B$6:$B$108,MATCH(D128,Roster!$A$6:$A$108,0))</x:f>
        <x:v>Associate Principal</x:v>
      </x:c>
      <x:c r="F128" s="14" t="str">
        <x:f>INDEX(Roster!$F$6:$F$108,MATCH(D128,Roster!$A$6:$A$108,0))</x:f>
        <x:v>Yes</x:v>
      </x:c>
      <x:c r="G128" s="14" t="n">
        <x:f>INDEX(Inputs!$B$7:$D$7,1,MATCH(A128,Inputs!$B$6:$D$6,0))</x:f>
        <x:v>13</x:v>
      </x:c>
      <x:c r="H128" s="14" t="n">
        <x:f>MIN(=INDEX(Inputs!$B$7:$D$7,1,MATCH(A128,Inputs!$B$6:$D$6,0)),MAX(0,INDEX(Inputs!$B$14:$D$14,1,MATCH(A128,Inputs!$B$6:$D$6,0))-(C128-1)*=INDEX(Inputs!$B$7:$D$7,1,MATCH(A128,Inputs!$B$6:$D$6,0))))</x:f>
        <x:v>13</x:v>
      </x:c>
      <x:c r="I128" s="20" t="n">
        <x:f>INDEX(Inputs!$B$8:$D$8,1,MATCH(A128,Inputs!$B$6:$D$6,0))</x:f>
        <x:v>2395</x:v>
      </x:c>
      <x:c r="J128" s="20" t="n">
        <x:f>INDEX(Roster!$C$6:$C$108,MATCH(D128,Roster!$A$6:$A$108,0))*(1+INDEX(Inputs!$B$9:$D$9,1,MATCH(A128,Inputs!$B$6:$D$6,0)))</x:f>
        <x:v>775</x:v>
      </x:c>
      <x:c r="K128" s="20" t="n">
        <x:f>IF(=INDEX(Roster!$F$6:$F$108,MATCH(D128,Roster!$A$6:$A$108,0))="Yes",0,=INDEX(Inputs!$B$8:$D$8,1,MATCH(A128,Inputs!$B$6:$D$6,0))*IF(=INDEX(Roster!$B$6:$B$108,MATCH(D128,Roster!$A$6:$A$108,0))="Principal",INDEX(Inputs!$B$10:$D$10,1,MATCH(A128,Inputs!$B$6:$D$6,0)),IF(=INDEX(Roster!$B$6:$B$108,MATCH(D128,Roster!$A$6:$A$108,0))="Associate Principal",INDEX(Inputs!$B$11:$D$11,1,MATCH(A128,Inputs!$B$6:$D$6,0)),IF(=INDEX(Roster!$B$6:$B$108,MATCH(D128,Roster!$A$6:$A$108,0))="Assistant Principal",INDEX(Inputs!$B$12:$D$12,1,MATCH(A128,Inputs!$B$6:$D$6,0)),0))))</x:f>
        <x:v>0</x:v>
      </x:c>
      <x:c r="L128" s="20" t="n">
        <x:f>IF(INDEX(Roster!$D$6:$D$108,MATCH(D128,Roster!$A$6:$A$108,0))&gt;=25,INDEX(Inputs!$B$19:$D$19,1,MATCH(A128,Inputs!$B$6:$D$6,0)),IF(INDEX(Roster!$D$6:$D$108,MATCH(D128,Roster!$A$6:$A$108,0))&gt;=20,INDEX(Inputs!$B$18:$D$18,1,MATCH(A128,Inputs!$B$6:$D$6,0)),IF(INDEX(Roster!$D$6:$D$108,MATCH(D128,Roster!$A$6:$A$108,0))&gt;=15,INDEX(Inputs!$B$17:$D$17,1,MATCH(A128,Inputs!$B$6:$D$6,0)),IF(INDEX(Roster!$D$6:$D$108,MATCH(D128,Roster!$A$6:$A$108,0))&gt;=10,INDEX(Inputs!$B$16:$D$16,1,MATCH(A128,Inputs!$B$6:$D$6,0)),IF(INDEX(Roster!$D$6:$D$108,MATCH(D128,Roster!$A$6:$A$108,0))&gt;=5,INDEX(Inputs!$B$15:$D$15,1,MATCH(A128,Inputs!$B$6:$D$6,0)),0)))))</x:f>
        <x:v>0</x:v>
      </x:c>
      <x:c r="M128" s="20" t="n">
        <x:f>G128*I128</x:f>
        <x:v>31135</x:v>
      </x:c>
      <x:c r="N128" s="20" t="n">
        <x:f>G128*J128</x:f>
        <x:v>10075</x:v>
      </x:c>
      <x:c r="O128" s="20" t="n">
        <x:f>G128*K128</x:f>
        <x:v>0</x:v>
      </x:c>
      <x:c r="P128" s="20" t="n">
        <x:f>G128*L128</x:f>
        <x:v>0</x:v>
      </x:c>
      <x:c r="Q128" s="20" t="n">
        <x:f>H128*INDEX(Inputs!$B$13:$D$13,1,MATCH(A128,Inputs!$B$6:$D$6,0))</x:f>
        <x:v>390</x:v>
      </x:c>
      <x:c r="R128" s="20" t="n">
        <x:f>SUM(M128:Q128)</x:f>
        <x:v>41600</x:v>
      </x:c>
      <x:c r="S128" s="20" t="n">
        <x:f>IF(AND(A127=A128,D127=D128),S127+R128,R128)</x:f>
        <x:v>124800</x:v>
      </x:c>
      <x:c r="T128" s="20" t="n">
        <x:f>MIN(S128,INDEX(Inputs!$B$20:$D$20,1,MATCH(A128,Inputs!$B$6:$D$6,0)))*INDEX(Inputs!$B$22:$D$22,1,MATCH(A128,Inputs!$B$6:$D$6,0))+MAX(MIN(S128,INDEX(Inputs!$B$21:$D$21,1,MATCH(A128,Inputs!$B$6:$D$6,0)))-INDEX(Inputs!$B$20:$D$20,1,MATCH(A128,Inputs!$B$6:$D$6,0)),0)*INDEX(Inputs!$B$23:$D$23,1,MATCH(A128,Inputs!$B$6:$D$6,0))+MAX(S128-INDEX(Inputs!$B$21:$D$21,1,MATCH(A128,Inputs!$B$6:$D$6,0)),0)*INDEX(Inputs!$B$24:$D$24,1,MATCH(A128,Inputs!$B$6:$D$6,0))</x:f>
        <x:v>9723.542</x:v>
      </x:c>
      <x:c r="U128" s="20" t="n">
        <x:f>IF(AND(A127=A128,D127=D128),T127,0)</x:f>
        <x:v>6854.8</x:v>
      </x:c>
      <x:c r="V128" s="20" t="n">
        <x:f>T128-U128</x:f>
        <x:v>2868.7419999999993</x:v>
      </x:c>
      <x:c r="W128" s="20" t="n">
        <x:f>R128+V128</x:f>
        <x:v>44468.742</x:v>
      </x:c>
      <x:c r="X128" s="14" t="str">
        <x:f>IF(ABS(W128-SUM(M128:Q128)-V128)&lt;0.01,"OK","Check")</x:f>
        <x:v>OK</x:v>
      </x:c>
    </x:row>
    <x:row r="129">
      <x:c r="A129" s="14" t="n">
        <x:v>2026</x:v>
      </x:c>
      <x:c r="B129" s="14" t="str">
        <x:v>Q4</x:v>
      </x:c>
      <x:c r="C129" s="14" t="n">
        <x:v>4</x:v>
      </x:c>
      <x:c r="D129" s="14" t="n">
        <x:v>31</x:v>
      </x:c>
      <x:c r="E129" s="14" t="str">
        <x:f>INDEX(Roster!$B$6:$B$108,MATCH(D129,Roster!$A$6:$A$108,0))</x:f>
        <x:v>Associate Principal</x:v>
      </x:c>
      <x:c r="F129" s="14" t="str">
        <x:f>INDEX(Roster!$F$6:$F$108,MATCH(D129,Roster!$A$6:$A$108,0))</x:f>
        <x:v>Yes</x:v>
      </x:c>
      <x:c r="G129" s="14" t="n">
        <x:f>INDEX(Inputs!$B$7:$D$7,1,MATCH(A129,Inputs!$B$6:$D$6,0))</x:f>
        <x:v>13</x:v>
      </x:c>
      <x:c r="H129" s="14" t="n">
        <x:f>MIN(=INDEX(Inputs!$B$7:$D$7,1,MATCH(A129,Inputs!$B$6:$D$6,0)),MAX(0,INDEX(Inputs!$B$14:$D$14,1,MATCH(A129,Inputs!$B$6:$D$6,0))-(C129-1)*=INDEX(Inputs!$B$7:$D$7,1,MATCH(A129,Inputs!$B$6:$D$6,0))))</x:f>
        <x:v>0</x:v>
      </x:c>
      <x:c r="I129" s="20" t="n">
        <x:f>INDEX(Inputs!$B$8:$D$8,1,MATCH(A129,Inputs!$B$6:$D$6,0))</x:f>
        <x:v>2395</x:v>
      </x:c>
      <x:c r="J129" s="20" t="n">
        <x:f>INDEX(Roster!$C$6:$C$108,MATCH(D129,Roster!$A$6:$A$108,0))*(1+INDEX(Inputs!$B$9:$D$9,1,MATCH(A129,Inputs!$B$6:$D$6,0)))</x:f>
        <x:v>775</x:v>
      </x:c>
      <x:c r="K129" s="20" t="n">
        <x:f>IF(=INDEX(Roster!$F$6:$F$108,MATCH(D129,Roster!$A$6:$A$108,0))="Yes",0,=INDEX(Inputs!$B$8:$D$8,1,MATCH(A129,Inputs!$B$6:$D$6,0))*IF(=INDEX(Roster!$B$6:$B$108,MATCH(D129,Roster!$A$6:$A$108,0))="Principal",INDEX(Inputs!$B$10:$D$10,1,MATCH(A129,Inputs!$B$6:$D$6,0)),IF(=INDEX(Roster!$B$6:$B$108,MATCH(D129,Roster!$A$6:$A$108,0))="Associate Principal",INDEX(Inputs!$B$11:$D$11,1,MATCH(A129,Inputs!$B$6:$D$6,0)),IF(=INDEX(Roster!$B$6:$B$108,MATCH(D129,Roster!$A$6:$A$108,0))="Assistant Principal",INDEX(Inputs!$B$12:$D$12,1,MATCH(A129,Inputs!$B$6:$D$6,0)),0))))</x:f>
        <x:v>0</x:v>
      </x:c>
      <x:c r="L129" s="20" t="n">
        <x:f>IF(INDEX(Roster!$D$6:$D$108,MATCH(D129,Roster!$A$6:$A$108,0))&gt;=25,INDEX(Inputs!$B$19:$D$19,1,MATCH(A129,Inputs!$B$6:$D$6,0)),IF(INDEX(Roster!$D$6:$D$108,MATCH(D129,Roster!$A$6:$A$108,0))&gt;=20,INDEX(Inputs!$B$18:$D$18,1,MATCH(A129,Inputs!$B$6:$D$6,0)),IF(INDEX(Roster!$D$6:$D$108,MATCH(D129,Roster!$A$6:$A$108,0))&gt;=15,INDEX(Inputs!$B$17:$D$17,1,MATCH(A129,Inputs!$B$6:$D$6,0)),IF(INDEX(Roster!$D$6:$D$108,MATCH(D129,Roster!$A$6:$A$108,0))&gt;=10,INDEX(Inputs!$B$16:$D$16,1,MATCH(A129,Inputs!$B$6:$D$6,0)),IF(INDEX(Roster!$D$6:$D$108,MATCH(D129,Roster!$A$6:$A$108,0))&gt;=5,INDEX(Inputs!$B$15:$D$15,1,MATCH(A129,Inputs!$B$6:$D$6,0)),0)))))</x:f>
        <x:v>0</x:v>
      </x:c>
      <x:c r="M129" s="20" t="n">
        <x:f>G129*I129</x:f>
        <x:v>31135</x:v>
      </x:c>
      <x:c r="N129" s="20" t="n">
        <x:f>G129*J129</x:f>
        <x:v>10075</x:v>
      </x:c>
      <x:c r="O129" s="20" t="n">
        <x:f>G129*K129</x:f>
        <x:v>0</x:v>
      </x:c>
      <x:c r="P129" s="20" t="n">
        <x:f>G129*L129</x:f>
        <x:v>0</x:v>
      </x:c>
      <x:c r="Q129" s="20" t="n">
        <x:f>H129*INDEX(Inputs!$B$13:$D$13,1,MATCH(A129,Inputs!$B$6:$D$6,0))</x:f>
        <x:v>0</x:v>
      </x:c>
      <x:c r="R129" s="20" t="n">
        <x:f>SUM(M129:Q129)</x:f>
        <x:v>41210</x:v>
      </x:c>
      <x:c r="S129" s="20" t="n">
        <x:f>IF(AND(A128=A129,D128=D129),S128+R129,R129)</x:f>
        <x:v>166010</x:v>
      </x:c>
      <x:c r="T129" s="20" t="n">
        <x:f>MIN(S129,INDEX(Inputs!$B$20:$D$20,1,MATCH(A129,Inputs!$B$6:$D$6,0)))*INDEX(Inputs!$B$22:$D$22,1,MATCH(A129,Inputs!$B$6:$D$6,0))+MAX(MIN(S129,INDEX(Inputs!$B$21:$D$21,1,MATCH(A129,Inputs!$B$6:$D$6,0)))-INDEX(Inputs!$B$20:$D$20,1,MATCH(A129,Inputs!$B$6:$D$6,0)),0)*INDEX(Inputs!$B$23:$D$23,1,MATCH(A129,Inputs!$B$6:$D$6,0))+MAX(S129-INDEX(Inputs!$B$21:$D$21,1,MATCH(A129,Inputs!$B$6:$D$6,0)),0)*INDEX(Inputs!$B$24:$D$24,1,MATCH(A129,Inputs!$B$6:$D$6,0))</x:f>
        <x:v>10321.087</x:v>
      </x:c>
      <x:c r="U129" s="20" t="n">
        <x:f>IF(AND(A128=A129,D128=D129),T128,0)</x:f>
        <x:v>9723.542</x:v>
      </x:c>
      <x:c r="V129" s="20" t="n">
        <x:f>T129-U129</x:f>
        <x:v>597.5450000000001</x:v>
      </x:c>
      <x:c r="W129" s="20" t="n">
        <x:f>R129+V129</x:f>
        <x:v>41807.545</x:v>
      </x:c>
      <x:c r="X129" s="14" t="str">
        <x:f>IF(ABS(W129-SUM(M129:Q129)-V129)&lt;0.01,"OK","Check")</x:f>
        <x:v>OK</x:v>
      </x:c>
    </x:row>
    <x:row r="130">
      <x:c r="A130" s="14" t="n">
        <x:v>2026</x:v>
      </x:c>
      <x:c r="B130" s="14" t="str">
        <x:v>Q1</x:v>
      </x:c>
      <x:c r="C130" s="14" t="n">
        <x:v>1</x:v>
      </x:c>
      <x:c r="D130" s="14" t="n">
        <x:v>32</x:v>
      </x:c>
      <x:c r="E130" s="14" t="str">
        <x:f>INDEX(Roster!$B$6:$B$108,MATCH(D130,Roster!$A$6:$A$108,0))</x:f>
      </x:c>
      <x:c r="F130" s="14" t="str">
        <x:f>INDEX(Roster!$F$6:$F$108,MATCH(D130,Roster!$A$6:$A$108,0))</x:f>
        <x:v>No</x:v>
      </x:c>
      <x:c r="G130" s="14" t="n">
        <x:f>INDEX(Inputs!$B$7:$D$7,1,MATCH(A130,Inputs!$B$6:$D$6,0))</x:f>
        <x:v>13</x:v>
      </x:c>
      <x:c r="H130" s="14" t="n">
        <x:f>MIN(=INDEX(Inputs!$B$7:$D$7,1,MATCH(A130,Inputs!$B$6:$D$6,0)),MAX(0,INDEX(Inputs!$B$14:$D$14,1,MATCH(A130,Inputs!$B$6:$D$6,0))-(C130-1)*=INDEX(Inputs!$B$7:$D$7,1,MATCH(A130,Inputs!$B$6:$D$6,0))))</x:f>
        <x:v>13</x:v>
      </x:c>
      <x:c r="I130" s="20" t="n">
        <x:f>INDEX(Inputs!$B$8:$D$8,1,MATCH(A130,Inputs!$B$6:$D$6,0))</x:f>
        <x:v>2395</x:v>
      </x:c>
      <x:c r="J130" s="20" t="n">
        <x:f>INDEX(Roster!$C$6:$C$108,MATCH(D130,Roster!$A$6:$A$108,0))*(1+INDEX(Inputs!$B$9:$D$9,1,MATCH(A130,Inputs!$B$6:$D$6,0)))</x:f>
        <x:v>90</x:v>
      </x:c>
      <x:c r="K130" s="20" t="n">
        <x:f>IF(=INDEX(Roster!$F$6:$F$108,MATCH(D130,Roster!$A$6:$A$108,0))="Yes",0,=INDEX(Inputs!$B$8:$D$8,1,MATCH(A130,Inputs!$B$6:$D$6,0))*IF(=INDEX(Roster!$B$6:$B$108,MATCH(D130,Roster!$A$6:$A$108,0))="Principal",INDEX(Inputs!$B$10:$D$10,1,MATCH(A130,Inputs!$B$6:$D$6,0)),IF(=INDEX(Roster!$B$6:$B$108,MATCH(D130,Roster!$A$6:$A$108,0))="Associate Principal",INDEX(Inputs!$B$11:$D$11,1,MATCH(A130,Inputs!$B$6:$D$6,0)),IF(=INDEX(Roster!$B$6:$B$108,MATCH(D130,Roster!$A$6:$A$108,0))="Assistant Principal",INDEX(Inputs!$B$12:$D$12,1,MATCH(A130,Inputs!$B$6:$D$6,0)),0))))</x:f>
        <x:v>0</x:v>
      </x:c>
      <x:c r="L130" s="20" t="n">
        <x:f>IF(INDEX(Roster!$D$6:$D$108,MATCH(D130,Roster!$A$6:$A$108,0))&gt;=25,INDEX(Inputs!$B$19:$D$19,1,MATCH(A130,Inputs!$B$6:$D$6,0)),IF(INDEX(Roster!$D$6:$D$108,MATCH(D130,Roster!$A$6:$A$108,0))&gt;=20,INDEX(Inputs!$B$18:$D$18,1,MATCH(A130,Inputs!$B$6:$D$6,0)),IF(INDEX(Roster!$D$6:$D$108,MATCH(D130,Roster!$A$6:$A$108,0))&gt;=15,INDEX(Inputs!$B$17:$D$17,1,MATCH(A130,Inputs!$B$6:$D$6,0)),IF(INDEX(Roster!$D$6:$D$108,MATCH(D130,Roster!$A$6:$A$108,0))&gt;=10,INDEX(Inputs!$B$16:$D$16,1,MATCH(A130,Inputs!$B$6:$D$6,0)),IF(INDEX(Roster!$D$6:$D$108,MATCH(D130,Roster!$A$6:$A$108,0))&gt;=5,INDEX(Inputs!$B$15:$D$15,1,MATCH(A130,Inputs!$B$6:$D$6,0)),0)))))</x:f>
        <x:v>80</x:v>
      </x:c>
      <x:c r="M130" s="20" t="n">
        <x:f>G130*I130</x:f>
        <x:v>31135</x:v>
      </x:c>
      <x:c r="N130" s="20" t="n">
        <x:f>G130*J130</x:f>
        <x:v>1170</x:v>
      </x:c>
      <x:c r="O130" s="20" t="n">
        <x:f>G130*K130</x:f>
        <x:v>0</x:v>
      </x:c>
      <x:c r="P130" s="20" t="n">
        <x:f>G130*L130</x:f>
        <x:v>1040</x:v>
      </x:c>
      <x:c r="Q130" s="20" t="n">
        <x:f>H130*INDEX(Inputs!$B$13:$D$13,1,MATCH(A130,Inputs!$B$6:$D$6,0))</x:f>
        <x:v>390</x:v>
      </x:c>
      <x:c r="R130" s="20" t="n">
        <x:f>SUM(M130:Q130)</x:f>
        <x:v>33735</x:v>
      </x:c>
      <x:c r="S130" s="20" t="n">
        <x:f>IF(AND(A129=A130,D129=D130),S129+R130,R130)</x:f>
        <x:v>33735</x:v>
      </x:c>
      <x:c r="T130" s="20" t="n">
        <x:f>MIN(S130,INDEX(Inputs!$B$20:$D$20,1,MATCH(A130,Inputs!$B$6:$D$6,0)))*INDEX(Inputs!$B$22:$D$22,1,MATCH(A130,Inputs!$B$6:$D$6,0))+MAX(MIN(S130,INDEX(Inputs!$B$21:$D$21,1,MATCH(A130,Inputs!$B$6:$D$6,0)))-INDEX(Inputs!$B$20:$D$20,1,MATCH(A130,Inputs!$B$6:$D$6,0)),0)*INDEX(Inputs!$B$23:$D$23,1,MATCH(A130,Inputs!$B$6:$D$6,0))+MAX(S130-INDEX(Inputs!$B$21:$D$21,1,MATCH(A130,Inputs!$B$6:$D$6,0)),0)*INDEX(Inputs!$B$24:$D$24,1,MATCH(A130,Inputs!$B$6:$D$6,0))</x:f>
        <x:v>3070.7275</x:v>
      </x:c>
      <x:c r="U130" s="20" t="n">
        <x:f>IF(AND(A129=A130,D129=D130),T129,0)</x:f>
        <x:v>0</x:v>
      </x:c>
      <x:c r="V130" s="20" t="n">
        <x:f>T130-U130</x:f>
        <x:v>3070.7275</x:v>
      </x:c>
      <x:c r="W130" s="20" t="n">
        <x:f>R130+V130</x:f>
        <x:v>36805.7275</x:v>
      </x:c>
      <x:c r="X130" s="14" t="str">
        <x:f>IF(ABS(W130-SUM(M130:Q130)-V130)&lt;0.01,"OK","Check")</x:f>
        <x:v>OK</x:v>
      </x:c>
    </x:row>
    <x:row r="131">
      <x:c r="A131" s="14" t="n">
        <x:v>2026</x:v>
      </x:c>
      <x:c r="B131" s="14" t="str">
        <x:v>Q2</x:v>
      </x:c>
      <x:c r="C131" s="14" t="n">
        <x:v>2</x:v>
      </x:c>
      <x:c r="D131" s="14" t="n">
        <x:v>32</x:v>
      </x:c>
      <x:c r="E131" s="14" t="str">
        <x:f>INDEX(Roster!$B$6:$B$108,MATCH(D131,Roster!$A$6:$A$108,0))</x:f>
      </x:c>
      <x:c r="F131" s="14" t="str">
        <x:f>INDEX(Roster!$F$6:$F$108,MATCH(D131,Roster!$A$6:$A$108,0))</x:f>
        <x:v>No</x:v>
      </x:c>
      <x:c r="G131" s="14" t="n">
        <x:f>INDEX(Inputs!$B$7:$D$7,1,MATCH(A131,Inputs!$B$6:$D$6,0))</x:f>
        <x:v>13</x:v>
      </x:c>
      <x:c r="H131" s="14" t="n">
        <x:f>MIN(=INDEX(Inputs!$B$7:$D$7,1,MATCH(A131,Inputs!$B$6:$D$6,0)),MAX(0,INDEX(Inputs!$B$14:$D$14,1,MATCH(A131,Inputs!$B$6:$D$6,0))-(C131-1)*=INDEX(Inputs!$B$7:$D$7,1,MATCH(A131,Inputs!$B$6:$D$6,0))))</x:f>
        <x:v>13</x:v>
      </x:c>
      <x:c r="I131" s="20" t="n">
        <x:f>INDEX(Inputs!$B$8:$D$8,1,MATCH(A131,Inputs!$B$6:$D$6,0))</x:f>
        <x:v>2395</x:v>
      </x:c>
      <x:c r="J131" s="20" t="n">
        <x:f>INDEX(Roster!$C$6:$C$108,MATCH(D131,Roster!$A$6:$A$108,0))*(1+INDEX(Inputs!$B$9:$D$9,1,MATCH(A131,Inputs!$B$6:$D$6,0)))</x:f>
        <x:v>90</x:v>
      </x:c>
      <x:c r="K131" s="20" t="n">
        <x:f>IF(=INDEX(Roster!$F$6:$F$108,MATCH(D131,Roster!$A$6:$A$108,0))="Yes",0,=INDEX(Inputs!$B$8:$D$8,1,MATCH(A131,Inputs!$B$6:$D$6,0))*IF(=INDEX(Roster!$B$6:$B$108,MATCH(D131,Roster!$A$6:$A$108,0))="Principal",INDEX(Inputs!$B$10:$D$10,1,MATCH(A131,Inputs!$B$6:$D$6,0)),IF(=INDEX(Roster!$B$6:$B$108,MATCH(D131,Roster!$A$6:$A$108,0))="Associate Principal",INDEX(Inputs!$B$11:$D$11,1,MATCH(A131,Inputs!$B$6:$D$6,0)),IF(=INDEX(Roster!$B$6:$B$108,MATCH(D131,Roster!$A$6:$A$108,0))="Assistant Principal",INDEX(Inputs!$B$12:$D$12,1,MATCH(A131,Inputs!$B$6:$D$6,0)),0))))</x:f>
        <x:v>0</x:v>
      </x:c>
      <x:c r="L131" s="20" t="n">
        <x:f>IF(INDEX(Roster!$D$6:$D$108,MATCH(D131,Roster!$A$6:$A$108,0))&gt;=25,INDEX(Inputs!$B$19:$D$19,1,MATCH(A131,Inputs!$B$6:$D$6,0)),IF(INDEX(Roster!$D$6:$D$108,MATCH(D131,Roster!$A$6:$A$108,0))&gt;=20,INDEX(Inputs!$B$18:$D$18,1,MATCH(A131,Inputs!$B$6:$D$6,0)),IF(INDEX(Roster!$D$6:$D$108,MATCH(D131,Roster!$A$6:$A$108,0))&gt;=15,INDEX(Inputs!$B$17:$D$17,1,MATCH(A131,Inputs!$B$6:$D$6,0)),IF(INDEX(Roster!$D$6:$D$108,MATCH(D131,Roster!$A$6:$A$108,0))&gt;=10,INDEX(Inputs!$B$16:$D$16,1,MATCH(A131,Inputs!$B$6:$D$6,0)),IF(INDEX(Roster!$D$6:$D$108,MATCH(D131,Roster!$A$6:$A$108,0))&gt;=5,INDEX(Inputs!$B$15:$D$15,1,MATCH(A131,Inputs!$B$6:$D$6,0)),0)))))</x:f>
        <x:v>80</x:v>
      </x:c>
      <x:c r="M131" s="20" t="n">
        <x:f>G131*I131</x:f>
        <x:v>31135</x:v>
      </x:c>
      <x:c r="N131" s="20" t="n">
        <x:f>G131*J131</x:f>
        <x:v>1170</x:v>
      </x:c>
      <x:c r="O131" s="20" t="n">
        <x:f>G131*K131</x:f>
        <x:v>0</x:v>
      </x:c>
      <x:c r="P131" s="20" t="n">
        <x:f>G131*L131</x:f>
        <x:v>1040</x:v>
      </x:c>
      <x:c r="Q131" s="20" t="n">
        <x:f>H131*INDEX(Inputs!$B$13:$D$13,1,MATCH(A131,Inputs!$B$6:$D$6,0))</x:f>
        <x:v>390</x:v>
      </x:c>
      <x:c r="R131" s="20" t="n">
        <x:f>SUM(M131:Q131)</x:f>
        <x:v>33735</x:v>
      </x:c>
      <x:c r="S131" s="20" t="n">
        <x:f>IF(AND(A130=A131,D130=D131),S130+R131,R131)</x:f>
        <x:v>67470</x:v>
      </x:c>
      <x:c r="T131" s="20" t="n">
        <x:f>MIN(S131,INDEX(Inputs!$B$20:$D$20,1,MATCH(A131,Inputs!$B$6:$D$6,0)))*INDEX(Inputs!$B$22:$D$22,1,MATCH(A131,Inputs!$B$6:$D$6,0))+MAX(MIN(S131,INDEX(Inputs!$B$21:$D$21,1,MATCH(A131,Inputs!$B$6:$D$6,0)))-INDEX(Inputs!$B$20:$D$20,1,MATCH(A131,Inputs!$B$6:$D$6,0)),0)*INDEX(Inputs!$B$23:$D$23,1,MATCH(A131,Inputs!$B$6:$D$6,0))+MAX(S131-INDEX(Inputs!$B$21:$D$21,1,MATCH(A131,Inputs!$B$6:$D$6,0)),0)*INDEX(Inputs!$B$24:$D$24,1,MATCH(A131,Inputs!$B$6:$D$6,0))</x:f>
        <x:v>5651.455</x:v>
      </x:c>
      <x:c r="U131" s="20" t="n">
        <x:f>IF(AND(A130=A131,D130=D131),T130,0)</x:f>
        <x:v>3070.7275</x:v>
      </x:c>
      <x:c r="V131" s="20" t="n">
        <x:f>T131-U131</x:f>
        <x:v>2580.7275</x:v>
      </x:c>
      <x:c r="W131" s="20" t="n">
        <x:f>R131+V131</x:f>
        <x:v>36315.7275</x:v>
      </x:c>
      <x:c r="X131" s="14" t="str">
        <x:f>IF(ABS(W131-SUM(M131:Q131)-V131)&lt;0.01,"OK","Check")</x:f>
        <x:v>OK</x:v>
      </x:c>
    </x:row>
    <x:row r="132">
      <x:c r="A132" s="14" t="n">
        <x:v>2026</x:v>
      </x:c>
      <x:c r="B132" s="14" t="str">
        <x:v>Q3</x:v>
      </x:c>
      <x:c r="C132" s="14" t="n">
        <x:v>3</x:v>
      </x:c>
      <x:c r="D132" s="14" t="n">
        <x:v>32</x:v>
      </x:c>
      <x:c r="E132" s="14" t="str">
        <x:f>INDEX(Roster!$B$6:$B$108,MATCH(D132,Roster!$A$6:$A$108,0))</x:f>
      </x:c>
      <x:c r="F132" s="14" t="str">
        <x:f>INDEX(Roster!$F$6:$F$108,MATCH(D132,Roster!$A$6:$A$108,0))</x:f>
        <x:v>No</x:v>
      </x:c>
      <x:c r="G132" s="14" t="n">
        <x:f>INDEX(Inputs!$B$7:$D$7,1,MATCH(A132,Inputs!$B$6:$D$6,0))</x:f>
        <x:v>13</x:v>
      </x:c>
      <x:c r="H132" s="14" t="n">
        <x:f>MIN(=INDEX(Inputs!$B$7:$D$7,1,MATCH(A132,Inputs!$B$6:$D$6,0)),MAX(0,INDEX(Inputs!$B$14:$D$14,1,MATCH(A132,Inputs!$B$6:$D$6,0))-(C132-1)*=INDEX(Inputs!$B$7:$D$7,1,MATCH(A132,Inputs!$B$6:$D$6,0))))</x:f>
        <x:v>13</x:v>
      </x:c>
      <x:c r="I132" s="20" t="n">
        <x:f>INDEX(Inputs!$B$8:$D$8,1,MATCH(A132,Inputs!$B$6:$D$6,0))</x:f>
        <x:v>2395</x:v>
      </x:c>
      <x:c r="J132" s="20" t="n">
        <x:f>INDEX(Roster!$C$6:$C$108,MATCH(D132,Roster!$A$6:$A$108,0))*(1+INDEX(Inputs!$B$9:$D$9,1,MATCH(A132,Inputs!$B$6:$D$6,0)))</x:f>
        <x:v>90</x:v>
      </x:c>
      <x:c r="K132" s="20" t="n">
        <x:f>IF(=INDEX(Roster!$F$6:$F$108,MATCH(D132,Roster!$A$6:$A$108,0))="Yes",0,=INDEX(Inputs!$B$8:$D$8,1,MATCH(A132,Inputs!$B$6:$D$6,0))*IF(=INDEX(Roster!$B$6:$B$108,MATCH(D132,Roster!$A$6:$A$108,0))="Principal",INDEX(Inputs!$B$10:$D$10,1,MATCH(A132,Inputs!$B$6:$D$6,0)),IF(=INDEX(Roster!$B$6:$B$108,MATCH(D132,Roster!$A$6:$A$108,0))="Associate Principal",INDEX(Inputs!$B$11:$D$11,1,MATCH(A132,Inputs!$B$6:$D$6,0)),IF(=INDEX(Roster!$B$6:$B$108,MATCH(D132,Roster!$A$6:$A$108,0))="Assistant Principal",INDEX(Inputs!$B$12:$D$12,1,MATCH(A132,Inputs!$B$6:$D$6,0)),0))))</x:f>
        <x:v>0</x:v>
      </x:c>
      <x:c r="L132" s="20" t="n">
        <x:f>IF(INDEX(Roster!$D$6:$D$108,MATCH(D132,Roster!$A$6:$A$108,0))&gt;=25,INDEX(Inputs!$B$19:$D$19,1,MATCH(A132,Inputs!$B$6:$D$6,0)),IF(INDEX(Roster!$D$6:$D$108,MATCH(D132,Roster!$A$6:$A$108,0))&gt;=20,INDEX(Inputs!$B$18:$D$18,1,MATCH(A132,Inputs!$B$6:$D$6,0)),IF(INDEX(Roster!$D$6:$D$108,MATCH(D132,Roster!$A$6:$A$108,0))&gt;=15,INDEX(Inputs!$B$17:$D$17,1,MATCH(A132,Inputs!$B$6:$D$6,0)),IF(INDEX(Roster!$D$6:$D$108,MATCH(D132,Roster!$A$6:$A$108,0))&gt;=10,INDEX(Inputs!$B$16:$D$16,1,MATCH(A132,Inputs!$B$6:$D$6,0)),IF(INDEX(Roster!$D$6:$D$108,MATCH(D132,Roster!$A$6:$A$108,0))&gt;=5,INDEX(Inputs!$B$15:$D$15,1,MATCH(A132,Inputs!$B$6:$D$6,0)),0)))))</x:f>
        <x:v>80</x:v>
      </x:c>
      <x:c r="M132" s="20" t="n">
        <x:f>G132*I132</x:f>
        <x:v>31135</x:v>
      </x:c>
      <x:c r="N132" s="20" t="n">
        <x:f>G132*J132</x:f>
        <x:v>1170</x:v>
      </x:c>
      <x:c r="O132" s="20" t="n">
        <x:f>G132*K132</x:f>
        <x:v>0</x:v>
      </x:c>
      <x:c r="P132" s="20" t="n">
        <x:f>G132*L132</x:f>
        <x:v>1040</x:v>
      </x:c>
      <x:c r="Q132" s="20" t="n">
        <x:f>H132*INDEX(Inputs!$B$13:$D$13,1,MATCH(A132,Inputs!$B$6:$D$6,0))</x:f>
        <x:v>390</x:v>
      </x:c>
      <x:c r="R132" s="20" t="n">
        <x:f>SUM(M132:Q132)</x:f>
        <x:v>33735</x:v>
      </x:c>
      <x:c r="S132" s="20" t="n">
        <x:f>IF(AND(A131=A132,D131=D132),S131+R132,R132)</x:f>
        <x:v>101205</x:v>
      </x:c>
      <x:c r="T132" s="20" t="n">
        <x:f>MIN(S132,INDEX(Inputs!$B$20:$D$20,1,MATCH(A132,Inputs!$B$6:$D$6,0)))*INDEX(Inputs!$B$22:$D$22,1,MATCH(A132,Inputs!$B$6:$D$6,0))+MAX(MIN(S132,INDEX(Inputs!$B$21:$D$21,1,MATCH(A132,Inputs!$B$6:$D$6,0)))-INDEX(Inputs!$B$20:$D$20,1,MATCH(A132,Inputs!$B$6:$D$6,0)),0)*INDEX(Inputs!$B$23:$D$23,1,MATCH(A132,Inputs!$B$6:$D$6,0))+MAX(S132-INDEX(Inputs!$B$21:$D$21,1,MATCH(A132,Inputs!$B$6:$D$6,0)),0)*INDEX(Inputs!$B$24:$D$24,1,MATCH(A132,Inputs!$B$6:$D$6,0))</x:f>
        <x:v>8232.182499999999</x:v>
      </x:c>
      <x:c r="U132" s="20" t="n">
        <x:f>IF(AND(A131=A132,D131=D132),T131,0)</x:f>
        <x:v>5651.455</x:v>
      </x:c>
      <x:c r="V132" s="20" t="n">
        <x:f>T132-U132</x:f>
        <x:v>2580.727499999999</x:v>
      </x:c>
      <x:c r="W132" s="20" t="n">
        <x:f>R132+V132</x:f>
        <x:v>36315.7275</x:v>
      </x:c>
      <x:c r="X132" s="14" t="str">
        <x:f>IF(ABS(W132-SUM(M132:Q132)-V132)&lt;0.01,"OK","Check")</x:f>
        <x:v>OK</x:v>
      </x:c>
    </x:row>
    <x:row r="133">
      <x:c r="A133" s="14" t="n">
        <x:v>2026</x:v>
      </x:c>
      <x:c r="B133" s="14" t="str">
        <x:v>Q4</x:v>
      </x:c>
      <x:c r="C133" s="14" t="n">
        <x:v>4</x:v>
      </x:c>
      <x:c r="D133" s="14" t="n">
        <x:v>32</x:v>
      </x:c>
      <x:c r="E133" s="14" t="str">
        <x:f>INDEX(Roster!$B$6:$B$108,MATCH(D133,Roster!$A$6:$A$108,0))</x:f>
      </x:c>
      <x:c r="F133" s="14" t="str">
        <x:f>INDEX(Roster!$F$6:$F$108,MATCH(D133,Roster!$A$6:$A$108,0))</x:f>
        <x:v>No</x:v>
      </x:c>
      <x:c r="G133" s="14" t="n">
        <x:f>INDEX(Inputs!$B$7:$D$7,1,MATCH(A133,Inputs!$B$6:$D$6,0))</x:f>
        <x:v>13</x:v>
      </x:c>
      <x:c r="H133" s="14" t="n">
        <x:f>MIN(=INDEX(Inputs!$B$7:$D$7,1,MATCH(A133,Inputs!$B$6:$D$6,0)),MAX(0,INDEX(Inputs!$B$14:$D$14,1,MATCH(A133,Inputs!$B$6:$D$6,0))-(C133-1)*=INDEX(Inputs!$B$7:$D$7,1,MATCH(A133,Inputs!$B$6:$D$6,0))))</x:f>
        <x:v>0</x:v>
      </x:c>
      <x:c r="I133" s="20" t="n">
        <x:f>INDEX(Inputs!$B$8:$D$8,1,MATCH(A133,Inputs!$B$6:$D$6,0))</x:f>
        <x:v>2395</x:v>
      </x:c>
      <x:c r="J133" s="20" t="n">
        <x:f>INDEX(Roster!$C$6:$C$108,MATCH(D133,Roster!$A$6:$A$108,0))*(1+INDEX(Inputs!$B$9:$D$9,1,MATCH(A133,Inputs!$B$6:$D$6,0)))</x:f>
        <x:v>90</x:v>
      </x:c>
      <x:c r="K133" s="20" t="n">
        <x:f>IF(=INDEX(Roster!$F$6:$F$108,MATCH(D133,Roster!$A$6:$A$108,0))="Yes",0,=INDEX(Inputs!$B$8:$D$8,1,MATCH(A133,Inputs!$B$6:$D$6,0))*IF(=INDEX(Roster!$B$6:$B$108,MATCH(D133,Roster!$A$6:$A$108,0))="Principal",INDEX(Inputs!$B$10:$D$10,1,MATCH(A133,Inputs!$B$6:$D$6,0)),IF(=INDEX(Roster!$B$6:$B$108,MATCH(D133,Roster!$A$6:$A$108,0))="Associate Principal",INDEX(Inputs!$B$11:$D$11,1,MATCH(A133,Inputs!$B$6:$D$6,0)),IF(=INDEX(Roster!$B$6:$B$108,MATCH(D133,Roster!$A$6:$A$108,0))="Assistant Principal",INDEX(Inputs!$B$12:$D$12,1,MATCH(A133,Inputs!$B$6:$D$6,0)),0))))</x:f>
        <x:v>0</x:v>
      </x:c>
      <x:c r="L133" s="20" t="n">
        <x:f>IF(INDEX(Roster!$D$6:$D$108,MATCH(D133,Roster!$A$6:$A$108,0))&gt;=25,INDEX(Inputs!$B$19:$D$19,1,MATCH(A133,Inputs!$B$6:$D$6,0)),IF(INDEX(Roster!$D$6:$D$108,MATCH(D133,Roster!$A$6:$A$108,0))&gt;=20,INDEX(Inputs!$B$18:$D$18,1,MATCH(A133,Inputs!$B$6:$D$6,0)),IF(INDEX(Roster!$D$6:$D$108,MATCH(D133,Roster!$A$6:$A$108,0))&gt;=15,INDEX(Inputs!$B$17:$D$17,1,MATCH(A133,Inputs!$B$6:$D$6,0)),IF(INDEX(Roster!$D$6:$D$108,MATCH(D133,Roster!$A$6:$A$108,0))&gt;=10,INDEX(Inputs!$B$16:$D$16,1,MATCH(A133,Inputs!$B$6:$D$6,0)),IF(INDEX(Roster!$D$6:$D$108,MATCH(D133,Roster!$A$6:$A$108,0))&gt;=5,INDEX(Inputs!$B$15:$D$15,1,MATCH(A133,Inputs!$B$6:$D$6,0)),0)))))</x:f>
        <x:v>80</x:v>
      </x:c>
      <x:c r="M133" s="20" t="n">
        <x:f>G133*I133</x:f>
        <x:v>31135</x:v>
      </x:c>
      <x:c r="N133" s="20" t="n">
        <x:f>G133*J133</x:f>
        <x:v>1170</x:v>
      </x:c>
      <x:c r="O133" s="20" t="n">
        <x:f>G133*K133</x:f>
        <x:v>0</x:v>
      </x:c>
      <x:c r="P133" s="20" t="n">
        <x:f>G133*L133</x:f>
        <x:v>1040</x:v>
      </x:c>
      <x:c r="Q133" s="20" t="n">
        <x:f>H133*INDEX(Inputs!$B$13:$D$13,1,MATCH(A133,Inputs!$B$6:$D$6,0))</x:f>
        <x:v>0</x:v>
      </x:c>
      <x:c r="R133" s="20" t="n">
        <x:f>SUM(M133:Q133)</x:f>
        <x:v>33345</x:v>
      </x:c>
      <x:c r="S133" s="20" t="n">
        <x:f>IF(AND(A132=A133,D132=D133),S132+R133,R133)</x:f>
        <x:v>134550</x:v>
      </x:c>
      <x:c r="T133" s="20" t="n">
        <x:f>MIN(S133,INDEX(Inputs!$B$20:$D$20,1,MATCH(A133,Inputs!$B$6:$D$6,0)))*INDEX(Inputs!$B$22:$D$22,1,MATCH(A133,Inputs!$B$6:$D$6,0))+MAX(MIN(S133,INDEX(Inputs!$B$21:$D$21,1,MATCH(A133,Inputs!$B$6:$D$6,0)))-INDEX(Inputs!$B$20:$D$20,1,MATCH(A133,Inputs!$B$6:$D$6,0)),0)*INDEX(Inputs!$B$23:$D$23,1,MATCH(A133,Inputs!$B$6:$D$6,0))+MAX(S133-INDEX(Inputs!$B$21:$D$21,1,MATCH(A133,Inputs!$B$6:$D$6,0)),0)*INDEX(Inputs!$B$24:$D$24,1,MATCH(A133,Inputs!$B$6:$D$6,0))</x:f>
        <x:v>9864.917</x:v>
      </x:c>
      <x:c r="U133" s="20" t="n">
        <x:f>IF(AND(A132=A133,D132=D133),T132,0)</x:f>
        <x:v>8232.182499999999</x:v>
      </x:c>
      <x:c r="V133" s="20" t="n">
        <x:f>T133-U133</x:f>
        <x:v>1632.7345000000005</x:v>
      </x:c>
      <x:c r="W133" s="20" t="n">
        <x:f>R133+V133</x:f>
        <x:v>34977.7345</x:v>
      </x:c>
      <x:c r="X133" s="14" t="str">
        <x:f>IF(ABS(W133-SUM(M133:Q133)-V133)&lt;0.01,"OK","Check")</x:f>
        <x:v>OK</x:v>
      </x:c>
    </x:row>
    <x:row r="134">
      <x:c r="A134" s="14" t="n">
        <x:v>2026</x:v>
      </x:c>
      <x:c r="B134" s="14" t="str">
        <x:v>Q1</x:v>
      </x:c>
      <x:c r="C134" s="14" t="n">
        <x:v>1</x:v>
      </x:c>
      <x:c r="D134" s="14" t="n">
        <x:v>33</x:v>
      </x:c>
      <x:c r="E134" s="14" t="str">
        <x:f>INDEX(Roster!$B$6:$B$108,MATCH(D134,Roster!$A$6:$A$108,0))</x:f>
      </x:c>
      <x:c r="F134" s="14" t="str">
        <x:f>INDEX(Roster!$F$6:$F$108,MATCH(D134,Roster!$A$6:$A$108,0))</x:f>
        <x:v>No</x:v>
      </x:c>
      <x:c r="G134" s="14" t="n">
        <x:f>INDEX(Inputs!$B$7:$D$7,1,MATCH(A134,Inputs!$B$6:$D$6,0))</x:f>
        <x:v>13</x:v>
      </x:c>
      <x:c r="H134" s="14" t="n">
        <x:f>MIN(=INDEX(Inputs!$B$7:$D$7,1,MATCH(A134,Inputs!$B$6:$D$6,0)),MAX(0,INDEX(Inputs!$B$14:$D$14,1,MATCH(A134,Inputs!$B$6:$D$6,0))-(C134-1)*=INDEX(Inputs!$B$7:$D$7,1,MATCH(A134,Inputs!$B$6:$D$6,0))))</x:f>
        <x:v>13</x:v>
      </x:c>
      <x:c r="I134" s="20" t="n">
        <x:f>INDEX(Inputs!$B$8:$D$8,1,MATCH(A134,Inputs!$B$6:$D$6,0))</x:f>
        <x:v>2395</x:v>
      </x:c>
      <x:c r="J134" s="20" t="n">
        <x:f>INDEX(Roster!$C$6:$C$108,MATCH(D134,Roster!$A$6:$A$108,0))*(1+INDEX(Inputs!$B$9:$D$9,1,MATCH(A134,Inputs!$B$6:$D$6,0)))</x:f>
        <x:v>60</x:v>
      </x:c>
      <x:c r="K134" s="20" t="n">
        <x:f>IF(=INDEX(Roster!$F$6:$F$108,MATCH(D134,Roster!$A$6:$A$108,0))="Yes",0,=INDEX(Inputs!$B$8:$D$8,1,MATCH(A134,Inputs!$B$6:$D$6,0))*IF(=INDEX(Roster!$B$6:$B$108,MATCH(D134,Roster!$A$6:$A$108,0))="Principal",INDEX(Inputs!$B$10:$D$10,1,MATCH(A134,Inputs!$B$6:$D$6,0)),IF(=INDEX(Roster!$B$6:$B$108,MATCH(D134,Roster!$A$6:$A$108,0))="Associate Principal",INDEX(Inputs!$B$11:$D$11,1,MATCH(A134,Inputs!$B$6:$D$6,0)),IF(=INDEX(Roster!$B$6:$B$108,MATCH(D134,Roster!$A$6:$A$108,0))="Assistant Principal",INDEX(Inputs!$B$12:$D$12,1,MATCH(A134,Inputs!$B$6:$D$6,0)),0))))</x:f>
        <x:v>0</x:v>
      </x:c>
      <x:c r="L134" s="20" t="n">
        <x:f>IF(INDEX(Roster!$D$6:$D$108,MATCH(D134,Roster!$A$6:$A$108,0))&gt;=25,INDEX(Inputs!$B$19:$D$19,1,MATCH(A134,Inputs!$B$6:$D$6,0)),IF(INDEX(Roster!$D$6:$D$108,MATCH(D134,Roster!$A$6:$A$108,0))&gt;=20,INDEX(Inputs!$B$18:$D$18,1,MATCH(A134,Inputs!$B$6:$D$6,0)),IF(INDEX(Roster!$D$6:$D$108,MATCH(D134,Roster!$A$6:$A$108,0))&gt;=15,INDEX(Inputs!$B$17:$D$17,1,MATCH(A134,Inputs!$B$6:$D$6,0)),IF(INDEX(Roster!$D$6:$D$108,MATCH(D134,Roster!$A$6:$A$108,0))&gt;=10,INDEX(Inputs!$B$16:$D$16,1,MATCH(A134,Inputs!$B$6:$D$6,0)),IF(INDEX(Roster!$D$6:$D$108,MATCH(D134,Roster!$A$6:$A$108,0))&gt;=5,INDEX(Inputs!$B$15:$D$15,1,MATCH(A134,Inputs!$B$6:$D$6,0)),0)))))</x:f>
        <x:v>90</x:v>
      </x:c>
      <x:c r="M134" s="20" t="n">
        <x:f>G134*I134</x:f>
        <x:v>31135</x:v>
      </x:c>
      <x:c r="N134" s="20" t="n">
        <x:f>G134*J134</x:f>
        <x:v>780</x:v>
      </x:c>
      <x:c r="O134" s="20" t="n">
        <x:f>G134*K134</x:f>
        <x:v>0</x:v>
      </x:c>
      <x:c r="P134" s="20" t="n">
        <x:f>G134*L134</x:f>
        <x:v>1170</x:v>
      </x:c>
      <x:c r="Q134" s="20" t="n">
        <x:f>H134*INDEX(Inputs!$B$13:$D$13,1,MATCH(A134,Inputs!$B$6:$D$6,0))</x:f>
        <x:v>390</x:v>
      </x:c>
      <x:c r="R134" s="20" t="n">
        <x:f>SUM(M134:Q134)</x:f>
        <x:v>33475</x:v>
      </x:c>
      <x:c r="S134" s="20" t="n">
        <x:f>IF(AND(A133=A134,D133=D134),S133+R134,R134)</x:f>
        <x:v>33475</x:v>
      </x:c>
      <x:c r="T134" s="20" t="n">
        <x:f>MIN(S134,INDEX(Inputs!$B$20:$D$20,1,MATCH(A134,Inputs!$B$6:$D$6,0)))*INDEX(Inputs!$B$22:$D$22,1,MATCH(A134,Inputs!$B$6:$D$6,0))+MAX(MIN(S134,INDEX(Inputs!$B$21:$D$21,1,MATCH(A134,Inputs!$B$6:$D$6,0)))-INDEX(Inputs!$B$20:$D$20,1,MATCH(A134,Inputs!$B$6:$D$6,0)),0)*INDEX(Inputs!$B$23:$D$23,1,MATCH(A134,Inputs!$B$6:$D$6,0))+MAX(S134-INDEX(Inputs!$B$21:$D$21,1,MATCH(A134,Inputs!$B$6:$D$6,0)),0)*INDEX(Inputs!$B$24:$D$24,1,MATCH(A134,Inputs!$B$6:$D$6,0))</x:f>
        <x:v>3050.8374999999996</x:v>
      </x:c>
      <x:c r="U134" s="20" t="n">
        <x:f>IF(AND(A133=A134,D133=D134),T133,0)</x:f>
        <x:v>0</x:v>
      </x:c>
      <x:c r="V134" s="20" t="n">
        <x:f>T134-U134</x:f>
        <x:v>3050.8374999999996</x:v>
      </x:c>
      <x:c r="W134" s="20" t="n">
        <x:f>R134+V134</x:f>
        <x:v>36525.8375</x:v>
      </x:c>
      <x:c r="X134" s="14" t="str">
        <x:f>IF(ABS(W134-SUM(M134:Q134)-V134)&lt;0.01,"OK","Check")</x:f>
        <x:v>OK</x:v>
      </x:c>
    </x:row>
    <x:row r="135">
      <x:c r="A135" s="14" t="n">
        <x:v>2026</x:v>
      </x:c>
      <x:c r="B135" s="14" t="str">
        <x:v>Q2</x:v>
      </x:c>
      <x:c r="C135" s="14" t="n">
        <x:v>2</x:v>
      </x:c>
      <x:c r="D135" s="14" t="n">
        <x:v>33</x:v>
      </x:c>
      <x:c r="E135" s="14" t="str">
        <x:f>INDEX(Roster!$B$6:$B$108,MATCH(D135,Roster!$A$6:$A$108,0))</x:f>
      </x:c>
      <x:c r="F135" s="14" t="str">
        <x:f>INDEX(Roster!$F$6:$F$108,MATCH(D135,Roster!$A$6:$A$108,0))</x:f>
        <x:v>No</x:v>
      </x:c>
      <x:c r="G135" s="14" t="n">
        <x:f>INDEX(Inputs!$B$7:$D$7,1,MATCH(A135,Inputs!$B$6:$D$6,0))</x:f>
        <x:v>13</x:v>
      </x:c>
      <x:c r="H135" s="14" t="n">
        <x:f>MIN(=INDEX(Inputs!$B$7:$D$7,1,MATCH(A135,Inputs!$B$6:$D$6,0)),MAX(0,INDEX(Inputs!$B$14:$D$14,1,MATCH(A135,Inputs!$B$6:$D$6,0))-(C135-1)*=INDEX(Inputs!$B$7:$D$7,1,MATCH(A135,Inputs!$B$6:$D$6,0))))</x:f>
        <x:v>13</x:v>
      </x:c>
      <x:c r="I135" s="20" t="n">
        <x:f>INDEX(Inputs!$B$8:$D$8,1,MATCH(A135,Inputs!$B$6:$D$6,0))</x:f>
        <x:v>2395</x:v>
      </x:c>
      <x:c r="J135" s="20" t="n">
        <x:f>INDEX(Roster!$C$6:$C$108,MATCH(D135,Roster!$A$6:$A$108,0))*(1+INDEX(Inputs!$B$9:$D$9,1,MATCH(A135,Inputs!$B$6:$D$6,0)))</x:f>
        <x:v>60</x:v>
      </x:c>
      <x:c r="K135" s="20" t="n">
        <x:f>IF(=INDEX(Roster!$F$6:$F$108,MATCH(D135,Roster!$A$6:$A$108,0))="Yes",0,=INDEX(Inputs!$B$8:$D$8,1,MATCH(A135,Inputs!$B$6:$D$6,0))*IF(=INDEX(Roster!$B$6:$B$108,MATCH(D135,Roster!$A$6:$A$108,0))="Principal",INDEX(Inputs!$B$10:$D$10,1,MATCH(A135,Inputs!$B$6:$D$6,0)),IF(=INDEX(Roster!$B$6:$B$108,MATCH(D135,Roster!$A$6:$A$108,0))="Associate Principal",INDEX(Inputs!$B$11:$D$11,1,MATCH(A135,Inputs!$B$6:$D$6,0)),IF(=INDEX(Roster!$B$6:$B$108,MATCH(D135,Roster!$A$6:$A$108,0))="Assistant Principal",INDEX(Inputs!$B$12:$D$12,1,MATCH(A135,Inputs!$B$6:$D$6,0)),0))))</x:f>
        <x:v>0</x:v>
      </x:c>
      <x:c r="L135" s="20" t="n">
        <x:f>IF(INDEX(Roster!$D$6:$D$108,MATCH(D135,Roster!$A$6:$A$108,0))&gt;=25,INDEX(Inputs!$B$19:$D$19,1,MATCH(A135,Inputs!$B$6:$D$6,0)),IF(INDEX(Roster!$D$6:$D$108,MATCH(D135,Roster!$A$6:$A$108,0))&gt;=20,INDEX(Inputs!$B$18:$D$18,1,MATCH(A135,Inputs!$B$6:$D$6,0)),IF(INDEX(Roster!$D$6:$D$108,MATCH(D135,Roster!$A$6:$A$108,0))&gt;=15,INDEX(Inputs!$B$17:$D$17,1,MATCH(A135,Inputs!$B$6:$D$6,0)),IF(INDEX(Roster!$D$6:$D$108,MATCH(D135,Roster!$A$6:$A$108,0))&gt;=10,INDEX(Inputs!$B$16:$D$16,1,MATCH(A135,Inputs!$B$6:$D$6,0)),IF(INDEX(Roster!$D$6:$D$108,MATCH(D135,Roster!$A$6:$A$108,0))&gt;=5,INDEX(Inputs!$B$15:$D$15,1,MATCH(A135,Inputs!$B$6:$D$6,0)),0)))))</x:f>
        <x:v>90</x:v>
      </x:c>
      <x:c r="M135" s="20" t="n">
        <x:f>G135*I135</x:f>
        <x:v>31135</x:v>
      </x:c>
      <x:c r="N135" s="20" t="n">
        <x:f>G135*J135</x:f>
        <x:v>780</x:v>
      </x:c>
      <x:c r="O135" s="20" t="n">
        <x:f>G135*K135</x:f>
        <x:v>0</x:v>
      </x:c>
      <x:c r="P135" s="20" t="n">
        <x:f>G135*L135</x:f>
        <x:v>1170</x:v>
      </x:c>
      <x:c r="Q135" s="20" t="n">
        <x:f>H135*INDEX(Inputs!$B$13:$D$13,1,MATCH(A135,Inputs!$B$6:$D$6,0))</x:f>
        <x:v>390</x:v>
      </x:c>
      <x:c r="R135" s="20" t="n">
        <x:f>SUM(M135:Q135)</x:f>
        <x:v>33475</x:v>
      </x:c>
      <x:c r="S135" s="20" t="n">
        <x:f>IF(AND(A134=A135,D134=D135),S134+R135,R135)</x:f>
        <x:v>66950</x:v>
      </x:c>
      <x:c r="T135" s="20" t="n">
        <x:f>MIN(S135,INDEX(Inputs!$B$20:$D$20,1,MATCH(A135,Inputs!$B$6:$D$6,0)))*INDEX(Inputs!$B$22:$D$22,1,MATCH(A135,Inputs!$B$6:$D$6,0))+MAX(MIN(S135,INDEX(Inputs!$B$21:$D$21,1,MATCH(A135,Inputs!$B$6:$D$6,0)))-INDEX(Inputs!$B$20:$D$20,1,MATCH(A135,Inputs!$B$6:$D$6,0)),0)*INDEX(Inputs!$B$23:$D$23,1,MATCH(A135,Inputs!$B$6:$D$6,0))+MAX(S135-INDEX(Inputs!$B$21:$D$21,1,MATCH(A135,Inputs!$B$6:$D$6,0)),0)*INDEX(Inputs!$B$24:$D$24,1,MATCH(A135,Inputs!$B$6:$D$6,0))</x:f>
        <x:v>5611.675</x:v>
      </x:c>
      <x:c r="U135" s="20" t="n">
        <x:f>IF(AND(A134=A135,D134=D135),T134,0)</x:f>
        <x:v>3050.8374999999996</x:v>
      </x:c>
      <x:c r="V135" s="20" t="n">
        <x:f>T135-U135</x:f>
        <x:v>2560.8375000000005</x:v>
      </x:c>
      <x:c r="W135" s="20" t="n">
        <x:f>R135+V135</x:f>
        <x:v>36035.8375</x:v>
      </x:c>
      <x:c r="X135" s="14" t="str">
        <x:f>IF(ABS(W135-SUM(M135:Q135)-V135)&lt;0.01,"OK","Check")</x:f>
        <x:v>OK</x:v>
      </x:c>
    </x:row>
    <x:row r="136">
      <x:c r="A136" s="14" t="n">
        <x:v>2026</x:v>
      </x:c>
      <x:c r="B136" s="14" t="str">
        <x:v>Q3</x:v>
      </x:c>
      <x:c r="C136" s="14" t="n">
        <x:v>3</x:v>
      </x:c>
      <x:c r="D136" s="14" t="n">
        <x:v>33</x:v>
      </x:c>
      <x:c r="E136" s="14" t="str">
        <x:f>INDEX(Roster!$B$6:$B$108,MATCH(D136,Roster!$A$6:$A$108,0))</x:f>
      </x:c>
      <x:c r="F136" s="14" t="str">
        <x:f>INDEX(Roster!$F$6:$F$108,MATCH(D136,Roster!$A$6:$A$108,0))</x:f>
        <x:v>No</x:v>
      </x:c>
      <x:c r="G136" s="14" t="n">
        <x:f>INDEX(Inputs!$B$7:$D$7,1,MATCH(A136,Inputs!$B$6:$D$6,0))</x:f>
        <x:v>13</x:v>
      </x:c>
      <x:c r="H136" s="14" t="n">
        <x:f>MIN(=INDEX(Inputs!$B$7:$D$7,1,MATCH(A136,Inputs!$B$6:$D$6,0)),MAX(0,INDEX(Inputs!$B$14:$D$14,1,MATCH(A136,Inputs!$B$6:$D$6,0))-(C136-1)*=INDEX(Inputs!$B$7:$D$7,1,MATCH(A136,Inputs!$B$6:$D$6,0))))</x:f>
        <x:v>13</x:v>
      </x:c>
      <x:c r="I136" s="20" t="n">
        <x:f>INDEX(Inputs!$B$8:$D$8,1,MATCH(A136,Inputs!$B$6:$D$6,0))</x:f>
        <x:v>2395</x:v>
      </x:c>
      <x:c r="J136" s="20" t="n">
        <x:f>INDEX(Roster!$C$6:$C$108,MATCH(D136,Roster!$A$6:$A$108,0))*(1+INDEX(Inputs!$B$9:$D$9,1,MATCH(A136,Inputs!$B$6:$D$6,0)))</x:f>
        <x:v>60</x:v>
      </x:c>
      <x:c r="K136" s="20" t="n">
        <x:f>IF(=INDEX(Roster!$F$6:$F$108,MATCH(D136,Roster!$A$6:$A$108,0))="Yes",0,=INDEX(Inputs!$B$8:$D$8,1,MATCH(A136,Inputs!$B$6:$D$6,0))*IF(=INDEX(Roster!$B$6:$B$108,MATCH(D136,Roster!$A$6:$A$108,0))="Principal",INDEX(Inputs!$B$10:$D$10,1,MATCH(A136,Inputs!$B$6:$D$6,0)),IF(=INDEX(Roster!$B$6:$B$108,MATCH(D136,Roster!$A$6:$A$108,0))="Associate Principal",INDEX(Inputs!$B$11:$D$11,1,MATCH(A136,Inputs!$B$6:$D$6,0)),IF(=INDEX(Roster!$B$6:$B$108,MATCH(D136,Roster!$A$6:$A$108,0))="Assistant Principal",INDEX(Inputs!$B$12:$D$12,1,MATCH(A136,Inputs!$B$6:$D$6,0)),0))))</x:f>
        <x:v>0</x:v>
      </x:c>
      <x:c r="L136" s="20" t="n">
        <x:f>IF(INDEX(Roster!$D$6:$D$108,MATCH(D136,Roster!$A$6:$A$108,0))&gt;=25,INDEX(Inputs!$B$19:$D$19,1,MATCH(A136,Inputs!$B$6:$D$6,0)),IF(INDEX(Roster!$D$6:$D$108,MATCH(D136,Roster!$A$6:$A$108,0))&gt;=20,INDEX(Inputs!$B$18:$D$18,1,MATCH(A136,Inputs!$B$6:$D$6,0)),IF(INDEX(Roster!$D$6:$D$108,MATCH(D136,Roster!$A$6:$A$108,0))&gt;=15,INDEX(Inputs!$B$17:$D$17,1,MATCH(A136,Inputs!$B$6:$D$6,0)),IF(INDEX(Roster!$D$6:$D$108,MATCH(D136,Roster!$A$6:$A$108,0))&gt;=10,INDEX(Inputs!$B$16:$D$16,1,MATCH(A136,Inputs!$B$6:$D$6,0)),IF(INDEX(Roster!$D$6:$D$108,MATCH(D136,Roster!$A$6:$A$108,0))&gt;=5,INDEX(Inputs!$B$15:$D$15,1,MATCH(A136,Inputs!$B$6:$D$6,0)),0)))))</x:f>
        <x:v>90</x:v>
      </x:c>
      <x:c r="M136" s="20" t="n">
        <x:f>G136*I136</x:f>
        <x:v>31135</x:v>
      </x:c>
      <x:c r="N136" s="20" t="n">
        <x:f>G136*J136</x:f>
        <x:v>780</x:v>
      </x:c>
      <x:c r="O136" s="20" t="n">
        <x:f>G136*K136</x:f>
        <x:v>0</x:v>
      </x:c>
      <x:c r="P136" s="20" t="n">
        <x:f>G136*L136</x:f>
        <x:v>1170</x:v>
      </x:c>
      <x:c r="Q136" s="20" t="n">
        <x:f>H136*INDEX(Inputs!$B$13:$D$13,1,MATCH(A136,Inputs!$B$6:$D$6,0))</x:f>
        <x:v>390</x:v>
      </x:c>
      <x:c r="R136" s="20" t="n">
        <x:f>SUM(M136:Q136)</x:f>
        <x:v>33475</x:v>
      </x:c>
      <x:c r="S136" s="20" t="n">
        <x:f>IF(AND(A135=A136,D135=D136),S135+R136,R136)</x:f>
        <x:v>100425</x:v>
      </x:c>
      <x:c r="T136" s="20" t="n">
        <x:f>MIN(S136,INDEX(Inputs!$B$20:$D$20,1,MATCH(A136,Inputs!$B$6:$D$6,0)))*INDEX(Inputs!$B$22:$D$22,1,MATCH(A136,Inputs!$B$6:$D$6,0))+MAX(MIN(S136,INDEX(Inputs!$B$21:$D$21,1,MATCH(A136,Inputs!$B$6:$D$6,0)))-INDEX(Inputs!$B$20:$D$20,1,MATCH(A136,Inputs!$B$6:$D$6,0)),0)*INDEX(Inputs!$B$23:$D$23,1,MATCH(A136,Inputs!$B$6:$D$6,0))+MAX(S136-INDEX(Inputs!$B$21:$D$21,1,MATCH(A136,Inputs!$B$6:$D$6,0)),0)*INDEX(Inputs!$B$24:$D$24,1,MATCH(A136,Inputs!$B$6:$D$6,0))</x:f>
        <x:v>8172.5125</x:v>
      </x:c>
      <x:c r="U136" s="20" t="n">
        <x:f>IF(AND(A135=A136,D135=D136),T135,0)</x:f>
        <x:v>5611.675</x:v>
      </x:c>
      <x:c r="V136" s="20" t="n">
        <x:f>T136-U136</x:f>
        <x:v>2560.8374999999996</x:v>
      </x:c>
      <x:c r="W136" s="20" t="n">
        <x:f>R136+V136</x:f>
        <x:v>36035.8375</x:v>
      </x:c>
      <x:c r="X136" s="14" t="str">
        <x:f>IF(ABS(W136-SUM(M136:Q136)-V136)&lt;0.01,"OK","Check")</x:f>
        <x:v>OK</x:v>
      </x:c>
    </x:row>
    <x:row r="137">
      <x:c r="A137" s="14" t="n">
        <x:v>2026</x:v>
      </x:c>
      <x:c r="B137" s="14" t="str">
        <x:v>Q4</x:v>
      </x:c>
      <x:c r="C137" s="14" t="n">
        <x:v>4</x:v>
      </x:c>
      <x:c r="D137" s="14" t="n">
        <x:v>33</x:v>
      </x:c>
      <x:c r="E137" s="14" t="str">
        <x:f>INDEX(Roster!$B$6:$B$108,MATCH(D137,Roster!$A$6:$A$108,0))</x:f>
      </x:c>
      <x:c r="F137" s="14" t="str">
        <x:f>INDEX(Roster!$F$6:$F$108,MATCH(D137,Roster!$A$6:$A$108,0))</x:f>
        <x:v>No</x:v>
      </x:c>
      <x:c r="G137" s="14" t="n">
        <x:f>INDEX(Inputs!$B$7:$D$7,1,MATCH(A137,Inputs!$B$6:$D$6,0))</x:f>
        <x:v>13</x:v>
      </x:c>
      <x:c r="H137" s="14" t="n">
        <x:f>MIN(=INDEX(Inputs!$B$7:$D$7,1,MATCH(A137,Inputs!$B$6:$D$6,0)),MAX(0,INDEX(Inputs!$B$14:$D$14,1,MATCH(A137,Inputs!$B$6:$D$6,0))-(C137-1)*=INDEX(Inputs!$B$7:$D$7,1,MATCH(A137,Inputs!$B$6:$D$6,0))))</x:f>
        <x:v>0</x:v>
      </x:c>
      <x:c r="I137" s="20" t="n">
        <x:f>INDEX(Inputs!$B$8:$D$8,1,MATCH(A137,Inputs!$B$6:$D$6,0))</x:f>
        <x:v>2395</x:v>
      </x:c>
      <x:c r="J137" s="20" t="n">
        <x:f>INDEX(Roster!$C$6:$C$108,MATCH(D137,Roster!$A$6:$A$108,0))*(1+INDEX(Inputs!$B$9:$D$9,1,MATCH(A137,Inputs!$B$6:$D$6,0)))</x:f>
        <x:v>60</x:v>
      </x:c>
      <x:c r="K137" s="20" t="n">
        <x:f>IF(=INDEX(Roster!$F$6:$F$108,MATCH(D137,Roster!$A$6:$A$108,0))="Yes",0,=INDEX(Inputs!$B$8:$D$8,1,MATCH(A137,Inputs!$B$6:$D$6,0))*IF(=INDEX(Roster!$B$6:$B$108,MATCH(D137,Roster!$A$6:$A$108,0))="Principal",INDEX(Inputs!$B$10:$D$10,1,MATCH(A137,Inputs!$B$6:$D$6,0)),IF(=INDEX(Roster!$B$6:$B$108,MATCH(D137,Roster!$A$6:$A$108,0))="Associate Principal",INDEX(Inputs!$B$11:$D$11,1,MATCH(A137,Inputs!$B$6:$D$6,0)),IF(=INDEX(Roster!$B$6:$B$108,MATCH(D137,Roster!$A$6:$A$108,0))="Assistant Principal",INDEX(Inputs!$B$12:$D$12,1,MATCH(A137,Inputs!$B$6:$D$6,0)),0))))</x:f>
        <x:v>0</x:v>
      </x:c>
      <x:c r="L137" s="20" t="n">
        <x:f>IF(INDEX(Roster!$D$6:$D$108,MATCH(D137,Roster!$A$6:$A$108,0))&gt;=25,INDEX(Inputs!$B$19:$D$19,1,MATCH(A137,Inputs!$B$6:$D$6,0)),IF(INDEX(Roster!$D$6:$D$108,MATCH(D137,Roster!$A$6:$A$108,0))&gt;=20,INDEX(Inputs!$B$18:$D$18,1,MATCH(A137,Inputs!$B$6:$D$6,0)),IF(INDEX(Roster!$D$6:$D$108,MATCH(D137,Roster!$A$6:$A$108,0))&gt;=15,INDEX(Inputs!$B$17:$D$17,1,MATCH(A137,Inputs!$B$6:$D$6,0)),IF(INDEX(Roster!$D$6:$D$108,MATCH(D137,Roster!$A$6:$A$108,0))&gt;=10,INDEX(Inputs!$B$16:$D$16,1,MATCH(A137,Inputs!$B$6:$D$6,0)),IF(INDEX(Roster!$D$6:$D$108,MATCH(D137,Roster!$A$6:$A$108,0))&gt;=5,INDEX(Inputs!$B$15:$D$15,1,MATCH(A137,Inputs!$B$6:$D$6,0)),0)))))</x:f>
        <x:v>90</x:v>
      </x:c>
      <x:c r="M137" s="20" t="n">
        <x:f>G137*I137</x:f>
        <x:v>31135</x:v>
      </x:c>
      <x:c r="N137" s="20" t="n">
        <x:f>G137*J137</x:f>
        <x:v>780</x:v>
      </x:c>
      <x:c r="O137" s="20" t="n">
        <x:f>G137*K137</x:f>
        <x:v>0</x:v>
      </x:c>
      <x:c r="P137" s="20" t="n">
        <x:f>G137*L137</x:f>
        <x:v>1170</x:v>
      </x:c>
      <x:c r="Q137" s="20" t="n">
        <x:f>H137*INDEX(Inputs!$B$13:$D$13,1,MATCH(A137,Inputs!$B$6:$D$6,0))</x:f>
        <x:v>0</x:v>
      </x:c>
      <x:c r="R137" s="20" t="n">
        <x:f>SUM(M137:Q137)</x:f>
        <x:v>33085</x:v>
      </x:c>
      <x:c r="S137" s="20" t="n">
        <x:f>IF(AND(A136=A137,D136=D137),S136+R137,R137)</x:f>
        <x:v>133510</x:v>
      </x:c>
      <x:c r="T137" s="20" t="n">
        <x:f>MIN(S137,INDEX(Inputs!$B$20:$D$20,1,MATCH(A137,Inputs!$B$6:$D$6,0)))*INDEX(Inputs!$B$22:$D$22,1,MATCH(A137,Inputs!$B$6:$D$6,0))+MAX(MIN(S137,INDEX(Inputs!$B$21:$D$21,1,MATCH(A137,Inputs!$B$6:$D$6,0)))-INDEX(Inputs!$B$20:$D$20,1,MATCH(A137,Inputs!$B$6:$D$6,0)),0)*INDEX(Inputs!$B$23:$D$23,1,MATCH(A137,Inputs!$B$6:$D$6,0))+MAX(S137-INDEX(Inputs!$B$21:$D$21,1,MATCH(A137,Inputs!$B$6:$D$6,0)),0)*INDEX(Inputs!$B$24:$D$24,1,MATCH(A137,Inputs!$B$6:$D$6,0))</x:f>
        <x:v>9849.837</x:v>
      </x:c>
      <x:c r="U137" s="20" t="n">
        <x:f>IF(AND(A136=A137,D136=D137),T136,0)</x:f>
        <x:v>8172.5125</x:v>
      </x:c>
      <x:c r="V137" s="20" t="n">
        <x:f>T137-U137</x:f>
        <x:v>1677.3244999999997</x:v>
      </x:c>
      <x:c r="W137" s="20" t="n">
        <x:f>R137+V137</x:f>
        <x:v>34762.3245</x:v>
      </x:c>
      <x:c r="X137" s="14" t="str">
        <x:f>IF(ABS(W137-SUM(M137:Q137)-V137)&lt;0.01,"OK","Check")</x:f>
        <x:v>OK</x:v>
      </x:c>
    </x:row>
    <x:row r="138">
      <x:c r="A138" s="14" t="n">
        <x:v>2026</x:v>
      </x:c>
      <x:c r="B138" s="14" t="str">
        <x:v>Q1</x:v>
      </x:c>
      <x:c r="C138" s="14" t="n">
        <x:v>1</x:v>
      </x:c>
      <x:c r="D138" s="14" t="n">
        <x:v>34</x:v>
      </x:c>
      <x:c r="E138" s="14" t="str">
        <x:f>INDEX(Roster!$B$6:$B$108,MATCH(D138,Roster!$A$6:$A$108,0))</x:f>
      </x:c>
      <x:c r="F138" s="14" t="str">
        <x:f>INDEX(Roster!$F$6:$F$108,MATCH(D138,Roster!$A$6:$A$108,0))</x:f>
        <x:v>No</x:v>
      </x:c>
      <x:c r="G138" s="14" t="n">
        <x:f>INDEX(Inputs!$B$7:$D$7,1,MATCH(A138,Inputs!$B$6:$D$6,0))</x:f>
        <x:v>13</x:v>
      </x:c>
      <x:c r="H138" s="14" t="n">
        <x:f>MIN(=INDEX(Inputs!$B$7:$D$7,1,MATCH(A138,Inputs!$B$6:$D$6,0)),MAX(0,INDEX(Inputs!$B$14:$D$14,1,MATCH(A138,Inputs!$B$6:$D$6,0))-(C138-1)*=INDEX(Inputs!$B$7:$D$7,1,MATCH(A138,Inputs!$B$6:$D$6,0))))</x:f>
        <x:v>13</x:v>
      </x:c>
      <x:c r="I138" s="20" t="n">
        <x:f>INDEX(Inputs!$B$8:$D$8,1,MATCH(A138,Inputs!$B$6:$D$6,0))</x:f>
        <x:v>2395</x:v>
      </x:c>
      <x:c r="J138" s="20" t="n">
        <x:f>INDEX(Roster!$C$6:$C$108,MATCH(D138,Roster!$A$6:$A$108,0))*(1+INDEX(Inputs!$B$9:$D$9,1,MATCH(A138,Inputs!$B$6:$D$6,0)))</x:f>
        <x:v>40</x:v>
      </x:c>
      <x:c r="K138" s="20" t="n">
        <x:f>IF(=INDEX(Roster!$F$6:$F$108,MATCH(D138,Roster!$A$6:$A$108,0))="Yes",0,=INDEX(Inputs!$B$8:$D$8,1,MATCH(A138,Inputs!$B$6:$D$6,0))*IF(=INDEX(Roster!$B$6:$B$108,MATCH(D138,Roster!$A$6:$A$108,0))="Principal",INDEX(Inputs!$B$10:$D$10,1,MATCH(A138,Inputs!$B$6:$D$6,0)),IF(=INDEX(Roster!$B$6:$B$108,MATCH(D138,Roster!$A$6:$A$108,0))="Associate Principal",INDEX(Inputs!$B$11:$D$11,1,MATCH(A138,Inputs!$B$6:$D$6,0)),IF(=INDEX(Roster!$B$6:$B$108,MATCH(D138,Roster!$A$6:$A$108,0))="Assistant Principal",INDEX(Inputs!$B$12:$D$12,1,MATCH(A138,Inputs!$B$6:$D$6,0)),0))))</x:f>
        <x:v>0</x:v>
      </x:c>
      <x:c r="L138" s="20" t="n">
        <x:f>IF(INDEX(Roster!$D$6:$D$108,MATCH(D138,Roster!$A$6:$A$108,0))&gt;=25,INDEX(Inputs!$B$19:$D$19,1,MATCH(A138,Inputs!$B$6:$D$6,0)),IF(INDEX(Roster!$D$6:$D$108,MATCH(D138,Roster!$A$6:$A$108,0))&gt;=20,INDEX(Inputs!$B$18:$D$18,1,MATCH(A138,Inputs!$B$6:$D$6,0)),IF(INDEX(Roster!$D$6:$D$108,MATCH(D138,Roster!$A$6:$A$108,0))&gt;=15,INDEX(Inputs!$B$17:$D$17,1,MATCH(A138,Inputs!$B$6:$D$6,0)),IF(INDEX(Roster!$D$6:$D$108,MATCH(D138,Roster!$A$6:$A$108,0))&gt;=10,INDEX(Inputs!$B$16:$D$16,1,MATCH(A138,Inputs!$B$6:$D$6,0)),IF(INDEX(Roster!$D$6:$D$108,MATCH(D138,Roster!$A$6:$A$108,0))&gt;=5,INDEX(Inputs!$B$15:$D$15,1,MATCH(A138,Inputs!$B$6:$D$6,0)),0)))))</x:f>
        <x:v>90</x:v>
      </x:c>
      <x:c r="M138" s="20" t="n">
        <x:f>G138*I138</x:f>
        <x:v>31135</x:v>
      </x:c>
      <x:c r="N138" s="20" t="n">
        <x:f>G138*J138</x:f>
        <x:v>520</x:v>
      </x:c>
      <x:c r="O138" s="20" t="n">
        <x:f>G138*K138</x:f>
        <x:v>0</x:v>
      </x:c>
      <x:c r="P138" s="20" t="n">
        <x:f>G138*L138</x:f>
        <x:v>1170</x:v>
      </x:c>
      <x:c r="Q138" s="20" t="n">
        <x:f>H138*INDEX(Inputs!$B$13:$D$13,1,MATCH(A138,Inputs!$B$6:$D$6,0))</x:f>
        <x:v>390</x:v>
      </x:c>
      <x:c r="R138" s="20" t="n">
        <x:f>SUM(M138:Q138)</x:f>
        <x:v>33215</x:v>
      </x:c>
      <x:c r="S138" s="20" t="n">
        <x:f>IF(AND(A137=A138,D137=D138),S137+R138,R138)</x:f>
        <x:v>33215</x:v>
      </x:c>
      <x:c r="T138" s="20" t="n">
        <x:f>MIN(S138,INDEX(Inputs!$B$20:$D$20,1,MATCH(A138,Inputs!$B$6:$D$6,0)))*INDEX(Inputs!$B$22:$D$22,1,MATCH(A138,Inputs!$B$6:$D$6,0))+MAX(MIN(S138,INDEX(Inputs!$B$21:$D$21,1,MATCH(A138,Inputs!$B$6:$D$6,0)))-INDEX(Inputs!$B$20:$D$20,1,MATCH(A138,Inputs!$B$6:$D$6,0)),0)*INDEX(Inputs!$B$23:$D$23,1,MATCH(A138,Inputs!$B$6:$D$6,0))+MAX(S138-INDEX(Inputs!$B$21:$D$21,1,MATCH(A138,Inputs!$B$6:$D$6,0)),0)*INDEX(Inputs!$B$24:$D$24,1,MATCH(A138,Inputs!$B$6:$D$6,0))</x:f>
        <x:v>3030.9475</x:v>
      </x:c>
      <x:c r="U138" s="20" t="n">
        <x:f>IF(AND(A137=A138,D137=D138),T137,0)</x:f>
        <x:v>0</x:v>
      </x:c>
      <x:c r="V138" s="20" t="n">
        <x:f>T138-U138</x:f>
        <x:v>3030.9475</x:v>
      </x:c>
      <x:c r="W138" s="20" t="n">
        <x:f>R138+V138</x:f>
        <x:v>36245.9475</x:v>
      </x:c>
      <x:c r="X138" s="14" t="str">
        <x:f>IF(ABS(W138-SUM(M138:Q138)-V138)&lt;0.01,"OK","Check")</x:f>
        <x:v>OK</x:v>
      </x:c>
    </x:row>
    <x:row r="139">
      <x:c r="A139" s="14" t="n">
        <x:v>2026</x:v>
      </x:c>
      <x:c r="B139" s="14" t="str">
        <x:v>Q2</x:v>
      </x:c>
      <x:c r="C139" s="14" t="n">
        <x:v>2</x:v>
      </x:c>
      <x:c r="D139" s="14" t="n">
        <x:v>34</x:v>
      </x:c>
      <x:c r="E139" s="14" t="str">
        <x:f>INDEX(Roster!$B$6:$B$108,MATCH(D139,Roster!$A$6:$A$108,0))</x:f>
      </x:c>
      <x:c r="F139" s="14" t="str">
        <x:f>INDEX(Roster!$F$6:$F$108,MATCH(D139,Roster!$A$6:$A$108,0))</x:f>
        <x:v>No</x:v>
      </x:c>
      <x:c r="G139" s="14" t="n">
        <x:f>INDEX(Inputs!$B$7:$D$7,1,MATCH(A139,Inputs!$B$6:$D$6,0))</x:f>
        <x:v>13</x:v>
      </x:c>
      <x:c r="H139" s="14" t="n">
        <x:f>MIN(=INDEX(Inputs!$B$7:$D$7,1,MATCH(A139,Inputs!$B$6:$D$6,0)),MAX(0,INDEX(Inputs!$B$14:$D$14,1,MATCH(A139,Inputs!$B$6:$D$6,0))-(C139-1)*=INDEX(Inputs!$B$7:$D$7,1,MATCH(A139,Inputs!$B$6:$D$6,0))))</x:f>
        <x:v>13</x:v>
      </x:c>
      <x:c r="I139" s="20" t="n">
        <x:f>INDEX(Inputs!$B$8:$D$8,1,MATCH(A139,Inputs!$B$6:$D$6,0))</x:f>
        <x:v>2395</x:v>
      </x:c>
      <x:c r="J139" s="20" t="n">
        <x:f>INDEX(Roster!$C$6:$C$108,MATCH(D139,Roster!$A$6:$A$108,0))*(1+INDEX(Inputs!$B$9:$D$9,1,MATCH(A139,Inputs!$B$6:$D$6,0)))</x:f>
        <x:v>40</x:v>
      </x:c>
      <x:c r="K139" s="20" t="n">
        <x:f>IF(=INDEX(Roster!$F$6:$F$108,MATCH(D139,Roster!$A$6:$A$108,0))="Yes",0,=INDEX(Inputs!$B$8:$D$8,1,MATCH(A139,Inputs!$B$6:$D$6,0))*IF(=INDEX(Roster!$B$6:$B$108,MATCH(D139,Roster!$A$6:$A$108,0))="Principal",INDEX(Inputs!$B$10:$D$10,1,MATCH(A139,Inputs!$B$6:$D$6,0)),IF(=INDEX(Roster!$B$6:$B$108,MATCH(D139,Roster!$A$6:$A$108,0))="Associate Principal",INDEX(Inputs!$B$11:$D$11,1,MATCH(A139,Inputs!$B$6:$D$6,0)),IF(=INDEX(Roster!$B$6:$B$108,MATCH(D139,Roster!$A$6:$A$108,0))="Assistant Principal",INDEX(Inputs!$B$12:$D$12,1,MATCH(A139,Inputs!$B$6:$D$6,0)),0))))</x:f>
        <x:v>0</x:v>
      </x:c>
      <x:c r="L139" s="20" t="n">
        <x:f>IF(INDEX(Roster!$D$6:$D$108,MATCH(D139,Roster!$A$6:$A$108,0))&gt;=25,INDEX(Inputs!$B$19:$D$19,1,MATCH(A139,Inputs!$B$6:$D$6,0)),IF(INDEX(Roster!$D$6:$D$108,MATCH(D139,Roster!$A$6:$A$108,0))&gt;=20,INDEX(Inputs!$B$18:$D$18,1,MATCH(A139,Inputs!$B$6:$D$6,0)),IF(INDEX(Roster!$D$6:$D$108,MATCH(D139,Roster!$A$6:$A$108,0))&gt;=15,INDEX(Inputs!$B$17:$D$17,1,MATCH(A139,Inputs!$B$6:$D$6,0)),IF(INDEX(Roster!$D$6:$D$108,MATCH(D139,Roster!$A$6:$A$108,0))&gt;=10,INDEX(Inputs!$B$16:$D$16,1,MATCH(A139,Inputs!$B$6:$D$6,0)),IF(INDEX(Roster!$D$6:$D$108,MATCH(D139,Roster!$A$6:$A$108,0))&gt;=5,INDEX(Inputs!$B$15:$D$15,1,MATCH(A139,Inputs!$B$6:$D$6,0)),0)))))</x:f>
        <x:v>90</x:v>
      </x:c>
      <x:c r="M139" s="20" t="n">
        <x:f>G139*I139</x:f>
        <x:v>31135</x:v>
      </x:c>
      <x:c r="N139" s="20" t="n">
        <x:f>G139*J139</x:f>
        <x:v>520</x:v>
      </x:c>
      <x:c r="O139" s="20" t="n">
        <x:f>G139*K139</x:f>
        <x:v>0</x:v>
      </x:c>
      <x:c r="P139" s="20" t="n">
        <x:f>G139*L139</x:f>
        <x:v>1170</x:v>
      </x:c>
      <x:c r="Q139" s="20" t="n">
        <x:f>H139*INDEX(Inputs!$B$13:$D$13,1,MATCH(A139,Inputs!$B$6:$D$6,0))</x:f>
        <x:v>390</x:v>
      </x:c>
      <x:c r="R139" s="20" t="n">
        <x:f>SUM(M139:Q139)</x:f>
        <x:v>33215</x:v>
      </x:c>
      <x:c r="S139" s="20" t="n">
        <x:f>IF(AND(A138=A139,D138=D139),S138+R139,R139)</x:f>
        <x:v>66430</x:v>
      </x:c>
      <x:c r="T139" s="20" t="n">
        <x:f>MIN(S139,INDEX(Inputs!$B$20:$D$20,1,MATCH(A139,Inputs!$B$6:$D$6,0)))*INDEX(Inputs!$B$22:$D$22,1,MATCH(A139,Inputs!$B$6:$D$6,0))+MAX(MIN(S139,INDEX(Inputs!$B$21:$D$21,1,MATCH(A139,Inputs!$B$6:$D$6,0)))-INDEX(Inputs!$B$20:$D$20,1,MATCH(A139,Inputs!$B$6:$D$6,0)),0)*INDEX(Inputs!$B$23:$D$23,1,MATCH(A139,Inputs!$B$6:$D$6,0))+MAX(S139-INDEX(Inputs!$B$21:$D$21,1,MATCH(A139,Inputs!$B$6:$D$6,0)),0)*INDEX(Inputs!$B$24:$D$24,1,MATCH(A139,Inputs!$B$6:$D$6,0))</x:f>
        <x:v>5571.8949999999995</x:v>
      </x:c>
      <x:c r="U139" s="20" t="n">
        <x:f>IF(AND(A138=A139,D138=D139),T138,0)</x:f>
        <x:v>3030.9475</x:v>
      </x:c>
      <x:c r="V139" s="20" t="n">
        <x:f>T139-U139</x:f>
        <x:v>2540.9474999999993</x:v>
      </x:c>
      <x:c r="W139" s="20" t="n">
        <x:f>R139+V139</x:f>
        <x:v>35755.9475</x:v>
      </x:c>
      <x:c r="X139" s="14" t="str">
        <x:f>IF(ABS(W139-SUM(M139:Q139)-V139)&lt;0.01,"OK","Check")</x:f>
        <x:v>OK</x:v>
      </x:c>
    </x:row>
    <x:row r="140">
      <x:c r="A140" s="14" t="n">
        <x:v>2026</x:v>
      </x:c>
      <x:c r="B140" s="14" t="str">
        <x:v>Q3</x:v>
      </x:c>
      <x:c r="C140" s="14" t="n">
        <x:v>3</x:v>
      </x:c>
      <x:c r="D140" s="14" t="n">
        <x:v>34</x:v>
      </x:c>
      <x:c r="E140" s="14" t="str">
        <x:f>INDEX(Roster!$B$6:$B$108,MATCH(D140,Roster!$A$6:$A$108,0))</x:f>
      </x:c>
      <x:c r="F140" s="14" t="str">
        <x:f>INDEX(Roster!$F$6:$F$108,MATCH(D140,Roster!$A$6:$A$108,0))</x:f>
        <x:v>No</x:v>
      </x:c>
      <x:c r="G140" s="14" t="n">
        <x:f>INDEX(Inputs!$B$7:$D$7,1,MATCH(A140,Inputs!$B$6:$D$6,0))</x:f>
        <x:v>13</x:v>
      </x:c>
      <x:c r="H140" s="14" t="n">
        <x:f>MIN(=INDEX(Inputs!$B$7:$D$7,1,MATCH(A140,Inputs!$B$6:$D$6,0)),MAX(0,INDEX(Inputs!$B$14:$D$14,1,MATCH(A140,Inputs!$B$6:$D$6,0))-(C140-1)*=INDEX(Inputs!$B$7:$D$7,1,MATCH(A140,Inputs!$B$6:$D$6,0))))</x:f>
        <x:v>13</x:v>
      </x:c>
      <x:c r="I140" s="20" t="n">
        <x:f>INDEX(Inputs!$B$8:$D$8,1,MATCH(A140,Inputs!$B$6:$D$6,0))</x:f>
        <x:v>2395</x:v>
      </x:c>
      <x:c r="J140" s="20" t="n">
        <x:f>INDEX(Roster!$C$6:$C$108,MATCH(D140,Roster!$A$6:$A$108,0))*(1+INDEX(Inputs!$B$9:$D$9,1,MATCH(A140,Inputs!$B$6:$D$6,0)))</x:f>
        <x:v>40</x:v>
      </x:c>
      <x:c r="K140" s="20" t="n">
        <x:f>IF(=INDEX(Roster!$F$6:$F$108,MATCH(D140,Roster!$A$6:$A$108,0))="Yes",0,=INDEX(Inputs!$B$8:$D$8,1,MATCH(A140,Inputs!$B$6:$D$6,0))*IF(=INDEX(Roster!$B$6:$B$108,MATCH(D140,Roster!$A$6:$A$108,0))="Principal",INDEX(Inputs!$B$10:$D$10,1,MATCH(A140,Inputs!$B$6:$D$6,0)),IF(=INDEX(Roster!$B$6:$B$108,MATCH(D140,Roster!$A$6:$A$108,0))="Associate Principal",INDEX(Inputs!$B$11:$D$11,1,MATCH(A140,Inputs!$B$6:$D$6,0)),IF(=INDEX(Roster!$B$6:$B$108,MATCH(D140,Roster!$A$6:$A$108,0))="Assistant Principal",INDEX(Inputs!$B$12:$D$12,1,MATCH(A140,Inputs!$B$6:$D$6,0)),0))))</x:f>
        <x:v>0</x:v>
      </x:c>
      <x:c r="L140" s="20" t="n">
        <x:f>IF(INDEX(Roster!$D$6:$D$108,MATCH(D140,Roster!$A$6:$A$108,0))&gt;=25,INDEX(Inputs!$B$19:$D$19,1,MATCH(A140,Inputs!$B$6:$D$6,0)),IF(INDEX(Roster!$D$6:$D$108,MATCH(D140,Roster!$A$6:$A$108,0))&gt;=20,INDEX(Inputs!$B$18:$D$18,1,MATCH(A140,Inputs!$B$6:$D$6,0)),IF(INDEX(Roster!$D$6:$D$108,MATCH(D140,Roster!$A$6:$A$108,0))&gt;=15,INDEX(Inputs!$B$17:$D$17,1,MATCH(A140,Inputs!$B$6:$D$6,0)),IF(INDEX(Roster!$D$6:$D$108,MATCH(D140,Roster!$A$6:$A$108,0))&gt;=10,INDEX(Inputs!$B$16:$D$16,1,MATCH(A140,Inputs!$B$6:$D$6,0)),IF(INDEX(Roster!$D$6:$D$108,MATCH(D140,Roster!$A$6:$A$108,0))&gt;=5,INDEX(Inputs!$B$15:$D$15,1,MATCH(A140,Inputs!$B$6:$D$6,0)),0)))))</x:f>
        <x:v>90</x:v>
      </x:c>
      <x:c r="M140" s="20" t="n">
        <x:f>G140*I140</x:f>
        <x:v>31135</x:v>
      </x:c>
      <x:c r="N140" s="20" t="n">
        <x:f>G140*J140</x:f>
        <x:v>520</x:v>
      </x:c>
      <x:c r="O140" s="20" t="n">
        <x:f>G140*K140</x:f>
        <x:v>0</x:v>
      </x:c>
      <x:c r="P140" s="20" t="n">
        <x:f>G140*L140</x:f>
        <x:v>1170</x:v>
      </x:c>
      <x:c r="Q140" s="20" t="n">
        <x:f>H140*INDEX(Inputs!$B$13:$D$13,1,MATCH(A140,Inputs!$B$6:$D$6,0))</x:f>
        <x:v>390</x:v>
      </x:c>
      <x:c r="R140" s="20" t="n">
        <x:f>SUM(M140:Q140)</x:f>
        <x:v>33215</x:v>
      </x:c>
      <x:c r="S140" s="20" t="n">
        <x:f>IF(AND(A139=A140,D139=D140),S139+R140,R140)</x:f>
        <x:v>99645</x:v>
      </x:c>
      <x:c r="T140" s="20" t="n">
        <x:f>MIN(S140,INDEX(Inputs!$B$20:$D$20,1,MATCH(A140,Inputs!$B$6:$D$6,0)))*INDEX(Inputs!$B$22:$D$22,1,MATCH(A140,Inputs!$B$6:$D$6,0))+MAX(MIN(S140,INDEX(Inputs!$B$21:$D$21,1,MATCH(A140,Inputs!$B$6:$D$6,0)))-INDEX(Inputs!$B$20:$D$20,1,MATCH(A140,Inputs!$B$6:$D$6,0)),0)*INDEX(Inputs!$B$23:$D$23,1,MATCH(A140,Inputs!$B$6:$D$6,0))+MAX(S140-INDEX(Inputs!$B$21:$D$21,1,MATCH(A140,Inputs!$B$6:$D$6,0)),0)*INDEX(Inputs!$B$24:$D$24,1,MATCH(A140,Inputs!$B$6:$D$6,0))</x:f>
        <x:v>8112.8425</x:v>
      </x:c>
      <x:c r="U140" s="20" t="n">
        <x:f>IF(AND(A139=A140,D139=D140),T139,0)</x:f>
        <x:v>5571.8949999999995</x:v>
      </x:c>
      <x:c r="V140" s="20" t="n">
        <x:f>T140-U140</x:f>
        <x:v>2540.9475</x:v>
      </x:c>
      <x:c r="W140" s="20" t="n">
        <x:f>R140+V140</x:f>
        <x:v>35755.9475</x:v>
      </x:c>
      <x:c r="X140" s="14" t="str">
        <x:f>IF(ABS(W140-SUM(M140:Q140)-V140)&lt;0.01,"OK","Check")</x:f>
        <x:v>OK</x:v>
      </x:c>
    </x:row>
    <x:row r="141">
      <x:c r="A141" s="14" t="n">
        <x:v>2026</x:v>
      </x:c>
      <x:c r="B141" s="14" t="str">
        <x:v>Q4</x:v>
      </x:c>
      <x:c r="C141" s="14" t="n">
        <x:v>4</x:v>
      </x:c>
      <x:c r="D141" s="14" t="n">
        <x:v>34</x:v>
      </x:c>
      <x:c r="E141" s="14" t="str">
        <x:f>INDEX(Roster!$B$6:$B$108,MATCH(D141,Roster!$A$6:$A$108,0))</x:f>
      </x:c>
      <x:c r="F141" s="14" t="str">
        <x:f>INDEX(Roster!$F$6:$F$108,MATCH(D141,Roster!$A$6:$A$108,0))</x:f>
        <x:v>No</x:v>
      </x:c>
      <x:c r="G141" s="14" t="n">
        <x:f>INDEX(Inputs!$B$7:$D$7,1,MATCH(A141,Inputs!$B$6:$D$6,0))</x:f>
        <x:v>13</x:v>
      </x:c>
      <x:c r="H141" s="14" t="n">
        <x:f>MIN(=INDEX(Inputs!$B$7:$D$7,1,MATCH(A141,Inputs!$B$6:$D$6,0)),MAX(0,INDEX(Inputs!$B$14:$D$14,1,MATCH(A141,Inputs!$B$6:$D$6,0))-(C141-1)*=INDEX(Inputs!$B$7:$D$7,1,MATCH(A141,Inputs!$B$6:$D$6,0))))</x:f>
        <x:v>0</x:v>
      </x:c>
      <x:c r="I141" s="20" t="n">
        <x:f>INDEX(Inputs!$B$8:$D$8,1,MATCH(A141,Inputs!$B$6:$D$6,0))</x:f>
        <x:v>2395</x:v>
      </x:c>
      <x:c r="J141" s="20" t="n">
        <x:f>INDEX(Roster!$C$6:$C$108,MATCH(D141,Roster!$A$6:$A$108,0))*(1+INDEX(Inputs!$B$9:$D$9,1,MATCH(A141,Inputs!$B$6:$D$6,0)))</x:f>
        <x:v>40</x:v>
      </x:c>
      <x:c r="K141" s="20" t="n">
        <x:f>IF(=INDEX(Roster!$F$6:$F$108,MATCH(D141,Roster!$A$6:$A$108,0))="Yes",0,=INDEX(Inputs!$B$8:$D$8,1,MATCH(A141,Inputs!$B$6:$D$6,0))*IF(=INDEX(Roster!$B$6:$B$108,MATCH(D141,Roster!$A$6:$A$108,0))="Principal",INDEX(Inputs!$B$10:$D$10,1,MATCH(A141,Inputs!$B$6:$D$6,0)),IF(=INDEX(Roster!$B$6:$B$108,MATCH(D141,Roster!$A$6:$A$108,0))="Associate Principal",INDEX(Inputs!$B$11:$D$11,1,MATCH(A141,Inputs!$B$6:$D$6,0)),IF(=INDEX(Roster!$B$6:$B$108,MATCH(D141,Roster!$A$6:$A$108,0))="Assistant Principal",INDEX(Inputs!$B$12:$D$12,1,MATCH(A141,Inputs!$B$6:$D$6,0)),0))))</x:f>
        <x:v>0</x:v>
      </x:c>
      <x:c r="L141" s="20" t="n">
        <x:f>IF(INDEX(Roster!$D$6:$D$108,MATCH(D141,Roster!$A$6:$A$108,0))&gt;=25,INDEX(Inputs!$B$19:$D$19,1,MATCH(A141,Inputs!$B$6:$D$6,0)),IF(INDEX(Roster!$D$6:$D$108,MATCH(D141,Roster!$A$6:$A$108,0))&gt;=20,INDEX(Inputs!$B$18:$D$18,1,MATCH(A141,Inputs!$B$6:$D$6,0)),IF(INDEX(Roster!$D$6:$D$108,MATCH(D141,Roster!$A$6:$A$108,0))&gt;=15,INDEX(Inputs!$B$17:$D$17,1,MATCH(A141,Inputs!$B$6:$D$6,0)),IF(INDEX(Roster!$D$6:$D$108,MATCH(D141,Roster!$A$6:$A$108,0))&gt;=10,INDEX(Inputs!$B$16:$D$16,1,MATCH(A141,Inputs!$B$6:$D$6,0)),IF(INDEX(Roster!$D$6:$D$108,MATCH(D141,Roster!$A$6:$A$108,0))&gt;=5,INDEX(Inputs!$B$15:$D$15,1,MATCH(A141,Inputs!$B$6:$D$6,0)),0)))))</x:f>
        <x:v>90</x:v>
      </x:c>
      <x:c r="M141" s="20" t="n">
        <x:f>G141*I141</x:f>
        <x:v>31135</x:v>
      </x:c>
      <x:c r="N141" s="20" t="n">
        <x:f>G141*J141</x:f>
        <x:v>520</x:v>
      </x:c>
      <x:c r="O141" s="20" t="n">
        <x:f>G141*K141</x:f>
        <x:v>0</x:v>
      </x:c>
      <x:c r="P141" s="20" t="n">
        <x:f>G141*L141</x:f>
        <x:v>1170</x:v>
      </x:c>
      <x:c r="Q141" s="20" t="n">
        <x:f>H141*INDEX(Inputs!$B$13:$D$13,1,MATCH(A141,Inputs!$B$6:$D$6,0))</x:f>
        <x:v>0</x:v>
      </x:c>
      <x:c r="R141" s="20" t="n">
        <x:f>SUM(M141:Q141)</x:f>
        <x:v>32825</x:v>
      </x:c>
      <x:c r="S141" s="20" t="n">
        <x:f>IF(AND(A140=A141,D140=D141),S140+R141,R141)</x:f>
        <x:v>132470</x:v>
      </x:c>
      <x:c r="T141" s="20" t="n">
        <x:f>MIN(S141,INDEX(Inputs!$B$20:$D$20,1,MATCH(A141,Inputs!$B$6:$D$6,0)))*INDEX(Inputs!$B$22:$D$22,1,MATCH(A141,Inputs!$B$6:$D$6,0))+MAX(MIN(S141,INDEX(Inputs!$B$21:$D$21,1,MATCH(A141,Inputs!$B$6:$D$6,0)))-INDEX(Inputs!$B$20:$D$20,1,MATCH(A141,Inputs!$B$6:$D$6,0)),0)*INDEX(Inputs!$B$23:$D$23,1,MATCH(A141,Inputs!$B$6:$D$6,0))+MAX(S141-INDEX(Inputs!$B$21:$D$21,1,MATCH(A141,Inputs!$B$6:$D$6,0)),0)*INDEX(Inputs!$B$24:$D$24,1,MATCH(A141,Inputs!$B$6:$D$6,0))</x:f>
        <x:v>9834.757</x:v>
      </x:c>
      <x:c r="U141" s="20" t="n">
        <x:f>IF(AND(A140=A141,D140=D141),T140,0)</x:f>
        <x:v>8112.8425</x:v>
      </x:c>
      <x:c r="V141" s="20" t="n">
        <x:f>T141-U141</x:f>
        <x:v>1721.9144999999999</x:v>
      </x:c>
      <x:c r="W141" s="20" t="n">
        <x:f>R141+V141</x:f>
        <x:v>34546.9145</x:v>
      </x:c>
      <x:c r="X141" s="14" t="str">
        <x:f>IF(ABS(W141-SUM(M141:Q141)-V141)&lt;0.01,"OK","Check")</x:f>
        <x:v>OK</x:v>
      </x:c>
    </x:row>
    <x:row r="142">
      <x:c r="A142" s="14" t="n">
        <x:v>2026</x:v>
      </x:c>
      <x:c r="B142" s="14" t="str">
        <x:v>Q1</x:v>
      </x:c>
      <x:c r="C142" s="14" t="n">
        <x:v>1</x:v>
      </x:c>
      <x:c r="D142" s="14" t="n">
        <x:v>35</x:v>
      </x:c>
      <x:c r="E142" s="14" t="str">
        <x:f>INDEX(Roster!$B$6:$B$108,MATCH(D142,Roster!$A$6:$A$108,0))</x:f>
      </x:c>
      <x:c r="F142" s="14" t="str">
        <x:f>INDEX(Roster!$F$6:$F$108,MATCH(D142,Roster!$A$6:$A$108,0))</x:f>
        <x:v>No</x:v>
      </x:c>
      <x:c r="G142" s="14" t="n">
        <x:f>INDEX(Inputs!$B$7:$D$7,1,MATCH(A142,Inputs!$B$6:$D$6,0))</x:f>
        <x:v>13</x:v>
      </x:c>
      <x:c r="H142" s="14" t="n">
        <x:f>MIN(=INDEX(Inputs!$B$7:$D$7,1,MATCH(A142,Inputs!$B$6:$D$6,0)),MAX(0,INDEX(Inputs!$B$14:$D$14,1,MATCH(A142,Inputs!$B$6:$D$6,0))-(C142-1)*=INDEX(Inputs!$B$7:$D$7,1,MATCH(A142,Inputs!$B$6:$D$6,0))))</x:f>
        <x:v>13</x:v>
      </x:c>
      <x:c r="I142" s="20" t="n">
        <x:f>INDEX(Inputs!$B$8:$D$8,1,MATCH(A142,Inputs!$B$6:$D$6,0))</x:f>
        <x:v>2395</x:v>
      </x:c>
      <x:c r="J142" s="20" t="n">
        <x:f>INDEX(Roster!$C$6:$C$108,MATCH(D142,Roster!$A$6:$A$108,0))*(1+INDEX(Inputs!$B$9:$D$9,1,MATCH(A142,Inputs!$B$6:$D$6,0)))</x:f>
        <x:v>30</x:v>
      </x:c>
      <x:c r="K142" s="20" t="n">
        <x:f>IF(=INDEX(Roster!$F$6:$F$108,MATCH(D142,Roster!$A$6:$A$108,0))="Yes",0,=INDEX(Inputs!$B$8:$D$8,1,MATCH(A142,Inputs!$B$6:$D$6,0))*IF(=INDEX(Roster!$B$6:$B$108,MATCH(D142,Roster!$A$6:$A$108,0))="Principal",INDEX(Inputs!$B$10:$D$10,1,MATCH(A142,Inputs!$B$6:$D$6,0)),IF(=INDEX(Roster!$B$6:$B$108,MATCH(D142,Roster!$A$6:$A$108,0))="Associate Principal",INDEX(Inputs!$B$11:$D$11,1,MATCH(A142,Inputs!$B$6:$D$6,0)),IF(=INDEX(Roster!$B$6:$B$108,MATCH(D142,Roster!$A$6:$A$108,0))="Assistant Principal",INDEX(Inputs!$B$12:$D$12,1,MATCH(A142,Inputs!$B$6:$D$6,0)),0))))</x:f>
        <x:v>0</x:v>
      </x:c>
      <x:c r="L142" s="20" t="n">
        <x:f>IF(INDEX(Roster!$D$6:$D$108,MATCH(D142,Roster!$A$6:$A$108,0))&gt;=25,INDEX(Inputs!$B$19:$D$19,1,MATCH(A142,Inputs!$B$6:$D$6,0)),IF(INDEX(Roster!$D$6:$D$108,MATCH(D142,Roster!$A$6:$A$108,0))&gt;=20,INDEX(Inputs!$B$18:$D$18,1,MATCH(A142,Inputs!$B$6:$D$6,0)),IF(INDEX(Roster!$D$6:$D$108,MATCH(D142,Roster!$A$6:$A$108,0))&gt;=15,INDEX(Inputs!$B$17:$D$17,1,MATCH(A142,Inputs!$B$6:$D$6,0)),IF(INDEX(Roster!$D$6:$D$108,MATCH(D142,Roster!$A$6:$A$108,0))&gt;=10,INDEX(Inputs!$B$16:$D$16,1,MATCH(A142,Inputs!$B$6:$D$6,0)),IF(INDEX(Roster!$D$6:$D$108,MATCH(D142,Roster!$A$6:$A$108,0))&gt;=5,INDEX(Inputs!$B$15:$D$15,1,MATCH(A142,Inputs!$B$6:$D$6,0)),0)))))</x:f>
        <x:v>0</x:v>
      </x:c>
      <x:c r="M142" s="20" t="n">
        <x:f>G142*I142</x:f>
        <x:v>31135</x:v>
      </x:c>
      <x:c r="N142" s="20" t="n">
        <x:f>G142*J142</x:f>
        <x:v>390</x:v>
      </x:c>
      <x:c r="O142" s="20" t="n">
        <x:f>G142*K142</x:f>
        <x:v>0</x:v>
      </x:c>
      <x:c r="P142" s="20" t="n">
        <x:f>G142*L142</x:f>
        <x:v>0</x:v>
      </x:c>
      <x:c r="Q142" s="20" t="n">
        <x:f>H142*INDEX(Inputs!$B$13:$D$13,1,MATCH(A142,Inputs!$B$6:$D$6,0))</x:f>
        <x:v>390</x:v>
      </x:c>
      <x:c r="R142" s="20" t="n">
        <x:f>SUM(M142:Q142)</x:f>
        <x:v>31915</x:v>
      </x:c>
      <x:c r="S142" s="20" t="n">
        <x:f>IF(AND(A141=A142,D141=D142),S141+R142,R142)</x:f>
        <x:v>31915</x:v>
      </x:c>
      <x:c r="T142" s="20" t="n">
        <x:f>MIN(S142,INDEX(Inputs!$B$20:$D$20,1,MATCH(A142,Inputs!$B$6:$D$6,0)))*INDEX(Inputs!$B$22:$D$22,1,MATCH(A142,Inputs!$B$6:$D$6,0))+MAX(MIN(S142,INDEX(Inputs!$B$21:$D$21,1,MATCH(A142,Inputs!$B$6:$D$6,0)))-INDEX(Inputs!$B$20:$D$20,1,MATCH(A142,Inputs!$B$6:$D$6,0)),0)*INDEX(Inputs!$B$23:$D$23,1,MATCH(A142,Inputs!$B$6:$D$6,0))+MAX(S142-INDEX(Inputs!$B$21:$D$21,1,MATCH(A142,Inputs!$B$6:$D$6,0)),0)*INDEX(Inputs!$B$24:$D$24,1,MATCH(A142,Inputs!$B$6:$D$6,0))</x:f>
        <x:v>2931.4975</x:v>
      </x:c>
      <x:c r="U142" s="20" t="n">
        <x:f>IF(AND(A141=A142,D141=D142),T141,0)</x:f>
        <x:v>0</x:v>
      </x:c>
      <x:c r="V142" s="20" t="n">
        <x:f>T142-U142</x:f>
        <x:v>2931.4975</x:v>
      </x:c>
      <x:c r="W142" s="20" t="n">
        <x:f>R142+V142</x:f>
        <x:v>34846.4975</x:v>
      </x:c>
      <x:c r="X142" s="14" t="str">
        <x:f>IF(ABS(W142-SUM(M142:Q142)-V142)&lt;0.01,"OK","Check")</x:f>
        <x:v>OK</x:v>
      </x:c>
    </x:row>
    <x:row r="143">
      <x:c r="A143" s="14" t="n">
        <x:v>2026</x:v>
      </x:c>
      <x:c r="B143" s="14" t="str">
        <x:v>Q2</x:v>
      </x:c>
      <x:c r="C143" s="14" t="n">
        <x:v>2</x:v>
      </x:c>
      <x:c r="D143" s="14" t="n">
        <x:v>35</x:v>
      </x:c>
      <x:c r="E143" s="14" t="str">
        <x:f>INDEX(Roster!$B$6:$B$108,MATCH(D143,Roster!$A$6:$A$108,0))</x:f>
      </x:c>
      <x:c r="F143" s="14" t="str">
        <x:f>INDEX(Roster!$F$6:$F$108,MATCH(D143,Roster!$A$6:$A$108,0))</x:f>
        <x:v>No</x:v>
      </x:c>
      <x:c r="G143" s="14" t="n">
        <x:f>INDEX(Inputs!$B$7:$D$7,1,MATCH(A143,Inputs!$B$6:$D$6,0))</x:f>
        <x:v>13</x:v>
      </x:c>
      <x:c r="H143" s="14" t="n">
        <x:f>MIN(=INDEX(Inputs!$B$7:$D$7,1,MATCH(A143,Inputs!$B$6:$D$6,0)),MAX(0,INDEX(Inputs!$B$14:$D$14,1,MATCH(A143,Inputs!$B$6:$D$6,0))-(C143-1)*=INDEX(Inputs!$B$7:$D$7,1,MATCH(A143,Inputs!$B$6:$D$6,0))))</x:f>
        <x:v>13</x:v>
      </x:c>
      <x:c r="I143" s="20" t="n">
        <x:f>INDEX(Inputs!$B$8:$D$8,1,MATCH(A143,Inputs!$B$6:$D$6,0))</x:f>
        <x:v>2395</x:v>
      </x:c>
      <x:c r="J143" s="20" t="n">
        <x:f>INDEX(Roster!$C$6:$C$108,MATCH(D143,Roster!$A$6:$A$108,0))*(1+INDEX(Inputs!$B$9:$D$9,1,MATCH(A143,Inputs!$B$6:$D$6,0)))</x:f>
        <x:v>30</x:v>
      </x:c>
      <x:c r="K143" s="20" t="n">
        <x:f>IF(=INDEX(Roster!$F$6:$F$108,MATCH(D143,Roster!$A$6:$A$108,0))="Yes",0,=INDEX(Inputs!$B$8:$D$8,1,MATCH(A143,Inputs!$B$6:$D$6,0))*IF(=INDEX(Roster!$B$6:$B$108,MATCH(D143,Roster!$A$6:$A$108,0))="Principal",INDEX(Inputs!$B$10:$D$10,1,MATCH(A143,Inputs!$B$6:$D$6,0)),IF(=INDEX(Roster!$B$6:$B$108,MATCH(D143,Roster!$A$6:$A$108,0))="Associate Principal",INDEX(Inputs!$B$11:$D$11,1,MATCH(A143,Inputs!$B$6:$D$6,0)),IF(=INDEX(Roster!$B$6:$B$108,MATCH(D143,Roster!$A$6:$A$108,0))="Assistant Principal",INDEX(Inputs!$B$12:$D$12,1,MATCH(A143,Inputs!$B$6:$D$6,0)),0))))</x:f>
        <x:v>0</x:v>
      </x:c>
      <x:c r="L143" s="20" t="n">
        <x:f>IF(INDEX(Roster!$D$6:$D$108,MATCH(D143,Roster!$A$6:$A$108,0))&gt;=25,INDEX(Inputs!$B$19:$D$19,1,MATCH(A143,Inputs!$B$6:$D$6,0)),IF(INDEX(Roster!$D$6:$D$108,MATCH(D143,Roster!$A$6:$A$108,0))&gt;=20,INDEX(Inputs!$B$18:$D$18,1,MATCH(A143,Inputs!$B$6:$D$6,0)),IF(INDEX(Roster!$D$6:$D$108,MATCH(D143,Roster!$A$6:$A$108,0))&gt;=15,INDEX(Inputs!$B$17:$D$17,1,MATCH(A143,Inputs!$B$6:$D$6,0)),IF(INDEX(Roster!$D$6:$D$108,MATCH(D143,Roster!$A$6:$A$108,0))&gt;=10,INDEX(Inputs!$B$16:$D$16,1,MATCH(A143,Inputs!$B$6:$D$6,0)),IF(INDEX(Roster!$D$6:$D$108,MATCH(D143,Roster!$A$6:$A$108,0))&gt;=5,INDEX(Inputs!$B$15:$D$15,1,MATCH(A143,Inputs!$B$6:$D$6,0)),0)))))</x:f>
        <x:v>0</x:v>
      </x:c>
      <x:c r="M143" s="20" t="n">
        <x:f>G143*I143</x:f>
        <x:v>31135</x:v>
      </x:c>
      <x:c r="N143" s="20" t="n">
        <x:f>G143*J143</x:f>
        <x:v>390</x:v>
      </x:c>
      <x:c r="O143" s="20" t="n">
        <x:f>G143*K143</x:f>
        <x:v>0</x:v>
      </x:c>
      <x:c r="P143" s="20" t="n">
        <x:f>G143*L143</x:f>
        <x:v>0</x:v>
      </x:c>
      <x:c r="Q143" s="20" t="n">
        <x:f>H143*INDEX(Inputs!$B$13:$D$13,1,MATCH(A143,Inputs!$B$6:$D$6,0))</x:f>
        <x:v>390</x:v>
      </x:c>
      <x:c r="R143" s="20" t="n">
        <x:f>SUM(M143:Q143)</x:f>
        <x:v>31915</x:v>
      </x:c>
      <x:c r="S143" s="20" t="n">
        <x:f>IF(AND(A142=A143,D142=D143),S142+R143,R143)</x:f>
        <x:v>63830</x:v>
      </x:c>
      <x:c r="T143" s="20" t="n">
        <x:f>MIN(S143,INDEX(Inputs!$B$20:$D$20,1,MATCH(A143,Inputs!$B$6:$D$6,0)))*INDEX(Inputs!$B$22:$D$22,1,MATCH(A143,Inputs!$B$6:$D$6,0))+MAX(MIN(S143,INDEX(Inputs!$B$21:$D$21,1,MATCH(A143,Inputs!$B$6:$D$6,0)))-INDEX(Inputs!$B$20:$D$20,1,MATCH(A143,Inputs!$B$6:$D$6,0)),0)*INDEX(Inputs!$B$23:$D$23,1,MATCH(A143,Inputs!$B$6:$D$6,0))+MAX(S143-INDEX(Inputs!$B$21:$D$21,1,MATCH(A143,Inputs!$B$6:$D$6,0)),0)*INDEX(Inputs!$B$24:$D$24,1,MATCH(A143,Inputs!$B$6:$D$6,0))</x:f>
        <x:v>5372.995</x:v>
      </x:c>
      <x:c r="U143" s="20" t="n">
        <x:f>IF(AND(A142=A143,D142=D143),T142,0)</x:f>
        <x:v>2931.4975</x:v>
      </x:c>
      <x:c r="V143" s="20" t="n">
        <x:f>T143-U143</x:f>
        <x:v>2441.4975</x:v>
      </x:c>
      <x:c r="W143" s="20" t="n">
        <x:f>R143+V143</x:f>
        <x:v>34356.4975</x:v>
      </x:c>
      <x:c r="X143" s="14" t="str">
        <x:f>IF(ABS(W143-SUM(M143:Q143)-V143)&lt;0.01,"OK","Check")</x:f>
        <x:v>OK</x:v>
      </x:c>
    </x:row>
    <x:row r="144">
      <x:c r="A144" s="14" t="n">
        <x:v>2026</x:v>
      </x:c>
      <x:c r="B144" s="14" t="str">
        <x:v>Q3</x:v>
      </x:c>
      <x:c r="C144" s="14" t="n">
        <x:v>3</x:v>
      </x:c>
      <x:c r="D144" s="14" t="n">
        <x:v>35</x:v>
      </x:c>
      <x:c r="E144" s="14" t="str">
        <x:f>INDEX(Roster!$B$6:$B$108,MATCH(D144,Roster!$A$6:$A$108,0))</x:f>
      </x:c>
      <x:c r="F144" s="14" t="str">
        <x:f>INDEX(Roster!$F$6:$F$108,MATCH(D144,Roster!$A$6:$A$108,0))</x:f>
        <x:v>No</x:v>
      </x:c>
      <x:c r="G144" s="14" t="n">
        <x:f>INDEX(Inputs!$B$7:$D$7,1,MATCH(A144,Inputs!$B$6:$D$6,0))</x:f>
        <x:v>13</x:v>
      </x:c>
      <x:c r="H144" s="14" t="n">
        <x:f>MIN(=INDEX(Inputs!$B$7:$D$7,1,MATCH(A144,Inputs!$B$6:$D$6,0)),MAX(0,INDEX(Inputs!$B$14:$D$14,1,MATCH(A144,Inputs!$B$6:$D$6,0))-(C144-1)*=INDEX(Inputs!$B$7:$D$7,1,MATCH(A144,Inputs!$B$6:$D$6,0))))</x:f>
        <x:v>13</x:v>
      </x:c>
      <x:c r="I144" s="20" t="n">
        <x:f>INDEX(Inputs!$B$8:$D$8,1,MATCH(A144,Inputs!$B$6:$D$6,0))</x:f>
        <x:v>2395</x:v>
      </x:c>
      <x:c r="J144" s="20" t="n">
        <x:f>INDEX(Roster!$C$6:$C$108,MATCH(D144,Roster!$A$6:$A$108,0))*(1+INDEX(Inputs!$B$9:$D$9,1,MATCH(A144,Inputs!$B$6:$D$6,0)))</x:f>
        <x:v>30</x:v>
      </x:c>
      <x:c r="K144" s="20" t="n">
        <x:f>IF(=INDEX(Roster!$F$6:$F$108,MATCH(D144,Roster!$A$6:$A$108,0))="Yes",0,=INDEX(Inputs!$B$8:$D$8,1,MATCH(A144,Inputs!$B$6:$D$6,0))*IF(=INDEX(Roster!$B$6:$B$108,MATCH(D144,Roster!$A$6:$A$108,0))="Principal",INDEX(Inputs!$B$10:$D$10,1,MATCH(A144,Inputs!$B$6:$D$6,0)),IF(=INDEX(Roster!$B$6:$B$108,MATCH(D144,Roster!$A$6:$A$108,0))="Associate Principal",INDEX(Inputs!$B$11:$D$11,1,MATCH(A144,Inputs!$B$6:$D$6,0)),IF(=INDEX(Roster!$B$6:$B$108,MATCH(D144,Roster!$A$6:$A$108,0))="Assistant Principal",INDEX(Inputs!$B$12:$D$12,1,MATCH(A144,Inputs!$B$6:$D$6,0)),0))))</x:f>
        <x:v>0</x:v>
      </x:c>
      <x:c r="L144" s="20" t="n">
        <x:f>IF(INDEX(Roster!$D$6:$D$108,MATCH(D144,Roster!$A$6:$A$108,0))&gt;=25,INDEX(Inputs!$B$19:$D$19,1,MATCH(A144,Inputs!$B$6:$D$6,0)),IF(INDEX(Roster!$D$6:$D$108,MATCH(D144,Roster!$A$6:$A$108,0))&gt;=20,INDEX(Inputs!$B$18:$D$18,1,MATCH(A144,Inputs!$B$6:$D$6,0)),IF(INDEX(Roster!$D$6:$D$108,MATCH(D144,Roster!$A$6:$A$108,0))&gt;=15,INDEX(Inputs!$B$17:$D$17,1,MATCH(A144,Inputs!$B$6:$D$6,0)),IF(INDEX(Roster!$D$6:$D$108,MATCH(D144,Roster!$A$6:$A$108,0))&gt;=10,INDEX(Inputs!$B$16:$D$16,1,MATCH(A144,Inputs!$B$6:$D$6,0)),IF(INDEX(Roster!$D$6:$D$108,MATCH(D144,Roster!$A$6:$A$108,0))&gt;=5,INDEX(Inputs!$B$15:$D$15,1,MATCH(A144,Inputs!$B$6:$D$6,0)),0)))))</x:f>
        <x:v>0</x:v>
      </x:c>
      <x:c r="M144" s="20" t="n">
        <x:f>G144*I144</x:f>
        <x:v>31135</x:v>
      </x:c>
      <x:c r="N144" s="20" t="n">
        <x:f>G144*J144</x:f>
        <x:v>390</x:v>
      </x:c>
      <x:c r="O144" s="20" t="n">
        <x:f>G144*K144</x:f>
        <x:v>0</x:v>
      </x:c>
      <x:c r="P144" s="20" t="n">
        <x:f>G144*L144</x:f>
        <x:v>0</x:v>
      </x:c>
      <x:c r="Q144" s="20" t="n">
        <x:f>H144*INDEX(Inputs!$B$13:$D$13,1,MATCH(A144,Inputs!$B$6:$D$6,0))</x:f>
        <x:v>390</x:v>
      </x:c>
      <x:c r="R144" s="20" t="n">
        <x:f>SUM(M144:Q144)</x:f>
        <x:v>31915</x:v>
      </x:c>
      <x:c r="S144" s="20" t="n">
        <x:f>IF(AND(A143=A144,D143=D144),S143+R144,R144)</x:f>
        <x:v>95745</x:v>
      </x:c>
      <x:c r="T144" s="20" t="n">
        <x:f>MIN(S144,INDEX(Inputs!$B$20:$D$20,1,MATCH(A144,Inputs!$B$6:$D$6,0)))*INDEX(Inputs!$B$22:$D$22,1,MATCH(A144,Inputs!$B$6:$D$6,0))+MAX(MIN(S144,INDEX(Inputs!$B$21:$D$21,1,MATCH(A144,Inputs!$B$6:$D$6,0)))-INDEX(Inputs!$B$20:$D$20,1,MATCH(A144,Inputs!$B$6:$D$6,0)),0)*INDEX(Inputs!$B$23:$D$23,1,MATCH(A144,Inputs!$B$6:$D$6,0))+MAX(S144-INDEX(Inputs!$B$21:$D$21,1,MATCH(A144,Inputs!$B$6:$D$6,0)),0)*INDEX(Inputs!$B$24:$D$24,1,MATCH(A144,Inputs!$B$6:$D$6,0))</x:f>
        <x:v>7814.4925</x:v>
      </x:c>
      <x:c r="U144" s="20" t="n">
        <x:f>IF(AND(A143=A144,D143=D144),T143,0)</x:f>
        <x:v>5372.995</x:v>
      </x:c>
      <x:c r="V144" s="20" t="n">
        <x:f>T144-U144</x:f>
        <x:v>2441.4975000000004</x:v>
      </x:c>
      <x:c r="W144" s="20" t="n">
        <x:f>R144+V144</x:f>
        <x:v>34356.4975</x:v>
      </x:c>
      <x:c r="X144" s="14" t="str">
        <x:f>IF(ABS(W144-SUM(M144:Q144)-V144)&lt;0.01,"OK","Check")</x:f>
        <x:v>OK</x:v>
      </x:c>
    </x:row>
    <x:row r="145">
      <x:c r="A145" s="14" t="n">
        <x:v>2026</x:v>
      </x:c>
      <x:c r="B145" s="14" t="str">
        <x:v>Q4</x:v>
      </x:c>
      <x:c r="C145" s="14" t="n">
        <x:v>4</x:v>
      </x:c>
      <x:c r="D145" s="14" t="n">
        <x:v>35</x:v>
      </x:c>
      <x:c r="E145" s="14" t="str">
        <x:f>INDEX(Roster!$B$6:$B$108,MATCH(D145,Roster!$A$6:$A$108,0))</x:f>
      </x:c>
      <x:c r="F145" s="14" t="str">
        <x:f>INDEX(Roster!$F$6:$F$108,MATCH(D145,Roster!$A$6:$A$108,0))</x:f>
        <x:v>No</x:v>
      </x:c>
      <x:c r="G145" s="14" t="n">
        <x:f>INDEX(Inputs!$B$7:$D$7,1,MATCH(A145,Inputs!$B$6:$D$6,0))</x:f>
        <x:v>13</x:v>
      </x:c>
      <x:c r="H145" s="14" t="n">
        <x:f>MIN(=INDEX(Inputs!$B$7:$D$7,1,MATCH(A145,Inputs!$B$6:$D$6,0)),MAX(0,INDEX(Inputs!$B$14:$D$14,1,MATCH(A145,Inputs!$B$6:$D$6,0))-(C145-1)*=INDEX(Inputs!$B$7:$D$7,1,MATCH(A145,Inputs!$B$6:$D$6,0))))</x:f>
        <x:v>0</x:v>
      </x:c>
      <x:c r="I145" s="20" t="n">
        <x:f>INDEX(Inputs!$B$8:$D$8,1,MATCH(A145,Inputs!$B$6:$D$6,0))</x:f>
        <x:v>2395</x:v>
      </x:c>
      <x:c r="J145" s="20" t="n">
        <x:f>INDEX(Roster!$C$6:$C$108,MATCH(D145,Roster!$A$6:$A$108,0))*(1+INDEX(Inputs!$B$9:$D$9,1,MATCH(A145,Inputs!$B$6:$D$6,0)))</x:f>
        <x:v>30</x:v>
      </x:c>
      <x:c r="K145" s="20" t="n">
        <x:f>IF(=INDEX(Roster!$F$6:$F$108,MATCH(D145,Roster!$A$6:$A$108,0))="Yes",0,=INDEX(Inputs!$B$8:$D$8,1,MATCH(A145,Inputs!$B$6:$D$6,0))*IF(=INDEX(Roster!$B$6:$B$108,MATCH(D145,Roster!$A$6:$A$108,0))="Principal",INDEX(Inputs!$B$10:$D$10,1,MATCH(A145,Inputs!$B$6:$D$6,0)),IF(=INDEX(Roster!$B$6:$B$108,MATCH(D145,Roster!$A$6:$A$108,0))="Associate Principal",INDEX(Inputs!$B$11:$D$11,1,MATCH(A145,Inputs!$B$6:$D$6,0)),IF(=INDEX(Roster!$B$6:$B$108,MATCH(D145,Roster!$A$6:$A$108,0))="Assistant Principal",INDEX(Inputs!$B$12:$D$12,1,MATCH(A145,Inputs!$B$6:$D$6,0)),0))))</x:f>
        <x:v>0</x:v>
      </x:c>
      <x:c r="L145" s="20" t="n">
        <x:f>IF(INDEX(Roster!$D$6:$D$108,MATCH(D145,Roster!$A$6:$A$108,0))&gt;=25,INDEX(Inputs!$B$19:$D$19,1,MATCH(A145,Inputs!$B$6:$D$6,0)),IF(INDEX(Roster!$D$6:$D$108,MATCH(D145,Roster!$A$6:$A$108,0))&gt;=20,INDEX(Inputs!$B$18:$D$18,1,MATCH(A145,Inputs!$B$6:$D$6,0)),IF(INDEX(Roster!$D$6:$D$108,MATCH(D145,Roster!$A$6:$A$108,0))&gt;=15,INDEX(Inputs!$B$17:$D$17,1,MATCH(A145,Inputs!$B$6:$D$6,0)),IF(INDEX(Roster!$D$6:$D$108,MATCH(D145,Roster!$A$6:$A$108,0))&gt;=10,INDEX(Inputs!$B$16:$D$16,1,MATCH(A145,Inputs!$B$6:$D$6,0)),IF(INDEX(Roster!$D$6:$D$108,MATCH(D145,Roster!$A$6:$A$108,0))&gt;=5,INDEX(Inputs!$B$15:$D$15,1,MATCH(A145,Inputs!$B$6:$D$6,0)),0)))))</x:f>
        <x:v>0</x:v>
      </x:c>
      <x:c r="M145" s="20" t="n">
        <x:f>G145*I145</x:f>
        <x:v>31135</x:v>
      </x:c>
      <x:c r="N145" s="20" t="n">
        <x:f>G145*J145</x:f>
        <x:v>390</x:v>
      </x:c>
      <x:c r="O145" s="20" t="n">
        <x:f>G145*K145</x:f>
        <x:v>0</x:v>
      </x:c>
      <x:c r="P145" s="20" t="n">
        <x:f>G145*L145</x:f>
        <x:v>0</x:v>
      </x:c>
      <x:c r="Q145" s="20" t="n">
        <x:f>H145*INDEX(Inputs!$B$13:$D$13,1,MATCH(A145,Inputs!$B$6:$D$6,0))</x:f>
        <x:v>0</x:v>
      </x:c>
      <x:c r="R145" s="20" t="n">
        <x:f>SUM(M145:Q145)</x:f>
        <x:v>31525</x:v>
      </x:c>
      <x:c r="S145" s="20" t="n">
        <x:f>IF(AND(A144=A145,D144=D145),S144+R145,R145)</x:f>
        <x:v>127270</x:v>
      </x:c>
      <x:c r="T145" s="20" t="n">
        <x:f>MIN(S145,INDEX(Inputs!$B$20:$D$20,1,MATCH(A145,Inputs!$B$6:$D$6,0)))*INDEX(Inputs!$B$22:$D$22,1,MATCH(A145,Inputs!$B$6:$D$6,0))+MAX(MIN(S145,INDEX(Inputs!$B$21:$D$21,1,MATCH(A145,Inputs!$B$6:$D$6,0)))-INDEX(Inputs!$B$20:$D$20,1,MATCH(A145,Inputs!$B$6:$D$6,0)),0)*INDEX(Inputs!$B$23:$D$23,1,MATCH(A145,Inputs!$B$6:$D$6,0))+MAX(S145-INDEX(Inputs!$B$21:$D$21,1,MATCH(A145,Inputs!$B$6:$D$6,0)),0)*INDEX(Inputs!$B$24:$D$24,1,MATCH(A145,Inputs!$B$6:$D$6,0))</x:f>
        <x:v>9759.357</x:v>
      </x:c>
      <x:c r="U145" s="20" t="n">
        <x:f>IF(AND(A144=A145,D144=D145),T144,0)</x:f>
        <x:v>7814.4925</x:v>
      </x:c>
      <x:c r="V145" s="20" t="n">
        <x:f>T145-U145</x:f>
        <x:v>1944.8644999999997</x:v>
      </x:c>
      <x:c r="W145" s="20" t="n">
        <x:f>R145+V145</x:f>
        <x:v>33469.864499999996</x:v>
      </x:c>
      <x:c r="X145" s="14" t="str">
        <x:f>IF(ABS(W145-SUM(M145:Q145)-V145)&lt;0.01,"OK","Check")</x:f>
        <x:v>OK</x:v>
      </x:c>
    </x:row>
    <x:row r="146">
      <x:c r="A146" s="14" t="n">
        <x:v>2026</x:v>
      </x:c>
      <x:c r="B146" s="14" t="str">
        <x:v>Q1</x:v>
      </x:c>
      <x:c r="C146" s="14" t="n">
        <x:v>1</x:v>
      </x:c>
      <x:c r="D146" s="14" t="n">
        <x:v>36</x:v>
      </x:c>
      <x:c r="E146" s="14" t="str">
        <x:f>INDEX(Roster!$B$6:$B$108,MATCH(D146,Roster!$A$6:$A$108,0))</x:f>
      </x:c>
      <x:c r="F146" s="14" t="str">
        <x:f>INDEX(Roster!$F$6:$F$108,MATCH(D146,Roster!$A$6:$A$108,0))</x:f>
        <x:v>No</x:v>
      </x:c>
      <x:c r="G146" s="14" t="n">
        <x:f>INDEX(Inputs!$B$7:$D$7,1,MATCH(A146,Inputs!$B$6:$D$6,0))</x:f>
        <x:v>13</x:v>
      </x:c>
      <x:c r="H146" s="14" t="n">
        <x:f>MIN(=INDEX(Inputs!$B$7:$D$7,1,MATCH(A146,Inputs!$B$6:$D$6,0)),MAX(0,INDEX(Inputs!$B$14:$D$14,1,MATCH(A146,Inputs!$B$6:$D$6,0))-(C146-1)*=INDEX(Inputs!$B$7:$D$7,1,MATCH(A146,Inputs!$B$6:$D$6,0))))</x:f>
        <x:v>13</x:v>
      </x:c>
      <x:c r="I146" s="20" t="n">
        <x:f>INDEX(Inputs!$B$8:$D$8,1,MATCH(A146,Inputs!$B$6:$D$6,0))</x:f>
        <x:v>2395</x:v>
      </x:c>
      <x:c r="J146" s="20" t="n">
        <x:f>INDEX(Roster!$C$6:$C$108,MATCH(D146,Roster!$A$6:$A$108,0))*(1+INDEX(Inputs!$B$9:$D$9,1,MATCH(A146,Inputs!$B$6:$D$6,0)))</x:f>
        <x:v>50</x:v>
      </x:c>
      <x:c r="K146" s="20" t="n">
        <x:f>IF(=INDEX(Roster!$F$6:$F$108,MATCH(D146,Roster!$A$6:$A$108,0))="Yes",0,=INDEX(Inputs!$B$8:$D$8,1,MATCH(A146,Inputs!$B$6:$D$6,0))*IF(=INDEX(Roster!$B$6:$B$108,MATCH(D146,Roster!$A$6:$A$108,0))="Principal",INDEX(Inputs!$B$10:$D$10,1,MATCH(A146,Inputs!$B$6:$D$6,0)),IF(=INDEX(Roster!$B$6:$B$108,MATCH(D146,Roster!$A$6:$A$108,0))="Associate Principal",INDEX(Inputs!$B$11:$D$11,1,MATCH(A146,Inputs!$B$6:$D$6,0)),IF(=INDEX(Roster!$B$6:$B$108,MATCH(D146,Roster!$A$6:$A$108,0))="Assistant Principal",INDEX(Inputs!$B$12:$D$12,1,MATCH(A146,Inputs!$B$6:$D$6,0)),0))))</x:f>
        <x:v>0</x:v>
      </x:c>
      <x:c r="L146" s="20" t="n">
        <x:f>IF(INDEX(Roster!$D$6:$D$108,MATCH(D146,Roster!$A$6:$A$108,0))&gt;=25,INDEX(Inputs!$B$19:$D$19,1,MATCH(A146,Inputs!$B$6:$D$6,0)),IF(INDEX(Roster!$D$6:$D$108,MATCH(D146,Roster!$A$6:$A$108,0))&gt;=20,INDEX(Inputs!$B$18:$D$18,1,MATCH(A146,Inputs!$B$6:$D$6,0)),IF(INDEX(Roster!$D$6:$D$108,MATCH(D146,Roster!$A$6:$A$108,0))&gt;=15,INDEX(Inputs!$B$17:$D$17,1,MATCH(A146,Inputs!$B$6:$D$6,0)),IF(INDEX(Roster!$D$6:$D$108,MATCH(D146,Roster!$A$6:$A$108,0))&gt;=10,INDEX(Inputs!$B$16:$D$16,1,MATCH(A146,Inputs!$B$6:$D$6,0)),IF(INDEX(Roster!$D$6:$D$108,MATCH(D146,Roster!$A$6:$A$108,0))&gt;=5,INDEX(Inputs!$B$15:$D$15,1,MATCH(A146,Inputs!$B$6:$D$6,0)),0)))))</x:f>
        <x:v>90</x:v>
      </x:c>
      <x:c r="M146" s="20" t="n">
        <x:f>G146*I146</x:f>
        <x:v>31135</x:v>
      </x:c>
      <x:c r="N146" s="20" t="n">
        <x:f>G146*J146</x:f>
        <x:v>650</x:v>
      </x:c>
      <x:c r="O146" s="20" t="n">
        <x:f>G146*K146</x:f>
        <x:v>0</x:v>
      </x:c>
      <x:c r="P146" s="20" t="n">
        <x:f>G146*L146</x:f>
        <x:v>1170</x:v>
      </x:c>
      <x:c r="Q146" s="20" t="n">
        <x:f>H146*INDEX(Inputs!$B$13:$D$13,1,MATCH(A146,Inputs!$B$6:$D$6,0))</x:f>
        <x:v>390</x:v>
      </x:c>
      <x:c r="R146" s="20" t="n">
        <x:f>SUM(M146:Q146)</x:f>
        <x:v>33345</x:v>
      </x:c>
      <x:c r="S146" s="20" t="n">
        <x:f>IF(AND(A145=A146,D145=D146),S145+R146,R146)</x:f>
        <x:v>33345</x:v>
      </x:c>
      <x:c r="T146" s="20" t="n">
        <x:f>MIN(S146,INDEX(Inputs!$B$20:$D$20,1,MATCH(A146,Inputs!$B$6:$D$6,0)))*INDEX(Inputs!$B$22:$D$22,1,MATCH(A146,Inputs!$B$6:$D$6,0))+MAX(MIN(S146,INDEX(Inputs!$B$21:$D$21,1,MATCH(A146,Inputs!$B$6:$D$6,0)))-INDEX(Inputs!$B$20:$D$20,1,MATCH(A146,Inputs!$B$6:$D$6,0)),0)*INDEX(Inputs!$B$23:$D$23,1,MATCH(A146,Inputs!$B$6:$D$6,0))+MAX(S146-INDEX(Inputs!$B$21:$D$21,1,MATCH(A146,Inputs!$B$6:$D$6,0)),0)*INDEX(Inputs!$B$24:$D$24,1,MATCH(A146,Inputs!$B$6:$D$6,0))</x:f>
        <x:v>3040.8925</x:v>
      </x:c>
      <x:c r="U146" s="20" t="n">
        <x:f>IF(AND(A145=A146,D145=D146),T145,0)</x:f>
        <x:v>0</x:v>
      </x:c>
      <x:c r="V146" s="20" t="n">
        <x:f>T146-U146</x:f>
        <x:v>3040.8925</x:v>
      </x:c>
      <x:c r="W146" s="20" t="n">
        <x:f>R146+V146</x:f>
        <x:v>36385.8925</x:v>
      </x:c>
      <x:c r="X146" s="14" t="str">
        <x:f>IF(ABS(W146-SUM(M146:Q146)-V146)&lt;0.01,"OK","Check")</x:f>
        <x:v>OK</x:v>
      </x:c>
    </x:row>
    <x:row r="147">
      <x:c r="A147" s="14" t="n">
        <x:v>2026</x:v>
      </x:c>
      <x:c r="B147" s="14" t="str">
        <x:v>Q2</x:v>
      </x:c>
      <x:c r="C147" s="14" t="n">
        <x:v>2</x:v>
      </x:c>
      <x:c r="D147" s="14" t="n">
        <x:v>36</x:v>
      </x:c>
      <x:c r="E147" s="14" t="str">
        <x:f>INDEX(Roster!$B$6:$B$108,MATCH(D147,Roster!$A$6:$A$108,0))</x:f>
      </x:c>
      <x:c r="F147" s="14" t="str">
        <x:f>INDEX(Roster!$F$6:$F$108,MATCH(D147,Roster!$A$6:$A$108,0))</x:f>
        <x:v>No</x:v>
      </x:c>
      <x:c r="G147" s="14" t="n">
        <x:f>INDEX(Inputs!$B$7:$D$7,1,MATCH(A147,Inputs!$B$6:$D$6,0))</x:f>
        <x:v>13</x:v>
      </x:c>
      <x:c r="H147" s="14" t="n">
        <x:f>MIN(=INDEX(Inputs!$B$7:$D$7,1,MATCH(A147,Inputs!$B$6:$D$6,0)),MAX(0,INDEX(Inputs!$B$14:$D$14,1,MATCH(A147,Inputs!$B$6:$D$6,0))-(C147-1)*=INDEX(Inputs!$B$7:$D$7,1,MATCH(A147,Inputs!$B$6:$D$6,0))))</x:f>
        <x:v>13</x:v>
      </x:c>
      <x:c r="I147" s="20" t="n">
        <x:f>INDEX(Inputs!$B$8:$D$8,1,MATCH(A147,Inputs!$B$6:$D$6,0))</x:f>
        <x:v>2395</x:v>
      </x:c>
      <x:c r="J147" s="20" t="n">
        <x:f>INDEX(Roster!$C$6:$C$108,MATCH(D147,Roster!$A$6:$A$108,0))*(1+INDEX(Inputs!$B$9:$D$9,1,MATCH(A147,Inputs!$B$6:$D$6,0)))</x:f>
        <x:v>50</x:v>
      </x:c>
      <x:c r="K147" s="20" t="n">
        <x:f>IF(=INDEX(Roster!$F$6:$F$108,MATCH(D147,Roster!$A$6:$A$108,0))="Yes",0,=INDEX(Inputs!$B$8:$D$8,1,MATCH(A147,Inputs!$B$6:$D$6,0))*IF(=INDEX(Roster!$B$6:$B$108,MATCH(D147,Roster!$A$6:$A$108,0))="Principal",INDEX(Inputs!$B$10:$D$10,1,MATCH(A147,Inputs!$B$6:$D$6,0)),IF(=INDEX(Roster!$B$6:$B$108,MATCH(D147,Roster!$A$6:$A$108,0))="Associate Principal",INDEX(Inputs!$B$11:$D$11,1,MATCH(A147,Inputs!$B$6:$D$6,0)),IF(=INDEX(Roster!$B$6:$B$108,MATCH(D147,Roster!$A$6:$A$108,0))="Assistant Principal",INDEX(Inputs!$B$12:$D$12,1,MATCH(A147,Inputs!$B$6:$D$6,0)),0))))</x:f>
        <x:v>0</x:v>
      </x:c>
      <x:c r="L147" s="20" t="n">
        <x:f>IF(INDEX(Roster!$D$6:$D$108,MATCH(D147,Roster!$A$6:$A$108,0))&gt;=25,INDEX(Inputs!$B$19:$D$19,1,MATCH(A147,Inputs!$B$6:$D$6,0)),IF(INDEX(Roster!$D$6:$D$108,MATCH(D147,Roster!$A$6:$A$108,0))&gt;=20,INDEX(Inputs!$B$18:$D$18,1,MATCH(A147,Inputs!$B$6:$D$6,0)),IF(INDEX(Roster!$D$6:$D$108,MATCH(D147,Roster!$A$6:$A$108,0))&gt;=15,INDEX(Inputs!$B$17:$D$17,1,MATCH(A147,Inputs!$B$6:$D$6,0)),IF(INDEX(Roster!$D$6:$D$108,MATCH(D147,Roster!$A$6:$A$108,0))&gt;=10,INDEX(Inputs!$B$16:$D$16,1,MATCH(A147,Inputs!$B$6:$D$6,0)),IF(INDEX(Roster!$D$6:$D$108,MATCH(D147,Roster!$A$6:$A$108,0))&gt;=5,INDEX(Inputs!$B$15:$D$15,1,MATCH(A147,Inputs!$B$6:$D$6,0)),0)))))</x:f>
        <x:v>90</x:v>
      </x:c>
      <x:c r="M147" s="20" t="n">
        <x:f>G147*I147</x:f>
        <x:v>31135</x:v>
      </x:c>
      <x:c r="N147" s="20" t="n">
        <x:f>G147*J147</x:f>
        <x:v>650</x:v>
      </x:c>
      <x:c r="O147" s="20" t="n">
        <x:f>G147*K147</x:f>
        <x:v>0</x:v>
      </x:c>
      <x:c r="P147" s="20" t="n">
        <x:f>G147*L147</x:f>
        <x:v>1170</x:v>
      </x:c>
      <x:c r="Q147" s="20" t="n">
        <x:f>H147*INDEX(Inputs!$B$13:$D$13,1,MATCH(A147,Inputs!$B$6:$D$6,0))</x:f>
        <x:v>390</x:v>
      </x:c>
      <x:c r="R147" s="20" t="n">
        <x:f>SUM(M147:Q147)</x:f>
        <x:v>33345</x:v>
      </x:c>
      <x:c r="S147" s="20" t="n">
        <x:f>IF(AND(A146=A147,D146=D147),S146+R147,R147)</x:f>
        <x:v>66690</x:v>
      </x:c>
      <x:c r="T147" s="20" t="n">
        <x:f>MIN(S147,INDEX(Inputs!$B$20:$D$20,1,MATCH(A147,Inputs!$B$6:$D$6,0)))*INDEX(Inputs!$B$22:$D$22,1,MATCH(A147,Inputs!$B$6:$D$6,0))+MAX(MIN(S147,INDEX(Inputs!$B$21:$D$21,1,MATCH(A147,Inputs!$B$6:$D$6,0)))-INDEX(Inputs!$B$20:$D$20,1,MATCH(A147,Inputs!$B$6:$D$6,0)),0)*INDEX(Inputs!$B$23:$D$23,1,MATCH(A147,Inputs!$B$6:$D$6,0))+MAX(S147-INDEX(Inputs!$B$21:$D$21,1,MATCH(A147,Inputs!$B$6:$D$6,0)),0)*INDEX(Inputs!$B$24:$D$24,1,MATCH(A147,Inputs!$B$6:$D$6,0))</x:f>
        <x:v>5591.785</x:v>
      </x:c>
      <x:c r="U147" s="20" t="n">
        <x:f>IF(AND(A146=A147,D146=D147),T146,0)</x:f>
        <x:v>3040.8925</x:v>
      </x:c>
      <x:c r="V147" s="20" t="n">
        <x:f>T147-U147</x:f>
        <x:v>2550.8925</x:v>
      </x:c>
      <x:c r="W147" s="20" t="n">
        <x:f>R147+V147</x:f>
        <x:v>35895.8925</x:v>
      </x:c>
      <x:c r="X147" s="14" t="str">
        <x:f>IF(ABS(W147-SUM(M147:Q147)-V147)&lt;0.01,"OK","Check")</x:f>
        <x:v>OK</x:v>
      </x:c>
    </x:row>
    <x:row r="148">
      <x:c r="A148" s="14" t="n">
        <x:v>2026</x:v>
      </x:c>
      <x:c r="B148" s="14" t="str">
        <x:v>Q3</x:v>
      </x:c>
      <x:c r="C148" s="14" t="n">
        <x:v>3</x:v>
      </x:c>
      <x:c r="D148" s="14" t="n">
        <x:v>36</x:v>
      </x:c>
      <x:c r="E148" s="14" t="str">
        <x:f>INDEX(Roster!$B$6:$B$108,MATCH(D148,Roster!$A$6:$A$108,0))</x:f>
      </x:c>
      <x:c r="F148" s="14" t="str">
        <x:f>INDEX(Roster!$F$6:$F$108,MATCH(D148,Roster!$A$6:$A$108,0))</x:f>
        <x:v>No</x:v>
      </x:c>
      <x:c r="G148" s="14" t="n">
        <x:f>INDEX(Inputs!$B$7:$D$7,1,MATCH(A148,Inputs!$B$6:$D$6,0))</x:f>
        <x:v>13</x:v>
      </x:c>
      <x:c r="H148" s="14" t="n">
        <x:f>MIN(=INDEX(Inputs!$B$7:$D$7,1,MATCH(A148,Inputs!$B$6:$D$6,0)),MAX(0,INDEX(Inputs!$B$14:$D$14,1,MATCH(A148,Inputs!$B$6:$D$6,0))-(C148-1)*=INDEX(Inputs!$B$7:$D$7,1,MATCH(A148,Inputs!$B$6:$D$6,0))))</x:f>
        <x:v>13</x:v>
      </x:c>
      <x:c r="I148" s="20" t="n">
        <x:f>INDEX(Inputs!$B$8:$D$8,1,MATCH(A148,Inputs!$B$6:$D$6,0))</x:f>
        <x:v>2395</x:v>
      </x:c>
      <x:c r="J148" s="20" t="n">
        <x:f>INDEX(Roster!$C$6:$C$108,MATCH(D148,Roster!$A$6:$A$108,0))*(1+INDEX(Inputs!$B$9:$D$9,1,MATCH(A148,Inputs!$B$6:$D$6,0)))</x:f>
        <x:v>50</x:v>
      </x:c>
      <x:c r="K148" s="20" t="n">
        <x:f>IF(=INDEX(Roster!$F$6:$F$108,MATCH(D148,Roster!$A$6:$A$108,0))="Yes",0,=INDEX(Inputs!$B$8:$D$8,1,MATCH(A148,Inputs!$B$6:$D$6,0))*IF(=INDEX(Roster!$B$6:$B$108,MATCH(D148,Roster!$A$6:$A$108,0))="Principal",INDEX(Inputs!$B$10:$D$10,1,MATCH(A148,Inputs!$B$6:$D$6,0)),IF(=INDEX(Roster!$B$6:$B$108,MATCH(D148,Roster!$A$6:$A$108,0))="Associate Principal",INDEX(Inputs!$B$11:$D$11,1,MATCH(A148,Inputs!$B$6:$D$6,0)),IF(=INDEX(Roster!$B$6:$B$108,MATCH(D148,Roster!$A$6:$A$108,0))="Assistant Principal",INDEX(Inputs!$B$12:$D$12,1,MATCH(A148,Inputs!$B$6:$D$6,0)),0))))</x:f>
        <x:v>0</x:v>
      </x:c>
      <x:c r="L148" s="20" t="n">
        <x:f>IF(INDEX(Roster!$D$6:$D$108,MATCH(D148,Roster!$A$6:$A$108,0))&gt;=25,INDEX(Inputs!$B$19:$D$19,1,MATCH(A148,Inputs!$B$6:$D$6,0)),IF(INDEX(Roster!$D$6:$D$108,MATCH(D148,Roster!$A$6:$A$108,0))&gt;=20,INDEX(Inputs!$B$18:$D$18,1,MATCH(A148,Inputs!$B$6:$D$6,0)),IF(INDEX(Roster!$D$6:$D$108,MATCH(D148,Roster!$A$6:$A$108,0))&gt;=15,INDEX(Inputs!$B$17:$D$17,1,MATCH(A148,Inputs!$B$6:$D$6,0)),IF(INDEX(Roster!$D$6:$D$108,MATCH(D148,Roster!$A$6:$A$108,0))&gt;=10,INDEX(Inputs!$B$16:$D$16,1,MATCH(A148,Inputs!$B$6:$D$6,0)),IF(INDEX(Roster!$D$6:$D$108,MATCH(D148,Roster!$A$6:$A$108,0))&gt;=5,INDEX(Inputs!$B$15:$D$15,1,MATCH(A148,Inputs!$B$6:$D$6,0)),0)))))</x:f>
        <x:v>90</x:v>
      </x:c>
      <x:c r="M148" s="20" t="n">
        <x:f>G148*I148</x:f>
        <x:v>31135</x:v>
      </x:c>
      <x:c r="N148" s="20" t="n">
        <x:f>G148*J148</x:f>
        <x:v>650</x:v>
      </x:c>
      <x:c r="O148" s="20" t="n">
        <x:f>G148*K148</x:f>
        <x:v>0</x:v>
      </x:c>
      <x:c r="P148" s="20" t="n">
        <x:f>G148*L148</x:f>
        <x:v>1170</x:v>
      </x:c>
      <x:c r="Q148" s="20" t="n">
        <x:f>H148*INDEX(Inputs!$B$13:$D$13,1,MATCH(A148,Inputs!$B$6:$D$6,0))</x:f>
        <x:v>390</x:v>
      </x:c>
      <x:c r="R148" s="20" t="n">
        <x:f>SUM(M148:Q148)</x:f>
        <x:v>33345</x:v>
      </x:c>
      <x:c r="S148" s="20" t="n">
        <x:f>IF(AND(A147=A148,D147=D148),S147+R148,R148)</x:f>
        <x:v>100035</x:v>
      </x:c>
      <x:c r="T148" s="20" t="n">
        <x:f>MIN(S148,INDEX(Inputs!$B$20:$D$20,1,MATCH(A148,Inputs!$B$6:$D$6,0)))*INDEX(Inputs!$B$22:$D$22,1,MATCH(A148,Inputs!$B$6:$D$6,0))+MAX(MIN(S148,INDEX(Inputs!$B$21:$D$21,1,MATCH(A148,Inputs!$B$6:$D$6,0)))-INDEX(Inputs!$B$20:$D$20,1,MATCH(A148,Inputs!$B$6:$D$6,0)),0)*INDEX(Inputs!$B$23:$D$23,1,MATCH(A148,Inputs!$B$6:$D$6,0))+MAX(S148-INDEX(Inputs!$B$21:$D$21,1,MATCH(A148,Inputs!$B$6:$D$6,0)),0)*INDEX(Inputs!$B$24:$D$24,1,MATCH(A148,Inputs!$B$6:$D$6,0))</x:f>
        <x:v>8142.6775</x:v>
      </x:c>
      <x:c r="U148" s="20" t="n">
        <x:f>IF(AND(A147=A148,D147=D148),T147,0)</x:f>
        <x:v>5591.785</x:v>
      </x:c>
      <x:c r="V148" s="20" t="n">
        <x:f>T148-U148</x:f>
        <x:v>2550.8925</x:v>
      </x:c>
      <x:c r="W148" s="20" t="n">
        <x:f>R148+V148</x:f>
        <x:v>35895.8925</x:v>
      </x:c>
      <x:c r="X148" s="14" t="str">
        <x:f>IF(ABS(W148-SUM(M148:Q148)-V148)&lt;0.01,"OK","Check")</x:f>
        <x:v>OK</x:v>
      </x:c>
    </x:row>
    <x:row r="149">
      <x:c r="A149" s="14" t="n">
        <x:v>2026</x:v>
      </x:c>
      <x:c r="B149" s="14" t="str">
        <x:v>Q4</x:v>
      </x:c>
      <x:c r="C149" s="14" t="n">
        <x:v>4</x:v>
      </x:c>
      <x:c r="D149" s="14" t="n">
        <x:v>36</x:v>
      </x:c>
      <x:c r="E149" s="14" t="str">
        <x:f>INDEX(Roster!$B$6:$B$108,MATCH(D149,Roster!$A$6:$A$108,0))</x:f>
      </x:c>
      <x:c r="F149" s="14" t="str">
        <x:f>INDEX(Roster!$F$6:$F$108,MATCH(D149,Roster!$A$6:$A$108,0))</x:f>
        <x:v>No</x:v>
      </x:c>
      <x:c r="G149" s="14" t="n">
        <x:f>INDEX(Inputs!$B$7:$D$7,1,MATCH(A149,Inputs!$B$6:$D$6,0))</x:f>
        <x:v>13</x:v>
      </x:c>
      <x:c r="H149" s="14" t="n">
        <x:f>MIN(=INDEX(Inputs!$B$7:$D$7,1,MATCH(A149,Inputs!$B$6:$D$6,0)),MAX(0,INDEX(Inputs!$B$14:$D$14,1,MATCH(A149,Inputs!$B$6:$D$6,0))-(C149-1)*=INDEX(Inputs!$B$7:$D$7,1,MATCH(A149,Inputs!$B$6:$D$6,0))))</x:f>
        <x:v>0</x:v>
      </x:c>
      <x:c r="I149" s="20" t="n">
        <x:f>INDEX(Inputs!$B$8:$D$8,1,MATCH(A149,Inputs!$B$6:$D$6,0))</x:f>
        <x:v>2395</x:v>
      </x:c>
      <x:c r="J149" s="20" t="n">
        <x:f>INDEX(Roster!$C$6:$C$108,MATCH(D149,Roster!$A$6:$A$108,0))*(1+INDEX(Inputs!$B$9:$D$9,1,MATCH(A149,Inputs!$B$6:$D$6,0)))</x:f>
        <x:v>50</x:v>
      </x:c>
      <x:c r="K149" s="20" t="n">
        <x:f>IF(=INDEX(Roster!$F$6:$F$108,MATCH(D149,Roster!$A$6:$A$108,0))="Yes",0,=INDEX(Inputs!$B$8:$D$8,1,MATCH(A149,Inputs!$B$6:$D$6,0))*IF(=INDEX(Roster!$B$6:$B$108,MATCH(D149,Roster!$A$6:$A$108,0))="Principal",INDEX(Inputs!$B$10:$D$10,1,MATCH(A149,Inputs!$B$6:$D$6,0)),IF(=INDEX(Roster!$B$6:$B$108,MATCH(D149,Roster!$A$6:$A$108,0))="Associate Principal",INDEX(Inputs!$B$11:$D$11,1,MATCH(A149,Inputs!$B$6:$D$6,0)),IF(=INDEX(Roster!$B$6:$B$108,MATCH(D149,Roster!$A$6:$A$108,0))="Assistant Principal",INDEX(Inputs!$B$12:$D$12,1,MATCH(A149,Inputs!$B$6:$D$6,0)),0))))</x:f>
        <x:v>0</x:v>
      </x:c>
      <x:c r="L149" s="20" t="n">
        <x:f>IF(INDEX(Roster!$D$6:$D$108,MATCH(D149,Roster!$A$6:$A$108,0))&gt;=25,INDEX(Inputs!$B$19:$D$19,1,MATCH(A149,Inputs!$B$6:$D$6,0)),IF(INDEX(Roster!$D$6:$D$108,MATCH(D149,Roster!$A$6:$A$108,0))&gt;=20,INDEX(Inputs!$B$18:$D$18,1,MATCH(A149,Inputs!$B$6:$D$6,0)),IF(INDEX(Roster!$D$6:$D$108,MATCH(D149,Roster!$A$6:$A$108,0))&gt;=15,INDEX(Inputs!$B$17:$D$17,1,MATCH(A149,Inputs!$B$6:$D$6,0)),IF(INDEX(Roster!$D$6:$D$108,MATCH(D149,Roster!$A$6:$A$108,0))&gt;=10,INDEX(Inputs!$B$16:$D$16,1,MATCH(A149,Inputs!$B$6:$D$6,0)),IF(INDEX(Roster!$D$6:$D$108,MATCH(D149,Roster!$A$6:$A$108,0))&gt;=5,INDEX(Inputs!$B$15:$D$15,1,MATCH(A149,Inputs!$B$6:$D$6,0)),0)))))</x:f>
        <x:v>90</x:v>
      </x:c>
      <x:c r="M149" s="20" t="n">
        <x:f>G149*I149</x:f>
        <x:v>31135</x:v>
      </x:c>
      <x:c r="N149" s="20" t="n">
        <x:f>G149*J149</x:f>
        <x:v>650</x:v>
      </x:c>
      <x:c r="O149" s="20" t="n">
        <x:f>G149*K149</x:f>
        <x:v>0</x:v>
      </x:c>
      <x:c r="P149" s="20" t="n">
        <x:f>G149*L149</x:f>
        <x:v>1170</x:v>
      </x:c>
      <x:c r="Q149" s="20" t="n">
        <x:f>H149*INDEX(Inputs!$B$13:$D$13,1,MATCH(A149,Inputs!$B$6:$D$6,0))</x:f>
        <x:v>0</x:v>
      </x:c>
      <x:c r="R149" s="20" t="n">
        <x:f>SUM(M149:Q149)</x:f>
        <x:v>32955</x:v>
      </x:c>
      <x:c r="S149" s="20" t="n">
        <x:f>IF(AND(A148=A149,D148=D149),S148+R149,R149)</x:f>
        <x:v>132990</x:v>
      </x:c>
      <x:c r="T149" s="20" t="n">
        <x:f>MIN(S149,INDEX(Inputs!$B$20:$D$20,1,MATCH(A149,Inputs!$B$6:$D$6,0)))*INDEX(Inputs!$B$22:$D$22,1,MATCH(A149,Inputs!$B$6:$D$6,0))+MAX(MIN(S149,INDEX(Inputs!$B$21:$D$21,1,MATCH(A149,Inputs!$B$6:$D$6,0)))-INDEX(Inputs!$B$20:$D$20,1,MATCH(A149,Inputs!$B$6:$D$6,0)),0)*INDEX(Inputs!$B$23:$D$23,1,MATCH(A149,Inputs!$B$6:$D$6,0))+MAX(S149-INDEX(Inputs!$B$21:$D$21,1,MATCH(A149,Inputs!$B$6:$D$6,0)),0)*INDEX(Inputs!$B$24:$D$24,1,MATCH(A149,Inputs!$B$6:$D$6,0))</x:f>
        <x:v>9842.297</x:v>
      </x:c>
      <x:c r="U149" s="20" t="n">
        <x:f>IF(AND(A148=A149,D148=D149),T148,0)</x:f>
        <x:v>8142.6775</x:v>
      </x:c>
      <x:c r="V149" s="20" t="n">
        <x:f>T149-U149</x:f>
        <x:v>1699.6195000000007</x:v>
      </x:c>
      <x:c r="W149" s="20" t="n">
        <x:f>R149+V149</x:f>
        <x:v>34654.6195</x:v>
      </x:c>
      <x:c r="X149" s="14" t="str">
        <x:f>IF(ABS(W149-SUM(M149:Q149)-V149)&lt;0.01,"OK","Check")</x:f>
        <x:v>OK</x:v>
      </x:c>
    </x:row>
    <x:row r="150">
      <x:c r="A150" s="14" t="n">
        <x:v>2026</x:v>
      </x:c>
      <x:c r="B150" s="14" t="str">
        <x:v>Q1</x:v>
      </x:c>
      <x:c r="C150" s="14" t="n">
        <x:v>1</x:v>
      </x:c>
      <x:c r="D150" s="14" t="n">
        <x:v>37</x:v>
      </x:c>
      <x:c r="E150" s="14" t="str">
        <x:f>INDEX(Roster!$B$6:$B$108,MATCH(D150,Roster!$A$6:$A$108,0))</x:f>
      </x:c>
      <x:c r="F150" s="14" t="str">
        <x:f>INDEX(Roster!$F$6:$F$108,MATCH(D150,Roster!$A$6:$A$108,0))</x:f>
        <x:v>No</x:v>
      </x:c>
      <x:c r="G150" s="14" t="n">
        <x:f>INDEX(Inputs!$B$7:$D$7,1,MATCH(A150,Inputs!$B$6:$D$6,0))</x:f>
        <x:v>13</x:v>
      </x:c>
      <x:c r="H150" s="14" t="n">
        <x:f>MIN(=INDEX(Inputs!$B$7:$D$7,1,MATCH(A150,Inputs!$B$6:$D$6,0)),MAX(0,INDEX(Inputs!$B$14:$D$14,1,MATCH(A150,Inputs!$B$6:$D$6,0))-(C150-1)*=INDEX(Inputs!$B$7:$D$7,1,MATCH(A150,Inputs!$B$6:$D$6,0))))</x:f>
        <x:v>13</x:v>
      </x:c>
      <x:c r="I150" s="20" t="n">
        <x:f>INDEX(Inputs!$B$8:$D$8,1,MATCH(A150,Inputs!$B$6:$D$6,0))</x:f>
        <x:v>2395</x:v>
      </x:c>
      <x:c r="J150" s="20" t="n">
        <x:f>INDEX(Roster!$C$6:$C$108,MATCH(D150,Roster!$A$6:$A$108,0))*(1+INDEX(Inputs!$B$9:$D$9,1,MATCH(A150,Inputs!$B$6:$D$6,0)))</x:f>
        <x:v>300</x:v>
      </x:c>
      <x:c r="K150" s="20" t="n">
        <x:f>IF(=INDEX(Roster!$F$6:$F$108,MATCH(D150,Roster!$A$6:$A$108,0))="Yes",0,=INDEX(Inputs!$B$8:$D$8,1,MATCH(A150,Inputs!$B$6:$D$6,0))*IF(=INDEX(Roster!$B$6:$B$108,MATCH(D150,Roster!$A$6:$A$108,0))="Principal",INDEX(Inputs!$B$10:$D$10,1,MATCH(A150,Inputs!$B$6:$D$6,0)),IF(=INDEX(Roster!$B$6:$B$108,MATCH(D150,Roster!$A$6:$A$108,0))="Associate Principal",INDEX(Inputs!$B$11:$D$11,1,MATCH(A150,Inputs!$B$6:$D$6,0)),IF(=INDEX(Roster!$B$6:$B$108,MATCH(D150,Roster!$A$6:$A$108,0))="Assistant Principal",INDEX(Inputs!$B$12:$D$12,1,MATCH(A150,Inputs!$B$6:$D$6,0)),0))))</x:f>
        <x:v>0</x:v>
      </x:c>
      <x:c r="L150" s="20" t="n">
        <x:f>IF(INDEX(Roster!$D$6:$D$108,MATCH(D150,Roster!$A$6:$A$108,0))&gt;=25,INDEX(Inputs!$B$19:$D$19,1,MATCH(A150,Inputs!$B$6:$D$6,0)),IF(INDEX(Roster!$D$6:$D$108,MATCH(D150,Roster!$A$6:$A$108,0))&gt;=20,INDEX(Inputs!$B$18:$D$18,1,MATCH(A150,Inputs!$B$6:$D$6,0)),IF(INDEX(Roster!$D$6:$D$108,MATCH(D150,Roster!$A$6:$A$108,0))&gt;=15,INDEX(Inputs!$B$17:$D$17,1,MATCH(A150,Inputs!$B$6:$D$6,0)),IF(INDEX(Roster!$D$6:$D$108,MATCH(D150,Roster!$A$6:$A$108,0))&gt;=10,INDEX(Inputs!$B$16:$D$16,1,MATCH(A150,Inputs!$B$6:$D$6,0)),IF(INDEX(Roster!$D$6:$D$108,MATCH(D150,Roster!$A$6:$A$108,0))&gt;=5,INDEX(Inputs!$B$15:$D$15,1,MATCH(A150,Inputs!$B$6:$D$6,0)),0)))))</x:f>
        <x:v>90</x:v>
      </x:c>
      <x:c r="M150" s="20" t="n">
        <x:f>G150*I150</x:f>
        <x:v>31135</x:v>
      </x:c>
      <x:c r="N150" s="20" t="n">
        <x:f>G150*J150</x:f>
        <x:v>3900</x:v>
      </x:c>
      <x:c r="O150" s="20" t="n">
        <x:f>G150*K150</x:f>
        <x:v>0</x:v>
      </x:c>
      <x:c r="P150" s="20" t="n">
        <x:f>G150*L150</x:f>
        <x:v>1170</x:v>
      </x:c>
      <x:c r="Q150" s="20" t="n">
        <x:f>H150*INDEX(Inputs!$B$13:$D$13,1,MATCH(A150,Inputs!$B$6:$D$6,0))</x:f>
        <x:v>390</x:v>
      </x:c>
      <x:c r="R150" s="20" t="n">
        <x:f>SUM(M150:Q150)</x:f>
        <x:v>36595</x:v>
      </x:c>
      <x:c r="S150" s="20" t="n">
        <x:f>IF(AND(A149=A150,D149=D150),S149+R150,R150)</x:f>
        <x:v>36595</x:v>
      </x:c>
      <x:c r="T150" s="20" t="n">
        <x:f>MIN(S150,INDEX(Inputs!$B$20:$D$20,1,MATCH(A150,Inputs!$B$6:$D$6,0)))*INDEX(Inputs!$B$22:$D$22,1,MATCH(A150,Inputs!$B$6:$D$6,0))+MAX(MIN(S150,INDEX(Inputs!$B$21:$D$21,1,MATCH(A150,Inputs!$B$6:$D$6,0)))-INDEX(Inputs!$B$20:$D$20,1,MATCH(A150,Inputs!$B$6:$D$6,0)),0)*INDEX(Inputs!$B$23:$D$23,1,MATCH(A150,Inputs!$B$6:$D$6,0))+MAX(S150-INDEX(Inputs!$B$21:$D$21,1,MATCH(A150,Inputs!$B$6:$D$6,0)),0)*INDEX(Inputs!$B$24:$D$24,1,MATCH(A150,Inputs!$B$6:$D$6,0))</x:f>
        <x:v>3289.5175</x:v>
      </x:c>
      <x:c r="U150" s="20" t="n">
        <x:f>IF(AND(A149=A150,D149=D150),T149,0)</x:f>
        <x:v>0</x:v>
      </x:c>
      <x:c r="V150" s="20" t="n">
        <x:f>T150-U150</x:f>
        <x:v>3289.5175</x:v>
      </x:c>
      <x:c r="W150" s="20" t="n">
        <x:f>R150+V150</x:f>
        <x:v>39884.5175</x:v>
      </x:c>
      <x:c r="X150" s="14" t="str">
        <x:f>IF(ABS(W150-SUM(M150:Q150)-V150)&lt;0.01,"OK","Check")</x:f>
        <x:v>OK</x:v>
      </x:c>
    </x:row>
    <x:row r="151">
      <x:c r="A151" s="14" t="n">
        <x:v>2026</x:v>
      </x:c>
      <x:c r="B151" s="14" t="str">
        <x:v>Q2</x:v>
      </x:c>
      <x:c r="C151" s="14" t="n">
        <x:v>2</x:v>
      </x:c>
      <x:c r="D151" s="14" t="n">
        <x:v>37</x:v>
      </x:c>
      <x:c r="E151" s="14" t="str">
        <x:f>INDEX(Roster!$B$6:$B$108,MATCH(D151,Roster!$A$6:$A$108,0))</x:f>
      </x:c>
      <x:c r="F151" s="14" t="str">
        <x:f>INDEX(Roster!$F$6:$F$108,MATCH(D151,Roster!$A$6:$A$108,0))</x:f>
        <x:v>No</x:v>
      </x:c>
      <x:c r="G151" s="14" t="n">
        <x:f>INDEX(Inputs!$B$7:$D$7,1,MATCH(A151,Inputs!$B$6:$D$6,0))</x:f>
        <x:v>13</x:v>
      </x:c>
      <x:c r="H151" s="14" t="n">
        <x:f>MIN(=INDEX(Inputs!$B$7:$D$7,1,MATCH(A151,Inputs!$B$6:$D$6,0)),MAX(0,INDEX(Inputs!$B$14:$D$14,1,MATCH(A151,Inputs!$B$6:$D$6,0))-(C151-1)*=INDEX(Inputs!$B$7:$D$7,1,MATCH(A151,Inputs!$B$6:$D$6,0))))</x:f>
        <x:v>13</x:v>
      </x:c>
      <x:c r="I151" s="20" t="n">
        <x:f>INDEX(Inputs!$B$8:$D$8,1,MATCH(A151,Inputs!$B$6:$D$6,0))</x:f>
        <x:v>2395</x:v>
      </x:c>
      <x:c r="J151" s="20" t="n">
        <x:f>INDEX(Roster!$C$6:$C$108,MATCH(D151,Roster!$A$6:$A$108,0))*(1+INDEX(Inputs!$B$9:$D$9,1,MATCH(A151,Inputs!$B$6:$D$6,0)))</x:f>
        <x:v>300</x:v>
      </x:c>
      <x:c r="K151" s="20" t="n">
        <x:f>IF(=INDEX(Roster!$F$6:$F$108,MATCH(D151,Roster!$A$6:$A$108,0))="Yes",0,=INDEX(Inputs!$B$8:$D$8,1,MATCH(A151,Inputs!$B$6:$D$6,0))*IF(=INDEX(Roster!$B$6:$B$108,MATCH(D151,Roster!$A$6:$A$108,0))="Principal",INDEX(Inputs!$B$10:$D$10,1,MATCH(A151,Inputs!$B$6:$D$6,0)),IF(=INDEX(Roster!$B$6:$B$108,MATCH(D151,Roster!$A$6:$A$108,0))="Associate Principal",INDEX(Inputs!$B$11:$D$11,1,MATCH(A151,Inputs!$B$6:$D$6,0)),IF(=INDEX(Roster!$B$6:$B$108,MATCH(D151,Roster!$A$6:$A$108,0))="Assistant Principal",INDEX(Inputs!$B$12:$D$12,1,MATCH(A151,Inputs!$B$6:$D$6,0)),0))))</x:f>
        <x:v>0</x:v>
      </x:c>
      <x:c r="L151" s="20" t="n">
        <x:f>IF(INDEX(Roster!$D$6:$D$108,MATCH(D151,Roster!$A$6:$A$108,0))&gt;=25,INDEX(Inputs!$B$19:$D$19,1,MATCH(A151,Inputs!$B$6:$D$6,0)),IF(INDEX(Roster!$D$6:$D$108,MATCH(D151,Roster!$A$6:$A$108,0))&gt;=20,INDEX(Inputs!$B$18:$D$18,1,MATCH(A151,Inputs!$B$6:$D$6,0)),IF(INDEX(Roster!$D$6:$D$108,MATCH(D151,Roster!$A$6:$A$108,0))&gt;=15,INDEX(Inputs!$B$17:$D$17,1,MATCH(A151,Inputs!$B$6:$D$6,0)),IF(INDEX(Roster!$D$6:$D$108,MATCH(D151,Roster!$A$6:$A$108,0))&gt;=10,INDEX(Inputs!$B$16:$D$16,1,MATCH(A151,Inputs!$B$6:$D$6,0)),IF(INDEX(Roster!$D$6:$D$108,MATCH(D151,Roster!$A$6:$A$108,0))&gt;=5,INDEX(Inputs!$B$15:$D$15,1,MATCH(A151,Inputs!$B$6:$D$6,0)),0)))))</x:f>
        <x:v>90</x:v>
      </x:c>
      <x:c r="M151" s="20" t="n">
        <x:f>G151*I151</x:f>
        <x:v>31135</x:v>
      </x:c>
      <x:c r="N151" s="20" t="n">
        <x:f>G151*J151</x:f>
        <x:v>3900</x:v>
      </x:c>
      <x:c r="O151" s="20" t="n">
        <x:f>G151*K151</x:f>
        <x:v>0</x:v>
      </x:c>
      <x:c r="P151" s="20" t="n">
        <x:f>G151*L151</x:f>
        <x:v>1170</x:v>
      </x:c>
      <x:c r="Q151" s="20" t="n">
        <x:f>H151*INDEX(Inputs!$B$13:$D$13,1,MATCH(A151,Inputs!$B$6:$D$6,0))</x:f>
        <x:v>390</x:v>
      </x:c>
      <x:c r="R151" s="20" t="n">
        <x:f>SUM(M151:Q151)</x:f>
        <x:v>36595</x:v>
      </x:c>
      <x:c r="S151" s="20" t="n">
        <x:f>IF(AND(A150=A151,D150=D151),S150+R151,R151)</x:f>
        <x:v>73190</x:v>
      </x:c>
      <x:c r="T151" s="20" t="n">
        <x:f>MIN(S151,INDEX(Inputs!$B$20:$D$20,1,MATCH(A151,Inputs!$B$6:$D$6,0)))*INDEX(Inputs!$B$22:$D$22,1,MATCH(A151,Inputs!$B$6:$D$6,0))+MAX(MIN(S151,INDEX(Inputs!$B$21:$D$21,1,MATCH(A151,Inputs!$B$6:$D$6,0)))-INDEX(Inputs!$B$20:$D$20,1,MATCH(A151,Inputs!$B$6:$D$6,0)),0)*INDEX(Inputs!$B$23:$D$23,1,MATCH(A151,Inputs!$B$6:$D$6,0))+MAX(S151-INDEX(Inputs!$B$21:$D$21,1,MATCH(A151,Inputs!$B$6:$D$6,0)),0)*INDEX(Inputs!$B$24:$D$24,1,MATCH(A151,Inputs!$B$6:$D$6,0))</x:f>
        <x:v>6089.035</x:v>
      </x:c>
      <x:c r="U151" s="20" t="n">
        <x:f>IF(AND(A150=A151,D150=D151),T150,0)</x:f>
        <x:v>3289.5175</x:v>
      </x:c>
      <x:c r="V151" s="20" t="n">
        <x:f>T151-U151</x:f>
        <x:v>2799.5175</x:v>
      </x:c>
      <x:c r="W151" s="20" t="n">
        <x:f>R151+V151</x:f>
        <x:v>39394.5175</x:v>
      </x:c>
      <x:c r="X151" s="14" t="str">
        <x:f>IF(ABS(W151-SUM(M151:Q151)-V151)&lt;0.01,"OK","Check")</x:f>
        <x:v>OK</x:v>
      </x:c>
    </x:row>
    <x:row r="152">
      <x:c r="A152" s="14" t="n">
        <x:v>2026</x:v>
      </x:c>
      <x:c r="B152" s="14" t="str">
        <x:v>Q3</x:v>
      </x:c>
      <x:c r="C152" s="14" t="n">
        <x:v>3</x:v>
      </x:c>
      <x:c r="D152" s="14" t="n">
        <x:v>37</x:v>
      </x:c>
      <x:c r="E152" s="14" t="str">
        <x:f>INDEX(Roster!$B$6:$B$108,MATCH(D152,Roster!$A$6:$A$108,0))</x:f>
      </x:c>
      <x:c r="F152" s="14" t="str">
        <x:f>INDEX(Roster!$F$6:$F$108,MATCH(D152,Roster!$A$6:$A$108,0))</x:f>
        <x:v>No</x:v>
      </x:c>
      <x:c r="G152" s="14" t="n">
        <x:f>INDEX(Inputs!$B$7:$D$7,1,MATCH(A152,Inputs!$B$6:$D$6,0))</x:f>
        <x:v>13</x:v>
      </x:c>
      <x:c r="H152" s="14" t="n">
        <x:f>MIN(=INDEX(Inputs!$B$7:$D$7,1,MATCH(A152,Inputs!$B$6:$D$6,0)),MAX(0,INDEX(Inputs!$B$14:$D$14,1,MATCH(A152,Inputs!$B$6:$D$6,0))-(C152-1)*=INDEX(Inputs!$B$7:$D$7,1,MATCH(A152,Inputs!$B$6:$D$6,0))))</x:f>
        <x:v>13</x:v>
      </x:c>
      <x:c r="I152" s="20" t="n">
        <x:f>INDEX(Inputs!$B$8:$D$8,1,MATCH(A152,Inputs!$B$6:$D$6,0))</x:f>
        <x:v>2395</x:v>
      </x:c>
      <x:c r="J152" s="20" t="n">
        <x:f>INDEX(Roster!$C$6:$C$108,MATCH(D152,Roster!$A$6:$A$108,0))*(1+INDEX(Inputs!$B$9:$D$9,1,MATCH(A152,Inputs!$B$6:$D$6,0)))</x:f>
        <x:v>300</x:v>
      </x:c>
      <x:c r="K152" s="20" t="n">
        <x:f>IF(=INDEX(Roster!$F$6:$F$108,MATCH(D152,Roster!$A$6:$A$108,0))="Yes",0,=INDEX(Inputs!$B$8:$D$8,1,MATCH(A152,Inputs!$B$6:$D$6,0))*IF(=INDEX(Roster!$B$6:$B$108,MATCH(D152,Roster!$A$6:$A$108,0))="Principal",INDEX(Inputs!$B$10:$D$10,1,MATCH(A152,Inputs!$B$6:$D$6,0)),IF(=INDEX(Roster!$B$6:$B$108,MATCH(D152,Roster!$A$6:$A$108,0))="Associate Principal",INDEX(Inputs!$B$11:$D$11,1,MATCH(A152,Inputs!$B$6:$D$6,0)),IF(=INDEX(Roster!$B$6:$B$108,MATCH(D152,Roster!$A$6:$A$108,0))="Assistant Principal",INDEX(Inputs!$B$12:$D$12,1,MATCH(A152,Inputs!$B$6:$D$6,0)),0))))</x:f>
        <x:v>0</x:v>
      </x:c>
      <x:c r="L152" s="20" t="n">
        <x:f>IF(INDEX(Roster!$D$6:$D$108,MATCH(D152,Roster!$A$6:$A$108,0))&gt;=25,INDEX(Inputs!$B$19:$D$19,1,MATCH(A152,Inputs!$B$6:$D$6,0)),IF(INDEX(Roster!$D$6:$D$108,MATCH(D152,Roster!$A$6:$A$108,0))&gt;=20,INDEX(Inputs!$B$18:$D$18,1,MATCH(A152,Inputs!$B$6:$D$6,0)),IF(INDEX(Roster!$D$6:$D$108,MATCH(D152,Roster!$A$6:$A$108,0))&gt;=15,INDEX(Inputs!$B$17:$D$17,1,MATCH(A152,Inputs!$B$6:$D$6,0)),IF(INDEX(Roster!$D$6:$D$108,MATCH(D152,Roster!$A$6:$A$108,0))&gt;=10,INDEX(Inputs!$B$16:$D$16,1,MATCH(A152,Inputs!$B$6:$D$6,0)),IF(INDEX(Roster!$D$6:$D$108,MATCH(D152,Roster!$A$6:$A$108,0))&gt;=5,INDEX(Inputs!$B$15:$D$15,1,MATCH(A152,Inputs!$B$6:$D$6,0)),0)))))</x:f>
        <x:v>90</x:v>
      </x:c>
      <x:c r="M152" s="20" t="n">
        <x:f>G152*I152</x:f>
        <x:v>31135</x:v>
      </x:c>
      <x:c r="N152" s="20" t="n">
        <x:f>G152*J152</x:f>
        <x:v>3900</x:v>
      </x:c>
      <x:c r="O152" s="20" t="n">
        <x:f>G152*K152</x:f>
        <x:v>0</x:v>
      </x:c>
      <x:c r="P152" s="20" t="n">
        <x:f>G152*L152</x:f>
        <x:v>1170</x:v>
      </x:c>
      <x:c r="Q152" s="20" t="n">
        <x:f>H152*INDEX(Inputs!$B$13:$D$13,1,MATCH(A152,Inputs!$B$6:$D$6,0))</x:f>
        <x:v>390</x:v>
      </x:c>
      <x:c r="R152" s="20" t="n">
        <x:f>SUM(M152:Q152)</x:f>
        <x:v>36595</x:v>
      </x:c>
      <x:c r="S152" s="20" t="n">
        <x:f>IF(AND(A151=A152,D151=D152),S151+R152,R152)</x:f>
        <x:v>109785</x:v>
      </x:c>
      <x:c r="T152" s="20" t="n">
        <x:f>MIN(S152,INDEX(Inputs!$B$20:$D$20,1,MATCH(A152,Inputs!$B$6:$D$6,0)))*INDEX(Inputs!$B$22:$D$22,1,MATCH(A152,Inputs!$B$6:$D$6,0))+MAX(MIN(S152,INDEX(Inputs!$B$21:$D$21,1,MATCH(A152,Inputs!$B$6:$D$6,0)))-INDEX(Inputs!$B$20:$D$20,1,MATCH(A152,Inputs!$B$6:$D$6,0)),0)*INDEX(Inputs!$B$23:$D$23,1,MATCH(A152,Inputs!$B$6:$D$6,0))+MAX(S152-INDEX(Inputs!$B$21:$D$21,1,MATCH(A152,Inputs!$B$6:$D$6,0)),0)*INDEX(Inputs!$B$24:$D$24,1,MATCH(A152,Inputs!$B$6:$D$6,0))</x:f>
        <x:v>8888.5525</x:v>
      </x:c>
      <x:c r="U152" s="20" t="n">
        <x:f>IF(AND(A151=A152,D151=D152),T151,0)</x:f>
        <x:v>6089.035</x:v>
      </x:c>
      <x:c r="V152" s="20" t="n">
        <x:f>T152-U152</x:f>
        <x:v>2799.5175</x:v>
      </x:c>
      <x:c r="W152" s="20" t="n">
        <x:f>R152+V152</x:f>
        <x:v>39394.5175</x:v>
      </x:c>
      <x:c r="X152" s="14" t="str">
        <x:f>IF(ABS(W152-SUM(M152:Q152)-V152)&lt;0.01,"OK","Check")</x:f>
        <x:v>OK</x:v>
      </x:c>
    </x:row>
    <x:row r="153">
      <x:c r="A153" s="14" t="n">
        <x:v>2026</x:v>
      </x:c>
      <x:c r="B153" s="14" t="str">
        <x:v>Q4</x:v>
      </x:c>
      <x:c r="C153" s="14" t="n">
        <x:v>4</x:v>
      </x:c>
      <x:c r="D153" s="14" t="n">
        <x:v>37</x:v>
      </x:c>
      <x:c r="E153" s="14" t="str">
        <x:f>INDEX(Roster!$B$6:$B$108,MATCH(D153,Roster!$A$6:$A$108,0))</x:f>
      </x:c>
      <x:c r="F153" s="14" t="str">
        <x:f>INDEX(Roster!$F$6:$F$108,MATCH(D153,Roster!$A$6:$A$108,0))</x:f>
        <x:v>No</x:v>
      </x:c>
      <x:c r="G153" s="14" t="n">
        <x:f>INDEX(Inputs!$B$7:$D$7,1,MATCH(A153,Inputs!$B$6:$D$6,0))</x:f>
        <x:v>13</x:v>
      </x:c>
      <x:c r="H153" s="14" t="n">
        <x:f>MIN(=INDEX(Inputs!$B$7:$D$7,1,MATCH(A153,Inputs!$B$6:$D$6,0)),MAX(0,INDEX(Inputs!$B$14:$D$14,1,MATCH(A153,Inputs!$B$6:$D$6,0))-(C153-1)*=INDEX(Inputs!$B$7:$D$7,1,MATCH(A153,Inputs!$B$6:$D$6,0))))</x:f>
        <x:v>0</x:v>
      </x:c>
      <x:c r="I153" s="20" t="n">
        <x:f>INDEX(Inputs!$B$8:$D$8,1,MATCH(A153,Inputs!$B$6:$D$6,0))</x:f>
        <x:v>2395</x:v>
      </x:c>
      <x:c r="J153" s="20" t="n">
        <x:f>INDEX(Roster!$C$6:$C$108,MATCH(D153,Roster!$A$6:$A$108,0))*(1+INDEX(Inputs!$B$9:$D$9,1,MATCH(A153,Inputs!$B$6:$D$6,0)))</x:f>
        <x:v>300</x:v>
      </x:c>
      <x:c r="K153" s="20" t="n">
        <x:f>IF(=INDEX(Roster!$F$6:$F$108,MATCH(D153,Roster!$A$6:$A$108,0))="Yes",0,=INDEX(Inputs!$B$8:$D$8,1,MATCH(A153,Inputs!$B$6:$D$6,0))*IF(=INDEX(Roster!$B$6:$B$108,MATCH(D153,Roster!$A$6:$A$108,0))="Principal",INDEX(Inputs!$B$10:$D$10,1,MATCH(A153,Inputs!$B$6:$D$6,0)),IF(=INDEX(Roster!$B$6:$B$108,MATCH(D153,Roster!$A$6:$A$108,0))="Associate Principal",INDEX(Inputs!$B$11:$D$11,1,MATCH(A153,Inputs!$B$6:$D$6,0)),IF(=INDEX(Roster!$B$6:$B$108,MATCH(D153,Roster!$A$6:$A$108,0))="Assistant Principal",INDEX(Inputs!$B$12:$D$12,1,MATCH(A153,Inputs!$B$6:$D$6,0)),0))))</x:f>
        <x:v>0</x:v>
      </x:c>
      <x:c r="L153" s="20" t="n">
        <x:f>IF(INDEX(Roster!$D$6:$D$108,MATCH(D153,Roster!$A$6:$A$108,0))&gt;=25,INDEX(Inputs!$B$19:$D$19,1,MATCH(A153,Inputs!$B$6:$D$6,0)),IF(INDEX(Roster!$D$6:$D$108,MATCH(D153,Roster!$A$6:$A$108,0))&gt;=20,INDEX(Inputs!$B$18:$D$18,1,MATCH(A153,Inputs!$B$6:$D$6,0)),IF(INDEX(Roster!$D$6:$D$108,MATCH(D153,Roster!$A$6:$A$108,0))&gt;=15,INDEX(Inputs!$B$17:$D$17,1,MATCH(A153,Inputs!$B$6:$D$6,0)),IF(INDEX(Roster!$D$6:$D$108,MATCH(D153,Roster!$A$6:$A$108,0))&gt;=10,INDEX(Inputs!$B$16:$D$16,1,MATCH(A153,Inputs!$B$6:$D$6,0)),IF(INDEX(Roster!$D$6:$D$108,MATCH(D153,Roster!$A$6:$A$108,0))&gt;=5,INDEX(Inputs!$B$15:$D$15,1,MATCH(A153,Inputs!$B$6:$D$6,0)),0)))))</x:f>
        <x:v>90</x:v>
      </x:c>
      <x:c r="M153" s="20" t="n">
        <x:f>G153*I153</x:f>
        <x:v>31135</x:v>
      </x:c>
      <x:c r="N153" s="20" t="n">
        <x:f>G153*J153</x:f>
        <x:v>3900</x:v>
      </x:c>
      <x:c r="O153" s="20" t="n">
        <x:f>G153*K153</x:f>
        <x:v>0</x:v>
      </x:c>
      <x:c r="P153" s="20" t="n">
        <x:f>G153*L153</x:f>
        <x:v>1170</x:v>
      </x:c>
      <x:c r="Q153" s="20" t="n">
        <x:f>H153*INDEX(Inputs!$B$13:$D$13,1,MATCH(A153,Inputs!$B$6:$D$6,0))</x:f>
        <x:v>0</x:v>
      </x:c>
      <x:c r="R153" s="20" t="n">
        <x:f>SUM(M153:Q153)</x:f>
        <x:v>36205</x:v>
      </x:c>
      <x:c r="S153" s="20" t="n">
        <x:f>IF(AND(A152=A153,D152=D153),S152+R153,R153)</x:f>
        <x:v>145990</x:v>
      </x:c>
      <x:c r="T153" s="20" t="n">
        <x:f>MIN(S153,INDEX(Inputs!$B$20:$D$20,1,MATCH(A153,Inputs!$B$6:$D$6,0)))*INDEX(Inputs!$B$22:$D$22,1,MATCH(A153,Inputs!$B$6:$D$6,0))+MAX(MIN(S153,INDEX(Inputs!$B$21:$D$21,1,MATCH(A153,Inputs!$B$6:$D$6,0)))-INDEX(Inputs!$B$20:$D$20,1,MATCH(A153,Inputs!$B$6:$D$6,0)),0)*INDEX(Inputs!$B$23:$D$23,1,MATCH(A153,Inputs!$B$6:$D$6,0))+MAX(S153-INDEX(Inputs!$B$21:$D$21,1,MATCH(A153,Inputs!$B$6:$D$6,0)),0)*INDEX(Inputs!$B$24:$D$24,1,MATCH(A153,Inputs!$B$6:$D$6,0))</x:f>
        <x:v>10030.797</x:v>
      </x:c>
      <x:c r="U153" s="20" t="n">
        <x:f>IF(AND(A152=A153,D152=D153),T152,0)</x:f>
        <x:v>8888.5525</x:v>
      </x:c>
      <x:c r="V153" s="20" t="n">
        <x:f>T153-U153</x:f>
        <x:v>1142.2445000000007</x:v>
      </x:c>
      <x:c r="W153" s="20" t="n">
        <x:f>R153+V153</x:f>
        <x:v>37347.2445</x:v>
      </x:c>
      <x:c r="X153" s="14" t="str">
        <x:f>IF(ABS(W153-SUM(M153:Q153)-V153)&lt;0.01,"OK","Check")</x:f>
        <x:v>OK</x:v>
      </x:c>
    </x:row>
    <x:row r="154">
      <x:c r="A154" s="14" t="n">
        <x:v>2026</x:v>
      </x:c>
      <x:c r="B154" s="14" t="str">
        <x:v>Q1</x:v>
      </x:c>
      <x:c r="C154" s="14" t="n">
        <x:v>1</x:v>
      </x:c>
      <x:c r="D154" s="14" t="n">
        <x:v>38</x:v>
      </x:c>
      <x:c r="E154" s="14" t="str">
        <x:f>INDEX(Roster!$B$6:$B$108,MATCH(D154,Roster!$A$6:$A$108,0))</x:f>
        <x:v>Principal</x:v>
      </x:c>
      <x:c r="F154" s="14" t="str">
        <x:f>INDEX(Roster!$F$6:$F$108,MATCH(D154,Roster!$A$6:$A$108,0))</x:f>
        <x:v>No</x:v>
      </x:c>
      <x:c r="G154" s="14" t="n">
        <x:f>INDEX(Inputs!$B$7:$D$7,1,MATCH(A154,Inputs!$B$6:$D$6,0))</x:f>
        <x:v>13</x:v>
      </x:c>
      <x:c r="H154" s="14" t="n">
        <x:f>MIN(=INDEX(Inputs!$B$7:$D$7,1,MATCH(A154,Inputs!$B$6:$D$6,0)),MAX(0,INDEX(Inputs!$B$14:$D$14,1,MATCH(A154,Inputs!$B$6:$D$6,0))-(C154-1)*=INDEX(Inputs!$B$7:$D$7,1,MATCH(A154,Inputs!$B$6:$D$6,0))))</x:f>
        <x:v>13</x:v>
      </x:c>
      <x:c r="I154" s="20" t="n">
        <x:f>INDEX(Inputs!$B$8:$D$8,1,MATCH(A154,Inputs!$B$6:$D$6,0))</x:f>
        <x:v>2395</x:v>
      </x:c>
      <x:c r="J154" s="20" t="n">
        <x:f>INDEX(Roster!$C$6:$C$108,MATCH(D154,Roster!$A$6:$A$108,0))*(1+INDEX(Inputs!$B$9:$D$9,1,MATCH(A154,Inputs!$B$6:$D$6,0)))</x:f>
        <x:v>700</x:v>
      </x:c>
      <x:c r="K154" s="20" t="n">
        <x:f>IF(=INDEX(Roster!$F$6:$F$108,MATCH(D154,Roster!$A$6:$A$108,0))="Yes",0,=INDEX(Inputs!$B$8:$D$8,1,MATCH(A154,Inputs!$B$6:$D$6,0))*IF(=INDEX(Roster!$B$6:$B$108,MATCH(D154,Roster!$A$6:$A$108,0))="Principal",INDEX(Inputs!$B$10:$D$10,1,MATCH(A154,Inputs!$B$6:$D$6,0)),IF(=INDEX(Roster!$B$6:$B$108,MATCH(D154,Roster!$A$6:$A$108,0))="Associate Principal",INDEX(Inputs!$B$11:$D$11,1,MATCH(A154,Inputs!$B$6:$D$6,0)),IF(=INDEX(Roster!$B$6:$B$108,MATCH(D154,Roster!$A$6:$A$108,0))="Assistant Principal",INDEX(Inputs!$B$12:$D$12,1,MATCH(A154,Inputs!$B$6:$D$6,0)),0))))</x:f>
        <x:v>479</x:v>
      </x:c>
      <x:c r="L154" s="20" t="n">
        <x:f>IF(INDEX(Roster!$D$6:$D$108,MATCH(D154,Roster!$A$6:$A$108,0))&gt;=25,INDEX(Inputs!$B$19:$D$19,1,MATCH(A154,Inputs!$B$6:$D$6,0)),IF(INDEX(Roster!$D$6:$D$108,MATCH(D154,Roster!$A$6:$A$108,0))&gt;=20,INDEX(Inputs!$B$18:$D$18,1,MATCH(A154,Inputs!$B$6:$D$6,0)),IF(INDEX(Roster!$D$6:$D$108,MATCH(D154,Roster!$A$6:$A$108,0))&gt;=15,INDEX(Inputs!$B$17:$D$17,1,MATCH(A154,Inputs!$B$6:$D$6,0)),IF(INDEX(Roster!$D$6:$D$108,MATCH(D154,Roster!$A$6:$A$108,0))&gt;=10,INDEX(Inputs!$B$16:$D$16,1,MATCH(A154,Inputs!$B$6:$D$6,0)),IF(INDEX(Roster!$D$6:$D$108,MATCH(D154,Roster!$A$6:$A$108,0))&gt;=5,INDEX(Inputs!$B$15:$D$15,1,MATCH(A154,Inputs!$B$6:$D$6,0)),0)))))</x:f>
        <x:v>90</x:v>
      </x:c>
      <x:c r="M154" s="20" t="n">
        <x:f>G154*I154</x:f>
        <x:v>31135</x:v>
      </x:c>
      <x:c r="N154" s="20" t="n">
        <x:f>G154*J154</x:f>
        <x:v>9100</x:v>
      </x:c>
      <x:c r="O154" s="20" t="n">
        <x:f>G154*K154</x:f>
        <x:v>6227</x:v>
      </x:c>
      <x:c r="P154" s="20" t="n">
        <x:f>G154*L154</x:f>
        <x:v>1170</x:v>
      </x:c>
      <x:c r="Q154" s="20" t="n">
        <x:f>H154*INDEX(Inputs!$B$13:$D$13,1,MATCH(A154,Inputs!$B$6:$D$6,0))</x:f>
        <x:v>390</x:v>
      </x:c>
      <x:c r="R154" s="20" t="n">
        <x:f>SUM(M154:Q154)</x:f>
        <x:v>48022</x:v>
      </x:c>
      <x:c r="S154" s="20" t="n">
        <x:f>IF(AND(A153=A154,D153=D154),S153+R154,R154)</x:f>
        <x:v>48022</x:v>
      </x:c>
      <x:c r="T154" s="20" t="n">
        <x:f>MIN(S154,INDEX(Inputs!$B$20:$D$20,1,MATCH(A154,Inputs!$B$6:$D$6,0)))*INDEX(Inputs!$B$22:$D$22,1,MATCH(A154,Inputs!$B$6:$D$6,0))+MAX(MIN(S154,INDEX(Inputs!$B$21:$D$21,1,MATCH(A154,Inputs!$B$6:$D$6,0)))-INDEX(Inputs!$B$20:$D$20,1,MATCH(A154,Inputs!$B$6:$D$6,0)),0)*INDEX(Inputs!$B$23:$D$23,1,MATCH(A154,Inputs!$B$6:$D$6,0))+MAX(S154-INDEX(Inputs!$B$21:$D$21,1,MATCH(A154,Inputs!$B$6:$D$6,0)),0)*INDEX(Inputs!$B$24:$D$24,1,MATCH(A154,Inputs!$B$6:$D$6,0))</x:f>
        <x:v>4163.683</x:v>
      </x:c>
      <x:c r="U154" s="20" t="n">
        <x:f>IF(AND(A153=A154,D153=D154),T153,0)</x:f>
        <x:v>0</x:v>
      </x:c>
      <x:c r="V154" s="20" t="n">
        <x:f>T154-U154</x:f>
        <x:v>4163.683</x:v>
      </x:c>
      <x:c r="W154" s="20" t="n">
        <x:f>R154+V154</x:f>
        <x:v>52185.683</x:v>
      </x:c>
      <x:c r="X154" s="14" t="str">
        <x:f>IF(ABS(W154-SUM(M154:Q154)-V154)&lt;0.01,"OK","Check")</x:f>
        <x:v>OK</x:v>
      </x:c>
    </x:row>
    <x:row r="155">
      <x:c r="A155" s="14" t="n">
        <x:v>2026</x:v>
      </x:c>
      <x:c r="B155" s="14" t="str">
        <x:v>Q2</x:v>
      </x:c>
      <x:c r="C155" s="14" t="n">
        <x:v>2</x:v>
      </x:c>
      <x:c r="D155" s="14" t="n">
        <x:v>38</x:v>
      </x:c>
      <x:c r="E155" s="14" t="str">
        <x:f>INDEX(Roster!$B$6:$B$108,MATCH(D155,Roster!$A$6:$A$108,0))</x:f>
        <x:v>Principal</x:v>
      </x:c>
      <x:c r="F155" s="14" t="str">
        <x:f>INDEX(Roster!$F$6:$F$108,MATCH(D155,Roster!$A$6:$A$108,0))</x:f>
        <x:v>No</x:v>
      </x:c>
      <x:c r="G155" s="14" t="n">
        <x:f>INDEX(Inputs!$B$7:$D$7,1,MATCH(A155,Inputs!$B$6:$D$6,0))</x:f>
        <x:v>13</x:v>
      </x:c>
      <x:c r="H155" s="14" t="n">
        <x:f>MIN(=INDEX(Inputs!$B$7:$D$7,1,MATCH(A155,Inputs!$B$6:$D$6,0)),MAX(0,INDEX(Inputs!$B$14:$D$14,1,MATCH(A155,Inputs!$B$6:$D$6,0))-(C155-1)*=INDEX(Inputs!$B$7:$D$7,1,MATCH(A155,Inputs!$B$6:$D$6,0))))</x:f>
        <x:v>13</x:v>
      </x:c>
      <x:c r="I155" s="20" t="n">
        <x:f>INDEX(Inputs!$B$8:$D$8,1,MATCH(A155,Inputs!$B$6:$D$6,0))</x:f>
        <x:v>2395</x:v>
      </x:c>
      <x:c r="J155" s="20" t="n">
        <x:f>INDEX(Roster!$C$6:$C$108,MATCH(D155,Roster!$A$6:$A$108,0))*(1+INDEX(Inputs!$B$9:$D$9,1,MATCH(A155,Inputs!$B$6:$D$6,0)))</x:f>
        <x:v>700</x:v>
      </x:c>
      <x:c r="K155" s="20" t="n">
        <x:f>IF(=INDEX(Roster!$F$6:$F$108,MATCH(D155,Roster!$A$6:$A$108,0))="Yes",0,=INDEX(Inputs!$B$8:$D$8,1,MATCH(A155,Inputs!$B$6:$D$6,0))*IF(=INDEX(Roster!$B$6:$B$108,MATCH(D155,Roster!$A$6:$A$108,0))="Principal",INDEX(Inputs!$B$10:$D$10,1,MATCH(A155,Inputs!$B$6:$D$6,0)),IF(=INDEX(Roster!$B$6:$B$108,MATCH(D155,Roster!$A$6:$A$108,0))="Associate Principal",INDEX(Inputs!$B$11:$D$11,1,MATCH(A155,Inputs!$B$6:$D$6,0)),IF(=INDEX(Roster!$B$6:$B$108,MATCH(D155,Roster!$A$6:$A$108,0))="Assistant Principal",INDEX(Inputs!$B$12:$D$12,1,MATCH(A155,Inputs!$B$6:$D$6,0)),0))))</x:f>
        <x:v>479</x:v>
      </x:c>
      <x:c r="L155" s="20" t="n">
        <x:f>IF(INDEX(Roster!$D$6:$D$108,MATCH(D155,Roster!$A$6:$A$108,0))&gt;=25,INDEX(Inputs!$B$19:$D$19,1,MATCH(A155,Inputs!$B$6:$D$6,0)),IF(INDEX(Roster!$D$6:$D$108,MATCH(D155,Roster!$A$6:$A$108,0))&gt;=20,INDEX(Inputs!$B$18:$D$18,1,MATCH(A155,Inputs!$B$6:$D$6,0)),IF(INDEX(Roster!$D$6:$D$108,MATCH(D155,Roster!$A$6:$A$108,0))&gt;=15,INDEX(Inputs!$B$17:$D$17,1,MATCH(A155,Inputs!$B$6:$D$6,0)),IF(INDEX(Roster!$D$6:$D$108,MATCH(D155,Roster!$A$6:$A$108,0))&gt;=10,INDEX(Inputs!$B$16:$D$16,1,MATCH(A155,Inputs!$B$6:$D$6,0)),IF(INDEX(Roster!$D$6:$D$108,MATCH(D155,Roster!$A$6:$A$108,0))&gt;=5,INDEX(Inputs!$B$15:$D$15,1,MATCH(A155,Inputs!$B$6:$D$6,0)),0)))))</x:f>
        <x:v>90</x:v>
      </x:c>
      <x:c r="M155" s="20" t="n">
        <x:f>G155*I155</x:f>
        <x:v>31135</x:v>
      </x:c>
      <x:c r="N155" s="20" t="n">
        <x:f>G155*J155</x:f>
        <x:v>9100</x:v>
      </x:c>
      <x:c r="O155" s="20" t="n">
        <x:f>G155*K155</x:f>
        <x:v>6227</x:v>
      </x:c>
      <x:c r="P155" s="20" t="n">
        <x:f>G155*L155</x:f>
        <x:v>1170</x:v>
      </x:c>
      <x:c r="Q155" s="20" t="n">
        <x:f>H155*INDEX(Inputs!$B$13:$D$13,1,MATCH(A155,Inputs!$B$6:$D$6,0))</x:f>
        <x:v>390</x:v>
      </x:c>
      <x:c r="R155" s="20" t="n">
        <x:f>SUM(M155:Q155)</x:f>
        <x:v>48022</x:v>
      </x:c>
      <x:c r="S155" s="20" t="n">
        <x:f>IF(AND(A154=A155,D154=D155),S154+R155,R155)</x:f>
        <x:v>96044</x:v>
      </x:c>
      <x:c r="T155" s="20" t="n">
        <x:f>MIN(S155,INDEX(Inputs!$B$20:$D$20,1,MATCH(A155,Inputs!$B$6:$D$6,0)))*INDEX(Inputs!$B$22:$D$22,1,MATCH(A155,Inputs!$B$6:$D$6,0))+MAX(MIN(S155,INDEX(Inputs!$B$21:$D$21,1,MATCH(A155,Inputs!$B$6:$D$6,0)))-INDEX(Inputs!$B$20:$D$20,1,MATCH(A155,Inputs!$B$6:$D$6,0)),0)*INDEX(Inputs!$B$23:$D$23,1,MATCH(A155,Inputs!$B$6:$D$6,0))+MAX(S155-INDEX(Inputs!$B$21:$D$21,1,MATCH(A155,Inputs!$B$6:$D$6,0)),0)*INDEX(Inputs!$B$24:$D$24,1,MATCH(A155,Inputs!$B$6:$D$6,0))</x:f>
        <x:v>7837.366</x:v>
      </x:c>
      <x:c r="U155" s="20" t="n">
        <x:f>IF(AND(A154=A155,D154=D155),T154,0)</x:f>
        <x:v>4163.683</x:v>
      </x:c>
      <x:c r="V155" s="20" t="n">
        <x:f>T155-U155</x:f>
        <x:v>3673.683</x:v>
      </x:c>
      <x:c r="W155" s="20" t="n">
        <x:f>R155+V155</x:f>
        <x:v>51695.683</x:v>
      </x:c>
      <x:c r="X155" s="14" t="str">
        <x:f>IF(ABS(W155-SUM(M155:Q155)-V155)&lt;0.01,"OK","Check")</x:f>
        <x:v>OK</x:v>
      </x:c>
    </x:row>
    <x:row r="156">
      <x:c r="A156" s="14" t="n">
        <x:v>2026</x:v>
      </x:c>
      <x:c r="B156" s="14" t="str">
        <x:v>Q3</x:v>
      </x:c>
      <x:c r="C156" s="14" t="n">
        <x:v>3</x:v>
      </x:c>
      <x:c r="D156" s="14" t="n">
        <x:v>38</x:v>
      </x:c>
      <x:c r="E156" s="14" t="str">
        <x:f>INDEX(Roster!$B$6:$B$108,MATCH(D156,Roster!$A$6:$A$108,0))</x:f>
        <x:v>Principal</x:v>
      </x:c>
      <x:c r="F156" s="14" t="str">
        <x:f>INDEX(Roster!$F$6:$F$108,MATCH(D156,Roster!$A$6:$A$108,0))</x:f>
        <x:v>No</x:v>
      </x:c>
      <x:c r="G156" s="14" t="n">
        <x:f>INDEX(Inputs!$B$7:$D$7,1,MATCH(A156,Inputs!$B$6:$D$6,0))</x:f>
        <x:v>13</x:v>
      </x:c>
      <x:c r="H156" s="14" t="n">
        <x:f>MIN(=INDEX(Inputs!$B$7:$D$7,1,MATCH(A156,Inputs!$B$6:$D$6,0)),MAX(0,INDEX(Inputs!$B$14:$D$14,1,MATCH(A156,Inputs!$B$6:$D$6,0))-(C156-1)*=INDEX(Inputs!$B$7:$D$7,1,MATCH(A156,Inputs!$B$6:$D$6,0))))</x:f>
        <x:v>13</x:v>
      </x:c>
      <x:c r="I156" s="20" t="n">
        <x:f>INDEX(Inputs!$B$8:$D$8,1,MATCH(A156,Inputs!$B$6:$D$6,0))</x:f>
        <x:v>2395</x:v>
      </x:c>
      <x:c r="J156" s="20" t="n">
        <x:f>INDEX(Roster!$C$6:$C$108,MATCH(D156,Roster!$A$6:$A$108,0))*(1+INDEX(Inputs!$B$9:$D$9,1,MATCH(A156,Inputs!$B$6:$D$6,0)))</x:f>
        <x:v>700</x:v>
      </x:c>
      <x:c r="K156" s="20" t="n">
        <x:f>IF(=INDEX(Roster!$F$6:$F$108,MATCH(D156,Roster!$A$6:$A$108,0))="Yes",0,=INDEX(Inputs!$B$8:$D$8,1,MATCH(A156,Inputs!$B$6:$D$6,0))*IF(=INDEX(Roster!$B$6:$B$108,MATCH(D156,Roster!$A$6:$A$108,0))="Principal",INDEX(Inputs!$B$10:$D$10,1,MATCH(A156,Inputs!$B$6:$D$6,0)),IF(=INDEX(Roster!$B$6:$B$108,MATCH(D156,Roster!$A$6:$A$108,0))="Associate Principal",INDEX(Inputs!$B$11:$D$11,1,MATCH(A156,Inputs!$B$6:$D$6,0)),IF(=INDEX(Roster!$B$6:$B$108,MATCH(D156,Roster!$A$6:$A$108,0))="Assistant Principal",INDEX(Inputs!$B$12:$D$12,1,MATCH(A156,Inputs!$B$6:$D$6,0)),0))))</x:f>
        <x:v>479</x:v>
      </x:c>
      <x:c r="L156" s="20" t="n">
        <x:f>IF(INDEX(Roster!$D$6:$D$108,MATCH(D156,Roster!$A$6:$A$108,0))&gt;=25,INDEX(Inputs!$B$19:$D$19,1,MATCH(A156,Inputs!$B$6:$D$6,0)),IF(INDEX(Roster!$D$6:$D$108,MATCH(D156,Roster!$A$6:$A$108,0))&gt;=20,INDEX(Inputs!$B$18:$D$18,1,MATCH(A156,Inputs!$B$6:$D$6,0)),IF(INDEX(Roster!$D$6:$D$108,MATCH(D156,Roster!$A$6:$A$108,0))&gt;=15,INDEX(Inputs!$B$17:$D$17,1,MATCH(A156,Inputs!$B$6:$D$6,0)),IF(INDEX(Roster!$D$6:$D$108,MATCH(D156,Roster!$A$6:$A$108,0))&gt;=10,INDEX(Inputs!$B$16:$D$16,1,MATCH(A156,Inputs!$B$6:$D$6,0)),IF(INDEX(Roster!$D$6:$D$108,MATCH(D156,Roster!$A$6:$A$108,0))&gt;=5,INDEX(Inputs!$B$15:$D$15,1,MATCH(A156,Inputs!$B$6:$D$6,0)),0)))))</x:f>
        <x:v>90</x:v>
      </x:c>
      <x:c r="M156" s="20" t="n">
        <x:f>G156*I156</x:f>
        <x:v>31135</x:v>
      </x:c>
      <x:c r="N156" s="20" t="n">
        <x:f>G156*J156</x:f>
        <x:v>9100</x:v>
      </x:c>
      <x:c r="O156" s="20" t="n">
        <x:f>G156*K156</x:f>
        <x:v>6227</x:v>
      </x:c>
      <x:c r="P156" s="20" t="n">
        <x:f>G156*L156</x:f>
        <x:v>1170</x:v>
      </x:c>
      <x:c r="Q156" s="20" t="n">
        <x:f>H156*INDEX(Inputs!$B$13:$D$13,1,MATCH(A156,Inputs!$B$6:$D$6,0))</x:f>
        <x:v>390</x:v>
      </x:c>
      <x:c r="R156" s="20" t="n">
        <x:f>SUM(M156:Q156)</x:f>
        <x:v>48022</x:v>
      </x:c>
      <x:c r="S156" s="20" t="n">
        <x:f>IF(AND(A155=A156,D155=D156),S155+R156,R156)</x:f>
        <x:v>144066</x:v>
      </x:c>
      <x:c r="T156" s="20" t="n">
        <x:f>MIN(S156,INDEX(Inputs!$B$20:$D$20,1,MATCH(A156,Inputs!$B$6:$D$6,0)))*INDEX(Inputs!$B$22:$D$22,1,MATCH(A156,Inputs!$B$6:$D$6,0))+MAX(MIN(S156,INDEX(Inputs!$B$21:$D$21,1,MATCH(A156,Inputs!$B$6:$D$6,0)))-INDEX(Inputs!$B$20:$D$20,1,MATCH(A156,Inputs!$B$6:$D$6,0)),0)*INDEX(Inputs!$B$23:$D$23,1,MATCH(A156,Inputs!$B$6:$D$6,0))+MAX(S156-INDEX(Inputs!$B$21:$D$21,1,MATCH(A156,Inputs!$B$6:$D$6,0)),0)*INDEX(Inputs!$B$24:$D$24,1,MATCH(A156,Inputs!$B$6:$D$6,0))</x:f>
        <x:v>10002.899</x:v>
      </x:c>
      <x:c r="U156" s="20" t="n">
        <x:f>IF(AND(A155=A156,D155=D156),T155,0)</x:f>
        <x:v>7837.366</x:v>
      </x:c>
      <x:c r="V156" s="20" t="n">
        <x:f>T156-U156</x:f>
        <x:v>2165.5329999999994</x:v>
      </x:c>
      <x:c r="W156" s="20" t="n">
        <x:f>R156+V156</x:f>
        <x:v>50187.532999999996</x:v>
      </x:c>
      <x:c r="X156" s="14" t="str">
        <x:f>IF(ABS(W156-SUM(M156:Q156)-V156)&lt;0.01,"OK","Check")</x:f>
        <x:v>OK</x:v>
      </x:c>
    </x:row>
    <x:row r="157">
      <x:c r="A157" s="14" t="n">
        <x:v>2026</x:v>
      </x:c>
      <x:c r="B157" s="14" t="str">
        <x:v>Q4</x:v>
      </x:c>
      <x:c r="C157" s="14" t="n">
        <x:v>4</x:v>
      </x:c>
      <x:c r="D157" s="14" t="n">
        <x:v>38</x:v>
      </x:c>
      <x:c r="E157" s="14" t="str">
        <x:f>INDEX(Roster!$B$6:$B$108,MATCH(D157,Roster!$A$6:$A$108,0))</x:f>
        <x:v>Principal</x:v>
      </x:c>
      <x:c r="F157" s="14" t="str">
        <x:f>INDEX(Roster!$F$6:$F$108,MATCH(D157,Roster!$A$6:$A$108,0))</x:f>
        <x:v>No</x:v>
      </x:c>
      <x:c r="G157" s="14" t="n">
        <x:f>INDEX(Inputs!$B$7:$D$7,1,MATCH(A157,Inputs!$B$6:$D$6,0))</x:f>
        <x:v>13</x:v>
      </x:c>
      <x:c r="H157" s="14" t="n">
        <x:f>MIN(=INDEX(Inputs!$B$7:$D$7,1,MATCH(A157,Inputs!$B$6:$D$6,0)),MAX(0,INDEX(Inputs!$B$14:$D$14,1,MATCH(A157,Inputs!$B$6:$D$6,0))-(C157-1)*=INDEX(Inputs!$B$7:$D$7,1,MATCH(A157,Inputs!$B$6:$D$6,0))))</x:f>
        <x:v>0</x:v>
      </x:c>
      <x:c r="I157" s="20" t="n">
        <x:f>INDEX(Inputs!$B$8:$D$8,1,MATCH(A157,Inputs!$B$6:$D$6,0))</x:f>
        <x:v>2395</x:v>
      </x:c>
      <x:c r="J157" s="20" t="n">
        <x:f>INDEX(Roster!$C$6:$C$108,MATCH(D157,Roster!$A$6:$A$108,0))*(1+INDEX(Inputs!$B$9:$D$9,1,MATCH(A157,Inputs!$B$6:$D$6,0)))</x:f>
        <x:v>700</x:v>
      </x:c>
      <x:c r="K157" s="20" t="n">
        <x:f>IF(=INDEX(Roster!$F$6:$F$108,MATCH(D157,Roster!$A$6:$A$108,0))="Yes",0,=INDEX(Inputs!$B$8:$D$8,1,MATCH(A157,Inputs!$B$6:$D$6,0))*IF(=INDEX(Roster!$B$6:$B$108,MATCH(D157,Roster!$A$6:$A$108,0))="Principal",INDEX(Inputs!$B$10:$D$10,1,MATCH(A157,Inputs!$B$6:$D$6,0)),IF(=INDEX(Roster!$B$6:$B$108,MATCH(D157,Roster!$A$6:$A$108,0))="Associate Principal",INDEX(Inputs!$B$11:$D$11,1,MATCH(A157,Inputs!$B$6:$D$6,0)),IF(=INDEX(Roster!$B$6:$B$108,MATCH(D157,Roster!$A$6:$A$108,0))="Assistant Principal",INDEX(Inputs!$B$12:$D$12,1,MATCH(A157,Inputs!$B$6:$D$6,0)),0))))</x:f>
        <x:v>479</x:v>
      </x:c>
      <x:c r="L157" s="20" t="n">
        <x:f>IF(INDEX(Roster!$D$6:$D$108,MATCH(D157,Roster!$A$6:$A$108,0))&gt;=25,INDEX(Inputs!$B$19:$D$19,1,MATCH(A157,Inputs!$B$6:$D$6,0)),IF(INDEX(Roster!$D$6:$D$108,MATCH(D157,Roster!$A$6:$A$108,0))&gt;=20,INDEX(Inputs!$B$18:$D$18,1,MATCH(A157,Inputs!$B$6:$D$6,0)),IF(INDEX(Roster!$D$6:$D$108,MATCH(D157,Roster!$A$6:$A$108,0))&gt;=15,INDEX(Inputs!$B$17:$D$17,1,MATCH(A157,Inputs!$B$6:$D$6,0)),IF(INDEX(Roster!$D$6:$D$108,MATCH(D157,Roster!$A$6:$A$108,0))&gt;=10,INDEX(Inputs!$B$16:$D$16,1,MATCH(A157,Inputs!$B$6:$D$6,0)),IF(INDEX(Roster!$D$6:$D$108,MATCH(D157,Roster!$A$6:$A$108,0))&gt;=5,INDEX(Inputs!$B$15:$D$15,1,MATCH(A157,Inputs!$B$6:$D$6,0)),0)))))</x:f>
        <x:v>90</x:v>
      </x:c>
      <x:c r="M157" s="20" t="n">
        <x:f>G157*I157</x:f>
        <x:v>31135</x:v>
      </x:c>
      <x:c r="N157" s="20" t="n">
        <x:f>G157*J157</x:f>
        <x:v>9100</x:v>
      </x:c>
      <x:c r="O157" s="20" t="n">
        <x:f>G157*K157</x:f>
        <x:v>6227</x:v>
      </x:c>
      <x:c r="P157" s="20" t="n">
        <x:f>G157*L157</x:f>
        <x:v>1170</x:v>
      </x:c>
      <x:c r="Q157" s="20" t="n">
        <x:f>H157*INDEX(Inputs!$B$13:$D$13,1,MATCH(A157,Inputs!$B$6:$D$6,0))</x:f>
        <x:v>0</x:v>
      </x:c>
      <x:c r="R157" s="20" t="n">
        <x:f>SUM(M157:Q157)</x:f>
        <x:v>47632</x:v>
      </x:c>
      <x:c r="S157" s="20" t="n">
        <x:f>IF(AND(A156=A157,D156=D157),S156+R157,R157)</x:f>
        <x:v>191698</x:v>
      </x:c>
      <x:c r="T157" s="20" t="n">
        <x:f>MIN(S157,INDEX(Inputs!$B$20:$D$20,1,MATCH(A157,Inputs!$B$6:$D$6,0)))*INDEX(Inputs!$B$22:$D$22,1,MATCH(A157,Inputs!$B$6:$D$6,0))+MAX(MIN(S157,INDEX(Inputs!$B$21:$D$21,1,MATCH(A157,Inputs!$B$6:$D$6,0)))-INDEX(Inputs!$B$20:$D$20,1,MATCH(A157,Inputs!$B$6:$D$6,0)),0)*INDEX(Inputs!$B$23:$D$23,1,MATCH(A157,Inputs!$B$6:$D$6,0))+MAX(S157-INDEX(Inputs!$B$21:$D$21,1,MATCH(A157,Inputs!$B$6:$D$6,0)),0)*INDEX(Inputs!$B$24:$D$24,1,MATCH(A157,Inputs!$B$6:$D$6,0))</x:f>
        <x:v>10693.563</x:v>
      </x:c>
      <x:c r="U157" s="20" t="n">
        <x:f>IF(AND(A156=A157,D156=D157),T156,0)</x:f>
        <x:v>10002.899</x:v>
      </x:c>
      <x:c r="V157" s="20" t="n">
        <x:f>T157-U157</x:f>
        <x:v>690.6640000000007</x:v>
      </x:c>
      <x:c r="W157" s="20" t="n">
        <x:f>R157+V157</x:f>
        <x:v>48322.664000000004</x:v>
      </x:c>
      <x:c r="X157" s="14" t="str">
        <x:f>IF(ABS(W157-SUM(M157:Q157)-V157)&lt;0.01,"OK","Check")</x:f>
        <x:v>OK</x:v>
      </x:c>
    </x:row>
    <x:row r="158">
      <x:c r="A158" s="14" t="n">
        <x:v>2026</x:v>
      </x:c>
      <x:c r="B158" s="14" t="str">
        <x:v>Q1</x:v>
      </x:c>
      <x:c r="C158" s="14" t="n">
        <x:v>1</x:v>
      </x:c>
      <x:c r="D158" s="14" t="n">
        <x:v>39</x:v>
      </x:c>
      <x:c r="E158" s="14" t="str">
        <x:f>INDEX(Roster!$B$6:$B$108,MATCH(D158,Roster!$A$6:$A$108,0))</x:f>
      </x:c>
      <x:c r="F158" s="14" t="str">
        <x:f>INDEX(Roster!$F$6:$F$108,MATCH(D158,Roster!$A$6:$A$108,0))</x:f>
        <x:v>No</x:v>
      </x:c>
      <x:c r="G158" s="14" t="n">
        <x:f>INDEX(Inputs!$B$7:$D$7,1,MATCH(A158,Inputs!$B$6:$D$6,0))</x:f>
        <x:v>13</x:v>
      </x:c>
      <x:c r="H158" s="14" t="n">
        <x:f>MIN(=INDEX(Inputs!$B$7:$D$7,1,MATCH(A158,Inputs!$B$6:$D$6,0)),MAX(0,INDEX(Inputs!$B$14:$D$14,1,MATCH(A158,Inputs!$B$6:$D$6,0))-(C158-1)*=INDEX(Inputs!$B$7:$D$7,1,MATCH(A158,Inputs!$B$6:$D$6,0))))</x:f>
        <x:v>13</x:v>
      </x:c>
      <x:c r="I158" s="20" t="n">
        <x:f>INDEX(Inputs!$B$8:$D$8,1,MATCH(A158,Inputs!$B$6:$D$6,0))</x:f>
        <x:v>2395</x:v>
      </x:c>
      <x:c r="J158" s="20" t="n">
        <x:f>INDEX(Roster!$C$6:$C$108,MATCH(D158,Roster!$A$6:$A$108,0))*(1+INDEX(Inputs!$B$9:$D$9,1,MATCH(A158,Inputs!$B$6:$D$6,0)))</x:f>
        <x:v>70</x:v>
      </x:c>
      <x:c r="K158" s="20" t="n">
        <x:f>IF(=INDEX(Roster!$F$6:$F$108,MATCH(D158,Roster!$A$6:$A$108,0))="Yes",0,=INDEX(Inputs!$B$8:$D$8,1,MATCH(A158,Inputs!$B$6:$D$6,0))*IF(=INDEX(Roster!$B$6:$B$108,MATCH(D158,Roster!$A$6:$A$108,0))="Principal",INDEX(Inputs!$B$10:$D$10,1,MATCH(A158,Inputs!$B$6:$D$6,0)),IF(=INDEX(Roster!$B$6:$B$108,MATCH(D158,Roster!$A$6:$A$108,0))="Associate Principal",INDEX(Inputs!$B$11:$D$11,1,MATCH(A158,Inputs!$B$6:$D$6,0)),IF(=INDEX(Roster!$B$6:$B$108,MATCH(D158,Roster!$A$6:$A$108,0))="Assistant Principal",INDEX(Inputs!$B$12:$D$12,1,MATCH(A158,Inputs!$B$6:$D$6,0)),0))))</x:f>
        <x:v>0</x:v>
      </x:c>
      <x:c r="L158" s="20" t="n">
        <x:f>IF(INDEX(Roster!$D$6:$D$108,MATCH(D158,Roster!$A$6:$A$108,0))&gt;=25,INDEX(Inputs!$B$19:$D$19,1,MATCH(A158,Inputs!$B$6:$D$6,0)),IF(INDEX(Roster!$D$6:$D$108,MATCH(D158,Roster!$A$6:$A$108,0))&gt;=20,INDEX(Inputs!$B$18:$D$18,1,MATCH(A158,Inputs!$B$6:$D$6,0)),IF(INDEX(Roster!$D$6:$D$108,MATCH(D158,Roster!$A$6:$A$108,0))&gt;=15,INDEX(Inputs!$B$17:$D$17,1,MATCH(A158,Inputs!$B$6:$D$6,0)),IF(INDEX(Roster!$D$6:$D$108,MATCH(D158,Roster!$A$6:$A$108,0))&gt;=10,INDEX(Inputs!$B$16:$D$16,1,MATCH(A158,Inputs!$B$6:$D$6,0)),IF(INDEX(Roster!$D$6:$D$108,MATCH(D158,Roster!$A$6:$A$108,0))&gt;=5,INDEX(Inputs!$B$15:$D$15,1,MATCH(A158,Inputs!$B$6:$D$6,0)),0)))))</x:f>
        <x:v>90</x:v>
      </x:c>
      <x:c r="M158" s="20" t="n">
        <x:f>G158*I158</x:f>
        <x:v>31135</x:v>
      </x:c>
      <x:c r="N158" s="20" t="n">
        <x:f>G158*J158</x:f>
        <x:v>910</x:v>
      </x:c>
      <x:c r="O158" s="20" t="n">
        <x:f>G158*K158</x:f>
        <x:v>0</x:v>
      </x:c>
      <x:c r="P158" s="20" t="n">
        <x:f>G158*L158</x:f>
        <x:v>1170</x:v>
      </x:c>
      <x:c r="Q158" s="20" t="n">
        <x:f>H158*INDEX(Inputs!$B$13:$D$13,1,MATCH(A158,Inputs!$B$6:$D$6,0))</x:f>
        <x:v>390</x:v>
      </x:c>
      <x:c r="R158" s="20" t="n">
        <x:f>SUM(M158:Q158)</x:f>
        <x:v>33605</x:v>
      </x:c>
      <x:c r="S158" s="20" t="n">
        <x:f>IF(AND(A157=A158,D157=D158),S157+R158,R158)</x:f>
        <x:v>33605</x:v>
      </x:c>
      <x:c r="T158" s="20" t="n">
        <x:f>MIN(S158,INDEX(Inputs!$B$20:$D$20,1,MATCH(A158,Inputs!$B$6:$D$6,0)))*INDEX(Inputs!$B$22:$D$22,1,MATCH(A158,Inputs!$B$6:$D$6,0))+MAX(MIN(S158,INDEX(Inputs!$B$21:$D$21,1,MATCH(A158,Inputs!$B$6:$D$6,0)))-INDEX(Inputs!$B$20:$D$20,1,MATCH(A158,Inputs!$B$6:$D$6,0)),0)*INDEX(Inputs!$B$23:$D$23,1,MATCH(A158,Inputs!$B$6:$D$6,0))+MAX(S158-INDEX(Inputs!$B$21:$D$21,1,MATCH(A158,Inputs!$B$6:$D$6,0)),0)*INDEX(Inputs!$B$24:$D$24,1,MATCH(A158,Inputs!$B$6:$D$6,0))</x:f>
        <x:v>3060.7825000000003</x:v>
      </x:c>
      <x:c r="U158" s="20" t="n">
        <x:f>IF(AND(A157=A158,D157=D158),T157,0)</x:f>
        <x:v>0</x:v>
      </x:c>
      <x:c r="V158" s="20" t="n">
        <x:f>T158-U158</x:f>
        <x:v>3060.7825000000003</x:v>
      </x:c>
      <x:c r="W158" s="20" t="n">
        <x:f>R158+V158</x:f>
        <x:v>36665.7825</x:v>
      </x:c>
      <x:c r="X158" s="14" t="str">
        <x:f>IF(ABS(W158-SUM(M158:Q158)-V158)&lt;0.01,"OK","Check")</x:f>
        <x:v>OK</x:v>
      </x:c>
    </x:row>
    <x:row r="159">
      <x:c r="A159" s="14" t="n">
        <x:v>2026</x:v>
      </x:c>
      <x:c r="B159" s="14" t="str">
        <x:v>Q2</x:v>
      </x:c>
      <x:c r="C159" s="14" t="n">
        <x:v>2</x:v>
      </x:c>
      <x:c r="D159" s="14" t="n">
        <x:v>39</x:v>
      </x:c>
      <x:c r="E159" s="14" t="str">
        <x:f>INDEX(Roster!$B$6:$B$108,MATCH(D159,Roster!$A$6:$A$108,0))</x:f>
      </x:c>
      <x:c r="F159" s="14" t="str">
        <x:f>INDEX(Roster!$F$6:$F$108,MATCH(D159,Roster!$A$6:$A$108,0))</x:f>
        <x:v>No</x:v>
      </x:c>
      <x:c r="G159" s="14" t="n">
        <x:f>INDEX(Inputs!$B$7:$D$7,1,MATCH(A159,Inputs!$B$6:$D$6,0))</x:f>
        <x:v>13</x:v>
      </x:c>
      <x:c r="H159" s="14" t="n">
        <x:f>MIN(=INDEX(Inputs!$B$7:$D$7,1,MATCH(A159,Inputs!$B$6:$D$6,0)),MAX(0,INDEX(Inputs!$B$14:$D$14,1,MATCH(A159,Inputs!$B$6:$D$6,0))-(C159-1)*=INDEX(Inputs!$B$7:$D$7,1,MATCH(A159,Inputs!$B$6:$D$6,0))))</x:f>
        <x:v>13</x:v>
      </x:c>
      <x:c r="I159" s="20" t="n">
        <x:f>INDEX(Inputs!$B$8:$D$8,1,MATCH(A159,Inputs!$B$6:$D$6,0))</x:f>
        <x:v>2395</x:v>
      </x:c>
      <x:c r="J159" s="20" t="n">
        <x:f>INDEX(Roster!$C$6:$C$108,MATCH(D159,Roster!$A$6:$A$108,0))*(1+INDEX(Inputs!$B$9:$D$9,1,MATCH(A159,Inputs!$B$6:$D$6,0)))</x:f>
        <x:v>70</x:v>
      </x:c>
      <x:c r="K159" s="20" t="n">
        <x:f>IF(=INDEX(Roster!$F$6:$F$108,MATCH(D159,Roster!$A$6:$A$108,0))="Yes",0,=INDEX(Inputs!$B$8:$D$8,1,MATCH(A159,Inputs!$B$6:$D$6,0))*IF(=INDEX(Roster!$B$6:$B$108,MATCH(D159,Roster!$A$6:$A$108,0))="Principal",INDEX(Inputs!$B$10:$D$10,1,MATCH(A159,Inputs!$B$6:$D$6,0)),IF(=INDEX(Roster!$B$6:$B$108,MATCH(D159,Roster!$A$6:$A$108,0))="Associate Principal",INDEX(Inputs!$B$11:$D$11,1,MATCH(A159,Inputs!$B$6:$D$6,0)),IF(=INDEX(Roster!$B$6:$B$108,MATCH(D159,Roster!$A$6:$A$108,0))="Assistant Principal",INDEX(Inputs!$B$12:$D$12,1,MATCH(A159,Inputs!$B$6:$D$6,0)),0))))</x:f>
        <x:v>0</x:v>
      </x:c>
      <x:c r="L159" s="20" t="n">
        <x:f>IF(INDEX(Roster!$D$6:$D$108,MATCH(D159,Roster!$A$6:$A$108,0))&gt;=25,INDEX(Inputs!$B$19:$D$19,1,MATCH(A159,Inputs!$B$6:$D$6,0)),IF(INDEX(Roster!$D$6:$D$108,MATCH(D159,Roster!$A$6:$A$108,0))&gt;=20,INDEX(Inputs!$B$18:$D$18,1,MATCH(A159,Inputs!$B$6:$D$6,0)),IF(INDEX(Roster!$D$6:$D$108,MATCH(D159,Roster!$A$6:$A$108,0))&gt;=15,INDEX(Inputs!$B$17:$D$17,1,MATCH(A159,Inputs!$B$6:$D$6,0)),IF(INDEX(Roster!$D$6:$D$108,MATCH(D159,Roster!$A$6:$A$108,0))&gt;=10,INDEX(Inputs!$B$16:$D$16,1,MATCH(A159,Inputs!$B$6:$D$6,0)),IF(INDEX(Roster!$D$6:$D$108,MATCH(D159,Roster!$A$6:$A$108,0))&gt;=5,INDEX(Inputs!$B$15:$D$15,1,MATCH(A159,Inputs!$B$6:$D$6,0)),0)))))</x:f>
        <x:v>90</x:v>
      </x:c>
      <x:c r="M159" s="20" t="n">
        <x:f>G159*I159</x:f>
        <x:v>31135</x:v>
      </x:c>
      <x:c r="N159" s="20" t="n">
        <x:f>G159*J159</x:f>
        <x:v>910</x:v>
      </x:c>
      <x:c r="O159" s="20" t="n">
        <x:f>G159*K159</x:f>
        <x:v>0</x:v>
      </x:c>
      <x:c r="P159" s="20" t="n">
        <x:f>G159*L159</x:f>
        <x:v>1170</x:v>
      </x:c>
      <x:c r="Q159" s="20" t="n">
        <x:f>H159*INDEX(Inputs!$B$13:$D$13,1,MATCH(A159,Inputs!$B$6:$D$6,0))</x:f>
        <x:v>390</x:v>
      </x:c>
      <x:c r="R159" s="20" t="n">
        <x:f>SUM(M159:Q159)</x:f>
        <x:v>33605</x:v>
      </x:c>
      <x:c r="S159" s="20" t="n">
        <x:f>IF(AND(A158=A159,D158=D159),S158+R159,R159)</x:f>
        <x:v>67210</x:v>
      </x:c>
      <x:c r="T159" s="20" t="n">
        <x:f>MIN(S159,INDEX(Inputs!$B$20:$D$20,1,MATCH(A159,Inputs!$B$6:$D$6,0)))*INDEX(Inputs!$B$22:$D$22,1,MATCH(A159,Inputs!$B$6:$D$6,0))+MAX(MIN(S159,INDEX(Inputs!$B$21:$D$21,1,MATCH(A159,Inputs!$B$6:$D$6,0)))-INDEX(Inputs!$B$20:$D$20,1,MATCH(A159,Inputs!$B$6:$D$6,0)),0)*INDEX(Inputs!$B$23:$D$23,1,MATCH(A159,Inputs!$B$6:$D$6,0))+MAX(S159-INDEX(Inputs!$B$21:$D$21,1,MATCH(A159,Inputs!$B$6:$D$6,0)),0)*INDEX(Inputs!$B$24:$D$24,1,MATCH(A159,Inputs!$B$6:$D$6,0))</x:f>
        <x:v>5631.565</x:v>
      </x:c>
      <x:c r="U159" s="20" t="n">
        <x:f>IF(AND(A158=A159,D158=D159),T158,0)</x:f>
        <x:v>3060.7825000000003</x:v>
      </x:c>
      <x:c r="V159" s="20" t="n">
        <x:f>T159-U159</x:f>
        <x:v>2570.7824999999993</x:v>
      </x:c>
      <x:c r="W159" s="20" t="n">
        <x:f>R159+V159</x:f>
        <x:v>36175.7825</x:v>
      </x:c>
      <x:c r="X159" s="14" t="str">
        <x:f>IF(ABS(W159-SUM(M159:Q159)-V159)&lt;0.01,"OK","Check")</x:f>
        <x:v>OK</x:v>
      </x:c>
    </x:row>
    <x:row r="160">
      <x:c r="A160" s="14" t="n">
        <x:v>2026</x:v>
      </x:c>
      <x:c r="B160" s="14" t="str">
        <x:v>Q3</x:v>
      </x:c>
      <x:c r="C160" s="14" t="n">
        <x:v>3</x:v>
      </x:c>
      <x:c r="D160" s="14" t="n">
        <x:v>39</x:v>
      </x:c>
      <x:c r="E160" s="14" t="str">
        <x:f>INDEX(Roster!$B$6:$B$108,MATCH(D160,Roster!$A$6:$A$108,0))</x:f>
      </x:c>
      <x:c r="F160" s="14" t="str">
        <x:f>INDEX(Roster!$F$6:$F$108,MATCH(D160,Roster!$A$6:$A$108,0))</x:f>
        <x:v>No</x:v>
      </x:c>
      <x:c r="G160" s="14" t="n">
        <x:f>INDEX(Inputs!$B$7:$D$7,1,MATCH(A160,Inputs!$B$6:$D$6,0))</x:f>
        <x:v>13</x:v>
      </x:c>
      <x:c r="H160" s="14" t="n">
        <x:f>MIN(=INDEX(Inputs!$B$7:$D$7,1,MATCH(A160,Inputs!$B$6:$D$6,0)),MAX(0,INDEX(Inputs!$B$14:$D$14,1,MATCH(A160,Inputs!$B$6:$D$6,0))-(C160-1)*=INDEX(Inputs!$B$7:$D$7,1,MATCH(A160,Inputs!$B$6:$D$6,0))))</x:f>
        <x:v>13</x:v>
      </x:c>
      <x:c r="I160" s="20" t="n">
        <x:f>INDEX(Inputs!$B$8:$D$8,1,MATCH(A160,Inputs!$B$6:$D$6,0))</x:f>
        <x:v>2395</x:v>
      </x:c>
      <x:c r="J160" s="20" t="n">
        <x:f>INDEX(Roster!$C$6:$C$108,MATCH(D160,Roster!$A$6:$A$108,0))*(1+INDEX(Inputs!$B$9:$D$9,1,MATCH(A160,Inputs!$B$6:$D$6,0)))</x:f>
        <x:v>70</x:v>
      </x:c>
      <x:c r="K160" s="20" t="n">
        <x:f>IF(=INDEX(Roster!$F$6:$F$108,MATCH(D160,Roster!$A$6:$A$108,0))="Yes",0,=INDEX(Inputs!$B$8:$D$8,1,MATCH(A160,Inputs!$B$6:$D$6,0))*IF(=INDEX(Roster!$B$6:$B$108,MATCH(D160,Roster!$A$6:$A$108,0))="Principal",INDEX(Inputs!$B$10:$D$10,1,MATCH(A160,Inputs!$B$6:$D$6,0)),IF(=INDEX(Roster!$B$6:$B$108,MATCH(D160,Roster!$A$6:$A$108,0))="Associate Principal",INDEX(Inputs!$B$11:$D$11,1,MATCH(A160,Inputs!$B$6:$D$6,0)),IF(=INDEX(Roster!$B$6:$B$108,MATCH(D160,Roster!$A$6:$A$108,0))="Assistant Principal",INDEX(Inputs!$B$12:$D$12,1,MATCH(A160,Inputs!$B$6:$D$6,0)),0))))</x:f>
        <x:v>0</x:v>
      </x:c>
      <x:c r="L160" s="20" t="n">
        <x:f>IF(INDEX(Roster!$D$6:$D$108,MATCH(D160,Roster!$A$6:$A$108,0))&gt;=25,INDEX(Inputs!$B$19:$D$19,1,MATCH(A160,Inputs!$B$6:$D$6,0)),IF(INDEX(Roster!$D$6:$D$108,MATCH(D160,Roster!$A$6:$A$108,0))&gt;=20,INDEX(Inputs!$B$18:$D$18,1,MATCH(A160,Inputs!$B$6:$D$6,0)),IF(INDEX(Roster!$D$6:$D$108,MATCH(D160,Roster!$A$6:$A$108,0))&gt;=15,INDEX(Inputs!$B$17:$D$17,1,MATCH(A160,Inputs!$B$6:$D$6,0)),IF(INDEX(Roster!$D$6:$D$108,MATCH(D160,Roster!$A$6:$A$108,0))&gt;=10,INDEX(Inputs!$B$16:$D$16,1,MATCH(A160,Inputs!$B$6:$D$6,0)),IF(INDEX(Roster!$D$6:$D$108,MATCH(D160,Roster!$A$6:$A$108,0))&gt;=5,INDEX(Inputs!$B$15:$D$15,1,MATCH(A160,Inputs!$B$6:$D$6,0)),0)))))</x:f>
        <x:v>90</x:v>
      </x:c>
      <x:c r="M160" s="20" t="n">
        <x:f>G160*I160</x:f>
        <x:v>31135</x:v>
      </x:c>
      <x:c r="N160" s="20" t="n">
        <x:f>G160*J160</x:f>
        <x:v>910</x:v>
      </x:c>
      <x:c r="O160" s="20" t="n">
        <x:f>G160*K160</x:f>
        <x:v>0</x:v>
      </x:c>
      <x:c r="P160" s="20" t="n">
        <x:f>G160*L160</x:f>
        <x:v>1170</x:v>
      </x:c>
      <x:c r="Q160" s="20" t="n">
        <x:f>H160*INDEX(Inputs!$B$13:$D$13,1,MATCH(A160,Inputs!$B$6:$D$6,0))</x:f>
        <x:v>390</x:v>
      </x:c>
      <x:c r="R160" s="20" t="n">
        <x:f>SUM(M160:Q160)</x:f>
        <x:v>33605</x:v>
      </x:c>
      <x:c r="S160" s="20" t="n">
        <x:f>IF(AND(A159=A160,D159=D160),S159+R160,R160)</x:f>
        <x:v>100815</x:v>
      </x:c>
      <x:c r="T160" s="20" t="n">
        <x:f>MIN(S160,INDEX(Inputs!$B$20:$D$20,1,MATCH(A160,Inputs!$B$6:$D$6,0)))*INDEX(Inputs!$B$22:$D$22,1,MATCH(A160,Inputs!$B$6:$D$6,0))+MAX(MIN(S160,INDEX(Inputs!$B$21:$D$21,1,MATCH(A160,Inputs!$B$6:$D$6,0)))-INDEX(Inputs!$B$20:$D$20,1,MATCH(A160,Inputs!$B$6:$D$6,0)),0)*INDEX(Inputs!$B$23:$D$23,1,MATCH(A160,Inputs!$B$6:$D$6,0))+MAX(S160-INDEX(Inputs!$B$21:$D$21,1,MATCH(A160,Inputs!$B$6:$D$6,0)),0)*INDEX(Inputs!$B$24:$D$24,1,MATCH(A160,Inputs!$B$6:$D$6,0))</x:f>
        <x:v>8202.3475</x:v>
      </x:c>
      <x:c r="U160" s="20" t="n">
        <x:f>IF(AND(A159=A160,D159=D160),T159,0)</x:f>
        <x:v>5631.565</x:v>
      </x:c>
      <x:c r="V160" s="20" t="n">
        <x:f>T160-U160</x:f>
        <x:v>2570.7825000000003</x:v>
      </x:c>
      <x:c r="W160" s="20" t="n">
        <x:f>R160+V160</x:f>
        <x:v>36175.7825</x:v>
      </x:c>
      <x:c r="X160" s="14" t="str">
        <x:f>IF(ABS(W160-SUM(M160:Q160)-V160)&lt;0.01,"OK","Check")</x:f>
        <x:v>OK</x:v>
      </x:c>
    </x:row>
    <x:row r="161">
      <x:c r="A161" s="14" t="n">
        <x:v>2026</x:v>
      </x:c>
      <x:c r="B161" s="14" t="str">
        <x:v>Q4</x:v>
      </x:c>
      <x:c r="C161" s="14" t="n">
        <x:v>4</x:v>
      </x:c>
      <x:c r="D161" s="14" t="n">
        <x:v>39</x:v>
      </x:c>
      <x:c r="E161" s="14" t="str">
        <x:f>INDEX(Roster!$B$6:$B$108,MATCH(D161,Roster!$A$6:$A$108,0))</x:f>
      </x:c>
      <x:c r="F161" s="14" t="str">
        <x:f>INDEX(Roster!$F$6:$F$108,MATCH(D161,Roster!$A$6:$A$108,0))</x:f>
        <x:v>No</x:v>
      </x:c>
      <x:c r="G161" s="14" t="n">
        <x:f>INDEX(Inputs!$B$7:$D$7,1,MATCH(A161,Inputs!$B$6:$D$6,0))</x:f>
        <x:v>13</x:v>
      </x:c>
      <x:c r="H161" s="14" t="n">
        <x:f>MIN(=INDEX(Inputs!$B$7:$D$7,1,MATCH(A161,Inputs!$B$6:$D$6,0)),MAX(0,INDEX(Inputs!$B$14:$D$14,1,MATCH(A161,Inputs!$B$6:$D$6,0))-(C161-1)*=INDEX(Inputs!$B$7:$D$7,1,MATCH(A161,Inputs!$B$6:$D$6,0))))</x:f>
        <x:v>0</x:v>
      </x:c>
      <x:c r="I161" s="20" t="n">
        <x:f>INDEX(Inputs!$B$8:$D$8,1,MATCH(A161,Inputs!$B$6:$D$6,0))</x:f>
        <x:v>2395</x:v>
      </x:c>
      <x:c r="J161" s="20" t="n">
        <x:f>INDEX(Roster!$C$6:$C$108,MATCH(D161,Roster!$A$6:$A$108,0))*(1+INDEX(Inputs!$B$9:$D$9,1,MATCH(A161,Inputs!$B$6:$D$6,0)))</x:f>
        <x:v>70</x:v>
      </x:c>
      <x:c r="K161" s="20" t="n">
        <x:f>IF(=INDEX(Roster!$F$6:$F$108,MATCH(D161,Roster!$A$6:$A$108,0))="Yes",0,=INDEX(Inputs!$B$8:$D$8,1,MATCH(A161,Inputs!$B$6:$D$6,0))*IF(=INDEX(Roster!$B$6:$B$108,MATCH(D161,Roster!$A$6:$A$108,0))="Principal",INDEX(Inputs!$B$10:$D$10,1,MATCH(A161,Inputs!$B$6:$D$6,0)),IF(=INDEX(Roster!$B$6:$B$108,MATCH(D161,Roster!$A$6:$A$108,0))="Associate Principal",INDEX(Inputs!$B$11:$D$11,1,MATCH(A161,Inputs!$B$6:$D$6,0)),IF(=INDEX(Roster!$B$6:$B$108,MATCH(D161,Roster!$A$6:$A$108,0))="Assistant Principal",INDEX(Inputs!$B$12:$D$12,1,MATCH(A161,Inputs!$B$6:$D$6,0)),0))))</x:f>
        <x:v>0</x:v>
      </x:c>
      <x:c r="L161" s="20" t="n">
        <x:f>IF(INDEX(Roster!$D$6:$D$108,MATCH(D161,Roster!$A$6:$A$108,0))&gt;=25,INDEX(Inputs!$B$19:$D$19,1,MATCH(A161,Inputs!$B$6:$D$6,0)),IF(INDEX(Roster!$D$6:$D$108,MATCH(D161,Roster!$A$6:$A$108,0))&gt;=20,INDEX(Inputs!$B$18:$D$18,1,MATCH(A161,Inputs!$B$6:$D$6,0)),IF(INDEX(Roster!$D$6:$D$108,MATCH(D161,Roster!$A$6:$A$108,0))&gt;=15,INDEX(Inputs!$B$17:$D$17,1,MATCH(A161,Inputs!$B$6:$D$6,0)),IF(INDEX(Roster!$D$6:$D$108,MATCH(D161,Roster!$A$6:$A$108,0))&gt;=10,INDEX(Inputs!$B$16:$D$16,1,MATCH(A161,Inputs!$B$6:$D$6,0)),IF(INDEX(Roster!$D$6:$D$108,MATCH(D161,Roster!$A$6:$A$108,0))&gt;=5,INDEX(Inputs!$B$15:$D$15,1,MATCH(A161,Inputs!$B$6:$D$6,0)),0)))))</x:f>
        <x:v>90</x:v>
      </x:c>
      <x:c r="M161" s="20" t="n">
        <x:f>G161*I161</x:f>
        <x:v>31135</x:v>
      </x:c>
      <x:c r="N161" s="20" t="n">
        <x:f>G161*J161</x:f>
        <x:v>910</x:v>
      </x:c>
      <x:c r="O161" s="20" t="n">
        <x:f>G161*K161</x:f>
        <x:v>0</x:v>
      </x:c>
      <x:c r="P161" s="20" t="n">
        <x:f>G161*L161</x:f>
        <x:v>1170</x:v>
      </x:c>
      <x:c r="Q161" s="20" t="n">
        <x:f>H161*INDEX(Inputs!$B$13:$D$13,1,MATCH(A161,Inputs!$B$6:$D$6,0))</x:f>
        <x:v>0</x:v>
      </x:c>
      <x:c r="R161" s="20" t="n">
        <x:f>SUM(M161:Q161)</x:f>
        <x:v>33215</x:v>
      </x:c>
      <x:c r="S161" s="20" t="n">
        <x:f>IF(AND(A160=A161,D160=D161),S160+R161,R161)</x:f>
        <x:v>134030</x:v>
      </x:c>
      <x:c r="T161" s="20" t="n">
        <x:f>MIN(S161,INDEX(Inputs!$B$20:$D$20,1,MATCH(A161,Inputs!$B$6:$D$6,0)))*INDEX(Inputs!$B$22:$D$22,1,MATCH(A161,Inputs!$B$6:$D$6,0))+MAX(MIN(S161,INDEX(Inputs!$B$21:$D$21,1,MATCH(A161,Inputs!$B$6:$D$6,0)))-INDEX(Inputs!$B$20:$D$20,1,MATCH(A161,Inputs!$B$6:$D$6,0)),0)*INDEX(Inputs!$B$23:$D$23,1,MATCH(A161,Inputs!$B$6:$D$6,0))+MAX(S161-INDEX(Inputs!$B$21:$D$21,1,MATCH(A161,Inputs!$B$6:$D$6,0)),0)*INDEX(Inputs!$B$24:$D$24,1,MATCH(A161,Inputs!$B$6:$D$6,0))</x:f>
        <x:v>9857.377</x:v>
      </x:c>
      <x:c r="U161" s="20" t="n">
        <x:f>IF(AND(A160=A161,D160=D161),T160,0)</x:f>
        <x:v>8202.3475</x:v>
      </x:c>
      <x:c r="V161" s="20" t="n">
        <x:f>T161-U161</x:f>
        <x:v>1655.0295000000006</x:v>
      </x:c>
      <x:c r="W161" s="20" t="n">
        <x:f>R161+V161</x:f>
        <x:v>34870.029500000004</x:v>
      </x:c>
      <x:c r="X161" s="14" t="str">
        <x:f>IF(ABS(W161-SUM(M161:Q161)-V161)&lt;0.01,"OK","Check")</x:f>
        <x:v>OK</x:v>
      </x:c>
    </x:row>
    <x:row r="162">
      <x:c r="A162" s="14" t="n">
        <x:v>2026</x:v>
      </x:c>
      <x:c r="B162" s="14" t="str">
        <x:v>Q1</x:v>
      </x:c>
      <x:c r="C162" s="14" t="n">
        <x:v>1</x:v>
      </x:c>
      <x:c r="D162" s="14" t="n">
        <x:v>40</x:v>
      </x:c>
      <x:c r="E162" s="14" t="str">
        <x:f>INDEX(Roster!$B$6:$B$108,MATCH(D162,Roster!$A$6:$A$108,0))</x:f>
      </x:c>
      <x:c r="F162" s="14" t="str">
        <x:f>INDEX(Roster!$F$6:$F$108,MATCH(D162,Roster!$A$6:$A$108,0))</x:f>
        <x:v>No</x:v>
      </x:c>
      <x:c r="G162" s="14" t="n">
        <x:f>INDEX(Inputs!$B$7:$D$7,1,MATCH(A162,Inputs!$B$6:$D$6,0))</x:f>
        <x:v>13</x:v>
      </x:c>
      <x:c r="H162" s="14" t="n">
        <x:f>MIN(=INDEX(Inputs!$B$7:$D$7,1,MATCH(A162,Inputs!$B$6:$D$6,0)),MAX(0,INDEX(Inputs!$B$14:$D$14,1,MATCH(A162,Inputs!$B$6:$D$6,0))-(C162-1)*=INDEX(Inputs!$B$7:$D$7,1,MATCH(A162,Inputs!$B$6:$D$6,0))))</x:f>
        <x:v>13</x:v>
      </x:c>
      <x:c r="I162" s="20" t="n">
        <x:f>INDEX(Inputs!$B$8:$D$8,1,MATCH(A162,Inputs!$B$6:$D$6,0))</x:f>
        <x:v>2395</x:v>
      </x:c>
      <x:c r="J162" s="20" t="n">
        <x:f>INDEX(Roster!$C$6:$C$108,MATCH(D162,Roster!$A$6:$A$108,0))*(1+INDEX(Inputs!$B$9:$D$9,1,MATCH(A162,Inputs!$B$6:$D$6,0)))</x:f>
        <x:v>94</x:v>
      </x:c>
      <x:c r="K162" s="20" t="n">
        <x:f>IF(=INDEX(Roster!$F$6:$F$108,MATCH(D162,Roster!$A$6:$A$108,0))="Yes",0,=INDEX(Inputs!$B$8:$D$8,1,MATCH(A162,Inputs!$B$6:$D$6,0))*IF(=INDEX(Roster!$B$6:$B$108,MATCH(D162,Roster!$A$6:$A$108,0))="Principal",INDEX(Inputs!$B$10:$D$10,1,MATCH(A162,Inputs!$B$6:$D$6,0)),IF(=INDEX(Roster!$B$6:$B$108,MATCH(D162,Roster!$A$6:$A$108,0))="Associate Principal",INDEX(Inputs!$B$11:$D$11,1,MATCH(A162,Inputs!$B$6:$D$6,0)),IF(=INDEX(Roster!$B$6:$B$108,MATCH(D162,Roster!$A$6:$A$108,0))="Assistant Principal",INDEX(Inputs!$B$12:$D$12,1,MATCH(A162,Inputs!$B$6:$D$6,0)),0))))</x:f>
        <x:v>0</x:v>
      </x:c>
      <x:c r="L162" s="20" t="n">
        <x:f>IF(INDEX(Roster!$D$6:$D$108,MATCH(D162,Roster!$A$6:$A$108,0))&gt;=25,INDEX(Inputs!$B$19:$D$19,1,MATCH(A162,Inputs!$B$6:$D$6,0)),IF(INDEX(Roster!$D$6:$D$108,MATCH(D162,Roster!$A$6:$A$108,0))&gt;=20,INDEX(Inputs!$B$18:$D$18,1,MATCH(A162,Inputs!$B$6:$D$6,0)),IF(INDEX(Roster!$D$6:$D$108,MATCH(D162,Roster!$A$6:$A$108,0))&gt;=15,INDEX(Inputs!$B$17:$D$17,1,MATCH(A162,Inputs!$B$6:$D$6,0)),IF(INDEX(Roster!$D$6:$D$108,MATCH(D162,Roster!$A$6:$A$108,0))&gt;=10,INDEX(Inputs!$B$16:$D$16,1,MATCH(A162,Inputs!$B$6:$D$6,0)),IF(INDEX(Roster!$D$6:$D$108,MATCH(D162,Roster!$A$6:$A$108,0))&gt;=5,INDEX(Inputs!$B$15:$D$15,1,MATCH(A162,Inputs!$B$6:$D$6,0)),0)))))</x:f>
        <x:v>90</x:v>
      </x:c>
      <x:c r="M162" s="20" t="n">
        <x:f>G162*I162</x:f>
        <x:v>31135</x:v>
      </x:c>
      <x:c r="N162" s="20" t="n">
        <x:f>G162*J162</x:f>
        <x:v>1222</x:v>
      </x:c>
      <x:c r="O162" s="20" t="n">
        <x:f>G162*K162</x:f>
        <x:v>0</x:v>
      </x:c>
      <x:c r="P162" s="20" t="n">
        <x:f>G162*L162</x:f>
        <x:v>1170</x:v>
      </x:c>
      <x:c r="Q162" s="20" t="n">
        <x:f>H162*INDEX(Inputs!$B$13:$D$13,1,MATCH(A162,Inputs!$B$6:$D$6,0))</x:f>
        <x:v>390</x:v>
      </x:c>
      <x:c r="R162" s="20" t="n">
        <x:f>SUM(M162:Q162)</x:f>
        <x:v>33917</x:v>
      </x:c>
      <x:c r="S162" s="20" t="n">
        <x:f>IF(AND(A161=A162,D161=D162),S161+R162,R162)</x:f>
        <x:v>33917</x:v>
      </x:c>
      <x:c r="T162" s="20" t="n">
        <x:f>MIN(S162,INDEX(Inputs!$B$20:$D$20,1,MATCH(A162,Inputs!$B$6:$D$6,0)))*INDEX(Inputs!$B$22:$D$22,1,MATCH(A162,Inputs!$B$6:$D$6,0))+MAX(MIN(S162,INDEX(Inputs!$B$21:$D$21,1,MATCH(A162,Inputs!$B$6:$D$6,0)))-INDEX(Inputs!$B$20:$D$20,1,MATCH(A162,Inputs!$B$6:$D$6,0)),0)*INDEX(Inputs!$B$23:$D$23,1,MATCH(A162,Inputs!$B$6:$D$6,0))+MAX(S162-INDEX(Inputs!$B$21:$D$21,1,MATCH(A162,Inputs!$B$6:$D$6,0)),0)*INDEX(Inputs!$B$24:$D$24,1,MATCH(A162,Inputs!$B$6:$D$6,0))</x:f>
        <x:v>3084.6504999999997</x:v>
      </x:c>
      <x:c r="U162" s="20" t="n">
        <x:f>IF(AND(A161=A162,D161=D162),T161,0)</x:f>
        <x:v>0</x:v>
      </x:c>
      <x:c r="V162" s="20" t="n">
        <x:f>T162-U162</x:f>
        <x:v>3084.6504999999997</x:v>
      </x:c>
      <x:c r="W162" s="20" t="n">
        <x:f>R162+V162</x:f>
        <x:v>37001.6505</x:v>
      </x:c>
      <x:c r="X162" s="14" t="str">
        <x:f>IF(ABS(W162-SUM(M162:Q162)-V162)&lt;0.01,"OK","Check")</x:f>
        <x:v>OK</x:v>
      </x:c>
    </x:row>
    <x:row r="163">
      <x:c r="A163" s="14" t="n">
        <x:v>2026</x:v>
      </x:c>
      <x:c r="B163" s="14" t="str">
        <x:v>Q2</x:v>
      </x:c>
      <x:c r="C163" s="14" t="n">
        <x:v>2</x:v>
      </x:c>
      <x:c r="D163" s="14" t="n">
        <x:v>40</x:v>
      </x:c>
      <x:c r="E163" s="14" t="str">
        <x:f>INDEX(Roster!$B$6:$B$108,MATCH(D163,Roster!$A$6:$A$108,0))</x:f>
      </x:c>
      <x:c r="F163" s="14" t="str">
        <x:f>INDEX(Roster!$F$6:$F$108,MATCH(D163,Roster!$A$6:$A$108,0))</x:f>
        <x:v>No</x:v>
      </x:c>
      <x:c r="G163" s="14" t="n">
        <x:f>INDEX(Inputs!$B$7:$D$7,1,MATCH(A163,Inputs!$B$6:$D$6,0))</x:f>
        <x:v>13</x:v>
      </x:c>
      <x:c r="H163" s="14" t="n">
        <x:f>MIN(=INDEX(Inputs!$B$7:$D$7,1,MATCH(A163,Inputs!$B$6:$D$6,0)),MAX(0,INDEX(Inputs!$B$14:$D$14,1,MATCH(A163,Inputs!$B$6:$D$6,0))-(C163-1)*=INDEX(Inputs!$B$7:$D$7,1,MATCH(A163,Inputs!$B$6:$D$6,0))))</x:f>
        <x:v>13</x:v>
      </x:c>
      <x:c r="I163" s="20" t="n">
        <x:f>INDEX(Inputs!$B$8:$D$8,1,MATCH(A163,Inputs!$B$6:$D$6,0))</x:f>
        <x:v>2395</x:v>
      </x:c>
      <x:c r="J163" s="20" t="n">
        <x:f>INDEX(Roster!$C$6:$C$108,MATCH(D163,Roster!$A$6:$A$108,0))*(1+INDEX(Inputs!$B$9:$D$9,1,MATCH(A163,Inputs!$B$6:$D$6,0)))</x:f>
        <x:v>94</x:v>
      </x:c>
      <x:c r="K163" s="20" t="n">
        <x:f>IF(=INDEX(Roster!$F$6:$F$108,MATCH(D163,Roster!$A$6:$A$108,0))="Yes",0,=INDEX(Inputs!$B$8:$D$8,1,MATCH(A163,Inputs!$B$6:$D$6,0))*IF(=INDEX(Roster!$B$6:$B$108,MATCH(D163,Roster!$A$6:$A$108,0))="Principal",INDEX(Inputs!$B$10:$D$10,1,MATCH(A163,Inputs!$B$6:$D$6,0)),IF(=INDEX(Roster!$B$6:$B$108,MATCH(D163,Roster!$A$6:$A$108,0))="Associate Principal",INDEX(Inputs!$B$11:$D$11,1,MATCH(A163,Inputs!$B$6:$D$6,0)),IF(=INDEX(Roster!$B$6:$B$108,MATCH(D163,Roster!$A$6:$A$108,0))="Assistant Principal",INDEX(Inputs!$B$12:$D$12,1,MATCH(A163,Inputs!$B$6:$D$6,0)),0))))</x:f>
        <x:v>0</x:v>
      </x:c>
      <x:c r="L163" s="20" t="n">
        <x:f>IF(INDEX(Roster!$D$6:$D$108,MATCH(D163,Roster!$A$6:$A$108,0))&gt;=25,INDEX(Inputs!$B$19:$D$19,1,MATCH(A163,Inputs!$B$6:$D$6,0)),IF(INDEX(Roster!$D$6:$D$108,MATCH(D163,Roster!$A$6:$A$108,0))&gt;=20,INDEX(Inputs!$B$18:$D$18,1,MATCH(A163,Inputs!$B$6:$D$6,0)),IF(INDEX(Roster!$D$6:$D$108,MATCH(D163,Roster!$A$6:$A$108,0))&gt;=15,INDEX(Inputs!$B$17:$D$17,1,MATCH(A163,Inputs!$B$6:$D$6,0)),IF(INDEX(Roster!$D$6:$D$108,MATCH(D163,Roster!$A$6:$A$108,0))&gt;=10,INDEX(Inputs!$B$16:$D$16,1,MATCH(A163,Inputs!$B$6:$D$6,0)),IF(INDEX(Roster!$D$6:$D$108,MATCH(D163,Roster!$A$6:$A$108,0))&gt;=5,INDEX(Inputs!$B$15:$D$15,1,MATCH(A163,Inputs!$B$6:$D$6,0)),0)))))</x:f>
        <x:v>90</x:v>
      </x:c>
      <x:c r="M163" s="20" t="n">
        <x:f>G163*I163</x:f>
        <x:v>31135</x:v>
      </x:c>
      <x:c r="N163" s="20" t="n">
        <x:f>G163*J163</x:f>
        <x:v>1222</x:v>
      </x:c>
      <x:c r="O163" s="20" t="n">
        <x:f>G163*K163</x:f>
        <x:v>0</x:v>
      </x:c>
      <x:c r="P163" s="20" t="n">
        <x:f>G163*L163</x:f>
        <x:v>1170</x:v>
      </x:c>
      <x:c r="Q163" s="20" t="n">
        <x:f>H163*INDEX(Inputs!$B$13:$D$13,1,MATCH(A163,Inputs!$B$6:$D$6,0))</x:f>
        <x:v>390</x:v>
      </x:c>
      <x:c r="R163" s="20" t="n">
        <x:f>SUM(M163:Q163)</x:f>
        <x:v>33917</x:v>
      </x:c>
      <x:c r="S163" s="20" t="n">
        <x:f>IF(AND(A162=A163,D162=D163),S162+R163,R163)</x:f>
        <x:v>67834</x:v>
      </x:c>
      <x:c r="T163" s="20" t="n">
        <x:f>MIN(S163,INDEX(Inputs!$B$20:$D$20,1,MATCH(A163,Inputs!$B$6:$D$6,0)))*INDEX(Inputs!$B$22:$D$22,1,MATCH(A163,Inputs!$B$6:$D$6,0))+MAX(MIN(S163,INDEX(Inputs!$B$21:$D$21,1,MATCH(A163,Inputs!$B$6:$D$6,0)))-INDEX(Inputs!$B$20:$D$20,1,MATCH(A163,Inputs!$B$6:$D$6,0)),0)*INDEX(Inputs!$B$23:$D$23,1,MATCH(A163,Inputs!$B$6:$D$6,0))+MAX(S163-INDEX(Inputs!$B$21:$D$21,1,MATCH(A163,Inputs!$B$6:$D$6,0)),0)*INDEX(Inputs!$B$24:$D$24,1,MATCH(A163,Inputs!$B$6:$D$6,0))</x:f>
        <x:v>5679.3009999999995</x:v>
      </x:c>
      <x:c r="U163" s="20" t="n">
        <x:f>IF(AND(A162=A163,D162=D163),T162,0)</x:f>
        <x:v>3084.6504999999997</x:v>
      </x:c>
      <x:c r="V163" s="20" t="n">
        <x:f>T163-U163</x:f>
        <x:v>2594.6504999999997</x:v>
      </x:c>
      <x:c r="W163" s="20" t="n">
        <x:f>R163+V163</x:f>
        <x:v>36511.6505</x:v>
      </x:c>
      <x:c r="X163" s="14" t="str">
        <x:f>IF(ABS(W163-SUM(M163:Q163)-V163)&lt;0.01,"OK","Check")</x:f>
        <x:v>OK</x:v>
      </x:c>
    </x:row>
    <x:row r="164">
      <x:c r="A164" s="14" t="n">
        <x:v>2026</x:v>
      </x:c>
      <x:c r="B164" s="14" t="str">
        <x:v>Q3</x:v>
      </x:c>
      <x:c r="C164" s="14" t="n">
        <x:v>3</x:v>
      </x:c>
      <x:c r="D164" s="14" t="n">
        <x:v>40</x:v>
      </x:c>
      <x:c r="E164" s="14" t="str">
        <x:f>INDEX(Roster!$B$6:$B$108,MATCH(D164,Roster!$A$6:$A$108,0))</x:f>
      </x:c>
      <x:c r="F164" s="14" t="str">
        <x:f>INDEX(Roster!$F$6:$F$108,MATCH(D164,Roster!$A$6:$A$108,0))</x:f>
        <x:v>No</x:v>
      </x:c>
      <x:c r="G164" s="14" t="n">
        <x:f>INDEX(Inputs!$B$7:$D$7,1,MATCH(A164,Inputs!$B$6:$D$6,0))</x:f>
        <x:v>13</x:v>
      </x:c>
      <x:c r="H164" s="14" t="n">
        <x:f>MIN(=INDEX(Inputs!$B$7:$D$7,1,MATCH(A164,Inputs!$B$6:$D$6,0)),MAX(0,INDEX(Inputs!$B$14:$D$14,1,MATCH(A164,Inputs!$B$6:$D$6,0))-(C164-1)*=INDEX(Inputs!$B$7:$D$7,1,MATCH(A164,Inputs!$B$6:$D$6,0))))</x:f>
        <x:v>13</x:v>
      </x:c>
      <x:c r="I164" s="20" t="n">
        <x:f>INDEX(Inputs!$B$8:$D$8,1,MATCH(A164,Inputs!$B$6:$D$6,0))</x:f>
        <x:v>2395</x:v>
      </x:c>
      <x:c r="J164" s="20" t="n">
        <x:f>INDEX(Roster!$C$6:$C$108,MATCH(D164,Roster!$A$6:$A$108,0))*(1+INDEX(Inputs!$B$9:$D$9,1,MATCH(A164,Inputs!$B$6:$D$6,0)))</x:f>
        <x:v>94</x:v>
      </x:c>
      <x:c r="K164" s="20" t="n">
        <x:f>IF(=INDEX(Roster!$F$6:$F$108,MATCH(D164,Roster!$A$6:$A$108,0))="Yes",0,=INDEX(Inputs!$B$8:$D$8,1,MATCH(A164,Inputs!$B$6:$D$6,0))*IF(=INDEX(Roster!$B$6:$B$108,MATCH(D164,Roster!$A$6:$A$108,0))="Principal",INDEX(Inputs!$B$10:$D$10,1,MATCH(A164,Inputs!$B$6:$D$6,0)),IF(=INDEX(Roster!$B$6:$B$108,MATCH(D164,Roster!$A$6:$A$108,0))="Associate Principal",INDEX(Inputs!$B$11:$D$11,1,MATCH(A164,Inputs!$B$6:$D$6,0)),IF(=INDEX(Roster!$B$6:$B$108,MATCH(D164,Roster!$A$6:$A$108,0))="Assistant Principal",INDEX(Inputs!$B$12:$D$12,1,MATCH(A164,Inputs!$B$6:$D$6,0)),0))))</x:f>
        <x:v>0</x:v>
      </x:c>
      <x:c r="L164" s="20" t="n">
        <x:f>IF(INDEX(Roster!$D$6:$D$108,MATCH(D164,Roster!$A$6:$A$108,0))&gt;=25,INDEX(Inputs!$B$19:$D$19,1,MATCH(A164,Inputs!$B$6:$D$6,0)),IF(INDEX(Roster!$D$6:$D$108,MATCH(D164,Roster!$A$6:$A$108,0))&gt;=20,INDEX(Inputs!$B$18:$D$18,1,MATCH(A164,Inputs!$B$6:$D$6,0)),IF(INDEX(Roster!$D$6:$D$108,MATCH(D164,Roster!$A$6:$A$108,0))&gt;=15,INDEX(Inputs!$B$17:$D$17,1,MATCH(A164,Inputs!$B$6:$D$6,0)),IF(INDEX(Roster!$D$6:$D$108,MATCH(D164,Roster!$A$6:$A$108,0))&gt;=10,INDEX(Inputs!$B$16:$D$16,1,MATCH(A164,Inputs!$B$6:$D$6,0)),IF(INDEX(Roster!$D$6:$D$108,MATCH(D164,Roster!$A$6:$A$108,0))&gt;=5,INDEX(Inputs!$B$15:$D$15,1,MATCH(A164,Inputs!$B$6:$D$6,0)),0)))))</x:f>
        <x:v>90</x:v>
      </x:c>
      <x:c r="M164" s="20" t="n">
        <x:f>G164*I164</x:f>
        <x:v>31135</x:v>
      </x:c>
      <x:c r="N164" s="20" t="n">
        <x:f>G164*J164</x:f>
        <x:v>1222</x:v>
      </x:c>
      <x:c r="O164" s="20" t="n">
        <x:f>G164*K164</x:f>
        <x:v>0</x:v>
      </x:c>
      <x:c r="P164" s="20" t="n">
        <x:f>G164*L164</x:f>
        <x:v>1170</x:v>
      </x:c>
      <x:c r="Q164" s="20" t="n">
        <x:f>H164*INDEX(Inputs!$B$13:$D$13,1,MATCH(A164,Inputs!$B$6:$D$6,0))</x:f>
        <x:v>390</x:v>
      </x:c>
      <x:c r="R164" s="20" t="n">
        <x:f>SUM(M164:Q164)</x:f>
        <x:v>33917</x:v>
      </x:c>
      <x:c r="S164" s="20" t="n">
        <x:f>IF(AND(A163=A164,D163=D164),S163+R164,R164)</x:f>
        <x:v>101751</x:v>
      </x:c>
      <x:c r="T164" s="20" t="n">
        <x:f>MIN(S164,INDEX(Inputs!$B$20:$D$20,1,MATCH(A164,Inputs!$B$6:$D$6,0)))*INDEX(Inputs!$B$22:$D$22,1,MATCH(A164,Inputs!$B$6:$D$6,0))+MAX(MIN(S164,INDEX(Inputs!$B$21:$D$21,1,MATCH(A164,Inputs!$B$6:$D$6,0)))-INDEX(Inputs!$B$20:$D$20,1,MATCH(A164,Inputs!$B$6:$D$6,0)),0)*INDEX(Inputs!$B$23:$D$23,1,MATCH(A164,Inputs!$B$6:$D$6,0))+MAX(S164-INDEX(Inputs!$B$21:$D$21,1,MATCH(A164,Inputs!$B$6:$D$6,0)),0)*INDEX(Inputs!$B$24:$D$24,1,MATCH(A164,Inputs!$B$6:$D$6,0))</x:f>
        <x:v>8273.9515</x:v>
      </x:c>
      <x:c r="U164" s="20" t="n">
        <x:f>IF(AND(A163=A164,D163=D164),T163,0)</x:f>
        <x:v>5679.3009999999995</x:v>
      </x:c>
      <x:c r="V164" s="20" t="n">
        <x:f>T164-U164</x:f>
        <x:v>2594.6504999999997</x:v>
      </x:c>
      <x:c r="W164" s="20" t="n">
        <x:f>R164+V164</x:f>
        <x:v>36511.6505</x:v>
      </x:c>
      <x:c r="X164" s="14" t="str">
        <x:f>IF(ABS(W164-SUM(M164:Q164)-V164)&lt;0.01,"OK","Check")</x:f>
        <x:v>OK</x:v>
      </x:c>
    </x:row>
    <x:row r="165">
      <x:c r="A165" s="14" t="n">
        <x:v>2026</x:v>
      </x:c>
      <x:c r="B165" s="14" t="str">
        <x:v>Q4</x:v>
      </x:c>
      <x:c r="C165" s="14" t="n">
        <x:v>4</x:v>
      </x:c>
      <x:c r="D165" s="14" t="n">
        <x:v>40</x:v>
      </x:c>
      <x:c r="E165" s="14" t="str">
        <x:f>INDEX(Roster!$B$6:$B$108,MATCH(D165,Roster!$A$6:$A$108,0))</x:f>
      </x:c>
      <x:c r="F165" s="14" t="str">
        <x:f>INDEX(Roster!$F$6:$F$108,MATCH(D165,Roster!$A$6:$A$108,0))</x:f>
        <x:v>No</x:v>
      </x:c>
      <x:c r="G165" s="14" t="n">
        <x:f>INDEX(Inputs!$B$7:$D$7,1,MATCH(A165,Inputs!$B$6:$D$6,0))</x:f>
        <x:v>13</x:v>
      </x:c>
      <x:c r="H165" s="14" t="n">
        <x:f>MIN(=INDEX(Inputs!$B$7:$D$7,1,MATCH(A165,Inputs!$B$6:$D$6,0)),MAX(0,INDEX(Inputs!$B$14:$D$14,1,MATCH(A165,Inputs!$B$6:$D$6,0))-(C165-1)*=INDEX(Inputs!$B$7:$D$7,1,MATCH(A165,Inputs!$B$6:$D$6,0))))</x:f>
        <x:v>0</x:v>
      </x:c>
      <x:c r="I165" s="20" t="n">
        <x:f>INDEX(Inputs!$B$8:$D$8,1,MATCH(A165,Inputs!$B$6:$D$6,0))</x:f>
        <x:v>2395</x:v>
      </x:c>
      <x:c r="J165" s="20" t="n">
        <x:f>INDEX(Roster!$C$6:$C$108,MATCH(D165,Roster!$A$6:$A$108,0))*(1+INDEX(Inputs!$B$9:$D$9,1,MATCH(A165,Inputs!$B$6:$D$6,0)))</x:f>
        <x:v>94</x:v>
      </x:c>
      <x:c r="K165" s="20" t="n">
        <x:f>IF(=INDEX(Roster!$F$6:$F$108,MATCH(D165,Roster!$A$6:$A$108,0))="Yes",0,=INDEX(Inputs!$B$8:$D$8,1,MATCH(A165,Inputs!$B$6:$D$6,0))*IF(=INDEX(Roster!$B$6:$B$108,MATCH(D165,Roster!$A$6:$A$108,0))="Principal",INDEX(Inputs!$B$10:$D$10,1,MATCH(A165,Inputs!$B$6:$D$6,0)),IF(=INDEX(Roster!$B$6:$B$108,MATCH(D165,Roster!$A$6:$A$108,0))="Associate Principal",INDEX(Inputs!$B$11:$D$11,1,MATCH(A165,Inputs!$B$6:$D$6,0)),IF(=INDEX(Roster!$B$6:$B$108,MATCH(D165,Roster!$A$6:$A$108,0))="Assistant Principal",INDEX(Inputs!$B$12:$D$12,1,MATCH(A165,Inputs!$B$6:$D$6,0)),0))))</x:f>
        <x:v>0</x:v>
      </x:c>
      <x:c r="L165" s="20" t="n">
        <x:f>IF(INDEX(Roster!$D$6:$D$108,MATCH(D165,Roster!$A$6:$A$108,0))&gt;=25,INDEX(Inputs!$B$19:$D$19,1,MATCH(A165,Inputs!$B$6:$D$6,0)),IF(INDEX(Roster!$D$6:$D$108,MATCH(D165,Roster!$A$6:$A$108,0))&gt;=20,INDEX(Inputs!$B$18:$D$18,1,MATCH(A165,Inputs!$B$6:$D$6,0)),IF(INDEX(Roster!$D$6:$D$108,MATCH(D165,Roster!$A$6:$A$108,0))&gt;=15,INDEX(Inputs!$B$17:$D$17,1,MATCH(A165,Inputs!$B$6:$D$6,0)),IF(INDEX(Roster!$D$6:$D$108,MATCH(D165,Roster!$A$6:$A$108,0))&gt;=10,INDEX(Inputs!$B$16:$D$16,1,MATCH(A165,Inputs!$B$6:$D$6,0)),IF(INDEX(Roster!$D$6:$D$108,MATCH(D165,Roster!$A$6:$A$108,0))&gt;=5,INDEX(Inputs!$B$15:$D$15,1,MATCH(A165,Inputs!$B$6:$D$6,0)),0)))))</x:f>
        <x:v>90</x:v>
      </x:c>
      <x:c r="M165" s="20" t="n">
        <x:f>G165*I165</x:f>
        <x:v>31135</x:v>
      </x:c>
      <x:c r="N165" s="20" t="n">
        <x:f>G165*J165</x:f>
        <x:v>1222</x:v>
      </x:c>
      <x:c r="O165" s="20" t="n">
        <x:f>G165*K165</x:f>
        <x:v>0</x:v>
      </x:c>
      <x:c r="P165" s="20" t="n">
        <x:f>G165*L165</x:f>
        <x:v>1170</x:v>
      </x:c>
      <x:c r="Q165" s="20" t="n">
        <x:f>H165*INDEX(Inputs!$B$13:$D$13,1,MATCH(A165,Inputs!$B$6:$D$6,0))</x:f>
        <x:v>0</x:v>
      </x:c>
      <x:c r="R165" s="20" t="n">
        <x:f>SUM(M165:Q165)</x:f>
        <x:v>33527</x:v>
      </x:c>
      <x:c r="S165" s="20" t="n">
        <x:f>IF(AND(A164=A165,D164=D165),S164+R165,R165)</x:f>
        <x:v>135278</x:v>
      </x:c>
      <x:c r="T165" s="20" t="n">
        <x:f>MIN(S165,INDEX(Inputs!$B$20:$D$20,1,MATCH(A165,Inputs!$B$6:$D$6,0)))*INDEX(Inputs!$B$22:$D$22,1,MATCH(A165,Inputs!$B$6:$D$6,0))+MAX(MIN(S165,INDEX(Inputs!$B$21:$D$21,1,MATCH(A165,Inputs!$B$6:$D$6,0)))-INDEX(Inputs!$B$20:$D$20,1,MATCH(A165,Inputs!$B$6:$D$6,0)),0)*INDEX(Inputs!$B$23:$D$23,1,MATCH(A165,Inputs!$B$6:$D$6,0))+MAX(S165-INDEX(Inputs!$B$21:$D$21,1,MATCH(A165,Inputs!$B$6:$D$6,0)),0)*INDEX(Inputs!$B$24:$D$24,1,MATCH(A165,Inputs!$B$6:$D$6,0))</x:f>
        <x:v>9875.473</x:v>
      </x:c>
      <x:c r="U165" s="20" t="n">
        <x:f>IF(AND(A164=A165,D164=D165),T164,0)</x:f>
        <x:v>8273.9515</x:v>
      </x:c>
      <x:c r="V165" s="20" t="n">
        <x:f>T165-U165</x:f>
        <x:v>1601.5215000000007</x:v>
      </x:c>
      <x:c r="W165" s="20" t="n">
        <x:f>R165+V165</x:f>
        <x:v>35128.5215</x:v>
      </x:c>
      <x:c r="X165" s="14" t="str">
        <x:f>IF(ABS(W165-SUM(M165:Q165)-V165)&lt;0.01,"OK","Check")</x:f>
        <x:v>OK</x:v>
      </x:c>
    </x:row>
    <x:row r="166">
      <x:c r="A166" s="14" t="n">
        <x:v>2026</x:v>
      </x:c>
      <x:c r="B166" s="14" t="str">
        <x:v>Q1</x:v>
      </x:c>
      <x:c r="C166" s="14" t="n">
        <x:v>1</x:v>
      </x:c>
      <x:c r="D166" s="14" t="n">
        <x:v>41</x:v>
      </x:c>
      <x:c r="E166" s="14" t="str">
        <x:f>INDEX(Roster!$B$6:$B$108,MATCH(D166,Roster!$A$6:$A$108,0))</x:f>
        <x:v>Principal</x:v>
      </x:c>
      <x:c r="F166" s="14" t="str">
        <x:f>INDEX(Roster!$F$6:$F$108,MATCH(D166,Roster!$A$6:$A$108,0))</x:f>
        <x:v>Yes</x:v>
      </x:c>
      <x:c r="G166" s="14" t="n">
        <x:f>INDEX(Inputs!$B$7:$D$7,1,MATCH(A166,Inputs!$B$6:$D$6,0))</x:f>
        <x:v>13</x:v>
      </x:c>
      <x:c r="H166" s="14" t="n">
        <x:f>MIN(=INDEX(Inputs!$B$7:$D$7,1,MATCH(A166,Inputs!$B$6:$D$6,0)),MAX(0,INDEX(Inputs!$B$14:$D$14,1,MATCH(A166,Inputs!$B$6:$D$6,0))-(C166-1)*=INDEX(Inputs!$B$7:$D$7,1,MATCH(A166,Inputs!$B$6:$D$6,0))))</x:f>
        <x:v>13</x:v>
      </x:c>
      <x:c r="I166" s="20" t="n">
        <x:f>INDEX(Inputs!$B$8:$D$8,1,MATCH(A166,Inputs!$B$6:$D$6,0))</x:f>
        <x:v>2395</x:v>
      </x:c>
      <x:c r="J166" s="20" t="n">
        <x:f>INDEX(Roster!$C$6:$C$108,MATCH(D166,Roster!$A$6:$A$108,0))*(1+INDEX(Inputs!$B$9:$D$9,1,MATCH(A166,Inputs!$B$6:$D$6,0)))</x:f>
        <x:v>600</x:v>
      </x:c>
      <x:c r="K166" s="20" t="n">
        <x:f>IF(=INDEX(Roster!$F$6:$F$108,MATCH(D166,Roster!$A$6:$A$108,0))="Yes",0,=INDEX(Inputs!$B$8:$D$8,1,MATCH(A166,Inputs!$B$6:$D$6,0))*IF(=INDEX(Roster!$B$6:$B$108,MATCH(D166,Roster!$A$6:$A$108,0))="Principal",INDEX(Inputs!$B$10:$D$10,1,MATCH(A166,Inputs!$B$6:$D$6,0)),IF(=INDEX(Roster!$B$6:$B$108,MATCH(D166,Roster!$A$6:$A$108,0))="Associate Principal",INDEX(Inputs!$B$11:$D$11,1,MATCH(A166,Inputs!$B$6:$D$6,0)),IF(=INDEX(Roster!$B$6:$B$108,MATCH(D166,Roster!$A$6:$A$108,0))="Assistant Principal",INDEX(Inputs!$B$12:$D$12,1,MATCH(A166,Inputs!$B$6:$D$6,0)),0))))</x:f>
        <x:v>0</x:v>
      </x:c>
      <x:c r="L166" s="20" t="n">
        <x:f>IF(INDEX(Roster!$D$6:$D$108,MATCH(D166,Roster!$A$6:$A$108,0))&gt;=25,INDEX(Inputs!$B$19:$D$19,1,MATCH(A166,Inputs!$B$6:$D$6,0)),IF(INDEX(Roster!$D$6:$D$108,MATCH(D166,Roster!$A$6:$A$108,0))&gt;=20,INDEX(Inputs!$B$18:$D$18,1,MATCH(A166,Inputs!$B$6:$D$6,0)),IF(INDEX(Roster!$D$6:$D$108,MATCH(D166,Roster!$A$6:$A$108,0))&gt;=15,INDEX(Inputs!$B$17:$D$17,1,MATCH(A166,Inputs!$B$6:$D$6,0)),IF(INDEX(Roster!$D$6:$D$108,MATCH(D166,Roster!$A$6:$A$108,0))&gt;=10,INDEX(Inputs!$B$16:$D$16,1,MATCH(A166,Inputs!$B$6:$D$6,0)),IF(INDEX(Roster!$D$6:$D$108,MATCH(D166,Roster!$A$6:$A$108,0))&gt;=5,INDEX(Inputs!$B$15:$D$15,1,MATCH(A166,Inputs!$B$6:$D$6,0)),0)))))</x:f>
        <x:v>0</x:v>
      </x:c>
      <x:c r="M166" s="20" t="n">
        <x:f>G166*I166</x:f>
        <x:v>31135</x:v>
      </x:c>
      <x:c r="N166" s="20" t="n">
        <x:f>G166*J166</x:f>
        <x:v>7800</x:v>
      </x:c>
      <x:c r="O166" s="20" t="n">
        <x:f>G166*K166</x:f>
        <x:v>0</x:v>
      </x:c>
      <x:c r="P166" s="20" t="n">
        <x:f>G166*L166</x:f>
        <x:v>0</x:v>
      </x:c>
      <x:c r="Q166" s="20" t="n">
        <x:f>H166*INDEX(Inputs!$B$13:$D$13,1,MATCH(A166,Inputs!$B$6:$D$6,0))</x:f>
        <x:v>390</x:v>
      </x:c>
      <x:c r="R166" s="20" t="n">
        <x:f>SUM(M166:Q166)</x:f>
        <x:v>39325</x:v>
      </x:c>
      <x:c r="S166" s="20" t="n">
        <x:f>IF(AND(A165=A166,D165=D166),S165+R166,R166)</x:f>
        <x:v>39325</x:v>
      </x:c>
      <x:c r="T166" s="20" t="n">
        <x:f>MIN(S166,INDEX(Inputs!$B$20:$D$20,1,MATCH(A166,Inputs!$B$6:$D$6,0)))*INDEX(Inputs!$B$22:$D$22,1,MATCH(A166,Inputs!$B$6:$D$6,0))+MAX(MIN(S166,INDEX(Inputs!$B$21:$D$21,1,MATCH(A166,Inputs!$B$6:$D$6,0)))-INDEX(Inputs!$B$20:$D$20,1,MATCH(A166,Inputs!$B$6:$D$6,0)),0)*INDEX(Inputs!$B$23:$D$23,1,MATCH(A166,Inputs!$B$6:$D$6,0))+MAX(S166-INDEX(Inputs!$B$21:$D$21,1,MATCH(A166,Inputs!$B$6:$D$6,0)),0)*INDEX(Inputs!$B$24:$D$24,1,MATCH(A166,Inputs!$B$6:$D$6,0))</x:f>
        <x:v>3498.3624999999997</x:v>
      </x:c>
      <x:c r="U166" s="20" t="n">
        <x:f>IF(AND(A165=A166,D165=D166),T165,0)</x:f>
        <x:v>0</x:v>
      </x:c>
      <x:c r="V166" s="20" t="n">
        <x:f>T166-U166</x:f>
        <x:v>3498.3624999999997</x:v>
      </x:c>
      <x:c r="W166" s="20" t="n">
        <x:f>R166+V166</x:f>
        <x:v>42823.3625</x:v>
      </x:c>
      <x:c r="X166" s="14" t="str">
        <x:f>IF(ABS(W166-SUM(M166:Q166)-V166)&lt;0.01,"OK","Check")</x:f>
        <x:v>OK</x:v>
      </x:c>
    </x:row>
    <x:row r="167">
      <x:c r="A167" s="14" t="n">
        <x:v>2026</x:v>
      </x:c>
      <x:c r="B167" s="14" t="str">
        <x:v>Q2</x:v>
      </x:c>
      <x:c r="C167" s="14" t="n">
        <x:v>2</x:v>
      </x:c>
      <x:c r="D167" s="14" t="n">
        <x:v>41</x:v>
      </x:c>
      <x:c r="E167" s="14" t="str">
        <x:f>INDEX(Roster!$B$6:$B$108,MATCH(D167,Roster!$A$6:$A$108,0))</x:f>
        <x:v>Principal</x:v>
      </x:c>
      <x:c r="F167" s="14" t="str">
        <x:f>INDEX(Roster!$F$6:$F$108,MATCH(D167,Roster!$A$6:$A$108,0))</x:f>
        <x:v>Yes</x:v>
      </x:c>
      <x:c r="G167" s="14" t="n">
        <x:f>INDEX(Inputs!$B$7:$D$7,1,MATCH(A167,Inputs!$B$6:$D$6,0))</x:f>
        <x:v>13</x:v>
      </x:c>
      <x:c r="H167" s="14" t="n">
        <x:f>MIN(=INDEX(Inputs!$B$7:$D$7,1,MATCH(A167,Inputs!$B$6:$D$6,0)),MAX(0,INDEX(Inputs!$B$14:$D$14,1,MATCH(A167,Inputs!$B$6:$D$6,0))-(C167-1)*=INDEX(Inputs!$B$7:$D$7,1,MATCH(A167,Inputs!$B$6:$D$6,0))))</x:f>
        <x:v>13</x:v>
      </x:c>
      <x:c r="I167" s="20" t="n">
        <x:f>INDEX(Inputs!$B$8:$D$8,1,MATCH(A167,Inputs!$B$6:$D$6,0))</x:f>
        <x:v>2395</x:v>
      </x:c>
      <x:c r="J167" s="20" t="n">
        <x:f>INDEX(Roster!$C$6:$C$108,MATCH(D167,Roster!$A$6:$A$108,0))*(1+INDEX(Inputs!$B$9:$D$9,1,MATCH(A167,Inputs!$B$6:$D$6,0)))</x:f>
        <x:v>600</x:v>
      </x:c>
      <x:c r="K167" s="20" t="n">
        <x:f>IF(=INDEX(Roster!$F$6:$F$108,MATCH(D167,Roster!$A$6:$A$108,0))="Yes",0,=INDEX(Inputs!$B$8:$D$8,1,MATCH(A167,Inputs!$B$6:$D$6,0))*IF(=INDEX(Roster!$B$6:$B$108,MATCH(D167,Roster!$A$6:$A$108,0))="Principal",INDEX(Inputs!$B$10:$D$10,1,MATCH(A167,Inputs!$B$6:$D$6,0)),IF(=INDEX(Roster!$B$6:$B$108,MATCH(D167,Roster!$A$6:$A$108,0))="Associate Principal",INDEX(Inputs!$B$11:$D$11,1,MATCH(A167,Inputs!$B$6:$D$6,0)),IF(=INDEX(Roster!$B$6:$B$108,MATCH(D167,Roster!$A$6:$A$108,0))="Assistant Principal",INDEX(Inputs!$B$12:$D$12,1,MATCH(A167,Inputs!$B$6:$D$6,0)),0))))</x:f>
        <x:v>0</x:v>
      </x:c>
      <x:c r="L167" s="20" t="n">
        <x:f>IF(INDEX(Roster!$D$6:$D$108,MATCH(D167,Roster!$A$6:$A$108,0))&gt;=25,INDEX(Inputs!$B$19:$D$19,1,MATCH(A167,Inputs!$B$6:$D$6,0)),IF(INDEX(Roster!$D$6:$D$108,MATCH(D167,Roster!$A$6:$A$108,0))&gt;=20,INDEX(Inputs!$B$18:$D$18,1,MATCH(A167,Inputs!$B$6:$D$6,0)),IF(INDEX(Roster!$D$6:$D$108,MATCH(D167,Roster!$A$6:$A$108,0))&gt;=15,INDEX(Inputs!$B$17:$D$17,1,MATCH(A167,Inputs!$B$6:$D$6,0)),IF(INDEX(Roster!$D$6:$D$108,MATCH(D167,Roster!$A$6:$A$108,0))&gt;=10,INDEX(Inputs!$B$16:$D$16,1,MATCH(A167,Inputs!$B$6:$D$6,0)),IF(INDEX(Roster!$D$6:$D$108,MATCH(D167,Roster!$A$6:$A$108,0))&gt;=5,INDEX(Inputs!$B$15:$D$15,1,MATCH(A167,Inputs!$B$6:$D$6,0)),0)))))</x:f>
        <x:v>0</x:v>
      </x:c>
      <x:c r="M167" s="20" t="n">
        <x:f>G167*I167</x:f>
        <x:v>31135</x:v>
      </x:c>
      <x:c r="N167" s="20" t="n">
        <x:f>G167*J167</x:f>
        <x:v>7800</x:v>
      </x:c>
      <x:c r="O167" s="20" t="n">
        <x:f>G167*K167</x:f>
        <x:v>0</x:v>
      </x:c>
      <x:c r="P167" s="20" t="n">
        <x:f>G167*L167</x:f>
        <x:v>0</x:v>
      </x:c>
      <x:c r="Q167" s="20" t="n">
        <x:f>H167*INDEX(Inputs!$B$13:$D$13,1,MATCH(A167,Inputs!$B$6:$D$6,0))</x:f>
        <x:v>390</x:v>
      </x:c>
      <x:c r="R167" s="20" t="n">
        <x:f>SUM(M167:Q167)</x:f>
        <x:v>39325</x:v>
      </x:c>
      <x:c r="S167" s="20" t="n">
        <x:f>IF(AND(A166=A167,D166=D167),S166+R167,R167)</x:f>
        <x:v>78650</x:v>
      </x:c>
      <x:c r="T167" s="20" t="n">
        <x:f>MIN(S167,INDEX(Inputs!$B$20:$D$20,1,MATCH(A167,Inputs!$B$6:$D$6,0)))*INDEX(Inputs!$B$22:$D$22,1,MATCH(A167,Inputs!$B$6:$D$6,0))+MAX(MIN(S167,INDEX(Inputs!$B$21:$D$21,1,MATCH(A167,Inputs!$B$6:$D$6,0)))-INDEX(Inputs!$B$20:$D$20,1,MATCH(A167,Inputs!$B$6:$D$6,0)),0)*INDEX(Inputs!$B$23:$D$23,1,MATCH(A167,Inputs!$B$6:$D$6,0))+MAX(S167-INDEX(Inputs!$B$21:$D$21,1,MATCH(A167,Inputs!$B$6:$D$6,0)),0)*INDEX(Inputs!$B$24:$D$24,1,MATCH(A167,Inputs!$B$6:$D$6,0))</x:f>
        <x:v>6506.724999999999</x:v>
      </x:c>
      <x:c r="U167" s="20" t="n">
        <x:f>IF(AND(A166=A167,D166=D167),T166,0)</x:f>
        <x:v>3498.3624999999997</x:v>
      </x:c>
      <x:c r="V167" s="20" t="n">
        <x:f>T167-U167</x:f>
        <x:v>3008.3624999999997</x:v>
      </x:c>
      <x:c r="W167" s="20" t="n">
        <x:f>R167+V167</x:f>
        <x:v>42333.3625</x:v>
      </x:c>
      <x:c r="X167" s="14" t="str">
        <x:f>IF(ABS(W167-SUM(M167:Q167)-V167)&lt;0.01,"OK","Check")</x:f>
        <x:v>OK</x:v>
      </x:c>
    </x:row>
    <x:row r="168">
      <x:c r="A168" s="14" t="n">
        <x:v>2026</x:v>
      </x:c>
      <x:c r="B168" s="14" t="str">
        <x:v>Q3</x:v>
      </x:c>
      <x:c r="C168" s="14" t="n">
        <x:v>3</x:v>
      </x:c>
      <x:c r="D168" s="14" t="n">
        <x:v>41</x:v>
      </x:c>
      <x:c r="E168" s="14" t="str">
        <x:f>INDEX(Roster!$B$6:$B$108,MATCH(D168,Roster!$A$6:$A$108,0))</x:f>
        <x:v>Principal</x:v>
      </x:c>
      <x:c r="F168" s="14" t="str">
        <x:f>INDEX(Roster!$F$6:$F$108,MATCH(D168,Roster!$A$6:$A$108,0))</x:f>
        <x:v>Yes</x:v>
      </x:c>
      <x:c r="G168" s="14" t="n">
        <x:f>INDEX(Inputs!$B$7:$D$7,1,MATCH(A168,Inputs!$B$6:$D$6,0))</x:f>
        <x:v>13</x:v>
      </x:c>
      <x:c r="H168" s="14" t="n">
        <x:f>MIN(=INDEX(Inputs!$B$7:$D$7,1,MATCH(A168,Inputs!$B$6:$D$6,0)),MAX(0,INDEX(Inputs!$B$14:$D$14,1,MATCH(A168,Inputs!$B$6:$D$6,0))-(C168-1)*=INDEX(Inputs!$B$7:$D$7,1,MATCH(A168,Inputs!$B$6:$D$6,0))))</x:f>
        <x:v>13</x:v>
      </x:c>
      <x:c r="I168" s="20" t="n">
        <x:f>INDEX(Inputs!$B$8:$D$8,1,MATCH(A168,Inputs!$B$6:$D$6,0))</x:f>
        <x:v>2395</x:v>
      </x:c>
      <x:c r="J168" s="20" t="n">
        <x:f>INDEX(Roster!$C$6:$C$108,MATCH(D168,Roster!$A$6:$A$108,0))*(1+INDEX(Inputs!$B$9:$D$9,1,MATCH(A168,Inputs!$B$6:$D$6,0)))</x:f>
        <x:v>600</x:v>
      </x:c>
      <x:c r="K168" s="20" t="n">
        <x:f>IF(=INDEX(Roster!$F$6:$F$108,MATCH(D168,Roster!$A$6:$A$108,0))="Yes",0,=INDEX(Inputs!$B$8:$D$8,1,MATCH(A168,Inputs!$B$6:$D$6,0))*IF(=INDEX(Roster!$B$6:$B$108,MATCH(D168,Roster!$A$6:$A$108,0))="Principal",INDEX(Inputs!$B$10:$D$10,1,MATCH(A168,Inputs!$B$6:$D$6,0)),IF(=INDEX(Roster!$B$6:$B$108,MATCH(D168,Roster!$A$6:$A$108,0))="Associate Principal",INDEX(Inputs!$B$11:$D$11,1,MATCH(A168,Inputs!$B$6:$D$6,0)),IF(=INDEX(Roster!$B$6:$B$108,MATCH(D168,Roster!$A$6:$A$108,0))="Assistant Principal",INDEX(Inputs!$B$12:$D$12,1,MATCH(A168,Inputs!$B$6:$D$6,0)),0))))</x:f>
        <x:v>0</x:v>
      </x:c>
      <x:c r="L168" s="20" t="n">
        <x:f>IF(INDEX(Roster!$D$6:$D$108,MATCH(D168,Roster!$A$6:$A$108,0))&gt;=25,INDEX(Inputs!$B$19:$D$19,1,MATCH(A168,Inputs!$B$6:$D$6,0)),IF(INDEX(Roster!$D$6:$D$108,MATCH(D168,Roster!$A$6:$A$108,0))&gt;=20,INDEX(Inputs!$B$18:$D$18,1,MATCH(A168,Inputs!$B$6:$D$6,0)),IF(INDEX(Roster!$D$6:$D$108,MATCH(D168,Roster!$A$6:$A$108,0))&gt;=15,INDEX(Inputs!$B$17:$D$17,1,MATCH(A168,Inputs!$B$6:$D$6,0)),IF(INDEX(Roster!$D$6:$D$108,MATCH(D168,Roster!$A$6:$A$108,0))&gt;=10,INDEX(Inputs!$B$16:$D$16,1,MATCH(A168,Inputs!$B$6:$D$6,0)),IF(INDEX(Roster!$D$6:$D$108,MATCH(D168,Roster!$A$6:$A$108,0))&gt;=5,INDEX(Inputs!$B$15:$D$15,1,MATCH(A168,Inputs!$B$6:$D$6,0)),0)))))</x:f>
        <x:v>0</x:v>
      </x:c>
      <x:c r="M168" s="20" t="n">
        <x:f>G168*I168</x:f>
        <x:v>31135</x:v>
      </x:c>
      <x:c r="N168" s="20" t="n">
        <x:f>G168*J168</x:f>
        <x:v>7800</x:v>
      </x:c>
      <x:c r="O168" s="20" t="n">
        <x:f>G168*K168</x:f>
        <x:v>0</x:v>
      </x:c>
      <x:c r="P168" s="20" t="n">
        <x:f>G168*L168</x:f>
        <x:v>0</x:v>
      </x:c>
      <x:c r="Q168" s="20" t="n">
        <x:f>H168*INDEX(Inputs!$B$13:$D$13,1,MATCH(A168,Inputs!$B$6:$D$6,0))</x:f>
        <x:v>390</x:v>
      </x:c>
      <x:c r="R168" s="20" t="n">
        <x:f>SUM(M168:Q168)</x:f>
        <x:v>39325</x:v>
      </x:c>
      <x:c r="S168" s="20" t="n">
        <x:f>IF(AND(A167=A168,D167=D168),S167+R168,R168)</x:f>
        <x:v>117975</x:v>
      </x:c>
      <x:c r="T168" s="20" t="n">
        <x:f>MIN(S168,INDEX(Inputs!$B$20:$D$20,1,MATCH(A168,Inputs!$B$6:$D$6,0)))*INDEX(Inputs!$B$22:$D$22,1,MATCH(A168,Inputs!$B$6:$D$6,0))+MAX(MIN(S168,INDEX(Inputs!$B$21:$D$21,1,MATCH(A168,Inputs!$B$6:$D$6,0)))-INDEX(Inputs!$B$20:$D$20,1,MATCH(A168,Inputs!$B$6:$D$6,0)),0)*INDEX(Inputs!$B$23:$D$23,1,MATCH(A168,Inputs!$B$6:$D$6,0))+MAX(S168-INDEX(Inputs!$B$21:$D$21,1,MATCH(A168,Inputs!$B$6:$D$6,0)),0)*INDEX(Inputs!$B$24:$D$24,1,MATCH(A168,Inputs!$B$6:$D$6,0))</x:f>
        <x:v>9515.0875</x:v>
      </x:c>
      <x:c r="U168" s="20" t="n">
        <x:f>IF(AND(A167=A168,D167=D168),T167,0)</x:f>
        <x:v>6506.724999999999</x:v>
      </x:c>
      <x:c r="V168" s="20" t="n">
        <x:f>T168-U168</x:f>
        <x:v>3008.3625</x:v>
      </x:c>
      <x:c r="W168" s="20" t="n">
        <x:f>R168+V168</x:f>
        <x:v>42333.3625</x:v>
      </x:c>
      <x:c r="X168" s="14" t="str">
        <x:f>IF(ABS(W168-SUM(M168:Q168)-V168)&lt;0.01,"OK","Check")</x:f>
        <x:v>OK</x:v>
      </x:c>
    </x:row>
    <x:row r="169">
      <x:c r="A169" s="14" t="n">
        <x:v>2026</x:v>
      </x:c>
      <x:c r="B169" s="14" t="str">
        <x:v>Q4</x:v>
      </x:c>
      <x:c r="C169" s="14" t="n">
        <x:v>4</x:v>
      </x:c>
      <x:c r="D169" s="14" t="n">
        <x:v>41</x:v>
      </x:c>
      <x:c r="E169" s="14" t="str">
        <x:f>INDEX(Roster!$B$6:$B$108,MATCH(D169,Roster!$A$6:$A$108,0))</x:f>
        <x:v>Principal</x:v>
      </x:c>
      <x:c r="F169" s="14" t="str">
        <x:f>INDEX(Roster!$F$6:$F$108,MATCH(D169,Roster!$A$6:$A$108,0))</x:f>
        <x:v>Yes</x:v>
      </x:c>
      <x:c r="G169" s="14" t="n">
        <x:f>INDEX(Inputs!$B$7:$D$7,1,MATCH(A169,Inputs!$B$6:$D$6,0))</x:f>
        <x:v>13</x:v>
      </x:c>
      <x:c r="H169" s="14" t="n">
        <x:f>MIN(=INDEX(Inputs!$B$7:$D$7,1,MATCH(A169,Inputs!$B$6:$D$6,0)),MAX(0,INDEX(Inputs!$B$14:$D$14,1,MATCH(A169,Inputs!$B$6:$D$6,0))-(C169-1)*=INDEX(Inputs!$B$7:$D$7,1,MATCH(A169,Inputs!$B$6:$D$6,0))))</x:f>
        <x:v>0</x:v>
      </x:c>
      <x:c r="I169" s="20" t="n">
        <x:f>INDEX(Inputs!$B$8:$D$8,1,MATCH(A169,Inputs!$B$6:$D$6,0))</x:f>
        <x:v>2395</x:v>
      </x:c>
      <x:c r="J169" s="20" t="n">
        <x:f>INDEX(Roster!$C$6:$C$108,MATCH(D169,Roster!$A$6:$A$108,0))*(1+INDEX(Inputs!$B$9:$D$9,1,MATCH(A169,Inputs!$B$6:$D$6,0)))</x:f>
        <x:v>600</x:v>
      </x:c>
      <x:c r="K169" s="20" t="n">
        <x:f>IF(=INDEX(Roster!$F$6:$F$108,MATCH(D169,Roster!$A$6:$A$108,0))="Yes",0,=INDEX(Inputs!$B$8:$D$8,1,MATCH(A169,Inputs!$B$6:$D$6,0))*IF(=INDEX(Roster!$B$6:$B$108,MATCH(D169,Roster!$A$6:$A$108,0))="Principal",INDEX(Inputs!$B$10:$D$10,1,MATCH(A169,Inputs!$B$6:$D$6,0)),IF(=INDEX(Roster!$B$6:$B$108,MATCH(D169,Roster!$A$6:$A$108,0))="Associate Principal",INDEX(Inputs!$B$11:$D$11,1,MATCH(A169,Inputs!$B$6:$D$6,0)),IF(=INDEX(Roster!$B$6:$B$108,MATCH(D169,Roster!$A$6:$A$108,0))="Assistant Principal",INDEX(Inputs!$B$12:$D$12,1,MATCH(A169,Inputs!$B$6:$D$6,0)),0))))</x:f>
        <x:v>0</x:v>
      </x:c>
      <x:c r="L169" s="20" t="n">
        <x:f>IF(INDEX(Roster!$D$6:$D$108,MATCH(D169,Roster!$A$6:$A$108,0))&gt;=25,INDEX(Inputs!$B$19:$D$19,1,MATCH(A169,Inputs!$B$6:$D$6,0)),IF(INDEX(Roster!$D$6:$D$108,MATCH(D169,Roster!$A$6:$A$108,0))&gt;=20,INDEX(Inputs!$B$18:$D$18,1,MATCH(A169,Inputs!$B$6:$D$6,0)),IF(INDEX(Roster!$D$6:$D$108,MATCH(D169,Roster!$A$6:$A$108,0))&gt;=15,INDEX(Inputs!$B$17:$D$17,1,MATCH(A169,Inputs!$B$6:$D$6,0)),IF(INDEX(Roster!$D$6:$D$108,MATCH(D169,Roster!$A$6:$A$108,0))&gt;=10,INDEX(Inputs!$B$16:$D$16,1,MATCH(A169,Inputs!$B$6:$D$6,0)),IF(INDEX(Roster!$D$6:$D$108,MATCH(D169,Roster!$A$6:$A$108,0))&gt;=5,INDEX(Inputs!$B$15:$D$15,1,MATCH(A169,Inputs!$B$6:$D$6,0)),0)))))</x:f>
        <x:v>0</x:v>
      </x:c>
      <x:c r="M169" s="20" t="n">
        <x:f>G169*I169</x:f>
        <x:v>31135</x:v>
      </x:c>
      <x:c r="N169" s="20" t="n">
        <x:f>G169*J169</x:f>
        <x:v>7800</x:v>
      </x:c>
      <x:c r="O169" s="20" t="n">
        <x:f>G169*K169</x:f>
        <x:v>0</x:v>
      </x:c>
      <x:c r="P169" s="20" t="n">
        <x:f>G169*L169</x:f>
        <x:v>0</x:v>
      </x:c>
      <x:c r="Q169" s="20" t="n">
        <x:f>H169*INDEX(Inputs!$B$13:$D$13,1,MATCH(A169,Inputs!$B$6:$D$6,0))</x:f>
        <x:v>0</x:v>
      </x:c>
      <x:c r="R169" s="20" t="n">
        <x:f>SUM(M169:Q169)</x:f>
        <x:v>38935</x:v>
      </x:c>
      <x:c r="S169" s="20" t="n">
        <x:f>IF(AND(A168=A169,D168=D169),S168+R169,R169)</x:f>
        <x:v>156910</x:v>
      </x:c>
      <x:c r="T169" s="20" t="n">
        <x:f>MIN(S169,INDEX(Inputs!$B$20:$D$20,1,MATCH(A169,Inputs!$B$6:$D$6,0)))*INDEX(Inputs!$B$22:$D$22,1,MATCH(A169,Inputs!$B$6:$D$6,0))+MAX(MIN(S169,INDEX(Inputs!$B$21:$D$21,1,MATCH(A169,Inputs!$B$6:$D$6,0)))-INDEX(Inputs!$B$20:$D$20,1,MATCH(A169,Inputs!$B$6:$D$6,0)),0)*INDEX(Inputs!$B$23:$D$23,1,MATCH(A169,Inputs!$B$6:$D$6,0))+MAX(S169-INDEX(Inputs!$B$21:$D$21,1,MATCH(A169,Inputs!$B$6:$D$6,0)),0)*INDEX(Inputs!$B$24:$D$24,1,MATCH(A169,Inputs!$B$6:$D$6,0))</x:f>
        <x:v>10189.137</x:v>
      </x:c>
      <x:c r="U169" s="20" t="n">
        <x:f>IF(AND(A168=A169,D168=D169),T168,0)</x:f>
        <x:v>9515.0875</x:v>
      </x:c>
      <x:c r="V169" s="20" t="n">
        <x:f>T169-U169</x:f>
        <x:v>674.049500000001</x:v>
      </x:c>
      <x:c r="W169" s="20" t="n">
        <x:f>R169+V169</x:f>
        <x:v>39609.0495</x:v>
      </x:c>
      <x:c r="X169" s="14" t="str">
        <x:f>IF(ABS(W169-SUM(M169:Q169)-V169)&lt;0.01,"OK","Check")</x:f>
        <x:v>OK</x:v>
      </x:c>
    </x:row>
    <x:row r="170">
      <x:c r="A170" s="14" t="n">
        <x:v>2026</x:v>
      </x:c>
      <x:c r="B170" s="14" t="str">
        <x:v>Q1</x:v>
      </x:c>
      <x:c r="C170" s="14" t="n">
        <x:v>1</x:v>
      </x:c>
      <x:c r="D170" s="14" t="n">
        <x:v>42</x:v>
      </x:c>
      <x:c r="E170" s="14" t="str">
        <x:f>INDEX(Roster!$B$6:$B$108,MATCH(D170,Roster!$A$6:$A$108,0))</x:f>
        <x:v>Principal</x:v>
      </x:c>
      <x:c r="F170" s="14" t="str">
        <x:f>INDEX(Roster!$F$6:$F$108,MATCH(D170,Roster!$A$6:$A$108,0))</x:f>
        <x:v>Yes</x:v>
      </x:c>
      <x:c r="G170" s="14" t="n">
        <x:f>INDEX(Inputs!$B$7:$D$7,1,MATCH(A170,Inputs!$B$6:$D$6,0))</x:f>
        <x:v>13</x:v>
      </x:c>
      <x:c r="H170" s="14" t="n">
        <x:f>MIN(=INDEX(Inputs!$B$7:$D$7,1,MATCH(A170,Inputs!$B$6:$D$6,0)),MAX(0,INDEX(Inputs!$B$14:$D$14,1,MATCH(A170,Inputs!$B$6:$D$6,0))-(C170-1)*=INDEX(Inputs!$B$7:$D$7,1,MATCH(A170,Inputs!$B$6:$D$6,0))))</x:f>
        <x:v>13</x:v>
      </x:c>
      <x:c r="I170" s="20" t="n">
        <x:f>INDEX(Inputs!$B$8:$D$8,1,MATCH(A170,Inputs!$B$6:$D$6,0))</x:f>
        <x:v>2395</x:v>
      </x:c>
      <x:c r="J170" s="20" t="n">
        <x:f>INDEX(Roster!$C$6:$C$108,MATCH(D170,Roster!$A$6:$A$108,0))*(1+INDEX(Inputs!$B$9:$D$9,1,MATCH(A170,Inputs!$B$6:$D$6,0)))</x:f>
        <x:v>1500</x:v>
      </x:c>
      <x:c r="K170" s="20" t="n">
        <x:f>IF(=INDEX(Roster!$F$6:$F$108,MATCH(D170,Roster!$A$6:$A$108,0))="Yes",0,=INDEX(Inputs!$B$8:$D$8,1,MATCH(A170,Inputs!$B$6:$D$6,0))*IF(=INDEX(Roster!$B$6:$B$108,MATCH(D170,Roster!$A$6:$A$108,0))="Principal",INDEX(Inputs!$B$10:$D$10,1,MATCH(A170,Inputs!$B$6:$D$6,0)),IF(=INDEX(Roster!$B$6:$B$108,MATCH(D170,Roster!$A$6:$A$108,0))="Associate Principal",INDEX(Inputs!$B$11:$D$11,1,MATCH(A170,Inputs!$B$6:$D$6,0)),IF(=INDEX(Roster!$B$6:$B$108,MATCH(D170,Roster!$A$6:$A$108,0))="Assistant Principal",INDEX(Inputs!$B$12:$D$12,1,MATCH(A170,Inputs!$B$6:$D$6,0)),0))))</x:f>
        <x:v>0</x:v>
      </x:c>
      <x:c r="L170" s="20" t="n">
        <x:f>IF(INDEX(Roster!$D$6:$D$108,MATCH(D170,Roster!$A$6:$A$108,0))&gt;=25,INDEX(Inputs!$B$19:$D$19,1,MATCH(A170,Inputs!$B$6:$D$6,0)),IF(INDEX(Roster!$D$6:$D$108,MATCH(D170,Roster!$A$6:$A$108,0))&gt;=20,INDEX(Inputs!$B$18:$D$18,1,MATCH(A170,Inputs!$B$6:$D$6,0)),IF(INDEX(Roster!$D$6:$D$108,MATCH(D170,Roster!$A$6:$A$108,0))&gt;=15,INDEX(Inputs!$B$17:$D$17,1,MATCH(A170,Inputs!$B$6:$D$6,0)),IF(INDEX(Roster!$D$6:$D$108,MATCH(D170,Roster!$A$6:$A$108,0))&gt;=10,INDEX(Inputs!$B$16:$D$16,1,MATCH(A170,Inputs!$B$6:$D$6,0)),IF(INDEX(Roster!$D$6:$D$108,MATCH(D170,Roster!$A$6:$A$108,0))&gt;=5,INDEX(Inputs!$B$15:$D$15,1,MATCH(A170,Inputs!$B$6:$D$6,0)),0)))))</x:f>
        <x:v>50</x:v>
      </x:c>
      <x:c r="M170" s="20" t="n">
        <x:f>G170*I170</x:f>
        <x:v>31135</x:v>
      </x:c>
      <x:c r="N170" s="20" t="n">
        <x:f>G170*J170</x:f>
        <x:v>19500</x:v>
      </x:c>
      <x:c r="O170" s="20" t="n">
        <x:f>G170*K170</x:f>
        <x:v>0</x:v>
      </x:c>
      <x:c r="P170" s="20" t="n">
        <x:f>G170*L170</x:f>
        <x:v>650</x:v>
      </x:c>
      <x:c r="Q170" s="20" t="n">
        <x:f>H170*INDEX(Inputs!$B$13:$D$13,1,MATCH(A170,Inputs!$B$6:$D$6,0))</x:f>
        <x:v>390</x:v>
      </x:c>
      <x:c r="R170" s="20" t="n">
        <x:f>SUM(M170:Q170)</x:f>
        <x:v>51675</x:v>
      </x:c>
      <x:c r="S170" s="20" t="n">
        <x:f>IF(AND(A169=A170,D169=D170),S169+R170,R170)</x:f>
        <x:v>51675</x:v>
      </x:c>
      <x:c r="T170" s="20" t="n">
        <x:f>MIN(S170,INDEX(Inputs!$B$20:$D$20,1,MATCH(A170,Inputs!$B$6:$D$6,0)))*INDEX(Inputs!$B$22:$D$22,1,MATCH(A170,Inputs!$B$6:$D$6,0))+MAX(MIN(S170,INDEX(Inputs!$B$21:$D$21,1,MATCH(A170,Inputs!$B$6:$D$6,0)))-INDEX(Inputs!$B$20:$D$20,1,MATCH(A170,Inputs!$B$6:$D$6,0)),0)*INDEX(Inputs!$B$23:$D$23,1,MATCH(A170,Inputs!$B$6:$D$6,0))+MAX(S170-INDEX(Inputs!$B$21:$D$21,1,MATCH(A170,Inputs!$B$6:$D$6,0)),0)*INDEX(Inputs!$B$24:$D$24,1,MATCH(A170,Inputs!$B$6:$D$6,0))</x:f>
        <x:v>4443.1375</x:v>
      </x:c>
      <x:c r="U170" s="20" t="n">
        <x:f>IF(AND(A169=A170,D169=D170),T169,0)</x:f>
        <x:v>0</x:v>
      </x:c>
      <x:c r="V170" s="20" t="n">
        <x:f>T170-U170</x:f>
        <x:v>4443.1375</x:v>
      </x:c>
      <x:c r="W170" s="20" t="n">
        <x:f>R170+V170</x:f>
        <x:v>56118.1375</x:v>
      </x:c>
      <x:c r="X170" s="14" t="str">
        <x:f>IF(ABS(W170-SUM(M170:Q170)-V170)&lt;0.01,"OK","Check")</x:f>
        <x:v>OK</x:v>
      </x:c>
    </x:row>
    <x:row r="171">
      <x:c r="A171" s="14" t="n">
        <x:v>2026</x:v>
      </x:c>
      <x:c r="B171" s="14" t="str">
        <x:v>Q2</x:v>
      </x:c>
      <x:c r="C171" s="14" t="n">
        <x:v>2</x:v>
      </x:c>
      <x:c r="D171" s="14" t="n">
        <x:v>42</x:v>
      </x:c>
      <x:c r="E171" s="14" t="str">
        <x:f>INDEX(Roster!$B$6:$B$108,MATCH(D171,Roster!$A$6:$A$108,0))</x:f>
        <x:v>Principal</x:v>
      </x:c>
      <x:c r="F171" s="14" t="str">
        <x:f>INDEX(Roster!$F$6:$F$108,MATCH(D171,Roster!$A$6:$A$108,0))</x:f>
        <x:v>Yes</x:v>
      </x:c>
      <x:c r="G171" s="14" t="n">
        <x:f>INDEX(Inputs!$B$7:$D$7,1,MATCH(A171,Inputs!$B$6:$D$6,0))</x:f>
        <x:v>13</x:v>
      </x:c>
      <x:c r="H171" s="14" t="n">
        <x:f>MIN(=INDEX(Inputs!$B$7:$D$7,1,MATCH(A171,Inputs!$B$6:$D$6,0)),MAX(0,INDEX(Inputs!$B$14:$D$14,1,MATCH(A171,Inputs!$B$6:$D$6,0))-(C171-1)*=INDEX(Inputs!$B$7:$D$7,1,MATCH(A171,Inputs!$B$6:$D$6,0))))</x:f>
        <x:v>13</x:v>
      </x:c>
      <x:c r="I171" s="20" t="n">
        <x:f>INDEX(Inputs!$B$8:$D$8,1,MATCH(A171,Inputs!$B$6:$D$6,0))</x:f>
        <x:v>2395</x:v>
      </x:c>
      <x:c r="J171" s="20" t="n">
        <x:f>INDEX(Roster!$C$6:$C$108,MATCH(D171,Roster!$A$6:$A$108,0))*(1+INDEX(Inputs!$B$9:$D$9,1,MATCH(A171,Inputs!$B$6:$D$6,0)))</x:f>
        <x:v>1500</x:v>
      </x:c>
      <x:c r="K171" s="20" t="n">
        <x:f>IF(=INDEX(Roster!$F$6:$F$108,MATCH(D171,Roster!$A$6:$A$108,0))="Yes",0,=INDEX(Inputs!$B$8:$D$8,1,MATCH(A171,Inputs!$B$6:$D$6,0))*IF(=INDEX(Roster!$B$6:$B$108,MATCH(D171,Roster!$A$6:$A$108,0))="Principal",INDEX(Inputs!$B$10:$D$10,1,MATCH(A171,Inputs!$B$6:$D$6,0)),IF(=INDEX(Roster!$B$6:$B$108,MATCH(D171,Roster!$A$6:$A$108,0))="Associate Principal",INDEX(Inputs!$B$11:$D$11,1,MATCH(A171,Inputs!$B$6:$D$6,0)),IF(=INDEX(Roster!$B$6:$B$108,MATCH(D171,Roster!$A$6:$A$108,0))="Assistant Principal",INDEX(Inputs!$B$12:$D$12,1,MATCH(A171,Inputs!$B$6:$D$6,0)),0))))</x:f>
        <x:v>0</x:v>
      </x:c>
      <x:c r="L171" s="20" t="n">
        <x:f>IF(INDEX(Roster!$D$6:$D$108,MATCH(D171,Roster!$A$6:$A$108,0))&gt;=25,INDEX(Inputs!$B$19:$D$19,1,MATCH(A171,Inputs!$B$6:$D$6,0)),IF(INDEX(Roster!$D$6:$D$108,MATCH(D171,Roster!$A$6:$A$108,0))&gt;=20,INDEX(Inputs!$B$18:$D$18,1,MATCH(A171,Inputs!$B$6:$D$6,0)),IF(INDEX(Roster!$D$6:$D$108,MATCH(D171,Roster!$A$6:$A$108,0))&gt;=15,INDEX(Inputs!$B$17:$D$17,1,MATCH(A171,Inputs!$B$6:$D$6,0)),IF(INDEX(Roster!$D$6:$D$108,MATCH(D171,Roster!$A$6:$A$108,0))&gt;=10,INDEX(Inputs!$B$16:$D$16,1,MATCH(A171,Inputs!$B$6:$D$6,0)),IF(INDEX(Roster!$D$6:$D$108,MATCH(D171,Roster!$A$6:$A$108,0))&gt;=5,INDEX(Inputs!$B$15:$D$15,1,MATCH(A171,Inputs!$B$6:$D$6,0)),0)))))</x:f>
        <x:v>50</x:v>
      </x:c>
      <x:c r="M171" s="20" t="n">
        <x:f>G171*I171</x:f>
        <x:v>31135</x:v>
      </x:c>
      <x:c r="N171" s="20" t="n">
        <x:f>G171*J171</x:f>
        <x:v>19500</x:v>
      </x:c>
      <x:c r="O171" s="20" t="n">
        <x:f>G171*K171</x:f>
        <x:v>0</x:v>
      </x:c>
      <x:c r="P171" s="20" t="n">
        <x:f>G171*L171</x:f>
        <x:v>650</x:v>
      </x:c>
      <x:c r="Q171" s="20" t="n">
        <x:f>H171*INDEX(Inputs!$B$13:$D$13,1,MATCH(A171,Inputs!$B$6:$D$6,0))</x:f>
        <x:v>390</x:v>
      </x:c>
      <x:c r="R171" s="20" t="n">
        <x:f>SUM(M171:Q171)</x:f>
        <x:v>51675</x:v>
      </x:c>
      <x:c r="S171" s="20" t="n">
        <x:f>IF(AND(A170=A171,D170=D171),S170+R171,R171)</x:f>
        <x:v>103350</x:v>
      </x:c>
      <x:c r="T171" s="20" t="n">
        <x:f>MIN(S171,INDEX(Inputs!$B$20:$D$20,1,MATCH(A171,Inputs!$B$6:$D$6,0)))*INDEX(Inputs!$B$22:$D$22,1,MATCH(A171,Inputs!$B$6:$D$6,0))+MAX(MIN(S171,INDEX(Inputs!$B$21:$D$21,1,MATCH(A171,Inputs!$B$6:$D$6,0)))-INDEX(Inputs!$B$20:$D$20,1,MATCH(A171,Inputs!$B$6:$D$6,0)),0)*INDEX(Inputs!$B$23:$D$23,1,MATCH(A171,Inputs!$B$6:$D$6,0))+MAX(S171-INDEX(Inputs!$B$21:$D$21,1,MATCH(A171,Inputs!$B$6:$D$6,0)),0)*INDEX(Inputs!$B$24:$D$24,1,MATCH(A171,Inputs!$B$6:$D$6,0))</x:f>
        <x:v>8396.275</x:v>
      </x:c>
      <x:c r="U171" s="20" t="n">
        <x:f>IF(AND(A170=A171,D170=D171),T170,0)</x:f>
        <x:v>4443.1375</x:v>
      </x:c>
      <x:c r="V171" s="20" t="n">
        <x:f>T171-U171</x:f>
        <x:v>3953.1375</x:v>
      </x:c>
      <x:c r="W171" s="20" t="n">
        <x:f>R171+V171</x:f>
        <x:v>55628.1375</x:v>
      </x:c>
      <x:c r="X171" s="14" t="str">
        <x:f>IF(ABS(W171-SUM(M171:Q171)-V171)&lt;0.01,"OK","Check")</x:f>
        <x:v>OK</x:v>
      </x:c>
    </x:row>
    <x:row r="172">
      <x:c r="A172" s="14" t="n">
        <x:v>2026</x:v>
      </x:c>
      <x:c r="B172" s="14" t="str">
        <x:v>Q3</x:v>
      </x:c>
      <x:c r="C172" s="14" t="n">
        <x:v>3</x:v>
      </x:c>
      <x:c r="D172" s="14" t="n">
        <x:v>42</x:v>
      </x:c>
      <x:c r="E172" s="14" t="str">
        <x:f>INDEX(Roster!$B$6:$B$108,MATCH(D172,Roster!$A$6:$A$108,0))</x:f>
        <x:v>Principal</x:v>
      </x:c>
      <x:c r="F172" s="14" t="str">
        <x:f>INDEX(Roster!$F$6:$F$108,MATCH(D172,Roster!$A$6:$A$108,0))</x:f>
        <x:v>Yes</x:v>
      </x:c>
      <x:c r="G172" s="14" t="n">
        <x:f>INDEX(Inputs!$B$7:$D$7,1,MATCH(A172,Inputs!$B$6:$D$6,0))</x:f>
        <x:v>13</x:v>
      </x:c>
      <x:c r="H172" s="14" t="n">
        <x:f>MIN(=INDEX(Inputs!$B$7:$D$7,1,MATCH(A172,Inputs!$B$6:$D$6,0)),MAX(0,INDEX(Inputs!$B$14:$D$14,1,MATCH(A172,Inputs!$B$6:$D$6,0))-(C172-1)*=INDEX(Inputs!$B$7:$D$7,1,MATCH(A172,Inputs!$B$6:$D$6,0))))</x:f>
        <x:v>13</x:v>
      </x:c>
      <x:c r="I172" s="20" t="n">
        <x:f>INDEX(Inputs!$B$8:$D$8,1,MATCH(A172,Inputs!$B$6:$D$6,0))</x:f>
        <x:v>2395</x:v>
      </x:c>
      <x:c r="J172" s="20" t="n">
        <x:f>INDEX(Roster!$C$6:$C$108,MATCH(D172,Roster!$A$6:$A$108,0))*(1+INDEX(Inputs!$B$9:$D$9,1,MATCH(A172,Inputs!$B$6:$D$6,0)))</x:f>
        <x:v>1500</x:v>
      </x:c>
      <x:c r="K172" s="20" t="n">
        <x:f>IF(=INDEX(Roster!$F$6:$F$108,MATCH(D172,Roster!$A$6:$A$108,0))="Yes",0,=INDEX(Inputs!$B$8:$D$8,1,MATCH(A172,Inputs!$B$6:$D$6,0))*IF(=INDEX(Roster!$B$6:$B$108,MATCH(D172,Roster!$A$6:$A$108,0))="Principal",INDEX(Inputs!$B$10:$D$10,1,MATCH(A172,Inputs!$B$6:$D$6,0)),IF(=INDEX(Roster!$B$6:$B$108,MATCH(D172,Roster!$A$6:$A$108,0))="Associate Principal",INDEX(Inputs!$B$11:$D$11,1,MATCH(A172,Inputs!$B$6:$D$6,0)),IF(=INDEX(Roster!$B$6:$B$108,MATCH(D172,Roster!$A$6:$A$108,0))="Assistant Principal",INDEX(Inputs!$B$12:$D$12,1,MATCH(A172,Inputs!$B$6:$D$6,0)),0))))</x:f>
        <x:v>0</x:v>
      </x:c>
      <x:c r="L172" s="20" t="n">
        <x:f>IF(INDEX(Roster!$D$6:$D$108,MATCH(D172,Roster!$A$6:$A$108,0))&gt;=25,INDEX(Inputs!$B$19:$D$19,1,MATCH(A172,Inputs!$B$6:$D$6,0)),IF(INDEX(Roster!$D$6:$D$108,MATCH(D172,Roster!$A$6:$A$108,0))&gt;=20,INDEX(Inputs!$B$18:$D$18,1,MATCH(A172,Inputs!$B$6:$D$6,0)),IF(INDEX(Roster!$D$6:$D$108,MATCH(D172,Roster!$A$6:$A$108,0))&gt;=15,INDEX(Inputs!$B$17:$D$17,1,MATCH(A172,Inputs!$B$6:$D$6,0)),IF(INDEX(Roster!$D$6:$D$108,MATCH(D172,Roster!$A$6:$A$108,0))&gt;=10,INDEX(Inputs!$B$16:$D$16,1,MATCH(A172,Inputs!$B$6:$D$6,0)),IF(INDEX(Roster!$D$6:$D$108,MATCH(D172,Roster!$A$6:$A$108,0))&gt;=5,INDEX(Inputs!$B$15:$D$15,1,MATCH(A172,Inputs!$B$6:$D$6,0)),0)))))</x:f>
        <x:v>50</x:v>
      </x:c>
      <x:c r="M172" s="20" t="n">
        <x:f>G172*I172</x:f>
        <x:v>31135</x:v>
      </x:c>
      <x:c r="N172" s="20" t="n">
        <x:f>G172*J172</x:f>
        <x:v>19500</x:v>
      </x:c>
      <x:c r="O172" s="20" t="n">
        <x:f>G172*K172</x:f>
        <x:v>0</x:v>
      </x:c>
      <x:c r="P172" s="20" t="n">
        <x:f>G172*L172</x:f>
        <x:v>650</x:v>
      </x:c>
      <x:c r="Q172" s="20" t="n">
        <x:f>H172*INDEX(Inputs!$B$13:$D$13,1,MATCH(A172,Inputs!$B$6:$D$6,0))</x:f>
        <x:v>390</x:v>
      </x:c>
      <x:c r="R172" s="20" t="n">
        <x:f>SUM(M172:Q172)</x:f>
        <x:v>51675</x:v>
      </x:c>
      <x:c r="S172" s="20" t="n">
        <x:f>IF(AND(A171=A172,D171=D172),S171+R172,R172)</x:f>
        <x:v>155025</x:v>
      </x:c>
      <x:c r="T172" s="20" t="n">
        <x:f>MIN(S172,INDEX(Inputs!$B$20:$D$20,1,MATCH(A172,Inputs!$B$6:$D$6,0)))*INDEX(Inputs!$B$22:$D$22,1,MATCH(A172,Inputs!$B$6:$D$6,0))+MAX(MIN(S172,INDEX(Inputs!$B$21:$D$21,1,MATCH(A172,Inputs!$B$6:$D$6,0)))-INDEX(Inputs!$B$20:$D$20,1,MATCH(A172,Inputs!$B$6:$D$6,0)),0)*INDEX(Inputs!$B$23:$D$23,1,MATCH(A172,Inputs!$B$6:$D$6,0))+MAX(S172-INDEX(Inputs!$B$21:$D$21,1,MATCH(A172,Inputs!$B$6:$D$6,0)),0)*INDEX(Inputs!$B$24:$D$24,1,MATCH(A172,Inputs!$B$6:$D$6,0))</x:f>
        <x:v>10161.8045</x:v>
      </x:c>
      <x:c r="U172" s="20" t="n">
        <x:f>IF(AND(A171=A172,D171=D172),T171,0)</x:f>
        <x:v>8396.275</x:v>
      </x:c>
      <x:c r="V172" s="20" t="n">
        <x:f>T172-U172</x:f>
        <x:v>1765.5295000000006</x:v>
      </x:c>
      <x:c r="W172" s="20" t="n">
        <x:f>R172+V172</x:f>
        <x:v>53440.529500000004</x:v>
      </x:c>
      <x:c r="X172" s="14" t="str">
        <x:f>IF(ABS(W172-SUM(M172:Q172)-V172)&lt;0.01,"OK","Check")</x:f>
        <x:v>OK</x:v>
      </x:c>
    </x:row>
    <x:row r="173">
      <x:c r="A173" s="14" t="n">
        <x:v>2026</x:v>
      </x:c>
      <x:c r="B173" s="14" t="str">
        <x:v>Q4</x:v>
      </x:c>
      <x:c r="C173" s="14" t="n">
        <x:v>4</x:v>
      </x:c>
      <x:c r="D173" s="14" t="n">
        <x:v>42</x:v>
      </x:c>
      <x:c r="E173" s="14" t="str">
        <x:f>INDEX(Roster!$B$6:$B$108,MATCH(D173,Roster!$A$6:$A$108,0))</x:f>
        <x:v>Principal</x:v>
      </x:c>
      <x:c r="F173" s="14" t="str">
        <x:f>INDEX(Roster!$F$6:$F$108,MATCH(D173,Roster!$A$6:$A$108,0))</x:f>
        <x:v>Yes</x:v>
      </x:c>
      <x:c r="G173" s="14" t="n">
        <x:f>INDEX(Inputs!$B$7:$D$7,1,MATCH(A173,Inputs!$B$6:$D$6,0))</x:f>
        <x:v>13</x:v>
      </x:c>
      <x:c r="H173" s="14" t="n">
        <x:f>MIN(=INDEX(Inputs!$B$7:$D$7,1,MATCH(A173,Inputs!$B$6:$D$6,0)),MAX(0,INDEX(Inputs!$B$14:$D$14,1,MATCH(A173,Inputs!$B$6:$D$6,0))-(C173-1)*=INDEX(Inputs!$B$7:$D$7,1,MATCH(A173,Inputs!$B$6:$D$6,0))))</x:f>
        <x:v>0</x:v>
      </x:c>
      <x:c r="I173" s="20" t="n">
        <x:f>INDEX(Inputs!$B$8:$D$8,1,MATCH(A173,Inputs!$B$6:$D$6,0))</x:f>
        <x:v>2395</x:v>
      </x:c>
      <x:c r="J173" s="20" t="n">
        <x:f>INDEX(Roster!$C$6:$C$108,MATCH(D173,Roster!$A$6:$A$108,0))*(1+INDEX(Inputs!$B$9:$D$9,1,MATCH(A173,Inputs!$B$6:$D$6,0)))</x:f>
        <x:v>1500</x:v>
      </x:c>
      <x:c r="K173" s="20" t="n">
        <x:f>IF(=INDEX(Roster!$F$6:$F$108,MATCH(D173,Roster!$A$6:$A$108,0))="Yes",0,=INDEX(Inputs!$B$8:$D$8,1,MATCH(A173,Inputs!$B$6:$D$6,0))*IF(=INDEX(Roster!$B$6:$B$108,MATCH(D173,Roster!$A$6:$A$108,0))="Principal",INDEX(Inputs!$B$10:$D$10,1,MATCH(A173,Inputs!$B$6:$D$6,0)),IF(=INDEX(Roster!$B$6:$B$108,MATCH(D173,Roster!$A$6:$A$108,0))="Associate Principal",INDEX(Inputs!$B$11:$D$11,1,MATCH(A173,Inputs!$B$6:$D$6,0)),IF(=INDEX(Roster!$B$6:$B$108,MATCH(D173,Roster!$A$6:$A$108,0))="Assistant Principal",INDEX(Inputs!$B$12:$D$12,1,MATCH(A173,Inputs!$B$6:$D$6,0)),0))))</x:f>
        <x:v>0</x:v>
      </x:c>
      <x:c r="L173" s="20" t="n">
        <x:f>IF(INDEX(Roster!$D$6:$D$108,MATCH(D173,Roster!$A$6:$A$108,0))&gt;=25,INDEX(Inputs!$B$19:$D$19,1,MATCH(A173,Inputs!$B$6:$D$6,0)),IF(INDEX(Roster!$D$6:$D$108,MATCH(D173,Roster!$A$6:$A$108,0))&gt;=20,INDEX(Inputs!$B$18:$D$18,1,MATCH(A173,Inputs!$B$6:$D$6,0)),IF(INDEX(Roster!$D$6:$D$108,MATCH(D173,Roster!$A$6:$A$108,0))&gt;=15,INDEX(Inputs!$B$17:$D$17,1,MATCH(A173,Inputs!$B$6:$D$6,0)),IF(INDEX(Roster!$D$6:$D$108,MATCH(D173,Roster!$A$6:$A$108,0))&gt;=10,INDEX(Inputs!$B$16:$D$16,1,MATCH(A173,Inputs!$B$6:$D$6,0)),IF(INDEX(Roster!$D$6:$D$108,MATCH(D173,Roster!$A$6:$A$108,0))&gt;=5,INDEX(Inputs!$B$15:$D$15,1,MATCH(A173,Inputs!$B$6:$D$6,0)),0)))))</x:f>
        <x:v>50</x:v>
      </x:c>
      <x:c r="M173" s="20" t="n">
        <x:f>G173*I173</x:f>
        <x:v>31135</x:v>
      </x:c>
      <x:c r="N173" s="20" t="n">
        <x:f>G173*J173</x:f>
        <x:v>19500</x:v>
      </x:c>
      <x:c r="O173" s="20" t="n">
        <x:f>G173*K173</x:f>
        <x:v>0</x:v>
      </x:c>
      <x:c r="P173" s="20" t="n">
        <x:f>G173*L173</x:f>
        <x:v>650</x:v>
      </x:c>
      <x:c r="Q173" s="20" t="n">
        <x:f>H173*INDEX(Inputs!$B$13:$D$13,1,MATCH(A173,Inputs!$B$6:$D$6,0))</x:f>
        <x:v>0</x:v>
      </x:c>
      <x:c r="R173" s="20" t="n">
        <x:f>SUM(M173:Q173)</x:f>
        <x:v>51285</x:v>
      </x:c>
      <x:c r="S173" s="20" t="n">
        <x:f>IF(AND(A172=A173,D172=D173),S172+R173,R173)</x:f>
        <x:v>206310</x:v>
      </x:c>
      <x:c r="T173" s="20" t="n">
        <x:f>MIN(S173,INDEX(Inputs!$B$20:$D$20,1,MATCH(A173,Inputs!$B$6:$D$6,0)))*INDEX(Inputs!$B$22:$D$22,1,MATCH(A173,Inputs!$B$6:$D$6,0))+MAX(MIN(S173,INDEX(Inputs!$B$21:$D$21,1,MATCH(A173,Inputs!$B$6:$D$6,0)))-INDEX(Inputs!$B$20:$D$20,1,MATCH(A173,Inputs!$B$6:$D$6,0)),0)*INDEX(Inputs!$B$23:$D$23,1,MATCH(A173,Inputs!$B$6:$D$6,0))+MAX(S173-INDEX(Inputs!$B$21:$D$21,1,MATCH(A173,Inputs!$B$6:$D$6,0)),0)*INDEX(Inputs!$B$24:$D$24,1,MATCH(A173,Inputs!$B$6:$D$6,0))</x:f>
        <x:v>10905.437</x:v>
      </x:c>
      <x:c r="U173" s="20" t="n">
        <x:f>IF(AND(A172=A173,D172=D173),T172,0)</x:f>
        <x:v>10161.8045</x:v>
      </x:c>
      <x:c r="V173" s="20" t="n">
        <x:f>T173-U173</x:f>
        <x:v>743.6324999999997</x:v>
      </x:c>
      <x:c r="W173" s="20" t="n">
        <x:f>R173+V173</x:f>
        <x:v>52028.6325</x:v>
      </x:c>
      <x:c r="X173" s="14" t="str">
        <x:f>IF(ABS(W173-SUM(M173:Q173)-V173)&lt;0.01,"OK","Check")</x:f>
        <x:v>OK</x:v>
      </x:c>
    </x:row>
    <x:row r="174">
      <x:c r="A174" s="14" t="n">
        <x:v>2026</x:v>
      </x:c>
      <x:c r="B174" s="14" t="str">
        <x:v>Q1</x:v>
      </x:c>
      <x:c r="C174" s="14" t="n">
        <x:v>1</x:v>
      </x:c>
      <x:c r="D174" s="14" t="n">
        <x:v>43</x:v>
      </x:c>
      <x:c r="E174" s="14" t="str">
        <x:f>INDEX(Roster!$B$6:$B$108,MATCH(D174,Roster!$A$6:$A$108,0))</x:f>
      </x:c>
      <x:c r="F174" s="14" t="str">
        <x:f>INDEX(Roster!$F$6:$F$108,MATCH(D174,Roster!$A$6:$A$108,0))</x:f>
        <x:v>No</x:v>
      </x:c>
      <x:c r="G174" s="14" t="n">
        <x:f>INDEX(Inputs!$B$7:$D$7,1,MATCH(A174,Inputs!$B$6:$D$6,0))</x:f>
        <x:v>13</x:v>
      </x:c>
      <x:c r="H174" s="14" t="n">
        <x:f>MIN(=INDEX(Inputs!$B$7:$D$7,1,MATCH(A174,Inputs!$B$6:$D$6,0)),MAX(0,INDEX(Inputs!$B$14:$D$14,1,MATCH(A174,Inputs!$B$6:$D$6,0))-(C174-1)*=INDEX(Inputs!$B$7:$D$7,1,MATCH(A174,Inputs!$B$6:$D$6,0))))</x:f>
        <x:v>13</x:v>
      </x:c>
      <x:c r="I174" s="20" t="n">
        <x:f>INDEX(Inputs!$B$8:$D$8,1,MATCH(A174,Inputs!$B$6:$D$6,0))</x:f>
        <x:v>2395</x:v>
      </x:c>
      <x:c r="J174" s="20" t="n">
        <x:f>INDEX(Roster!$C$6:$C$108,MATCH(D174,Roster!$A$6:$A$108,0))*(1+INDEX(Inputs!$B$9:$D$9,1,MATCH(A174,Inputs!$B$6:$D$6,0)))</x:f>
        <x:v>20</x:v>
      </x:c>
      <x:c r="K174" s="20" t="n">
        <x:f>IF(=INDEX(Roster!$F$6:$F$108,MATCH(D174,Roster!$A$6:$A$108,0))="Yes",0,=INDEX(Inputs!$B$8:$D$8,1,MATCH(A174,Inputs!$B$6:$D$6,0))*IF(=INDEX(Roster!$B$6:$B$108,MATCH(D174,Roster!$A$6:$A$108,0))="Principal",INDEX(Inputs!$B$10:$D$10,1,MATCH(A174,Inputs!$B$6:$D$6,0)),IF(=INDEX(Roster!$B$6:$B$108,MATCH(D174,Roster!$A$6:$A$108,0))="Associate Principal",INDEX(Inputs!$B$11:$D$11,1,MATCH(A174,Inputs!$B$6:$D$6,0)),IF(=INDEX(Roster!$B$6:$B$108,MATCH(D174,Roster!$A$6:$A$108,0))="Assistant Principal",INDEX(Inputs!$B$12:$D$12,1,MATCH(A174,Inputs!$B$6:$D$6,0)),0))))</x:f>
        <x:v>0</x:v>
      </x:c>
      <x:c r="L174" s="20" t="n">
        <x:f>IF(INDEX(Roster!$D$6:$D$108,MATCH(D174,Roster!$A$6:$A$108,0))&gt;=25,INDEX(Inputs!$B$19:$D$19,1,MATCH(A174,Inputs!$B$6:$D$6,0)),IF(INDEX(Roster!$D$6:$D$108,MATCH(D174,Roster!$A$6:$A$108,0))&gt;=20,INDEX(Inputs!$B$18:$D$18,1,MATCH(A174,Inputs!$B$6:$D$6,0)),IF(INDEX(Roster!$D$6:$D$108,MATCH(D174,Roster!$A$6:$A$108,0))&gt;=15,INDEX(Inputs!$B$17:$D$17,1,MATCH(A174,Inputs!$B$6:$D$6,0)),IF(INDEX(Roster!$D$6:$D$108,MATCH(D174,Roster!$A$6:$A$108,0))&gt;=10,INDEX(Inputs!$B$16:$D$16,1,MATCH(A174,Inputs!$B$6:$D$6,0)),IF(INDEX(Roster!$D$6:$D$108,MATCH(D174,Roster!$A$6:$A$108,0))&gt;=5,INDEX(Inputs!$B$15:$D$15,1,MATCH(A174,Inputs!$B$6:$D$6,0)),0)))))</x:f>
        <x:v>50</x:v>
      </x:c>
      <x:c r="M174" s="20" t="n">
        <x:f>G174*I174</x:f>
        <x:v>31135</x:v>
      </x:c>
      <x:c r="N174" s="20" t="n">
        <x:f>G174*J174</x:f>
        <x:v>260</x:v>
      </x:c>
      <x:c r="O174" s="20" t="n">
        <x:f>G174*K174</x:f>
        <x:v>0</x:v>
      </x:c>
      <x:c r="P174" s="20" t="n">
        <x:f>G174*L174</x:f>
        <x:v>650</x:v>
      </x:c>
      <x:c r="Q174" s="20" t="n">
        <x:f>H174*INDEX(Inputs!$B$13:$D$13,1,MATCH(A174,Inputs!$B$6:$D$6,0))</x:f>
        <x:v>390</x:v>
      </x:c>
      <x:c r="R174" s="20" t="n">
        <x:f>SUM(M174:Q174)</x:f>
        <x:v>32435</x:v>
      </x:c>
      <x:c r="S174" s="20" t="n">
        <x:f>IF(AND(A173=A174,D173=D174),S173+R174,R174)</x:f>
        <x:v>32435</x:v>
      </x:c>
      <x:c r="T174" s="20" t="n">
        <x:f>MIN(S174,INDEX(Inputs!$B$20:$D$20,1,MATCH(A174,Inputs!$B$6:$D$6,0)))*INDEX(Inputs!$B$22:$D$22,1,MATCH(A174,Inputs!$B$6:$D$6,0))+MAX(MIN(S174,INDEX(Inputs!$B$21:$D$21,1,MATCH(A174,Inputs!$B$6:$D$6,0)))-INDEX(Inputs!$B$20:$D$20,1,MATCH(A174,Inputs!$B$6:$D$6,0)),0)*INDEX(Inputs!$B$23:$D$23,1,MATCH(A174,Inputs!$B$6:$D$6,0))+MAX(S174-INDEX(Inputs!$B$21:$D$21,1,MATCH(A174,Inputs!$B$6:$D$6,0)),0)*INDEX(Inputs!$B$24:$D$24,1,MATCH(A174,Inputs!$B$6:$D$6,0))</x:f>
        <x:v>2971.2775</x:v>
      </x:c>
      <x:c r="U174" s="20" t="n">
        <x:f>IF(AND(A173=A174,D173=D174),T173,0)</x:f>
        <x:v>0</x:v>
      </x:c>
      <x:c r="V174" s="20" t="n">
        <x:f>T174-U174</x:f>
        <x:v>2971.2775</x:v>
      </x:c>
      <x:c r="W174" s="20" t="n">
        <x:f>R174+V174</x:f>
        <x:v>35406.2775</x:v>
      </x:c>
      <x:c r="X174" s="14" t="str">
        <x:f>IF(ABS(W174-SUM(M174:Q174)-V174)&lt;0.01,"OK","Check")</x:f>
        <x:v>OK</x:v>
      </x:c>
    </x:row>
    <x:row r="175">
      <x:c r="A175" s="14" t="n">
        <x:v>2026</x:v>
      </x:c>
      <x:c r="B175" s="14" t="str">
        <x:v>Q2</x:v>
      </x:c>
      <x:c r="C175" s="14" t="n">
        <x:v>2</x:v>
      </x:c>
      <x:c r="D175" s="14" t="n">
        <x:v>43</x:v>
      </x:c>
      <x:c r="E175" s="14" t="str">
        <x:f>INDEX(Roster!$B$6:$B$108,MATCH(D175,Roster!$A$6:$A$108,0))</x:f>
      </x:c>
      <x:c r="F175" s="14" t="str">
        <x:f>INDEX(Roster!$F$6:$F$108,MATCH(D175,Roster!$A$6:$A$108,0))</x:f>
        <x:v>No</x:v>
      </x:c>
      <x:c r="G175" s="14" t="n">
        <x:f>INDEX(Inputs!$B$7:$D$7,1,MATCH(A175,Inputs!$B$6:$D$6,0))</x:f>
        <x:v>13</x:v>
      </x:c>
      <x:c r="H175" s="14" t="n">
        <x:f>MIN(=INDEX(Inputs!$B$7:$D$7,1,MATCH(A175,Inputs!$B$6:$D$6,0)),MAX(0,INDEX(Inputs!$B$14:$D$14,1,MATCH(A175,Inputs!$B$6:$D$6,0))-(C175-1)*=INDEX(Inputs!$B$7:$D$7,1,MATCH(A175,Inputs!$B$6:$D$6,0))))</x:f>
        <x:v>13</x:v>
      </x:c>
      <x:c r="I175" s="20" t="n">
        <x:f>INDEX(Inputs!$B$8:$D$8,1,MATCH(A175,Inputs!$B$6:$D$6,0))</x:f>
        <x:v>2395</x:v>
      </x:c>
      <x:c r="J175" s="20" t="n">
        <x:f>INDEX(Roster!$C$6:$C$108,MATCH(D175,Roster!$A$6:$A$108,0))*(1+INDEX(Inputs!$B$9:$D$9,1,MATCH(A175,Inputs!$B$6:$D$6,0)))</x:f>
        <x:v>20</x:v>
      </x:c>
      <x:c r="K175" s="20" t="n">
        <x:f>IF(=INDEX(Roster!$F$6:$F$108,MATCH(D175,Roster!$A$6:$A$108,0))="Yes",0,=INDEX(Inputs!$B$8:$D$8,1,MATCH(A175,Inputs!$B$6:$D$6,0))*IF(=INDEX(Roster!$B$6:$B$108,MATCH(D175,Roster!$A$6:$A$108,0))="Principal",INDEX(Inputs!$B$10:$D$10,1,MATCH(A175,Inputs!$B$6:$D$6,0)),IF(=INDEX(Roster!$B$6:$B$108,MATCH(D175,Roster!$A$6:$A$108,0))="Associate Principal",INDEX(Inputs!$B$11:$D$11,1,MATCH(A175,Inputs!$B$6:$D$6,0)),IF(=INDEX(Roster!$B$6:$B$108,MATCH(D175,Roster!$A$6:$A$108,0))="Assistant Principal",INDEX(Inputs!$B$12:$D$12,1,MATCH(A175,Inputs!$B$6:$D$6,0)),0))))</x:f>
        <x:v>0</x:v>
      </x:c>
      <x:c r="L175" s="20" t="n">
        <x:f>IF(INDEX(Roster!$D$6:$D$108,MATCH(D175,Roster!$A$6:$A$108,0))&gt;=25,INDEX(Inputs!$B$19:$D$19,1,MATCH(A175,Inputs!$B$6:$D$6,0)),IF(INDEX(Roster!$D$6:$D$108,MATCH(D175,Roster!$A$6:$A$108,0))&gt;=20,INDEX(Inputs!$B$18:$D$18,1,MATCH(A175,Inputs!$B$6:$D$6,0)),IF(INDEX(Roster!$D$6:$D$108,MATCH(D175,Roster!$A$6:$A$108,0))&gt;=15,INDEX(Inputs!$B$17:$D$17,1,MATCH(A175,Inputs!$B$6:$D$6,0)),IF(INDEX(Roster!$D$6:$D$108,MATCH(D175,Roster!$A$6:$A$108,0))&gt;=10,INDEX(Inputs!$B$16:$D$16,1,MATCH(A175,Inputs!$B$6:$D$6,0)),IF(INDEX(Roster!$D$6:$D$108,MATCH(D175,Roster!$A$6:$A$108,0))&gt;=5,INDEX(Inputs!$B$15:$D$15,1,MATCH(A175,Inputs!$B$6:$D$6,0)),0)))))</x:f>
        <x:v>50</x:v>
      </x:c>
      <x:c r="M175" s="20" t="n">
        <x:f>G175*I175</x:f>
        <x:v>31135</x:v>
      </x:c>
      <x:c r="N175" s="20" t="n">
        <x:f>G175*J175</x:f>
        <x:v>260</x:v>
      </x:c>
      <x:c r="O175" s="20" t="n">
        <x:f>G175*K175</x:f>
        <x:v>0</x:v>
      </x:c>
      <x:c r="P175" s="20" t="n">
        <x:f>G175*L175</x:f>
        <x:v>650</x:v>
      </x:c>
      <x:c r="Q175" s="20" t="n">
        <x:f>H175*INDEX(Inputs!$B$13:$D$13,1,MATCH(A175,Inputs!$B$6:$D$6,0))</x:f>
        <x:v>390</x:v>
      </x:c>
      <x:c r="R175" s="20" t="n">
        <x:f>SUM(M175:Q175)</x:f>
        <x:v>32435</x:v>
      </x:c>
      <x:c r="S175" s="20" t="n">
        <x:f>IF(AND(A174=A175,D174=D175),S174+R175,R175)</x:f>
        <x:v>64870</x:v>
      </x:c>
      <x:c r="T175" s="20" t="n">
        <x:f>MIN(S175,INDEX(Inputs!$B$20:$D$20,1,MATCH(A175,Inputs!$B$6:$D$6,0)))*INDEX(Inputs!$B$22:$D$22,1,MATCH(A175,Inputs!$B$6:$D$6,0))+MAX(MIN(S175,INDEX(Inputs!$B$21:$D$21,1,MATCH(A175,Inputs!$B$6:$D$6,0)))-INDEX(Inputs!$B$20:$D$20,1,MATCH(A175,Inputs!$B$6:$D$6,0)),0)*INDEX(Inputs!$B$23:$D$23,1,MATCH(A175,Inputs!$B$6:$D$6,0))+MAX(S175-INDEX(Inputs!$B$21:$D$21,1,MATCH(A175,Inputs!$B$6:$D$6,0)),0)*INDEX(Inputs!$B$24:$D$24,1,MATCH(A175,Inputs!$B$6:$D$6,0))</x:f>
        <x:v>5452.555</x:v>
      </x:c>
      <x:c r="U175" s="20" t="n">
        <x:f>IF(AND(A174=A175,D174=D175),T174,0)</x:f>
        <x:v>2971.2775</x:v>
      </x:c>
      <x:c r="V175" s="20" t="n">
        <x:f>T175-U175</x:f>
        <x:v>2481.2775</x:v>
      </x:c>
      <x:c r="W175" s="20" t="n">
        <x:f>R175+V175</x:f>
        <x:v>34916.2775</x:v>
      </x:c>
      <x:c r="X175" s="14" t="str">
        <x:f>IF(ABS(W175-SUM(M175:Q175)-V175)&lt;0.01,"OK","Check")</x:f>
        <x:v>OK</x:v>
      </x:c>
    </x:row>
    <x:row r="176">
      <x:c r="A176" s="14" t="n">
        <x:v>2026</x:v>
      </x:c>
      <x:c r="B176" s="14" t="str">
        <x:v>Q3</x:v>
      </x:c>
      <x:c r="C176" s="14" t="n">
        <x:v>3</x:v>
      </x:c>
      <x:c r="D176" s="14" t="n">
        <x:v>43</x:v>
      </x:c>
      <x:c r="E176" s="14" t="str">
        <x:f>INDEX(Roster!$B$6:$B$108,MATCH(D176,Roster!$A$6:$A$108,0))</x:f>
      </x:c>
      <x:c r="F176" s="14" t="str">
        <x:f>INDEX(Roster!$F$6:$F$108,MATCH(D176,Roster!$A$6:$A$108,0))</x:f>
        <x:v>No</x:v>
      </x:c>
      <x:c r="G176" s="14" t="n">
        <x:f>INDEX(Inputs!$B$7:$D$7,1,MATCH(A176,Inputs!$B$6:$D$6,0))</x:f>
        <x:v>13</x:v>
      </x:c>
      <x:c r="H176" s="14" t="n">
        <x:f>MIN(=INDEX(Inputs!$B$7:$D$7,1,MATCH(A176,Inputs!$B$6:$D$6,0)),MAX(0,INDEX(Inputs!$B$14:$D$14,1,MATCH(A176,Inputs!$B$6:$D$6,0))-(C176-1)*=INDEX(Inputs!$B$7:$D$7,1,MATCH(A176,Inputs!$B$6:$D$6,0))))</x:f>
        <x:v>13</x:v>
      </x:c>
      <x:c r="I176" s="20" t="n">
        <x:f>INDEX(Inputs!$B$8:$D$8,1,MATCH(A176,Inputs!$B$6:$D$6,0))</x:f>
        <x:v>2395</x:v>
      </x:c>
      <x:c r="J176" s="20" t="n">
        <x:f>INDEX(Roster!$C$6:$C$108,MATCH(D176,Roster!$A$6:$A$108,0))*(1+INDEX(Inputs!$B$9:$D$9,1,MATCH(A176,Inputs!$B$6:$D$6,0)))</x:f>
        <x:v>20</x:v>
      </x:c>
      <x:c r="K176" s="20" t="n">
        <x:f>IF(=INDEX(Roster!$F$6:$F$108,MATCH(D176,Roster!$A$6:$A$108,0))="Yes",0,=INDEX(Inputs!$B$8:$D$8,1,MATCH(A176,Inputs!$B$6:$D$6,0))*IF(=INDEX(Roster!$B$6:$B$108,MATCH(D176,Roster!$A$6:$A$108,0))="Principal",INDEX(Inputs!$B$10:$D$10,1,MATCH(A176,Inputs!$B$6:$D$6,0)),IF(=INDEX(Roster!$B$6:$B$108,MATCH(D176,Roster!$A$6:$A$108,0))="Associate Principal",INDEX(Inputs!$B$11:$D$11,1,MATCH(A176,Inputs!$B$6:$D$6,0)),IF(=INDEX(Roster!$B$6:$B$108,MATCH(D176,Roster!$A$6:$A$108,0))="Assistant Principal",INDEX(Inputs!$B$12:$D$12,1,MATCH(A176,Inputs!$B$6:$D$6,0)),0))))</x:f>
        <x:v>0</x:v>
      </x:c>
      <x:c r="L176" s="20" t="n">
        <x:f>IF(INDEX(Roster!$D$6:$D$108,MATCH(D176,Roster!$A$6:$A$108,0))&gt;=25,INDEX(Inputs!$B$19:$D$19,1,MATCH(A176,Inputs!$B$6:$D$6,0)),IF(INDEX(Roster!$D$6:$D$108,MATCH(D176,Roster!$A$6:$A$108,0))&gt;=20,INDEX(Inputs!$B$18:$D$18,1,MATCH(A176,Inputs!$B$6:$D$6,0)),IF(INDEX(Roster!$D$6:$D$108,MATCH(D176,Roster!$A$6:$A$108,0))&gt;=15,INDEX(Inputs!$B$17:$D$17,1,MATCH(A176,Inputs!$B$6:$D$6,0)),IF(INDEX(Roster!$D$6:$D$108,MATCH(D176,Roster!$A$6:$A$108,0))&gt;=10,INDEX(Inputs!$B$16:$D$16,1,MATCH(A176,Inputs!$B$6:$D$6,0)),IF(INDEX(Roster!$D$6:$D$108,MATCH(D176,Roster!$A$6:$A$108,0))&gt;=5,INDEX(Inputs!$B$15:$D$15,1,MATCH(A176,Inputs!$B$6:$D$6,0)),0)))))</x:f>
        <x:v>50</x:v>
      </x:c>
      <x:c r="M176" s="20" t="n">
        <x:f>G176*I176</x:f>
        <x:v>31135</x:v>
      </x:c>
      <x:c r="N176" s="20" t="n">
        <x:f>G176*J176</x:f>
        <x:v>260</x:v>
      </x:c>
      <x:c r="O176" s="20" t="n">
        <x:f>G176*K176</x:f>
        <x:v>0</x:v>
      </x:c>
      <x:c r="P176" s="20" t="n">
        <x:f>G176*L176</x:f>
        <x:v>650</x:v>
      </x:c>
      <x:c r="Q176" s="20" t="n">
        <x:f>H176*INDEX(Inputs!$B$13:$D$13,1,MATCH(A176,Inputs!$B$6:$D$6,0))</x:f>
        <x:v>390</x:v>
      </x:c>
      <x:c r="R176" s="20" t="n">
        <x:f>SUM(M176:Q176)</x:f>
        <x:v>32435</x:v>
      </x:c>
      <x:c r="S176" s="20" t="n">
        <x:f>IF(AND(A175=A176,D175=D176),S175+R176,R176)</x:f>
        <x:v>97305</x:v>
      </x:c>
      <x:c r="T176" s="20" t="n">
        <x:f>MIN(S176,INDEX(Inputs!$B$20:$D$20,1,MATCH(A176,Inputs!$B$6:$D$6,0)))*INDEX(Inputs!$B$22:$D$22,1,MATCH(A176,Inputs!$B$6:$D$6,0))+MAX(MIN(S176,INDEX(Inputs!$B$21:$D$21,1,MATCH(A176,Inputs!$B$6:$D$6,0)))-INDEX(Inputs!$B$20:$D$20,1,MATCH(A176,Inputs!$B$6:$D$6,0)),0)*INDEX(Inputs!$B$23:$D$23,1,MATCH(A176,Inputs!$B$6:$D$6,0))+MAX(S176-INDEX(Inputs!$B$21:$D$21,1,MATCH(A176,Inputs!$B$6:$D$6,0)),0)*INDEX(Inputs!$B$24:$D$24,1,MATCH(A176,Inputs!$B$6:$D$6,0))</x:f>
        <x:v>7933.8324999999995</x:v>
      </x:c>
      <x:c r="U176" s="20" t="n">
        <x:f>IF(AND(A175=A176,D175=D176),T175,0)</x:f>
        <x:v>5452.555</x:v>
      </x:c>
      <x:c r="V176" s="20" t="n">
        <x:f>T176-U176</x:f>
        <x:v>2481.2774999999992</x:v>
      </x:c>
      <x:c r="W176" s="20" t="n">
        <x:f>R176+V176</x:f>
        <x:v>34916.2775</x:v>
      </x:c>
      <x:c r="X176" s="14" t="str">
        <x:f>IF(ABS(W176-SUM(M176:Q176)-V176)&lt;0.01,"OK","Check")</x:f>
        <x:v>OK</x:v>
      </x:c>
    </x:row>
    <x:row r="177">
      <x:c r="A177" s="14" t="n">
        <x:v>2026</x:v>
      </x:c>
      <x:c r="B177" s="14" t="str">
        <x:v>Q4</x:v>
      </x:c>
      <x:c r="C177" s="14" t="n">
        <x:v>4</x:v>
      </x:c>
      <x:c r="D177" s="14" t="n">
        <x:v>43</x:v>
      </x:c>
      <x:c r="E177" s="14" t="str">
        <x:f>INDEX(Roster!$B$6:$B$108,MATCH(D177,Roster!$A$6:$A$108,0))</x:f>
      </x:c>
      <x:c r="F177" s="14" t="str">
        <x:f>INDEX(Roster!$F$6:$F$108,MATCH(D177,Roster!$A$6:$A$108,0))</x:f>
        <x:v>No</x:v>
      </x:c>
      <x:c r="G177" s="14" t="n">
        <x:f>INDEX(Inputs!$B$7:$D$7,1,MATCH(A177,Inputs!$B$6:$D$6,0))</x:f>
        <x:v>13</x:v>
      </x:c>
      <x:c r="H177" s="14" t="n">
        <x:f>MIN(=INDEX(Inputs!$B$7:$D$7,1,MATCH(A177,Inputs!$B$6:$D$6,0)),MAX(0,INDEX(Inputs!$B$14:$D$14,1,MATCH(A177,Inputs!$B$6:$D$6,0))-(C177-1)*=INDEX(Inputs!$B$7:$D$7,1,MATCH(A177,Inputs!$B$6:$D$6,0))))</x:f>
        <x:v>0</x:v>
      </x:c>
      <x:c r="I177" s="20" t="n">
        <x:f>INDEX(Inputs!$B$8:$D$8,1,MATCH(A177,Inputs!$B$6:$D$6,0))</x:f>
        <x:v>2395</x:v>
      </x:c>
      <x:c r="J177" s="20" t="n">
        <x:f>INDEX(Roster!$C$6:$C$108,MATCH(D177,Roster!$A$6:$A$108,0))*(1+INDEX(Inputs!$B$9:$D$9,1,MATCH(A177,Inputs!$B$6:$D$6,0)))</x:f>
        <x:v>20</x:v>
      </x:c>
      <x:c r="K177" s="20" t="n">
        <x:f>IF(=INDEX(Roster!$F$6:$F$108,MATCH(D177,Roster!$A$6:$A$108,0))="Yes",0,=INDEX(Inputs!$B$8:$D$8,1,MATCH(A177,Inputs!$B$6:$D$6,0))*IF(=INDEX(Roster!$B$6:$B$108,MATCH(D177,Roster!$A$6:$A$108,0))="Principal",INDEX(Inputs!$B$10:$D$10,1,MATCH(A177,Inputs!$B$6:$D$6,0)),IF(=INDEX(Roster!$B$6:$B$108,MATCH(D177,Roster!$A$6:$A$108,0))="Associate Principal",INDEX(Inputs!$B$11:$D$11,1,MATCH(A177,Inputs!$B$6:$D$6,0)),IF(=INDEX(Roster!$B$6:$B$108,MATCH(D177,Roster!$A$6:$A$108,0))="Assistant Principal",INDEX(Inputs!$B$12:$D$12,1,MATCH(A177,Inputs!$B$6:$D$6,0)),0))))</x:f>
        <x:v>0</x:v>
      </x:c>
      <x:c r="L177" s="20" t="n">
        <x:f>IF(INDEX(Roster!$D$6:$D$108,MATCH(D177,Roster!$A$6:$A$108,0))&gt;=25,INDEX(Inputs!$B$19:$D$19,1,MATCH(A177,Inputs!$B$6:$D$6,0)),IF(INDEX(Roster!$D$6:$D$108,MATCH(D177,Roster!$A$6:$A$108,0))&gt;=20,INDEX(Inputs!$B$18:$D$18,1,MATCH(A177,Inputs!$B$6:$D$6,0)),IF(INDEX(Roster!$D$6:$D$108,MATCH(D177,Roster!$A$6:$A$108,0))&gt;=15,INDEX(Inputs!$B$17:$D$17,1,MATCH(A177,Inputs!$B$6:$D$6,0)),IF(INDEX(Roster!$D$6:$D$108,MATCH(D177,Roster!$A$6:$A$108,0))&gt;=10,INDEX(Inputs!$B$16:$D$16,1,MATCH(A177,Inputs!$B$6:$D$6,0)),IF(INDEX(Roster!$D$6:$D$108,MATCH(D177,Roster!$A$6:$A$108,0))&gt;=5,INDEX(Inputs!$B$15:$D$15,1,MATCH(A177,Inputs!$B$6:$D$6,0)),0)))))</x:f>
        <x:v>50</x:v>
      </x:c>
      <x:c r="M177" s="20" t="n">
        <x:f>G177*I177</x:f>
        <x:v>31135</x:v>
      </x:c>
      <x:c r="N177" s="20" t="n">
        <x:f>G177*J177</x:f>
        <x:v>260</x:v>
      </x:c>
      <x:c r="O177" s="20" t="n">
        <x:f>G177*K177</x:f>
        <x:v>0</x:v>
      </x:c>
      <x:c r="P177" s="20" t="n">
        <x:f>G177*L177</x:f>
        <x:v>650</x:v>
      </x:c>
      <x:c r="Q177" s="20" t="n">
        <x:f>H177*INDEX(Inputs!$B$13:$D$13,1,MATCH(A177,Inputs!$B$6:$D$6,0))</x:f>
        <x:v>0</x:v>
      </x:c>
      <x:c r="R177" s="20" t="n">
        <x:f>SUM(M177:Q177)</x:f>
        <x:v>32045</x:v>
      </x:c>
      <x:c r="S177" s="20" t="n">
        <x:f>IF(AND(A176=A177,D176=D177),S176+R177,R177)</x:f>
        <x:v>129350</x:v>
      </x:c>
      <x:c r="T177" s="20" t="n">
        <x:f>MIN(S177,INDEX(Inputs!$B$20:$D$20,1,MATCH(A177,Inputs!$B$6:$D$6,0)))*INDEX(Inputs!$B$22:$D$22,1,MATCH(A177,Inputs!$B$6:$D$6,0))+MAX(MIN(S177,INDEX(Inputs!$B$21:$D$21,1,MATCH(A177,Inputs!$B$6:$D$6,0)))-INDEX(Inputs!$B$20:$D$20,1,MATCH(A177,Inputs!$B$6:$D$6,0)),0)*INDEX(Inputs!$B$23:$D$23,1,MATCH(A177,Inputs!$B$6:$D$6,0))+MAX(S177-INDEX(Inputs!$B$21:$D$21,1,MATCH(A177,Inputs!$B$6:$D$6,0)),0)*INDEX(Inputs!$B$24:$D$24,1,MATCH(A177,Inputs!$B$6:$D$6,0))</x:f>
        <x:v>9789.517</x:v>
      </x:c>
      <x:c r="U177" s="20" t="n">
        <x:f>IF(AND(A176=A177,D176=D177),T176,0)</x:f>
        <x:v>7933.8324999999995</x:v>
      </x:c>
      <x:c r="V177" s="20" t="n">
        <x:f>T177-U177</x:f>
        <x:v>1855.6845000000003</x:v>
      </x:c>
      <x:c r="W177" s="20" t="n">
        <x:f>R177+V177</x:f>
        <x:v>33900.6845</x:v>
      </x:c>
      <x:c r="X177" s="14" t="str">
        <x:f>IF(ABS(W177-SUM(M177:Q177)-V177)&lt;0.01,"OK","Check")</x:f>
        <x:v>OK</x:v>
      </x:c>
    </x:row>
    <x:row r="178">
      <x:c r="A178" s="14" t="n">
        <x:v>2026</x:v>
      </x:c>
      <x:c r="B178" s="14" t="str">
        <x:v>Q1</x:v>
      </x:c>
      <x:c r="C178" s="14" t="n">
        <x:v>1</x:v>
      </x:c>
      <x:c r="D178" s="14" t="n">
        <x:v>44</x:v>
      </x:c>
      <x:c r="E178" s="14" t="str">
        <x:f>INDEX(Roster!$B$6:$B$108,MATCH(D178,Roster!$A$6:$A$108,0))</x:f>
      </x:c>
      <x:c r="F178" s="14" t="str">
        <x:f>INDEX(Roster!$F$6:$F$108,MATCH(D178,Roster!$A$6:$A$108,0))</x:f>
        <x:v>No</x:v>
      </x:c>
      <x:c r="G178" s="14" t="n">
        <x:f>INDEX(Inputs!$B$7:$D$7,1,MATCH(A178,Inputs!$B$6:$D$6,0))</x:f>
        <x:v>13</x:v>
      </x:c>
      <x:c r="H178" s="14" t="n">
        <x:f>MIN(=INDEX(Inputs!$B$7:$D$7,1,MATCH(A178,Inputs!$B$6:$D$6,0)),MAX(0,INDEX(Inputs!$B$14:$D$14,1,MATCH(A178,Inputs!$B$6:$D$6,0))-(C178-1)*=INDEX(Inputs!$B$7:$D$7,1,MATCH(A178,Inputs!$B$6:$D$6,0))))</x:f>
        <x:v>13</x:v>
      </x:c>
      <x:c r="I178" s="20" t="n">
        <x:f>INDEX(Inputs!$B$8:$D$8,1,MATCH(A178,Inputs!$B$6:$D$6,0))</x:f>
        <x:v>2395</x:v>
      </x:c>
      <x:c r="J178" s="20" t="n">
        <x:f>INDEX(Roster!$C$6:$C$108,MATCH(D178,Roster!$A$6:$A$108,0))*(1+INDEX(Inputs!$B$9:$D$9,1,MATCH(A178,Inputs!$B$6:$D$6,0)))</x:f>
        <x:v>35</x:v>
      </x:c>
      <x:c r="K178" s="20" t="n">
        <x:f>IF(=INDEX(Roster!$F$6:$F$108,MATCH(D178,Roster!$A$6:$A$108,0))="Yes",0,=INDEX(Inputs!$B$8:$D$8,1,MATCH(A178,Inputs!$B$6:$D$6,0))*IF(=INDEX(Roster!$B$6:$B$108,MATCH(D178,Roster!$A$6:$A$108,0))="Principal",INDEX(Inputs!$B$10:$D$10,1,MATCH(A178,Inputs!$B$6:$D$6,0)),IF(=INDEX(Roster!$B$6:$B$108,MATCH(D178,Roster!$A$6:$A$108,0))="Associate Principal",INDEX(Inputs!$B$11:$D$11,1,MATCH(A178,Inputs!$B$6:$D$6,0)),IF(=INDEX(Roster!$B$6:$B$108,MATCH(D178,Roster!$A$6:$A$108,0))="Assistant Principal",INDEX(Inputs!$B$12:$D$12,1,MATCH(A178,Inputs!$B$6:$D$6,0)),0))))</x:f>
        <x:v>0</x:v>
      </x:c>
      <x:c r="L178" s="20" t="n">
        <x:f>IF(INDEX(Roster!$D$6:$D$108,MATCH(D178,Roster!$A$6:$A$108,0))&gt;=25,INDEX(Inputs!$B$19:$D$19,1,MATCH(A178,Inputs!$B$6:$D$6,0)),IF(INDEX(Roster!$D$6:$D$108,MATCH(D178,Roster!$A$6:$A$108,0))&gt;=20,INDEX(Inputs!$B$18:$D$18,1,MATCH(A178,Inputs!$B$6:$D$6,0)),IF(INDEX(Roster!$D$6:$D$108,MATCH(D178,Roster!$A$6:$A$108,0))&gt;=15,INDEX(Inputs!$B$17:$D$17,1,MATCH(A178,Inputs!$B$6:$D$6,0)),IF(INDEX(Roster!$D$6:$D$108,MATCH(D178,Roster!$A$6:$A$108,0))&gt;=10,INDEX(Inputs!$B$16:$D$16,1,MATCH(A178,Inputs!$B$6:$D$6,0)),IF(INDEX(Roster!$D$6:$D$108,MATCH(D178,Roster!$A$6:$A$108,0))&gt;=5,INDEX(Inputs!$B$15:$D$15,1,MATCH(A178,Inputs!$B$6:$D$6,0)),0)))))</x:f>
        <x:v>70</x:v>
      </x:c>
      <x:c r="M178" s="20" t="n">
        <x:f>G178*I178</x:f>
        <x:v>31135</x:v>
      </x:c>
      <x:c r="N178" s="20" t="n">
        <x:f>G178*J178</x:f>
        <x:v>455</x:v>
      </x:c>
      <x:c r="O178" s="20" t="n">
        <x:f>G178*K178</x:f>
        <x:v>0</x:v>
      </x:c>
      <x:c r="P178" s="20" t="n">
        <x:f>G178*L178</x:f>
        <x:v>910</x:v>
      </x:c>
      <x:c r="Q178" s="20" t="n">
        <x:f>H178*INDEX(Inputs!$B$13:$D$13,1,MATCH(A178,Inputs!$B$6:$D$6,0))</x:f>
        <x:v>390</x:v>
      </x:c>
      <x:c r="R178" s="20" t="n">
        <x:f>SUM(M178:Q178)</x:f>
        <x:v>32890</x:v>
      </x:c>
      <x:c r="S178" s="20" t="n">
        <x:f>IF(AND(A177=A178,D177=D178),S177+R178,R178)</x:f>
        <x:v>32890</x:v>
      </x:c>
      <x:c r="T178" s="20" t="n">
        <x:f>MIN(S178,INDEX(Inputs!$B$20:$D$20,1,MATCH(A178,Inputs!$B$6:$D$6,0)))*INDEX(Inputs!$B$22:$D$22,1,MATCH(A178,Inputs!$B$6:$D$6,0))+MAX(MIN(S178,INDEX(Inputs!$B$21:$D$21,1,MATCH(A178,Inputs!$B$6:$D$6,0)))-INDEX(Inputs!$B$20:$D$20,1,MATCH(A178,Inputs!$B$6:$D$6,0)),0)*INDEX(Inputs!$B$23:$D$23,1,MATCH(A178,Inputs!$B$6:$D$6,0))+MAX(S178-INDEX(Inputs!$B$21:$D$21,1,MATCH(A178,Inputs!$B$6:$D$6,0)),0)*INDEX(Inputs!$B$24:$D$24,1,MATCH(A178,Inputs!$B$6:$D$6,0))</x:f>
        <x:v>3006.085</x:v>
      </x:c>
      <x:c r="U178" s="20" t="n">
        <x:f>IF(AND(A177=A178,D177=D178),T177,0)</x:f>
        <x:v>0</x:v>
      </x:c>
      <x:c r="V178" s="20" t="n">
        <x:f>T178-U178</x:f>
        <x:v>3006.085</x:v>
      </x:c>
      <x:c r="W178" s="20" t="n">
        <x:f>R178+V178</x:f>
        <x:v>35896.085</x:v>
      </x:c>
      <x:c r="X178" s="14" t="str">
        <x:f>IF(ABS(W178-SUM(M178:Q178)-V178)&lt;0.01,"OK","Check")</x:f>
        <x:v>OK</x:v>
      </x:c>
    </x:row>
    <x:row r="179">
      <x:c r="A179" s="14" t="n">
        <x:v>2026</x:v>
      </x:c>
      <x:c r="B179" s="14" t="str">
        <x:v>Q2</x:v>
      </x:c>
      <x:c r="C179" s="14" t="n">
        <x:v>2</x:v>
      </x:c>
      <x:c r="D179" s="14" t="n">
        <x:v>44</x:v>
      </x:c>
      <x:c r="E179" s="14" t="str">
        <x:f>INDEX(Roster!$B$6:$B$108,MATCH(D179,Roster!$A$6:$A$108,0))</x:f>
      </x:c>
      <x:c r="F179" s="14" t="str">
        <x:f>INDEX(Roster!$F$6:$F$108,MATCH(D179,Roster!$A$6:$A$108,0))</x:f>
        <x:v>No</x:v>
      </x:c>
      <x:c r="G179" s="14" t="n">
        <x:f>INDEX(Inputs!$B$7:$D$7,1,MATCH(A179,Inputs!$B$6:$D$6,0))</x:f>
        <x:v>13</x:v>
      </x:c>
      <x:c r="H179" s="14" t="n">
        <x:f>MIN(=INDEX(Inputs!$B$7:$D$7,1,MATCH(A179,Inputs!$B$6:$D$6,0)),MAX(0,INDEX(Inputs!$B$14:$D$14,1,MATCH(A179,Inputs!$B$6:$D$6,0))-(C179-1)*=INDEX(Inputs!$B$7:$D$7,1,MATCH(A179,Inputs!$B$6:$D$6,0))))</x:f>
        <x:v>13</x:v>
      </x:c>
      <x:c r="I179" s="20" t="n">
        <x:f>INDEX(Inputs!$B$8:$D$8,1,MATCH(A179,Inputs!$B$6:$D$6,0))</x:f>
        <x:v>2395</x:v>
      </x:c>
      <x:c r="J179" s="20" t="n">
        <x:f>INDEX(Roster!$C$6:$C$108,MATCH(D179,Roster!$A$6:$A$108,0))*(1+INDEX(Inputs!$B$9:$D$9,1,MATCH(A179,Inputs!$B$6:$D$6,0)))</x:f>
        <x:v>35</x:v>
      </x:c>
      <x:c r="K179" s="20" t="n">
        <x:f>IF(=INDEX(Roster!$F$6:$F$108,MATCH(D179,Roster!$A$6:$A$108,0))="Yes",0,=INDEX(Inputs!$B$8:$D$8,1,MATCH(A179,Inputs!$B$6:$D$6,0))*IF(=INDEX(Roster!$B$6:$B$108,MATCH(D179,Roster!$A$6:$A$108,0))="Principal",INDEX(Inputs!$B$10:$D$10,1,MATCH(A179,Inputs!$B$6:$D$6,0)),IF(=INDEX(Roster!$B$6:$B$108,MATCH(D179,Roster!$A$6:$A$108,0))="Associate Principal",INDEX(Inputs!$B$11:$D$11,1,MATCH(A179,Inputs!$B$6:$D$6,0)),IF(=INDEX(Roster!$B$6:$B$108,MATCH(D179,Roster!$A$6:$A$108,0))="Assistant Principal",INDEX(Inputs!$B$12:$D$12,1,MATCH(A179,Inputs!$B$6:$D$6,0)),0))))</x:f>
        <x:v>0</x:v>
      </x:c>
      <x:c r="L179" s="20" t="n">
        <x:f>IF(INDEX(Roster!$D$6:$D$108,MATCH(D179,Roster!$A$6:$A$108,0))&gt;=25,INDEX(Inputs!$B$19:$D$19,1,MATCH(A179,Inputs!$B$6:$D$6,0)),IF(INDEX(Roster!$D$6:$D$108,MATCH(D179,Roster!$A$6:$A$108,0))&gt;=20,INDEX(Inputs!$B$18:$D$18,1,MATCH(A179,Inputs!$B$6:$D$6,0)),IF(INDEX(Roster!$D$6:$D$108,MATCH(D179,Roster!$A$6:$A$108,0))&gt;=15,INDEX(Inputs!$B$17:$D$17,1,MATCH(A179,Inputs!$B$6:$D$6,0)),IF(INDEX(Roster!$D$6:$D$108,MATCH(D179,Roster!$A$6:$A$108,0))&gt;=10,INDEX(Inputs!$B$16:$D$16,1,MATCH(A179,Inputs!$B$6:$D$6,0)),IF(INDEX(Roster!$D$6:$D$108,MATCH(D179,Roster!$A$6:$A$108,0))&gt;=5,INDEX(Inputs!$B$15:$D$15,1,MATCH(A179,Inputs!$B$6:$D$6,0)),0)))))</x:f>
        <x:v>70</x:v>
      </x:c>
      <x:c r="M179" s="20" t="n">
        <x:f>G179*I179</x:f>
        <x:v>31135</x:v>
      </x:c>
      <x:c r="N179" s="20" t="n">
        <x:f>G179*J179</x:f>
        <x:v>455</x:v>
      </x:c>
      <x:c r="O179" s="20" t="n">
        <x:f>G179*K179</x:f>
        <x:v>0</x:v>
      </x:c>
      <x:c r="P179" s="20" t="n">
        <x:f>G179*L179</x:f>
        <x:v>910</x:v>
      </x:c>
      <x:c r="Q179" s="20" t="n">
        <x:f>H179*INDEX(Inputs!$B$13:$D$13,1,MATCH(A179,Inputs!$B$6:$D$6,0))</x:f>
        <x:v>390</x:v>
      </x:c>
      <x:c r="R179" s="20" t="n">
        <x:f>SUM(M179:Q179)</x:f>
        <x:v>32890</x:v>
      </x:c>
      <x:c r="S179" s="20" t="n">
        <x:f>IF(AND(A178=A179,D178=D179),S178+R179,R179)</x:f>
        <x:v>65780</x:v>
      </x:c>
      <x:c r="T179" s="20" t="n">
        <x:f>MIN(S179,INDEX(Inputs!$B$20:$D$20,1,MATCH(A179,Inputs!$B$6:$D$6,0)))*INDEX(Inputs!$B$22:$D$22,1,MATCH(A179,Inputs!$B$6:$D$6,0))+MAX(MIN(S179,INDEX(Inputs!$B$21:$D$21,1,MATCH(A179,Inputs!$B$6:$D$6,0)))-INDEX(Inputs!$B$20:$D$20,1,MATCH(A179,Inputs!$B$6:$D$6,0)),0)*INDEX(Inputs!$B$23:$D$23,1,MATCH(A179,Inputs!$B$6:$D$6,0))+MAX(S179-INDEX(Inputs!$B$21:$D$21,1,MATCH(A179,Inputs!$B$6:$D$6,0)),0)*INDEX(Inputs!$B$24:$D$24,1,MATCH(A179,Inputs!$B$6:$D$6,0))</x:f>
        <x:v>5522.17</x:v>
      </x:c>
      <x:c r="U179" s="20" t="n">
        <x:f>IF(AND(A178=A179,D178=D179),T178,0)</x:f>
        <x:v>3006.085</x:v>
      </x:c>
      <x:c r="V179" s="20" t="n">
        <x:f>T179-U179</x:f>
        <x:v>2516.085</x:v>
      </x:c>
      <x:c r="W179" s="20" t="n">
        <x:f>R179+V179</x:f>
        <x:v>35406.085</x:v>
      </x:c>
      <x:c r="X179" s="14" t="str">
        <x:f>IF(ABS(W179-SUM(M179:Q179)-V179)&lt;0.01,"OK","Check")</x:f>
        <x:v>OK</x:v>
      </x:c>
    </x:row>
    <x:row r="180">
      <x:c r="A180" s="14" t="n">
        <x:v>2026</x:v>
      </x:c>
      <x:c r="B180" s="14" t="str">
        <x:v>Q3</x:v>
      </x:c>
      <x:c r="C180" s="14" t="n">
        <x:v>3</x:v>
      </x:c>
      <x:c r="D180" s="14" t="n">
        <x:v>44</x:v>
      </x:c>
      <x:c r="E180" s="14" t="str">
        <x:f>INDEX(Roster!$B$6:$B$108,MATCH(D180,Roster!$A$6:$A$108,0))</x:f>
      </x:c>
      <x:c r="F180" s="14" t="str">
        <x:f>INDEX(Roster!$F$6:$F$108,MATCH(D180,Roster!$A$6:$A$108,0))</x:f>
        <x:v>No</x:v>
      </x:c>
      <x:c r="G180" s="14" t="n">
        <x:f>INDEX(Inputs!$B$7:$D$7,1,MATCH(A180,Inputs!$B$6:$D$6,0))</x:f>
        <x:v>13</x:v>
      </x:c>
      <x:c r="H180" s="14" t="n">
        <x:f>MIN(=INDEX(Inputs!$B$7:$D$7,1,MATCH(A180,Inputs!$B$6:$D$6,0)),MAX(0,INDEX(Inputs!$B$14:$D$14,1,MATCH(A180,Inputs!$B$6:$D$6,0))-(C180-1)*=INDEX(Inputs!$B$7:$D$7,1,MATCH(A180,Inputs!$B$6:$D$6,0))))</x:f>
        <x:v>13</x:v>
      </x:c>
      <x:c r="I180" s="20" t="n">
        <x:f>INDEX(Inputs!$B$8:$D$8,1,MATCH(A180,Inputs!$B$6:$D$6,0))</x:f>
        <x:v>2395</x:v>
      </x:c>
      <x:c r="J180" s="20" t="n">
        <x:f>INDEX(Roster!$C$6:$C$108,MATCH(D180,Roster!$A$6:$A$108,0))*(1+INDEX(Inputs!$B$9:$D$9,1,MATCH(A180,Inputs!$B$6:$D$6,0)))</x:f>
        <x:v>35</x:v>
      </x:c>
      <x:c r="K180" s="20" t="n">
        <x:f>IF(=INDEX(Roster!$F$6:$F$108,MATCH(D180,Roster!$A$6:$A$108,0))="Yes",0,=INDEX(Inputs!$B$8:$D$8,1,MATCH(A180,Inputs!$B$6:$D$6,0))*IF(=INDEX(Roster!$B$6:$B$108,MATCH(D180,Roster!$A$6:$A$108,0))="Principal",INDEX(Inputs!$B$10:$D$10,1,MATCH(A180,Inputs!$B$6:$D$6,0)),IF(=INDEX(Roster!$B$6:$B$108,MATCH(D180,Roster!$A$6:$A$108,0))="Associate Principal",INDEX(Inputs!$B$11:$D$11,1,MATCH(A180,Inputs!$B$6:$D$6,0)),IF(=INDEX(Roster!$B$6:$B$108,MATCH(D180,Roster!$A$6:$A$108,0))="Assistant Principal",INDEX(Inputs!$B$12:$D$12,1,MATCH(A180,Inputs!$B$6:$D$6,0)),0))))</x:f>
        <x:v>0</x:v>
      </x:c>
      <x:c r="L180" s="20" t="n">
        <x:f>IF(INDEX(Roster!$D$6:$D$108,MATCH(D180,Roster!$A$6:$A$108,0))&gt;=25,INDEX(Inputs!$B$19:$D$19,1,MATCH(A180,Inputs!$B$6:$D$6,0)),IF(INDEX(Roster!$D$6:$D$108,MATCH(D180,Roster!$A$6:$A$108,0))&gt;=20,INDEX(Inputs!$B$18:$D$18,1,MATCH(A180,Inputs!$B$6:$D$6,0)),IF(INDEX(Roster!$D$6:$D$108,MATCH(D180,Roster!$A$6:$A$108,0))&gt;=15,INDEX(Inputs!$B$17:$D$17,1,MATCH(A180,Inputs!$B$6:$D$6,0)),IF(INDEX(Roster!$D$6:$D$108,MATCH(D180,Roster!$A$6:$A$108,0))&gt;=10,INDEX(Inputs!$B$16:$D$16,1,MATCH(A180,Inputs!$B$6:$D$6,0)),IF(INDEX(Roster!$D$6:$D$108,MATCH(D180,Roster!$A$6:$A$108,0))&gt;=5,INDEX(Inputs!$B$15:$D$15,1,MATCH(A180,Inputs!$B$6:$D$6,0)),0)))))</x:f>
        <x:v>70</x:v>
      </x:c>
      <x:c r="M180" s="20" t="n">
        <x:f>G180*I180</x:f>
        <x:v>31135</x:v>
      </x:c>
      <x:c r="N180" s="20" t="n">
        <x:f>G180*J180</x:f>
        <x:v>455</x:v>
      </x:c>
      <x:c r="O180" s="20" t="n">
        <x:f>G180*K180</x:f>
        <x:v>0</x:v>
      </x:c>
      <x:c r="P180" s="20" t="n">
        <x:f>G180*L180</x:f>
        <x:v>910</x:v>
      </x:c>
      <x:c r="Q180" s="20" t="n">
        <x:f>H180*INDEX(Inputs!$B$13:$D$13,1,MATCH(A180,Inputs!$B$6:$D$6,0))</x:f>
        <x:v>390</x:v>
      </x:c>
      <x:c r="R180" s="20" t="n">
        <x:f>SUM(M180:Q180)</x:f>
        <x:v>32890</x:v>
      </x:c>
      <x:c r="S180" s="20" t="n">
        <x:f>IF(AND(A179=A180,D179=D180),S179+R180,R180)</x:f>
        <x:v>98670</x:v>
      </x:c>
      <x:c r="T180" s="20" t="n">
        <x:f>MIN(S180,INDEX(Inputs!$B$20:$D$20,1,MATCH(A180,Inputs!$B$6:$D$6,0)))*INDEX(Inputs!$B$22:$D$22,1,MATCH(A180,Inputs!$B$6:$D$6,0))+MAX(MIN(S180,INDEX(Inputs!$B$21:$D$21,1,MATCH(A180,Inputs!$B$6:$D$6,0)))-INDEX(Inputs!$B$20:$D$20,1,MATCH(A180,Inputs!$B$6:$D$6,0)),0)*INDEX(Inputs!$B$23:$D$23,1,MATCH(A180,Inputs!$B$6:$D$6,0))+MAX(S180-INDEX(Inputs!$B$21:$D$21,1,MATCH(A180,Inputs!$B$6:$D$6,0)),0)*INDEX(Inputs!$B$24:$D$24,1,MATCH(A180,Inputs!$B$6:$D$6,0))</x:f>
        <x:v>8038.255</x:v>
      </x:c>
      <x:c r="U180" s="20" t="n">
        <x:f>IF(AND(A179=A180,D179=D180),T179,0)</x:f>
        <x:v>5522.17</x:v>
      </x:c>
      <x:c r="V180" s="20" t="n">
        <x:f>T180-U180</x:f>
        <x:v>2516.085</x:v>
      </x:c>
      <x:c r="W180" s="20" t="n">
        <x:f>R180+V180</x:f>
        <x:v>35406.085</x:v>
      </x:c>
      <x:c r="X180" s="14" t="str">
        <x:f>IF(ABS(W180-SUM(M180:Q180)-V180)&lt;0.01,"OK","Check")</x:f>
        <x:v>OK</x:v>
      </x:c>
    </x:row>
    <x:row r="181">
      <x:c r="A181" s="14" t="n">
        <x:v>2026</x:v>
      </x:c>
      <x:c r="B181" s="14" t="str">
        <x:v>Q4</x:v>
      </x:c>
      <x:c r="C181" s="14" t="n">
        <x:v>4</x:v>
      </x:c>
      <x:c r="D181" s="14" t="n">
        <x:v>44</x:v>
      </x:c>
      <x:c r="E181" s="14" t="str">
        <x:f>INDEX(Roster!$B$6:$B$108,MATCH(D181,Roster!$A$6:$A$108,0))</x:f>
      </x:c>
      <x:c r="F181" s="14" t="str">
        <x:f>INDEX(Roster!$F$6:$F$108,MATCH(D181,Roster!$A$6:$A$108,0))</x:f>
        <x:v>No</x:v>
      </x:c>
      <x:c r="G181" s="14" t="n">
        <x:f>INDEX(Inputs!$B$7:$D$7,1,MATCH(A181,Inputs!$B$6:$D$6,0))</x:f>
        <x:v>13</x:v>
      </x:c>
      <x:c r="H181" s="14" t="n">
        <x:f>MIN(=INDEX(Inputs!$B$7:$D$7,1,MATCH(A181,Inputs!$B$6:$D$6,0)),MAX(0,INDEX(Inputs!$B$14:$D$14,1,MATCH(A181,Inputs!$B$6:$D$6,0))-(C181-1)*=INDEX(Inputs!$B$7:$D$7,1,MATCH(A181,Inputs!$B$6:$D$6,0))))</x:f>
        <x:v>0</x:v>
      </x:c>
      <x:c r="I181" s="20" t="n">
        <x:f>INDEX(Inputs!$B$8:$D$8,1,MATCH(A181,Inputs!$B$6:$D$6,0))</x:f>
        <x:v>2395</x:v>
      </x:c>
      <x:c r="J181" s="20" t="n">
        <x:f>INDEX(Roster!$C$6:$C$108,MATCH(D181,Roster!$A$6:$A$108,0))*(1+INDEX(Inputs!$B$9:$D$9,1,MATCH(A181,Inputs!$B$6:$D$6,0)))</x:f>
        <x:v>35</x:v>
      </x:c>
      <x:c r="K181" s="20" t="n">
        <x:f>IF(=INDEX(Roster!$F$6:$F$108,MATCH(D181,Roster!$A$6:$A$108,0))="Yes",0,=INDEX(Inputs!$B$8:$D$8,1,MATCH(A181,Inputs!$B$6:$D$6,0))*IF(=INDEX(Roster!$B$6:$B$108,MATCH(D181,Roster!$A$6:$A$108,0))="Principal",INDEX(Inputs!$B$10:$D$10,1,MATCH(A181,Inputs!$B$6:$D$6,0)),IF(=INDEX(Roster!$B$6:$B$108,MATCH(D181,Roster!$A$6:$A$108,0))="Associate Principal",INDEX(Inputs!$B$11:$D$11,1,MATCH(A181,Inputs!$B$6:$D$6,0)),IF(=INDEX(Roster!$B$6:$B$108,MATCH(D181,Roster!$A$6:$A$108,0))="Assistant Principal",INDEX(Inputs!$B$12:$D$12,1,MATCH(A181,Inputs!$B$6:$D$6,0)),0))))</x:f>
        <x:v>0</x:v>
      </x:c>
      <x:c r="L181" s="20" t="n">
        <x:f>IF(INDEX(Roster!$D$6:$D$108,MATCH(D181,Roster!$A$6:$A$108,0))&gt;=25,INDEX(Inputs!$B$19:$D$19,1,MATCH(A181,Inputs!$B$6:$D$6,0)),IF(INDEX(Roster!$D$6:$D$108,MATCH(D181,Roster!$A$6:$A$108,0))&gt;=20,INDEX(Inputs!$B$18:$D$18,1,MATCH(A181,Inputs!$B$6:$D$6,0)),IF(INDEX(Roster!$D$6:$D$108,MATCH(D181,Roster!$A$6:$A$108,0))&gt;=15,INDEX(Inputs!$B$17:$D$17,1,MATCH(A181,Inputs!$B$6:$D$6,0)),IF(INDEX(Roster!$D$6:$D$108,MATCH(D181,Roster!$A$6:$A$108,0))&gt;=10,INDEX(Inputs!$B$16:$D$16,1,MATCH(A181,Inputs!$B$6:$D$6,0)),IF(INDEX(Roster!$D$6:$D$108,MATCH(D181,Roster!$A$6:$A$108,0))&gt;=5,INDEX(Inputs!$B$15:$D$15,1,MATCH(A181,Inputs!$B$6:$D$6,0)),0)))))</x:f>
        <x:v>70</x:v>
      </x:c>
      <x:c r="M181" s="20" t="n">
        <x:f>G181*I181</x:f>
        <x:v>31135</x:v>
      </x:c>
      <x:c r="N181" s="20" t="n">
        <x:f>G181*J181</x:f>
        <x:v>455</x:v>
      </x:c>
      <x:c r="O181" s="20" t="n">
        <x:f>G181*K181</x:f>
        <x:v>0</x:v>
      </x:c>
      <x:c r="P181" s="20" t="n">
        <x:f>G181*L181</x:f>
        <x:v>910</x:v>
      </x:c>
      <x:c r="Q181" s="20" t="n">
        <x:f>H181*INDEX(Inputs!$B$13:$D$13,1,MATCH(A181,Inputs!$B$6:$D$6,0))</x:f>
        <x:v>0</x:v>
      </x:c>
      <x:c r="R181" s="20" t="n">
        <x:f>SUM(M181:Q181)</x:f>
        <x:v>32500</x:v>
      </x:c>
      <x:c r="S181" s="20" t="n">
        <x:f>IF(AND(A180=A181,D180=D181),S180+R181,R181)</x:f>
        <x:v>131170</x:v>
      </x:c>
      <x:c r="T181" s="20" t="n">
        <x:f>MIN(S181,INDEX(Inputs!$B$20:$D$20,1,MATCH(A181,Inputs!$B$6:$D$6,0)))*INDEX(Inputs!$B$22:$D$22,1,MATCH(A181,Inputs!$B$6:$D$6,0))+MAX(MIN(S181,INDEX(Inputs!$B$21:$D$21,1,MATCH(A181,Inputs!$B$6:$D$6,0)))-INDEX(Inputs!$B$20:$D$20,1,MATCH(A181,Inputs!$B$6:$D$6,0)),0)*INDEX(Inputs!$B$23:$D$23,1,MATCH(A181,Inputs!$B$6:$D$6,0))+MAX(S181-INDEX(Inputs!$B$21:$D$21,1,MATCH(A181,Inputs!$B$6:$D$6,0)),0)*INDEX(Inputs!$B$24:$D$24,1,MATCH(A181,Inputs!$B$6:$D$6,0))</x:f>
        <x:v>9815.907</x:v>
      </x:c>
      <x:c r="U181" s="20" t="n">
        <x:f>IF(AND(A180=A181,D180=D181),T180,0)</x:f>
        <x:v>8038.255</x:v>
      </x:c>
      <x:c r="V181" s="20" t="n">
        <x:f>T181-U181</x:f>
        <x:v>1777.6519999999991</x:v>
      </x:c>
      <x:c r="W181" s="20" t="n">
        <x:f>R181+V181</x:f>
        <x:v>34277.652</x:v>
      </x:c>
      <x:c r="X181" s="14" t="str">
        <x:f>IF(ABS(W181-SUM(M181:Q181)-V181)&lt;0.01,"OK","Check")</x:f>
        <x:v>OK</x:v>
      </x:c>
    </x:row>
    <x:row r="182">
      <x:c r="A182" s="14" t="n">
        <x:v>2026</x:v>
      </x:c>
      <x:c r="B182" s="14" t="str">
        <x:v>Q1</x:v>
      </x:c>
      <x:c r="C182" s="14" t="n">
        <x:v>1</x:v>
      </x:c>
      <x:c r="D182" s="14" t="n">
        <x:v>45</x:v>
      </x:c>
      <x:c r="E182" s="14" t="str">
        <x:f>INDEX(Roster!$B$6:$B$108,MATCH(D182,Roster!$A$6:$A$108,0))</x:f>
        <x:v>Principal</x:v>
      </x:c>
      <x:c r="F182" s="14" t="str">
        <x:f>INDEX(Roster!$F$6:$F$108,MATCH(D182,Roster!$A$6:$A$108,0))</x:f>
        <x:v>No</x:v>
      </x:c>
      <x:c r="G182" s="14" t="n">
        <x:f>INDEX(Inputs!$B$7:$D$7,1,MATCH(A182,Inputs!$B$6:$D$6,0))</x:f>
        <x:v>13</x:v>
      </x:c>
      <x:c r="H182" s="14" t="n">
        <x:f>MIN(=INDEX(Inputs!$B$7:$D$7,1,MATCH(A182,Inputs!$B$6:$D$6,0)),MAX(0,INDEX(Inputs!$B$14:$D$14,1,MATCH(A182,Inputs!$B$6:$D$6,0))-(C182-1)*=INDEX(Inputs!$B$7:$D$7,1,MATCH(A182,Inputs!$B$6:$D$6,0))))</x:f>
        <x:v>13</x:v>
      </x:c>
      <x:c r="I182" s="20" t="n">
        <x:f>INDEX(Inputs!$B$8:$D$8,1,MATCH(A182,Inputs!$B$6:$D$6,0))</x:f>
        <x:v>2395</x:v>
      </x:c>
      <x:c r="J182" s="20" t="n">
        <x:f>INDEX(Roster!$C$6:$C$108,MATCH(D182,Roster!$A$6:$A$108,0))*(1+INDEX(Inputs!$B$9:$D$9,1,MATCH(A182,Inputs!$B$6:$D$6,0)))</x:f>
        <x:v>1500</x:v>
      </x:c>
      <x:c r="K182" s="20" t="n">
        <x:f>IF(=INDEX(Roster!$F$6:$F$108,MATCH(D182,Roster!$A$6:$A$108,0))="Yes",0,=INDEX(Inputs!$B$8:$D$8,1,MATCH(A182,Inputs!$B$6:$D$6,0))*IF(=INDEX(Roster!$B$6:$B$108,MATCH(D182,Roster!$A$6:$A$108,0))="Principal",INDEX(Inputs!$B$10:$D$10,1,MATCH(A182,Inputs!$B$6:$D$6,0)),IF(=INDEX(Roster!$B$6:$B$108,MATCH(D182,Roster!$A$6:$A$108,0))="Associate Principal",INDEX(Inputs!$B$11:$D$11,1,MATCH(A182,Inputs!$B$6:$D$6,0)),IF(=INDEX(Roster!$B$6:$B$108,MATCH(D182,Roster!$A$6:$A$108,0))="Assistant Principal",INDEX(Inputs!$B$12:$D$12,1,MATCH(A182,Inputs!$B$6:$D$6,0)),0))))</x:f>
        <x:v>479</x:v>
      </x:c>
      <x:c r="L182" s="20" t="n">
        <x:f>IF(INDEX(Roster!$D$6:$D$108,MATCH(D182,Roster!$A$6:$A$108,0))&gt;=25,INDEX(Inputs!$B$19:$D$19,1,MATCH(A182,Inputs!$B$6:$D$6,0)),IF(INDEX(Roster!$D$6:$D$108,MATCH(D182,Roster!$A$6:$A$108,0))&gt;=20,INDEX(Inputs!$B$18:$D$18,1,MATCH(A182,Inputs!$B$6:$D$6,0)),IF(INDEX(Roster!$D$6:$D$108,MATCH(D182,Roster!$A$6:$A$108,0))&gt;=15,INDEX(Inputs!$B$17:$D$17,1,MATCH(A182,Inputs!$B$6:$D$6,0)),IF(INDEX(Roster!$D$6:$D$108,MATCH(D182,Roster!$A$6:$A$108,0))&gt;=10,INDEX(Inputs!$B$16:$D$16,1,MATCH(A182,Inputs!$B$6:$D$6,0)),IF(INDEX(Roster!$D$6:$D$108,MATCH(D182,Roster!$A$6:$A$108,0))&gt;=5,INDEX(Inputs!$B$15:$D$15,1,MATCH(A182,Inputs!$B$6:$D$6,0)),0)))))</x:f>
        <x:v>70</x:v>
      </x:c>
      <x:c r="M182" s="20" t="n">
        <x:f>G182*I182</x:f>
        <x:v>31135</x:v>
      </x:c>
      <x:c r="N182" s="20" t="n">
        <x:f>G182*J182</x:f>
        <x:v>19500</x:v>
      </x:c>
      <x:c r="O182" s="20" t="n">
        <x:f>G182*K182</x:f>
        <x:v>6227</x:v>
      </x:c>
      <x:c r="P182" s="20" t="n">
        <x:f>G182*L182</x:f>
        <x:v>910</x:v>
      </x:c>
      <x:c r="Q182" s="20" t="n">
        <x:f>H182*INDEX(Inputs!$B$13:$D$13,1,MATCH(A182,Inputs!$B$6:$D$6,0))</x:f>
        <x:v>390</x:v>
      </x:c>
      <x:c r="R182" s="20" t="n">
        <x:f>SUM(M182:Q182)</x:f>
        <x:v>58162</x:v>
      </x:c>
      <x:c r="S182" s="20" t="n">
        <x:f>IF(AND(A181=A182,D181=D182),S181+R182,R182)</x:f>
        <x:v>58162</x:v>
      </x:c>
      <x:c r="T182" s="20" t="n">
        <x:f>MIN(S182,INDEX(Inputs!$B$20:$D$20,1,MATCH(A182,Inputs!$B$6:$D$6,0)))*INDEX(Inputs!$B$22:$D$22,1,MATCH(A182,Inputs!$B$6:$D$6,0))+MAX(MIN(S182,INDEX(Inputs!$B$21:$D$21,1,MATCH(A182,Inputs!$B$6:$D$6,0)))-INDEX(Inputs!$B$20:$D$20,1,MATCH(A182,Inputs!$B$6:$D$6,0)),0)*INDEX(Inputs!$B$23:$D$23,1,MATCH(A182,Inputs!$B$6:$D$6,0))+MAX(S182-INDEX(Inputs!$B$21:$D$21,1,MATCH(A182,Inputs!$B$6:$D$6,0)),0)*INDEX(Inputs!$B$24:$D$24,1,MATCH(A182,Inputs!$B$6:$D$6,0))</x:f>
        <x:v>4939.393</x:v>
      </x:c>
      <x:c r="U182" s="20" t="n">
        <x:f>IF(AND(A181=A182,D181=D182),T181,0)</x:f>
        <x:v>0</x:v>
      </x:c>
      <x:c r="V182" s="20" t="n">
        <x:f>T182-U182</x:f>
        <x:v>4939.393</x:v>
      </x:c>
      <x:c r="W182" s="20" t="n">
        <x:f>R182+V182</x:f>
        <x:v>63101.393</x:v>
      </x:c>
      <x:c r="X182" s="14" t="str">
        <x:f>IF(ABS(W182-SUM(M182:Q182)-V182)&lt;0.01,"OK","Check")</x:f>
        <x:v>OK</x:v>
      </x:c>
    </x:row>
    <x:row r="183">
      <x:c r="A183" s="14" t="n">
        <x:v>2026</x:v>
      </x:c>
      <x:c r="B183" s="14" t="str">
        <x:v>Q2</x:v>
      </x:c>
      <x:c r="C183" s="14" t="n">
        <x:v>2</x:v>
      </x:c>
      <x:c r="D183" s="14" t="n">
        <x:v>45</x:v>
      </x:c>
      <x:c r="E183" s="14" t="str">
        <x:f>INDEX(Roster!$B$6:$B$108,MATCH(D183,Roster!$A$6:$A$108,0))</x:f>
        <x:v>Principal</x:v>
      </x:c>
      <x:c r="F183" s="14" t="str">
        <x:f>INDEX(Roster!$F$6:$F$108,MATCH(D183,Roster!$A$6:$A$108,0))</x:f>
        <x:v>No</x:v>
      </x:c>
      <x:c r="G183" s="14" t="n">
        <x:f>INDEX(Inputs!$B$7:$D$7,1,MATCH(A183,Inputs!$B$6:$D$6,0))</x:f>
        <x:v>13</x:v>
      </x:c>
      <x:c r="H183" s="14" t="n">
        <x:f>MIN(=INDEX(Inputs!$B$7:$D$7,1,MATCH(A183,Inputs!$B$6:$D$6,0)),MAX(0,INDEX(Inputs!$B$14:$D$14,1,MATCH(A183,Inputs!$B$6:$D$6,0))-(C183-1)*=INDEX(Inputs!$B$7:$D$7,1,MATCH(A183,Inputs!$B$6:$D$6,0))))</x:f>
        <x:v>13</x:v>
      </x:c>
      <x:c r="I183" s="20" t="n">
        <x:f>INDEX(Inputs!$B$8:$D$8,1,MATCH(A183,Inputs!$B$6:$D$6,0))</x:f>
        <x:v>2395</x:v>
      </x:c>
      <x:c r="J183" s="20" t="n">
        <x:f>INDEX(Roster!$C$6:$C$108,MATCH(D183,Roster!$A$6:$A$108,0))*(1+INDEX(Inputs!$B$9:$D$9,1,MATCH(A183,Inputs!$B$6:$D$6,0)))</x:f>
        <x:v>1500</x:v>
      </x:c>
      <x:c r="K183" s="20" t="n">
        <x:f>IF(=INDEX(Roster!$F$6:$F$108,MATCH(D183,Roster!$A$6:$A$108,0))="Yes",0,=INDEX(Inputs!$B$8:$D$8,1,MATCH(A183,Inputs!$B$6:$D$6,0))*IF(=INDEX(Roster!$B$6:$B$108,MATCH(D183,Roster!$A$6:$A$108,0))="Principal",INDEX(Inputs!$B$10:$D$10,1,MATCH(A183,Inputs!$B$6:$D$6,0)),IF(=INDEX(Roster!$B$6:$B$108,MATCH(D183,Roster!$A$6:$A$108,0))="Associate Principal",INDEX(Inputs!$B$11:$D$11,1,MATCH(A183,Inputs!$B$6:$D$6,0)),IF(=INDEX(Roster!$B$6:$B$108,MATCH(D183,Roster!$A$6:$A$108,0))="Assistant Principal",INDEX(Inputs!$B$12:$D$12,1,MATCH(A183,Inputs!$B$6:$D$6,0)),0))))</x:f>
        <x:v>479</x:v>
      </x:c>
      <x:c r="L183" s="20" t="n">
        <x:f>IF(INDEX(Roster!$D$6:$D$108,MATCH(D183,Roster!$A$6:$A$108,0))&gt;=25,INDEX(Inputs!$B$19:$D$19,1,MATCH(A183,Inputs!$B$6:$D$6,0)),IF(INDEX(Roster!$D$6:$D$108,MATCH(D183,Roster!$A$6:$A$108,0))&gt;=20,INDEX(Inputs!$B$18:$D$18,1,MATCH(A183,Inputs!$B$6:$D$6,0)),IF(INDEX(Roster!$D$6:$D$108,MATCH(D183,Roster!$A$6:$A$108,0))&gt;=15,INDEX(Inputs!$B$17:$D$17,1,MATCH(A183,Inputs!$B$6:$D$6,0)),IF(INDEX(Roster!$D$6:$D$108,MATCH(D183,Roster!$A$6:$A$108,0))&gt;=10,INDEX(Inputs!$B$16:$D$16,1,MATCH(A183,Inputs!$B$6:$D$6,0)),IF(INDEX(Roster!$D$6:$D$108,MATCH(D183,Roster!$A$6:$A$108,0))&gt;=5,INDEX(Inputs!$B$15:$D$15,1,MATCH(A183,Inputs!$B$6:$D$6,0)),0)))))</x:f>
        <x:v>70</x:v>
      </x:c>
      <x:c r="M183" s="20" t="n">
        <x:f>G183*I183</x:f>
        <x:v>31135</x:v>
      </x:c>
      <x:c r="N183" s="20" t="n">
        <x:f>G183*J183</x:f>
        <x:v>19500</x:v>
      </x:c>
      <x:c r="O183" s="20" t="n">
        <x:f>G183*K183</x:f>
        <x:v>6227</x:v>
      </x:c>
      <x:c r="P183" s="20" t="n">
        <x:f>G183*L183</x:f>
        <x:v>910</x:v>
      </x:c>
      <x:c r="Q183" s="20" t="n">
        <x:f>H183*INDEX(Inputs!$B$13:$D$13,1,MATCH(A183,Inputs!$B$6:$D$6,0))</x:f>
        <x:v>390</x:v>
      </x:c>
      <x:c r="R183" s="20" t="n">
        <x:f>SUM(M183:Q183)</x:f>
        <x:v>58162</x:v>
      </x:c>
      <x:c r="S183" s="20" t="n">
        <x:f>IF(AND(A182=A183,D182=D183),S182+R183,R183)</x:f>
        <x:v>116324</x:v>
      </x:c>
      <x:c r="T183" s="20" t="n">
        <x:f>MIN(S183,INDEX(Inputs!$B$20:$D$20,1,MATCH(A183,Inputs!$B$6:$D$6,0)))*INDEX(Inputs!$B$22:$D$22,1,MATCH(A183,Inputs!$B$6:$D$6,0))+MAX(MIN(S183,INDEX(Inputs!$B$21:$D$21,1,MATCH(A183,Inputs!$B$6:$D$6,0)))-INDEX(Inputs!$B$20:$D$20,1,MATCH(A183,Inputs!$B$6:$D$6,0)),0)*INDEX(Inputs!$B$23:$D$23,1,MATCH(A183,Inputs!$B$6:$D$6,0))+MAX(S183-INDEX(Inputs!$B$21:$D$21,1,MATCH(A183,Inputs!$B$6:$D$6,0)),0)*INDEX(Inputs!$B$24:$D$24,1,MATCH(A183,Inputs!$B$6:$D$6,0))</x:f>
        <x:v>9388.786</x:v>
      </x:c>
      <x:c r="U183" s="20" t="n">
        <x:f>IF(AND(A182=A183,D182=D183),T182,0)</x:f>
        <x:v>4939.393</x:v>
      </x:c>
      <x:c r="V183" s="20" t="n">
        <x:f>T183-U183</x:f>
        <x:v>4449.393</x:v>
      </x:c>
      <x:c r="W183" s="20" t="n">
        <x:f>R183+V183</x:f>
        <x:v>62611.393</x:v>
      </x:c>
      <x:c r="X183" s="14" t="str">
        <x:f>IF(ABS(W183-SUM(M183:Q183)-V183)&lt;0.01,"OK","Check")</x:f>
        <x:v>OK</x:v>
      </x:c>
    </x:row>
    <x:row r="184">
      <x:c r="A184" s="14" t="n">
        <x:v>2026</x:v>
      </x:c>
      <x:c r="B184" s="14" t="str">
        <x:v>Q3</x:v>
      </x:c>
      <x:c r="C184" s="14" t="n">
        <x:v>3</x:v>
      </x:c>
      <x:c r="D184" s="14" t="n">
        <x:v>45</x:v>
      </x:c>
      <x:c r="E184" s="14" t="str">
        <x:f>INDEX(Roster!$B$6:$B$108,MATCH(D184,Roster!$A$6:$A$108,0))</x:f>
        <x:v>Principal</x:v>
      </x:c>
      <x:c r="F184" s="14" t="str">
        <x:f>INDEX(Roster!$F$6:$F$108,MATCH(D184,Roster!$A$6:$A$108,0))</x:f>
        <x:v>No</x:v>
      </x:c>
      <x:c r="G184" s="14" t="n">
        <x:f>INDEX(Inputs!$B$7:$D$7,1,MATCH(A184,Inputs!$B$6:$D$6,0))</x:f>
        <x:v>13</x:v>
      </x:c>
      <x:c r="H184" s="14" t="n">
        <x:f>MIN(=INDEX(Inputs!$B$7:$D$7,1,MATCH(A184,Inputs!$B$6:$D$6,0)),MAX(0,INDEX(Inputs!$B$14:$D$14,1,MATCH(A184,Inputs!$B$6:$D$6,0))-(C184-1)*=INDEX(Inputs!$B$7:$D$7,1,MATCH(A184,Inputs!$B$6:$D$6,0))))</x:f>
        <x:v>13</x:v>
      </x:c>
      <x:c r="I184" s="20" t="n">
        <x:f>INDEX(Inputs!$B$8:$D$8,1,MATCH(A184,Inputs!$B$6:$D$6,0))</x:f>
        <x:v>2395</x:v>
      </x:c>
      <x:c r="J184" s="20" t="n">
        <x:f>INDEX(Roster!$C$6:$C$108,MATCH(D184,Roster!$A$6:$A$108,0))*(1+INDEX(Inputs!$B$9:$D$9,1,MATCH(A184,Inputs!$B$6:$D$6,0)))</x:f>
        <x:v>1500</x:v>
      </x:c>
      <x:c r="K184" s="20" t="n">
        <x:f>IF(=INDEX(Roster!$F$6:$F$108,MATCH(D184,Roster!$A$6:$A$108,0))="Yes",0,=INDEX(Inputs!$B$8:$D$8,1,MATCH(A184,Inputs!$B$6:$D$6,0))*IF(=INDEX(Roster!$B$6:$B$108,MATCH(D184,Roster!$A$6:$A$108,0))="Principal",INDEX(Inputs!$B$10:$D$10,1,MATCH(A184,Inputs!$B$6:$D$6,0)),IF(=INDEX(Roster!$B$6:$B$108,MATCH(D184,Roster!$A$6:$A$108,0))="Associate Principal",INDEX(Inputs!$B$11:$D$11,1,MATCH(A184,Inputs!$B$6:$D$6,0)),IF(=INDEX(Roster!$B$6:$B$108,MATCH(D184,Roster!$A$6:$A$108,0))="Assistant Principal",INDEX(Inputs!$B$12:$D$12,1,MATCH(A184,Inputs!$B$6:$D$6,0)),0))))</x:f>
        <x:v>479</x:v>
      </x:c>
      <x:c r="L184" s="20" t="n">
        <x:f>IF(INDEX(Roster!$D$6:$D$108,MATCH(D184,Roster!$A$6:$A$108,0))&gt;=25,INDEX(Inputs!$B$19:$D$19,1,MATCH(A184,Inputs!$B$6:$D$6,0)),IF(INDEX(Roster!$D$6:$D$108,MATCH(D184,Roster!$A$6:$A$108,0))&gt;=20,INDEX(Inputs!$B$18:$D$18,1,MATCH(A184,Inputs!$B$6:$D$6,0)),IF(INDEX(Roster!$D$6:$D$108,MATCH(D184,Roster!$A$6:$A$108,0))&gt;=15,INDEX(Inputs!$B$17:$D$17,1,MATCH(A184,Inputs!$B$6:$D$6,0)),IF(INDEX(Roster!$D$6:$D$108,MATCH(D184,Roster!$A$6:$A$108,0))&gt;=10,INDEX(Inputs!$B$16:$D$16,1,MATCH(A184,Inputs!$B$6:$D$6,0)),IF(INDEX(Roster!$D$6:$D$108,MATCH(D184,Roster!$A$6:$A$108,0))&gt;=5,INDEX(Inputs!$B$15:$D$15,1,MATCH(A184,Inputs!$B$6:$D$6,0)),0)))))</x:f>
        <x:v>70</x:v>
      </x:c>
      <x:c r="M184" s="20" t="n">
        <x:f>G184*I184</x:f>
        <x:v>31135</x:v>
      </x:c>
      <x:c r="N184" s="20" t="n">
        <x:f>G184*J184</x:f>
        <x:v>19500</x:v>
      </x:c>
      <x:c r="O184" s="20" t="n">
        <x:f>G184*K184</x:f>
        <x:v>6227</x:v>
      </x:c>
      <x:c r="P184" s="20" t="n">
        <x:f>G184*L184</x:f>
        <x:v>910</x:v>
      </x:c>
      <x:c r="Q184" s="20" t="n">
        <x:f>H184*INDEX(Inputs!$B$13:$D$13,1,MATCH(A184,Inputs!$B$6:$D$6,0))</x:f>
        <x:v>390</x:v>
      </x:c>
      <x:c r="R184" s="20" t="n">
        <x:f>SUM(M184:Q184)</x:f>
        <x:v>58162</x:v>
      </x:c>
      <x:c r="S184" s="20" t="n">
        <x:f>IF(AND(A183=A184,D183=D184),S183+R184,R184)</x:f>
        <x:v>174486</x:v>
      </x:c>
      <x:c r="T184" s="20" t="n">
        <x:f>MIN(S184,INDEX(Inputs!$B$20:$D$20,1,MATCH(A184,Inputs!$B$6:$D$6,0)))*INDEX(Inputs!$B$22:$D$22,1,MATCH(A184,Inputs!$B$6:$D$6,0))+MAX(MIN(S184,INDEX(Inputs!$B$21:$D$21,1,MATCH(A184,Inputs!$B$6:$D$6,0)))-INDEX(Inputs!$B$20:$D$20,1,MATCH(A184,Inputs!$B$6:$D$6,0)),0)*INDEX(Inputs!$B$23:$D$23,1,MATCH(A184,Inputs!$B$6:$D$6,0))+MAX(S184-INDEX(Inputs!$B$21:$D$21,1,MATCH(A184,Inputs!$B$6:$D$6,0)),0)*INDEX(Inputs!$B$24:$D$24,1,MATCH(A184,Inputs!$B$6:$D$6,0))</x:f>
        <x:v>10443.989</x:v>
      </x:c>
      <x:c r="U184" s="20" t="n">
        <x:f>IF(AND(A183=A184,D183=D184),T183,0)</x:f>
        <x:v>9388.786</x:v>
      </x:c>
      <x:c r="V184" s="20" t="n">
        <x:f>T184-U184</x:f>
        <x:v>1055.2029999999995</x:v>
      </x:c>
      <x:c r="W184" s="20" t="n">
        <x:f>R184+V184</x:f>
        <x:v>59217.203</x:v>
      </x:c>
      <x:c r="X184" s="14" t="str">
        <x:f>IF(ABS(W184-SUM(M184:Q184)-V184)&lt;0.01,"OK","Check")</x:f>
        <x:v>OK</x:v>
      </x:c>
    </x:row>
    <x:row r="185">
      <x:c r="A185" s="14" t="n">
        <x:v>2026</x:v>
      </x:c>
      <x:c r="B185" s="14" t="str">
        <x:v>Q4</x:v>
      </x:c>
      <x:c r="C185" s="14" t="n">
        <x:v>4</x:v>
      </x:c>
      <x:c r="D185" s="14" t="n">
        <x:v>45</x:v>
      </x:c>
      <x:c r="E185" s="14" t="str">
        <x:f>INDEX(Roster!$B$6:$B$108,MATCH(D185,Roster!$A$6:$A$108,0))</x:f>
        <x:v>Principal</x:v>
      </x:c>
      <x:c r="F185" s="14" t="str">
        <x:f>INDEX(Roster!$F$6:$F$108,MATCH(D185,Roster!$A$6:$A$108,0))</x:f>
        <x:v>No</x:v>
      </x:c>
      <x:c r="G185" s="14" t="n">
        <x:f>INDEX(Inputs!$B$7:$D$7,1,MATCH(A185,Inputs!$B$6:$D$6,0))</x:f>
        <x:v>13</x:v>
      </x:c>
      <x:c r="H185" s="14" t="n">
        <x:f>MIN(=INDEX(Inputs!$B$7:$D$7,1,MATCH(A185,Inputs!$B$6:$D$6,0)),MAX(0,INDEX(Inputs!$B$14:$D$14,1,MATCH(A185,Inputs!$B$6:$D$6,0))-(C185-1)*=INDEX(Inputs!$B$7:$D$7,1,MATCH(A185,Inputs!$B$6:$D$6,0))))</x:f>
        <x:v>0</x:v>
      </x:c>
      <x:c r="I185" s="20" t="n">
        <x:f>INDEX(Inputs!$B$8:$D$8,1,MATCH(A185,Inputs!$B$6:$D$6,0))</x:f>
        <x:v>2395</x:v>
      </x:c>
      <x:c r="J185" s="20" t="n">
        <x:f>INDEX(Roster!$C$6:$C$108,MATCH(D185,Roster!$A$6:$A$108,0))*(1+INDEX(Inputs!$B$9:$D$9,1,MATCH(A185,Inputs!$B$6:$D$6,0)))</x:f>
        <x:v>1500</x:v>
      </x:c>
      <x:c r="K185" s="20" t="n">
        <x:f>IF(=INDEX(Roster!$F$6:$F$108,MATCH(D185,Roster!$A$6:$A$108,0))="Yes",0,=INDEX(Inputs!$B$8:$D$8,1,MATCH(A185,Inputs!$B$6:$D$6,0))*IF(=INDEX(Roster!$B$6:$B$108,MATCH(D185,Roster!$A$6:$A$108,0))="Principal",INDEX(Inputs!$B$10:$D$10,1,MATCH(A185,Inputs!$B$6:$D$6,0)),IF(=INDEX(Roster!$B$6:$B$108,MATCH(D185,Roster!$A$6:$A$108,0))="Associate Principal",INDEX(Inputs!$B$11:$D$11,1,MATCH(A185,Inputs!$B$6:$D$6,0)),IF(=INDEX(Roster!$B$6:$B$108,MATCH(D185,Roster!$A$6:$A$108,0))="Assistant Principal",INDEX(Inputs!$B$12:$D$12,1,MATCH(A185,Inputs!$B$6:$D$6,0)),0))))</x:f>
        <x:v>479</x:v>
      </x:c>
      <x:c r="L185" s="20" t="n">
        <x:f>IF(INDEX(Roster!$D$6:$D$108,MATCH(D185,Roster!$A$6:$A$108,0))&gt;=25,INDEX(Inputs!$B$19:$D$19,1,MATCH(A185,Inputs!$B$6:$D$6,0)),IF(INDEX(Roster!$D$6:$D$108,MATCH(D185,Roster!$A$6:$A$108,0))&gt;=20,INDEX(Inputs!$B$18:$D$18,1,MATCH(A185,Inputs!$B$6:$D$6,0)),IF(INDEX(Roster!$D$6:$D$108,MATCH(D185,Roster!$A$6:$A$108,0))&gt;=15,INDEX(Inputs!$B$17:$D$17,1,MATCH(A185,Inputs!$B$6:$D$6,0)),IF(INDEX(Roster!$D$6:$D$108,MATCH(D185,Roster!$A$6:$A$108,0))&gt;=10,INDEX(Inputs!$B$16:$D$16,1,MATCH(A185,Inputs!$B$6:$D$6,0)),IF(INDEX(Roster!$D$6:$D$108,MATCH(D185,Roster!$A$6:$A$108,0))&gt;=5,INDEX(Inputs!$B$15:$D$15,1,MATCH(A185,Inputs!$B$6:$D$6,0)),0)))))</x:f>
        <x:v>70</x:v>
      </x:c>
      <x:c r="M185" s="20" t="n">
        <x:f>G185*I185</x:f>
        <x:v>31135</x:v>
      </x:c>
      <x:c r="N185" s="20" t="n">
        <x:f>G185*J185</x:f>
        <x:v>19500</x:v>
      </x:c>
      <x:c r="O185" s="20" t="n">
        <x:f>G185*K185</x:f>
        <x:v>6227</x:v>
      </x:c>
      <x:c r="P185" s="20" t="n">
        <x:f>G185*L185</x:f>
        <x:v>910</x:v>
      </x:c>
      <x:c r="Q185" s="20" t="n">
        <x:f>H185*INDEX(Inputs!$B$13:$D$13,1,MATCH(A185,Inputs!$B$6:$D$6,0))</x:f>
        <x:v>0</x:v>
      </x:c>
      <x:c r="R185" s="20" t="n">
        <x:f>SUM(M185:Q185)</x:f>
        <x:v>57772</x:v>
      </x:c>
      <x:c r="S185" s="20" t="n">
        <x:f>IF(AND(A184=A185,D184=D185),S184+R185,R185)</x:f>
        <x:v>232258</x:v>
      </x:c>
      <x:c r="T185" s="20" t="n">
        <x:f>MIN(S185,INDEX(Inputs!$B$20:$D$20,1,MATCH(A185,Inputs!$B$6:$D$6,0)))*INDEX(Inputs!$B$22:$D$22,1,MATCH(A185,Inputs!$B$6:$D$6,0))+MAX(MIN(S185,INDEX(Inputs!$B$21:$D$21,1,MATCH(A185,Inputs!$B$6:$D$6,0)))-INDEX(Inputs!$B$20:$D$20,1,MATCH(A185,Inputs!$B$6:$D$6,0)),0)*INDEX(Inputs!$B$23:$D$23,1,MATCH(A185,Inputs!$B$6:$D$6,0))+MAX(S185-INDEX(Inputs!$B$21:$D$21,1,MATCH(A185,Inputs!$B$6:$D$6,0)),0)*INDEX(Inputs!$B$24:$D$24,1,MATCH(A185,Inputs!$B$6:$D$6,0))</x:f>
        <x:v>11281.682999999999</x:v>
      </x:c>
      <x:c r="U185" s="20" t="n">
        <x:f>IF(AND(A184=A185,D184=D185),T184,0)</x:f>
        <x:v>10443.989</x:v>
      </x:c>
      <x:c r="V185" s="20" t="n">
        <x:f>T185-U185</x:f>
        <x:v>837.6939999999995</x:v>
      </x:c>
      <x:c r="W185" s="20" t="n">
        <x:f>R185+V185</x:f>
        <x:v>58609.694</x:v>
      </x:c>
      <x:c r="X185" s="14" t="str">
        <x:f>IF(ABS(W185-SUM(M185:Q185)-V185)&lt;0.01,"OK","Check")</x:f>
        <x:v>OK</x:v>
      </x:c>
    </x:row>
    <x:row r="186">
      <x:c r="A186" s="14" t="n">
        <x:v>2026</x:v>
      </x:c>
      <x:c r="B186" s="14" t="str">
        <x:v>Q1</x:v>
      </x:c>
      <x:c r="C186" s="14" t="n">
        <x:v>1</x:v>
      </x:c>
      <x:c r="D186" s="14" t="n">
        <x:v>46</x:v>
      </x:c>
      <x:c r="E186" s="14" t="str">
        <x:f>INDEX(Roster!$B$6:$B$108,MATCH(D186,Roster!$A$6:$A$108,0))</x:f>
      </x:c>
      <x:c r="F186" s="14" t="str">
        <x:f>INDEX(Roster!$F$6:$F$108,MATCH(D186,Roster!$A$6:$A$108,0))</x:f>
        <x:v>No</x:v>
      </x:c>
      <x:c r="G186" s="14" t="n">
        <x:f>INDEX(Inputs!$B$7:$D$7,1,MATCH(A186,Inputs!$B$6:$D$6,0))</x:f>
        <x:v>13</x:v>
      </x:c>
      <x:c r="H186" s="14" t="n">
        <x:f>MIN(=INDEX(Inputs!$B$7:$D$7,1,MATCH(A186,Inputs!$B$6:$D$6,0)),MAX(0,INDEX(Inputs!$B$14:$D$14,1,MATCH(A186,Inputs!$B$6:$D$6,0))-(C186-1)*=INDEX(Inputs!$B$7:$D$7,1,MATCH(A186,Inputs!$B$6:$D$6,0))))</x:f>
        <x:v>13</x:v>
      </x:c>
      <x:c r="I186" s="20" t="n">
        <x:f>INDEX(Inputs!$B$8:$D$8,1,MATCH(A186,Inputs!$B$6:$D$6,0))</x:f>
        <x:v>2395</x:v>
      </x:c>
      <x:c r="J186" s="20" t="n">
        <x:f>INDEX(Roster!$C$6:$C$108,MATCH(D186,Roster!$A$6:$A$108,0))*(1+INDEX(Inputs!$B$9:$D$9,1,MATCH(A186,Inputs!$B$6:$D$6,0)))</x:f>
        <x:v>20</x:v>
      </x:c>
      <x:c r="K186" s="20" t="n">
        <x:f>IF(=INDEX(Roster!$F$6:$F$108,MATCH(D186,Roster!$A$6:$A$108,0))="Yes",0,=INDEX(Inputs!$B$8:$D$8,1,MATCH(A186,Inputs!$B$6:$D$6,0))*IF(=INDEX(Roster!$B$6:$B$108,MATCH(D186,Roster!$A$6:$A$108,0))="Principal",INDEX(Inputs!$B$10:$D$10,1,MATCH(A186,Inputs!$B$6:$D$6,0)),IF(=INDEX(Roster!$B$6:$B$108,MATCH(D186,Roster!$A$6:$A$108,0))="Associate Principal",INDEX(Inputs!$B$11:$D$11,1,MATCH(A186,Inputs!$B$6:$D$6,0)),IF(=INDEX(Roster!$B$6:$B$108,MATCH(D186,Roster!$A$6:$A$108,0))="Assistant Principal",INDEX(Inputs!$B$12:$D$12,1,MATCH(A186,Inputs!$B$6:$D$6,0)),0))))</x:f>
        <x:v>0</x:v>
      </x:c>
      <x:c r="L186" s="20" t="n">
        <x:f>IF(INDEX(Roster!$D$6:$D$108,MATCH(D186,Roster!$A$6:$A$108,0))&gt;=25,INDEX(Inputs!$B$19:$D$19,1,MATCH(A186,Inputs!$B$6:$D$6,0)),IF(INDEX(Roster!$D$6:$D$108,MATCH(D186,Roster!$A$6:$A$108,0))&gt;=20,INDEX(Inputs!$B$18:$D$18,1,MATCH(A186,Inputs!$B$6:$D$6,0)),IF(INDEX(Roster!$D$6:$D$108,MATCH(D186,Roster!$A$6:$A$108,0))&gt;=15,INDEX(Inputs!$B$17:$D$17,1,MATCH(A186,Inputs!$B$6:$D$6,0)),IF(INDEX(Roster!$D$6:$D$108,MATCH(D186,Roster!$A$6:$A$108,0))&gt;=10,INDEX(Inputs!$B$16:$D$16,1,MATCH(A186,Inputs!$B$6:$D$6,0)),IF(INDEX(Roster!$D$6:$D$108,MATCH(D186,Roster!$A$6:$A$108,0))&gt;=5,INDEX(Inputs!$B$15:$D$15,1,MATCH(A186,Inputs!$B$6:$D$6,0)),0)))))</x:f>
        <x:v>0</x:v>
      </x:c>
      <x:c r="M186" s="20" t="n">
        <x:f>G186*I186</x:f>
        <x:v>31135</x:v>
      </x:c>
      <x:c r="N186" s="20" t="n">
        <x:f>G186*J186</x:f>
        <x:v>260</x:v>
      </x:c>
      <x:c r="O186" s="20" t="n">
        <x:f>G186*K186</x:f>
        <x:v>0</x:v>
      </x:c>
      <x:c r="P186" s="20" t="n">
        <x:f>G186*L186</x:f>
        <x:v>0</x:v>
      </x:c>
      <x:c r="Q186" s="20" t="n">
        <x:f>H186*INDEX(Inputs!$B$13:$D$13,1,MATCH(A186,Inputs!$B$6:$D$6,0))</x:f>
        <x:v>390</x:v>
      </x:c>
      <x:c r="R186" s="20" t="n">
        <x:f>SUM(M186:Q186)</x:f>
        <x:v>31785</x:v>
      </x:c>
      <x:c r="S186" s="20" t="n">
        <x:f>IF(AND(A185=A186,D185=D186),S185+R186,R186)</x:f>
        <x:v>31785</x:v>
      </x:c>
      <x:c r="T186" s="20" t="n">
        <x:f>MIN(S186,INDEX(Inputs!$B$20:$D$20,1,MATCH(A186,Inputs!$B$6:$D$6,0)))*INDEX(Inputs!$B$22:$D$22,1,MATCH(A186,Inputs!$B$6:$D$6,0))+MAX(MIN(S186,INDEX(Inputs!$B$21:$D$21,1,MATCH(A186,Inputs!$B$6:$D$6,0)))-INDEX(Inputs!$B$20:$D$20,1,MATCH(A186,Inputs!$B$6:$D$6,0)),0)*INDEX(Inputs!$B$23:$D$23,1,MATCH(A186,Inputs!$B$6:$D$6,0))+MAX(S186-INDEX(Inputs!$B$21:$D$21,1,MATCH(A186,Inputs!$B$6:$D$6,0)),0)*INDEX(Inputs!$B$24:$D$24,1,MATCH(A186,Inputs!$B$6:$D$6,0))</x:f>
        <x:v>2921.5525</x:v>
      </x:c>
      <x:c r="U186" s="20" t="n">
        <x:f>IF(AND(A185=A186,D185=D186),T185,0)</x:f>
        <x:v>0</x:v>
      </x:c>
      <x:c r="V186" s="20" t="n">
        <x:f>T186-U186</x:f>
        <x:v>2921.5525</x:v>
      </x:c>
      <x:c r="W186" s="20" t="n">
        <x:f>R186+V186</x:f>
        <x:v>34706.5525</x:v>
      </x:c>
      <x:c r="X186" s="14" t="str">
        <x:f>IF(ABS(W186-SUM(M186:Q186)-V186)&lt;0.01,"OK","Check")</x:f>
        <x:v>OK</x:v>
      </x:c>
    </x:row>
    <x:row r="187">
      <x:c r="A187" s="14" t="n">
        <x:v>2026</x:v>
      </x:c>
      <x:c r="B187" s="14" t="str">
        <x:v>Q2</x:v>
      </x:c>
      <x:c r="C187" s="14" t="n">
        <x:v>2</x:v>
      </x:c>
      <x:c r="D187" s="14" t="n">
        <x:v>46</x:v>
      </x:c>
      <x:c r="E187" s="14" t="str">
        <x:f>INDEX(Roster!$B$6:$B$108,MATCH(D187,Roster!$A$6:$A$108,0))</x:f>
      </x:c>
      <x:c r="F187" s="14" t="str">
        <x:f>INDEX(Roster!$F$6:$F$108,MATCH(D187,Roster!$A$6:$A$108,0))</x:f>
        <x:v>No</x:v>
      </x:c>
      <x:c r="G187" s="14" t="n">
        <x:f>INDEX(Inputs!$B$7:$D$7,1,MATCH(A187,Inputs!$B$6:$D$6,0))</x:f>
        <x:v>13</x:v>
      </x:c>
      <x:c r="H187" s="14" t="n">
        <x:f>MIN(=INDEX(Inputs!$B$7:$D$7,1,MATCH(A187,Inputs!$B$6:$D$6,0)),MAX(0,INDEX(Inputs!$B$14:$D$14,1,MATCH(A187,Inputs!$B$6:$D$6,0))-(C187-1)*=INDEX(Inputs!$B$7:$D$7,1,MATCH(A187,Inputs!$B$6:$D$6,0))))</x:f>
        <x:v>13</x:v>
      </x:c>
      <x:c r="I187" s="20" t="n">
        <x:f>INDEX(Inputs!$B$8:$D$8,1,MATCH(A187,Inputs!$B$6:$D$6,0))</x:f>
        <x:v>2395</x:v>
      </x:c>
      <x:c r="J187" s="20" t="n">
        <x:f>INDEX(Roster!$C$6:$C$108,MATCH(D187,Roster!$A$6:$A$108,0))*(1+INDEX(Inputs!$B$9:$D$9,1,MATCH(A187,Inputs!$B$6:$D$6,0)))</x:f>
        <x:v>20</x:v>
      </x:c>
      <x:c r="K187" s="20" t="n">
        <x:f>IF(=INDEX(Roster!$F$6:$F$108,MATCH(D187,Roster!$A$6:$A$108,0))="Yes",0,=INDEX(Inputs!$B$8:$D$8,1,MATCH(A187,Inputs!$B$6:$D$6,0))*IF(=INDEX(Roster!$B$6:$B$108,MATCH(D187,Roster!$A$6:$A$108,0))="Principal",INDEX(Inputs!$B$10:$D$10,1,MATCH(A187,Inputs!$B$6:$D$6,0)),IF(=INDEX(Roster!$B$6:$B$108,MATCH(D187,Roster!$A$6:$A$108,0))="Associate Principal",INDEX(Inputs!$B$11:$D$11,1,MATCH(A187,Inputs!$B$6:$D$6,0)),IF(=INDEX(Roster!$B$6:$B$108,MATCH(D187,Roster!$A$6:$A$108,0))="Assistant Principal",INDEX(Inputs!$B$12:$D$12,1,MATCH(A187,Inputs!$B$6:$D$6,0)),0))))</x:f>
        <x:v>0</x:v>
      </x:c>
      <x:c r="L187" s="20" t="n">
        <x:f>IF(INDEX(Roster!$D$6:$D$108,MATCH(D187,Roster!$A$6:$A$108,0))&gt;=25,INDEX(Inputs!$B$19:$D$19,1,MATCH(A187,Inputs!$B$6:$D$6,0)),IF(INDEX(Roster!$D$6:$D$108,MATCH(D187,Roster!$A$6:$A$108,0))&gt;=20,INDEX(Inputs!$B$18:$D$18,1,MATCH(A187,Inputs!$B$6:$D$6,0)),IF(INDEX(Roster!$D$6:$D$108,MATCH(D187,Roster!$A$6:$A$108,0))&gt;=15,INDEX(Inputs!$B$17:$D$17,1,MATCH(A187,Inputs!$B$6:$D$6,0)),IF(INDEX(Roster!$D$6:$D$108,MATCH(D187,Roster!$A$6:$A$108,0))&gt;=10,INDEX(Inputs!$B$16:$D$16,1,MATCH(A187,Inputs!$B$6:$D$6,0)),IF(INDEX(Roster!$D$6:$D$108,MATCH(D187,Roster!$A$6:$A$108,0))&gt;=5,INDEX(Inputs!$B$15:$D$15,1,MATCH(A187,Inputs!$B$6:$D$6,0)),0)))))</x:f>
        <x:v>0</x:v>
      </x:c>
      <x:c r="M187" s="20" t="n">
        <x:f>G187*I187</x:f>
        <x:v>31135</x:v>
      </x:c>
      <x:c r="N187" s="20" t="n">
        <x:f>G187*J187</x:f>
        <x:v>260</x:v>
      </x:c>
      <x:c r="O187" s="20" t="n">
        <x:f>G187*K187</x:f>
        <x:v>0</x:v>
      </x:c>
      <x:c r="P187" s="20" t="n">
        <x:f>G187*L187</x:f>
        <x:v>0</x:v>
      </x:c>
      <x:c r="Q187" s="20" t="n">
        <x:f>H187*INDEX(Inputs!$B$13:$D$13,1,MATCH(A187,Inputs!$B$6:$D$6,0))</x:f>
        <x:v>390</x:v>
      </x:c>
      <x:c r="R187" s="20" t="n">
        <x:f>SUM(M187:Q187)</x:f>
        <x:v>31785</x:v>
      </x:c>
      <x:c r="S187" s="20" t="n">
        <x:f>IF(AND(A186=A187,D186=D187),S186+R187,R187)</x:f>
        <x:v>63570</x:v>
      </x:c>
      <x:c r="T187" s="20" t="n">
        <x:f>MIN(S187,INDEX(Inputs!$B$20:$D$20,1,MATCH(A187,Inputs!$B$6:$D$6,0)))*INDEX(Inputs!$B$22:$D$22,1,MATCH(A187,Inputs!$B$6:$D$6,0))+MAX(MIN(S187,INDEX(Inputs!$B$21:$D$21,1,MATCH(A187,Inputs!$B$6:$D$6,0)))-INDEX(Inputs!$B$20:$D$20,1,MATCH(A187,Inputs!$B$6:$D$6,0)),0)*INDEX(Inputs!$B$23:$D$23,1,MATCH(A187,Inputs!$B$6:$D$6,0))+MAX(S187-INDEX(Inputs!$B$21:$D$21,1,MATCH(A187,Inputs!$B$6:$D$6,0)),0)*INDEX(Inputs!$B$24:$D$24,1,MATCH(A187,Inputs!$B$6:$D$6,0))</x:f>
        <x:v>5353.105</x:v>
      </x:c>
      <x:c r="U187" s="20" t="n">
        <x:f>IF(AND(A186=A187,D186=D187),T186,0)</x:f>
        <x:v>2921.5525</x:v>
      </x:c>
      <x:c r="V187" s="20" t="n">
        <x:f>T187-U187</x:f>
        <x:v>2431.5525</x:v>
      </x:c>
      <x:c r="W187" s="20" t="n">
        <x:f>R187+V187</x:f>
        <x:v>34216.5525</x:v>
      </x:c>
      <x:c r="X187" s="14" t="str">
        <x:f>IF(ABS(W187-SUM(M187:Q187)-V187)&lt;0.01,"OK","Check")</x:f>
        <x:v>OK</x:v>
      </x:c>
    </x:row>
    <x:row r="188">
      <x:c r="A188" s="14" t="n">
        <x:v>2026</x:v>
      </x:c>
      <x:c r="B188" s="14" t="str">
        <x:v>Q3</x:v>
      </x:c>
      <x:c r="C188" s="14" t="n">
        <x:v>3</x:v>
      </x:c>
      <x:c r="D188" s="14" t="n">
        <x:v>46</x:v>
      </x:c>
      <x:c r="E188" s="14" t="str">
        <x:f>INDEX(Roster!$B$6:$B$108,MATCH(D188,Roster!$A$6:$A$108,0))</x:f>
      </x:c>
      <x:c r="F188" s="14" t="str">
        <x:f>INDEX(Roster!$F$6:$F$108,MATCH(D188,Roster!$A$6:$A$108,0))</x:f>
        <x:v>No</x:v>
      </x:c>
      <x:c r="G188" s="14" t="n">
        <x:f>INDEX(Inputs!$B$7:$D$7,1,MATCH(A188,Inputs!$B$6:$D$6,0))</x:f>
        <x:v>13</x:v>
      </x:c>
      <x:c r="H188" s="14" t="n">
        <x:f>MIN(=INDEX(Inputs!$B$7:$D$7,1,MATCH(A188,Inputs!$B$6:$D$6,0)),MAX(0,INDEX(Inputs!$B$14:$D$14,1,MATCH(A188,Inputs!$B$6:$D$6,0))-(C188-1)*=INDEX(Inputs!$B$7:$D$7,1,MATCH(A188,Inputs!$B$6:$D$6,0))))</x:f>
        <x:v>13</x:v>
      </x:c>
      <x:c r="I188" s="20" t="n">
        <x:f>INDEX(Inputs!$B$8:$D$8,1,MATCH(A188,Inputs!$B$6:$D$6,0))</x:f>
        <x:v>2395</x:v>
      </x:c>
      <x:c r="J188" s="20" t="n">
        <x:f>INDEX(Roster!$C$6:$C$108,MATCH(D188,Roster!$A$6:$A$108,0))*(1+INDEX(Inputs!$B$9:$D$9,1,MATCH(A188,Inputs!$B$6:$D$6,0)))</x:f>
        <x:v>20</x:v>
      </x:c>
      <x:c r="K188" s="20" t="n">
        <x:f>IF(=INDEX(Roster!$F$6:$F$108,MATCH(D188,Roster!$A$6:$A$108,0))="Yes",0,=INDEX(Inputs!$B$8:$D$8,1,MATCH(A188,Inputs!$B$6:$D$6,0))*IF(=INDEX(Roster!$B$6:$B$108,MATCH(D188,Roster!$A$6:$A$108,0))="Principal",INDEX(Inputs!$B$10:$D$10,1,MATCH(A188,Inputs!$B$6:$D$6,0)),IF(=INDEX(Roster!$B$6:$B$108,MATCH(D188,Roster!$A$6:$A$108,0))="Associate Principal",INDEX(Inputs!$B$11:$D$11,1,MATCH(A188,Inputs!$B$6:$D$6,0)),IF(=INDEX(Roster!$B$6:$B$108,MATCH(D188,Roster!$A$6:$A$108,0))="Assistant Principal",INDEX(Inputs!$B$12:$D$12,1,MATCH(A188,Inputs!$B$6:$D$6,0)),0))))</x:f>
        <x:v>0</x:v>
      </x:c>
      <x:c r="L188" s="20" t="n">
        <x:f>IF(INDEX(Roster!$D$6:$D$108,MATCH(D188,Roster!$A$6:$A$108,0))&gt;=25,INDEX(Inputs!$B$19:$D$19,1,MATCH(A188,Inputs!$B$6:$D$6,0)),IF(INDEX(Roster!$D$6:$D$108,MATCH(D188,Roster!$A$6:$A$108,0))&gt;=20,INDEX(Inputs!$B$18:$D$18,1,MATCH(A188,Inputs!$B$6:$D$6,0)),IF(INDEX(Roster!$D$6:$D$108,MATCH(D188,Roster!$A$6:$A$108,0))&gt;=15,INDEX(Inputs!$B$17:$D$17,1,MATCH(A188,Inputs!$B$6:$D$6,0)),IF(INDEX(Roster!$D$6:$D$108,MATCH(D188,Roster!$A$6:$A$108,0))&gt;=10,INDEX(Inputs!$B$16:$D$16,1,MATCH(A188,Inputs!$B$6:$D$6,0)),IF(INDEX(Roster!$D$6:$D$108,MATCH(D188,Roster!$A$6:$A$108,0))&gt;=5,INDEX(Inputs!$B$15:$D$15,1,MATCH(A188,Inputs!$B$6:$D$6,0)),0)))))</x:f>
        <x:v>0</x:v>
      </x:c>
      <x:c r="M188" s="20" t="n">
        <x:f>G188*I188</x:f>
        <x:v>31135</x:v>
      </x:c>
      <x:c r="N188" s="20" t="n">
        <x:f>G188*J188</x:f>
        <x:v>260</x:v>
      </x:c>
      <x:c r="O188" s="20" t="n">
        <x:f>G188*K188</x:f>
        <x:v>0</x:v>
      </x:c>
      <x:c r="P188" s="20" t="n">
        <x:f>G188*L188</x:f>
        <x:v>0</x:v>
      </x:c>
      <x:c r="Q188" s="20" t="n">
        <x:f>H188*INDEX(Inputs!$B$13:$D$13,1,MATCH(A188,Inputs!$B$6:$D$6,0))</x:f>
        <x:v>390</x:v>
      </x:c>
      <x:c r="R188" s="20" t="n">
        <x:f>SUM(M188:Q188)</x:f>
        <x:v>31785</x:v>
      </x:c>
      <x:c r="S188" s="20" t="n">
        <x:f>IF(AND(A187=A188,D187=D188),S187+R188,R188)</x:f>
        <x:v>95355</x:v>
      </x:c>
      <x:c r="T188" s="20" t="n">
        <x:f>MIN(S188,INDEX(Inputs!$B$20:$D$20,1,MATCH(A188,Inputs!$B$6:$D$6,0)))*INDEX(Inputs!$B$22:$D$22,1,MATCH(A188,Inputs!$B$6:$D$6,0))+MAX(MIN(S188,INDEX(Inputs!$B$21:$D$21,1,MATCH(A188,Inputs!$B$6:$D$6,0)))-INDEX(Inputs!$B$20:$D$20,1,MATCH(A188,Inputs!$B$6:$D$6,0)),0)*INDEX(Inputs!$B$23:$D$23,1,MATCH(A188,Inputs!$B$6:$D$6,0))+MAX(S188-INDEX(Inputs!$B$21:$D$21,1,MATCH(A188,Inputs!$B$6:$D$6,0)),0)*INDEX(Inputs!$B$24:$D$24,1,MATCH(A188,Inputs!$B$6:$D$6,0))</x:f>
        <x:v>7784.6575</x:v>
      </x:c>
      <x:c r="U188" s="20" t="n">
        <x:f>IF(AND(A187=A188,D187=D188),T187,0)</x:f>
        <x:v>5353.105</x:v>
      </x:c>
      <x:c r="V188" s="20" t="n">
        <x:f>T188-U188</x:f>
        <x:v>2431.5525000000007</x:v>
      </x:c>
      <x:c r="W188" s="20" t="n">
        <x:f>R188+V188</x:f>
        <x:v>34216.5525</x:v>
      </x:c>
      <x:c r="X188" s="14" t="str">
        <x:f>IF(ABS(W188-SUM(M188:Q188)-V188)&lt;0.01,"OK","Check")</x:f>
        <x:v>OK</x:v>
      </x:c>
    </x:row>
    <x:row r="189">
      <x:c r="A189" s="14" t="n">
        <x:v>2026</x:v>
      </x:c>
      <x:c r="B189" s="14" t="str">
        <x:v>Q4</x:v>
      </x:c>
      <x:c r="C189" s="14" t="n">
        <x:v>4</x:v>
      </x:c>
      <x:c r="D189" s="14" t="n">
        <x:v>46</x:v>
      </x:c>
      <x:c r="E189" s="14" t="str">
        <x:f>INDEX(Roster!$B$6:$B$108,MATCH(D189,Roster!$A$6:$A$108,0))</x:f>
      </x:c>
      <x:c r="F189" s="14" t="str">
        <x:f>INDEX(Roster!$F$6:$F$108,MATCH(D189,Roster!$A$6:$A$108,0))</x:f>
        <x:v>No</x:v>
      </x:c>
      <x:c r="G189" s="14" t="n">
        <x:f>INDEX(Inputs!$B$7:$D$7,1,MATCH(A189,Inputs!$B$6:$D$6,0))</x:f>
        <x:v>13</x:v>
      </x:c>
      <x:c r="H189" s="14" t="n">
        <x:f>MIN(=INDEX(Inputs!$B$7:$D$7,1,MATCH(A189,Inputs!$B$6:$D$6,0)),MAX(0,INDEX(Inputs!$B$14:$D$14,1,MATCH(A189,Inputs!$B$6:$D$6,0))-(C189-1)*=INDEX(Inputs!$B$7:$D$7,1,MATCH(A189,Inputs!$B$6:$D$6,0))))</x:f>
        <x:v>0</x:v>
      </x:c>
      <x:c r="I189" s="20" t="n">
        <x:f>INDEX(Inputs!$B$8:$D$8,1,MATCH(A189,Inputs!$B$6:$D$6,0))</x:f>
        <x:v>2395</x:v>
      </x:c>
      <x:c r="J189" s="20" t="n">
        <x:f>INDEX(Roster!$C$6:$C$108,MATCH(D189,Roster!$A$6:$A$108,0))*(1+INDEX(Inputs!$B$9:$D$9,1,MATCH(A189,Inputs!$B$6:$D$6,0)))</x:f>
        <x:v>20</x:v>
      </x:c>
      <x:c r="K189" s="20" t="n">
        <x:f>IF(=INDEX(Roster!$F$6:$F$108,MATCH(D189,Roster!$A$6:$A$108,0))="Yes",0,=INDEX(Inputs!$B$8:$D$8,1,MATCH(A189,Inputs!$B$6:$D$6,0))*IF(=INDEX(Roster!$B$6:$B$108,MATCH(D189,Roster!$A$6:$A$108,0))="Principal",INDEX(Inputs!$B$10:$D$10,1,MATCH(A189,Inputs!$B$6:$D$6,0)),IF(=INDEX(Roster!$B$6:$B$108,MATCH(D189,Roster!$A$6:$A$108,0))="Associate Principal",INDEX(Inputs!$B$11:$D$11,1,MATCH(A189,Inputs!$B$6:$D$6,0)),IF(=INDEX(Roster!$B$6:$B$108,MATCH(D189,Roster!$A$6:$A$108,0))="Assistant Principal",INDEX(Inputs!$B$12:$D$12,1,MATCH(A189,Inputs!$B$6:$D$6,0)),0))))</x:f>
        <x:v>0</x:v>
      </x:c>
      <x:c r="L189" s="20" t="n">
        <x:f>IF(INDEX(Roster!$D$6:$D$108,MATCH(D189,Roster!$A$6:$A$108,0))&gt;=25,INDEX(Inputs!$B$19:$D$19,1,MATCH(A189,Inputs!$B$6:$D$6,0)),IF(INDEX(Roster!$D$6:$D$108,MATCH(D189,Roster!$A$6:$A$108,0))&gt;=20,INDEX(Inputs!$B$18:$D$18,1,MATCH(A189,Inputs!$B$6:$D$6,0)),IF(INDEX(Roster!$D$6:$D$108,MATCH(D189,Roster!$A$6:$A$108,0))&gt;=15,INDEX(Inputs!$B$17:$D$17,1,MATCH(A189,Inputs!$B$6:$D$6,0)),IF(INDEX(Roster!$D$6:$D$108,MATCH(D189,Roster!$A$6:$A$108,0))&gt;=10,INDEX(Inputs!$B$16:$D$16,1,MATCH(A189,Inputs!$B$6:$D$6,0)),IF(INDEX(Roster!$D$6:$D$108,MATCH(D189,Roster!$A$6:$A$108,0))&gt;=5,INDEX(Inputs!$B$15:$D$15,1,MATCH(A189,Inputs!$B$6:$D$6,0)),0)))))</x:f>
        <x:v>0</x:v>
      </x:c>
      <x:c r="M189" s="20" t="n">
        <x:f>G189*I189</x:f>
        <x:v>31135</x:v>
      </x:c>
      <x:c r="N189" s="20" t="n">
        <x:f>G189*J189</x:f>
        <x:v>260</x:v>
      </x:c>
      <x:c r="O189" s="20" t="n">
        <x:f>G189*K189</x:f>
        <x:v>0</x:v>
      </x:c>
      <x:c r="P189" s="20" t="n">
        <x:f>G189*L189</x:f>
        <x:v>0</x:v>
      </x:c>
      <x:c r="Q189" s="20" t="n">
        <x:f>H189*INDEX(Inputs!$B$13:$D$13,1,MATCH(A189,Inputs!$B$6:$D$6,0))</x:f>
        <x:v>0</x:v>
      </x:c>
      <x:c r="R189" s="20" t="n">
        <x:f>SUM(M189:Q189)</x:f>
        <x:v>31395</x:v>
      </x:c>
      <x:c r="S189" s="20" t="n">
        <x:f>IF(AND(A188=A189,D188=D189),S188+R189,R189)</x:f>
        <x:v>126750</x:v>
      </x:c>
      <x:c r="T189" s="20" t="n">
        <x:f>MIN(S189,INDEX(Inputs!$B$20:$D$20,1,MATCH(A189,Inputs!$B$6:$D$6,0)))*INDEX(Inputs!$B$22:$D$22,1,MATCH(A189,Inputs!$B$6:$D$6,0))+MAX(MIN(S189,INDEX(Inputs!$B$21:$D$21,1,MATCH(A189,Inputs!$B$6:$D$6,0)))-INDEX(Inputs!$B$20:$D$20,1,MATCH(A189,Inputs!$B$6:$D$6,0)),0)*INDEX(Inputs!$B$23:$D$23,1,MATCH(A189,Inputs!$B$6:$D$6,0))+MAX(S189-INDEX(Inputs!$B$21:$D$21,1,MATCH(A189,Inputs!$B$6:$D$6,0)),0)*INDEX(Inputs!$B$24:$D$24,1,MATCH(A189,Inputs!$B$6:$D$6,0))</x:f>
        <x:v>9751.817</x:v>
      </x:c>
      <x:c r="U189" s="20" t="n">
        <x:f>IF(AND(A188=A189,D188=D189),T188,0)</x:f>
        <x:v>7784.6575</x:v>
      </x:c>
      <x:c r="V189" s="20" t="n">
        <x:f>T189-U189</x:f>
        <x:v>1967.1594999999988</x:v>
      </x:c>
      <x:c r="W189" s="20" t="n">
        <x:f>R189+V189</x:f>
        <x:v>33362.1595</x:v>
      </x:c>
      <x:c r="X189" s="14" t="str">
        <x:f>IF(ABS(W189-SUM(M189:Q189)-V189)&lt;0.01,"OK","Check")</x:f>
        <x:v>OK</x:v>
      </x:c>
    </x:row>
    <x:row r="190">
      <x:c r="A190" s="14" t="n">
        <x:v>2026</x:v>
      </x:c>
      <x:c r="B190" s="14" t="str">
        <x:v>Q1</x:v>
      </x:c>
      <x:c r="C190" s="14" t="n">
        <x:v>1</x:v>
      </x:c>
      <x:c r="D190" s="14" t="n">
        <x:v>47</x:v>
      </x:c>
      <x:c r="E190" s="14" t="str">
        <x:f>INDEX(Roster!$B$6:$B$108,MATCH(D190,Roster!$A$6:$A$108,0))</x:f>
        <x:v>Assistant Principal</x:v>
      </x:c>
      <x:c r="F190" s="14" t="str">
        <x:f>INDEX(Roster!$F$6:$F$108,MATCH(D190,Roster!$A$6:$A$108,0))</x:f>
        <x:v>No</x:v>
      </x:c>
      <x:c r="G190" s="14" t="n">
        <x:f>INDEX(Inputs!$B$7:$D$7,1,MATCH(A190,Inputs!$B$6:$D$6,0))</x:f>
        <x:v>13</x:v>
      </x:c>
      <x:c r="H190" s="14" t="n">
        <x:f>MIN(=INDEX(Inputs!$B$7:$D$7,1,MATCH(A190,Inputs!$B$6:$D$6,0)),MAX(0,INDEX(Inputs!$B$14:$D$14,1,MATCH(A190,Inputs!$B$6:$D$6,0))-(C190-1)*=INDEX(Inputs!$B$7:$D$7,1,MATCH(A190,Inputs!$B$6:$D$6,0))))</x:f>
        <x:v>13</x:v>
      </x:c>
      <x:c r="I190" s="20" t="n">
        <x:f>INDEX(Inputs!$B$8:$D$8,1,MATCH(A190,Inputs!$B$6:$D$6,0))</x:f>
        <x:v>2395</x:v>
      </x:c>
      <x:c r="J190" s="20" t="n">
        <x:f>INDEX(Roster!$C$6:$C$108,MATCH(D190,Roster!$A$6:$A$108,0))*(1+INDEX(Inputs!$B$9:$D$9,1,MATCH(A190,Inputs!$B$6:$D$6,0)))</x:f>
        <x:v>0</x:v>
      </x:c>
      <x:c r="K190" s="20" t="n">
        <x:f>IF(=INDEX(Roster!$F$6:$F$108,MATCH(D190,Roster!$A$6:$A$108,0))="Yes",0,=INDEX(Inputs!$B$8:$D$8,1,MATCH(A190,Inputs!$B$6:$D$6,0))*IF(=INDEX(Roster!$B$6:$B$108,MATCH(D190,Roster!$A$6:$A$108,0))="Principal",INDEX(Inputs!$B$10:$D$10,1,MATCH(A190,Inputs!$B$6:$D$6,0)),IF(=INDEX(Roster!$B$6:$B$108,MATCH(D190,Roster!$A$6:$A$108,0))="Associate Principal",INDEX(Inputs!$B$11:$D$11,1,MATCH(A190,Inputs!$B$6:$D$6,0)),IF(=INDEX(Roster!$B$6:$B$108,MATCH(D190,Roster!$A$6:$A$108,0))="Assistant Principal",INDEX(Inputs!$B$12:$D$12,1,MATCH(A190,Inputs!$B$6:$D$6,0)),0))))</x:f>
        <x:v>239.5</x:v>
      </x:c>
      <x:c r="L190" s="20" t="n">
        <x:f>IF(INDEX(Roster!$D$6:$D$108,MATCH(D190,Roster!$A$6:$A$108,0))&gt;=25,INDEX(Inputs!$B$19:$D$19,1,MATCH(A190,Inputs!$B$6:$D$6,0)),IF(INDEX(Roster!$D$6:$D$108,MATCH(D190,Roster!$A$6:$A$108,0))&gt;=20,INDEX(Inputs!$B$18:$D$18,1,MATCH(A190,Inputs!$B$6:$D$6,0)),IF(INDEX(Roster!$D$6:$D$108,MATCH(D190,Roster!$A$6:$A$108,0))&gt;=15,INDEX(Inputs!$B$17:$D$17,1,MATCH(A190,Inputs!$B$6:$D$6,0)),IF(INDEX(Roster!$D$6:$D$108,MATCH(D190,Roster!$A$6:$A$108,0))&gt;=10,INDEX(Inputs!$B$16:$D$16,1,MATCH(A190,Inputs!$B$6:$D$6,0)),IF(INDEX(Roster!$D$6:$D$108,MATCH(D190,Roster!$A$6:$A$108,0))&gt;=5,INDEX(Inputs!$B$15:$D$15,1,MATCH(A190,Inputs!$B$6:$D$6,0)),0)))))</x:f>
        <x:v>50</x:v>
      </x:c>
      <x:c r="M190" s="20" t="n">
        <x:f>G190*I190</x:f>
        <x:v>31135</x:v>
      </x:c>
      <x:c r="N190" s="20" t="n">
        <x:f>G190*J190</x:f>
        <x:v>0</x:v>
      </x:c>
      <x:c r="O190" s="20" t="n">
        <x:f>G190*K190</x:f>
        <x:v>3113.5</x:v>
      </x:c>
      <x:c r="P190" s="20" t="n">
        <x:f>G190*L190</x:f>
        <x:v>650</x:v>
      </x:c>
      <x:c r="Q190" s="20" t="n">
        <x:f>H190*INDEX(Inputs!$B$13:$D$13,1,MATCH(A190,Inputs!$B$6:$D$6,0))</x:f>
        <x:v>390</x:v>
      </x:c>
      <x:c r="R190" s="20" t="n">
        <x:f>SUM(M190:Q190)</x:f>
        <x:v>35288.5</x:v>
      </x:c>
      <x:c r="S190" s="20" t="n">
        <x:f>IF(AND(A189=A190,D189=D190),S189+R190,R190)</x:f>
        <x:v>35288.5</x:v>
      </x:c>
      <x:c r="T190" s="20" t="n">
        <x:f>MIN(S190,INDEX(Inputs!$B$20:$D$20,1,MATCH(A190,Inputs!$B$6:$D$6,0)))*INDEX(Inputs!$B$22:$D$22,1,MATCH(A190,Inputs!$B$6:$D$6,0))+MAX(MIN(S190,INDEX(Inputs!$B$21:$D$21,1,MATCH(A190,Inputs!$B$6:$D$6,0)))-INDEX(Inputs!$B$20:$D$20,1,MATCH(A190,Inputs!$B$6:$D$6,0)),0)*INDEX(Inputs!$B$23:$D$23,1,MATCH(A190,Inputs!$B$6:$D$6,0))+MAX(S190-INDEX(Inputs!$B$21:$D$21,1,MATCH(A190,Inputs!$B$6:$D$6,0)),0)*INDEX(Inputs!$B$24:$D$24,1,MATCH(A190,Inputs!$B$6:$D$6,0))</x:f>
        <x:v>3189.5702499999998</x:v>
      </x:c>
      <x:c r="U190" s="20" t="n">
        <x:f>IF(AND(A189=A190,D189=D190),T189,0)</x:f>
        <x:v>0</x:v>
      </x:c>
      <x:c r="V190" s="20" t="n">
        <x:f>T190-U190</x:f>
        <x:v>3189.5702499999998</x:v>
      </x:c>
      <x:c r="W190" s="20" t="n">
        <x:f>R190+V190</x:f>
        <x:v>38478.07025</x:v>
      </x:c>
      <x:c r="X190" s="14" t="str">
        <x:f>IF(ABS(W190-SUM(M190:Q190)-V190)&lt;0.01,"OK","Check")</x:f>
        <x:v>OK</x:v>
      </x:c>
    </x:row>
    <x:row r="191">
      <x:c r="A191" s="14" t="n">
        <x:v>2026</x:v>
      </x:c>
      <x:c r="B191" s="14" t="str">
        <x:v>Q2</x:v>
      </x:c>
      <x:c r="C191" s="14" t="n">
        <x:v>2</x:v>
      </x:c>
      <x:c r="D191" s="14" t="n">
        <x:v>47</x:v>
      </x:c>
      <x:c r="E191" s="14" t="str">
        <x:f>INDEX(Roster!$B$6:$B$108,MATCH(D191,Roster!$A$6:$A$108,0))</x:f>
        <x:v>Assistant Principal</x:v>
      </x:c>
      <x:c r="F191" s="14" t="str">
        <x:f>INDEX(Roster!$F$6:$F$108,MATCH(D191,Roster!$A$6:$A$108,0))</x:f>
        <x:v>No</x:v>
      </x:c>
      <x:c r="G191" s="14" t="n">
        <x:f>INDEX(Inputs!$B$7:$D$7,1,MATCH(A191,Inputs!$B$6:$D$6,0))</x:f>
        <x:v>13</x:v>
      </x:c>
      <x:c r="H191" s="14" t="n">
        <x:f>MIN(=INDEX(Inputs!$B$7:$D$7,1,MATCH(A191,Inputs!$B$6:$D$6,0)),MAX(0,INDEX(Inputs!$B$14:$D$14,1,MATCH(A191,Inputs!$B$6:$D$6,0))-(C191-1)*=INDEX(Inputs!$B$7:$D$7,1,MATCH(A191,Inputs!$B$6:$D$6,0))))</x:f>
        <x:v>13</x:v>
      </x:c>
      <x:c r="I191" s="20" t="n">
        <x:f>INDEX(Inputs!$B$8:$D$8,1,MATCH(A191,Inputs!$B$6:$D$6,0))</x:f>
        <x:v>2395</x:v>
      </x:c>
      <x:c r="J191" s="20" t="n">
        <x:f>INDEX(Roster!$C$6:$C$108,MATCH(D191,Roster!$A$6:$A$108,0))*(1+INDEX(Inputs!$B$9:$D$9,1,MATCH(A191,Inputs!$B$6:$D$6,0)))</x:f>
        <x:v>0</x:v>
      </x:c>
      <x:c r="K191" s="20" t="n">
        <x:f>IF(=INDEX(Roster!$F$6:$F$108,MATCH(D191,Roster!$A$6:$A$108,0))="Yes",0,=INDEX(Inputs!$B$8:$D$8,1,MATCH(A191,Inputs!$B$6:$D$6,0))*IF(=INDEX(Roster!$B$6:$B$108,MATCH(D191,Roster!$A$6:$A$108,0))="Principal",INDEX(Inputs!$B$10:$D$10,1,MATCH(A191,Inputs!$B$6:$D$6,0)),IF(=INDEX(Roster!$B$6:$B$108,MATCH(D191,Roster!$A$6:$A$108,0))="Associate Principal",INDEX(Inputs!$B$11:$D$11,1,MATCH(A191,Inputs!$B$6:$D$6,0)),IF(=INDEX(Roster!$B$6:$B$108,MATCH(D191,Roster!$A$6:$A$108,0))="Assistant Principal",INDEX(Inputs!$B$12:$D$12,1,MATCH(A191,Inputs!$B$6:$D$6,0)),0))))</x:f>
        <x:v>239.5</x:v>
      </x:c>
      <x:c r="L191" s="20" t="n">
        <x:f>IF(INDEX(Roster!$D$6:$D$108,MATCH(D191,Roster!$A$6:$A$108,0))&gt;=25,INDEX(Inputs!$B$19:$D$19,1,MATCH(A191,Inputs!$B$6:$D$6,0)),IF(INDEX(Roster!$D$6:$D$108,MATCH(D191,Roster!$A$6:$A$108,0))&gt;=20,INDEX(Inputs!$B$18:$D$18,1,MATCH(A191,Inputs!$B$6:$D$6,0)),IF(INDEX(Roster!$D$6:$D$108,MATCH(D191,Roster!$A$6:$A$108,0))&gt;=15,INDEX(Inputs!$B$17:$D$17,1,MATCH(A191,Inputs!$B$6:$D$6,0)),IF(INDEX(Roster!$D$6:$D$108,MATCH(D191,Roster!$A$6:$A$108,0))&gt;=10,INDEX(Inputs!$B$16:$D$16,1,MATCH(A191,Inputs!$B$6:$D$6,0)),IF(INDEX(Roster!$D$6:$D$108,MATCH(D191,Roster!$A$6:$A$108,0))&gt;=5,INDEX(Inputs!$B$15:$D$15,1,MATCH(A191,Inputs!$B$6:$D$6,0)),0)))))</x:f>
        <x:v>50</x:v>
      </x:c>
      <x:c r="M191" s="20" t="n">
        <x:f>G191*I191</x:f>
        <x:v>31135</x:v>
      </x:c>
      <x:c r="N191" s="20" t="n">
        <x:f>G191*J191</x:f>
        <x:v>0</x:v>
      </x:c>
      <x:c r="O191" s="20" t="n">
        <x:f>G191*K191</x:f>
        <x:v>3113.5</x:v>
      </x:c>
      <x:c r="P191" s="20" t="n">
        <x:f>G191*L191</x:f>
        <x:v>650</x:v>
      </x:c>
      <x:c r="Q191" s="20" t="n">
        <x:f>H191*INDEX(Inputs!$B$13:$D$13,1,MATCH(A191,Inputs!$B$6:$D$6,0))</x:f>
        <x:v>390</x:v>
      </x:c>
      <x:c r="R191" s="20" t="n">
        <x:f>SUM(M191:Q191)</x:f>
        <x:v>35288.5</x:v>
      </x:c>
      <x:c r="S191" s="20" t="n">
        <x:f>IF(AND(A190=A191,D190=D191),S190+R191,R191)</x:f>
        <x:v>70577</x:v>
      </x:c>
      <x:c r="T191" s="20" t="n">
        <x:f>MIN(S191,INDEX(Inputs!$B$20:$D$20,1,MATCH(A191,Inputs!$B$6:$D$6,0)))*INDEX(Inputs!$B$22:$D$22,1,MATCH(A191,Inputs!$B$6:$D$6,0))+MAX(MIN(S191,INDEX(Inputs!$B$21:$D$21,1,MATCH(A191,Inputs!$B$6:$D$6,0)))-INDEX(Inputs!$B$20:$D$20,1,MATCH(A191,Inputs!$B$6:$D$6,0)),0)*INDEX(Inputs!$B$23:$D$23,1,MATCH(A191,Inputs!$B$6:$D$6,0))+MAX(S191-INDEX(Inputs!$B$21:$D$21,1,MATCH(A191,Inputs!$B$6:$D$6,0)),0)*INDEX(Inputs!$B$24:$D$24,1,MATCH(A191,Inputs!$B$6:$D$6,0))</x:f>
        <x:v>5889.1404999999995</x:v>
      </x:c>
      <x:c r="U191" s="20" t="n">
        <x:f>IF(AND(A190=A191,D190=D191),T190,0)</x:f>
        <x:v>3189.5702499999998</x:v>
      </x:c>
      <x:c r="V191" s="20" t="n">
        <x:f>T191-U191</x:f>
        <x:v>2699.5702499999998</x:v>
      </x:c>
      <x:c r="W191" s="20" t="n">
        <x:f>R191+V191</x:f>
        <x:v>37988.07025</x:v>
      </x:c>
      <x:c r="X191" s="14" t="str">
        <x:f>IF(ABS(W191-SUM(M191:Q191)-V191)&lt;0.01,"OK","Check")</x:f>
        <x:v>OK</x:v>
      </x:c>
    </x:row>
    <x:row r="192">
      <x:c r="A192" s="14" t="n">
        <x:v>2026</x:v>
      </x:c>
      <x:c r="B192" s="14" t="str">
        <x:v>Q3</x:v>
      </x:c>
      <x:c r="C192" s="14" t="n">
        <x:v>3</x:v>
      </x:c>
      <x:c r="D192" s="14" t="n">
        <x:v>47</x:v>
      </x:c>
      <x:c r="E192" s="14" t="str">
        <x:f>INDEX(Roster!$B$6:$B$108,MATCH(D192,Roster!$A$6:$A$108,0))</x:f>
        <x:v>Assistant Principal</x:v>
      </x:c>
      <x:c r="F192" s="14" t="str">
        <x:f>INDEX(Roster!$F$6:$F$108,MATCH(D192,Roster!$A$6:$A$108,0))</x:f>
        <x:v>No</x:v>
      </x:c>
      <x:c r="G192" s="14" t="n">
        <x:f>INDEX(Inputs!$B$7:$D$7,1,MATCH(A192,Inputs!$B$6:$D$6,0))</x:f>
        <x:v>13</x:v>
      </x:c>
      <x:c r="H192" s="14" t="n">
        <x:f>MIN(=INDEX(Inputs!$B$7:$D$7,1,MATCH(A192,Inputs!$B$6:$D$6,0)),MAX(0,INDEX(Inputs!$B$14:$D$14,1,MATCH(A192,Inputs!$B$6:$D$6,0))-(C192-1)*=INDEX(Inputs!$B$7:$D$7,1,MATCH(A192,Inputs!$B$6:$D$6,0))))</x:f>
        <x:v>13</x:v>
      </x:c>
      <x:c r="I192" s="20" t="n">
        <x:f>INDEX(Inputs!$B$8:$D$8,1,MATCH(A192,Inputs!$B$6:$D$6,0))</x:f>
        <x:v>2395</x:v>
      </x:c>
      <x:c r="J192" s="20" t="n">
        <x:f>INDEX(Roster!$C$6:$C$108,MATCH(D192,Roster!$A$6:$A$108,0))*(1+INDEX(Inputs!$B$9:$D$9,1,MATCH(A192,Inputs!$B$6:$D$6,0)))</x:f>
        <x:v>0</x:v>
      </x:c>
      <x:c r="K192" s="20" t="n">
        <x:f>IF(=INDEX(Roster!$F$6:$F$108,MATCH(D192,Roster!$A$6:$A$108,0))="Yes",0,=INDEX(Inputs!$B$8:$D$8,1,MATCH(A192,Inputs!$B$6:$D$6,0))*IF(=INDEX(Roster!$B$6:$B$108,MATCH(D192,Roster!$A$6:$A$108,0))="Principal",INDEX(Inputs!$B$10:$D$10,1,MATCH(A192,Inputs!$B$6:$D$6,0)),IF(=INDEX(Roster!$B$6:$B$108,MATCH(D192,Roster!$A$6:$A$108,0))="Associate Principal",INDEX(Inputs!$B$11:$D$11,1,MATCH(A192,Inputs!$B$6:$D$6,0)),IF(=INDEX(Roster!$B$6:$B$108,MATCH(D192,Roster!$A$6:$A$108,0))="Assistant Principal",INDEX(Inputs!$B$12:$D$12,1,MATCH(A192,Inputs!$B$6:$D$6,0)),0))))</x:f>
        <x:v>239.5</x:v>
      </x:c>
      <x:c r="L192" s="20" t="n">
        <x:f>IF(INDEX(Roster!$D$6:$D$108,MATCH(D192,Roster!$A$6:$A$108,0))&gt;=25,INDEX(Inputs!$B$19:$D$19,1,MATCH(A192,Inputs!$B$6:$D$6,0)),IF(INDEX(Roster!$D$6:$D$108,MATCH(D192,Roster!$A$6:$A$108,0))&gt;=20,INDEX(Inputs!$B$18:$D$18,1,MATCH(A192,Inputs!$B$6:$D$6,0)),IF(INDEX(Roster!$D$6:$D$108,MATCH(D192,Roster!$A$6:$A$108,0))&gt;=15,INDEX(Inputs!$B$17:$D$17,1,MATCH(A192,Inputs!$B$6:$D$6,0)),IF(INDEX(Roster!$D$6:$D$108,MATCH(D192,Roster!$A$6:$A$108,0))&gt;=10,INDEX(Inputs!$B$16:$D$16,1,MATCH(A192,Inputs!$B$6:$D$6,0)),IF(INDEX(Roster!$D$6:$D$108,MATCH(D192,Roster!$A$6:$A$108,0))&gt;=5,INDEX(Inputs!$B$15:$D$15,1,MATCH(A192,Inputs!$B$6:$D$6,0)),0)))))</x:f>
        <x:v>50</x:v>
      </x:c>
      <x:c r="M192" s="20" t="n">
        <x:f>G192*I192</x:f>
        <x:v>31135</x:v>
      </x:c>
      <x:c r="N192" s="20" t="n">
        <x:f>G192*J192</x:f>
        <x:v>0</x:v>
      </x:c>
      <x:c r="O192" s="20" t="n">
        <x:f>G192*K192</x:f>
        <x:v>3113.5</x:v>
      </x:c>
      <x:c r="P192" s="20" t="n">
        <x:f>G192*L192</x:f>
        <x:v>650</x:v>
      </x:c>
      <x:c r="Q192" s="20" t="n">
        <x:f>H192*INDEX(Inputs!$B$13:$D$13,1,MATCH(A192,Inputs!$B$6:$D$6,0))</x:f>
        <x:v>390</x:v>
      </x:c>
      <x:c r="R192" s="20" t="n">
        <x:f>SUM(M192:Q192)</x:f>
        <x:v>35288.5</x:v>
      </x:c>
      <x:c r="S192" s="20" t="n">
        <x:f>IF(AND(A191=A192,D191=D192),S191+R192,R192)</x:f>
        <x:v>105865.5</x:v>
      </x:c>
      <x:c r="T192" s="20" t="n">
        <x:f>MIN(S192,INDEX(Inputs!$B$20:$D$20,1,MATCH(A192,Inputs!$B$6:$D$6,0)))*INDEX(Inputs!$B$22:$D$22,1,MATCH(A192,Inputs!$B$6:$D$6,0))+MAX(MIN(S192,INDEX(Inputs!$B$21:$D$21,1,MATCH(A192,Inputs!$B$6:$D$6,0)))-INDEX(Inputs!$B$20:$D$20,1,MATCH(A192,Inputs!$B$6:$D$6,0)),0)*INDEX(Inputs!$B$23:$D$23,1,MATCH(A192,Inputs!$B$6:$D$6,0))+MAX(S192-INDEX(Inputs!$B$21:$D$21,1,MATCH(A192,Inputs!$B$6:$D$6,0)),0)*INDEX(Inputs!$B$24:$D$24,1,MATCH(A192,Inputs!$B$6:$D$6,0))</x:f>
        <x:v>8588.71075</x:v>
      </x:c>
      <x:c r="U192" s="20" t="n">
        <x:f>IF(AND(A191=A192,D191=D192),T191,0)</x:f>
        <x:v>5889.1404999999995</x:v>
      </x:c>
      <x:c r="V192" s="20" t="n">
        <x:f>T192-U192</x:f>
        <x:v>2699.5702500000007</x:v>
      </x:c>
      <x:c r="W192" s="20" t="n">
        <x:f>R192+V192</x:f>
        <x:v>37988.070250000004</x:v>
      </x:c>
      <x:c r="X192" s="14" t="str">
        <x:f>IF(ABS(W192-SUM(M192:Q192)-V192)&lt;0.01,"OK","Check")</x:f>
        <x:v>OK</x:v>
      </x:c>
    </x:row>
    <x:row r="193">
      <x:c r="A193" s="14" t="n">
        <x:v>2026</x:v>
      </x:c>
      <x:c r="B193" s="14" t="str">
        <x:v>Q4</x:v>
      </x:c>
      <x:c r="C193" s="14" t="n">
        <x:v>4</x:v>
      </x:c>
      <x:c r="D193" s="14" t="n">
        <x:v>47</x:v>
      </x:c>
      <x:c r="E193" s="14" t="str">
        <x:f>INDEX(Roster!$B$6:$B$108,MATCH(D193,Roster!$A$6:$A$108,0))</x:f>
        <x:v>Assistant Principal</x:v>
      </x:c>
      <x:c r="F193" s="14" t="str">
        <x:f>INDEX(Roster!$F$6:$F$108,MATCH(D193,Roster!$A$6:$A$108,0))</x:f>
        <x:v>No</x:v>
      </x:c>
      <x:c r="G193" s="14" t="n">
        <x:f>INDEX(Inputs!$B$7:$D$7,1,MATCH(A193,Inputs!$B$6:$D$6,0))</x:f>
        <x:v>13</x:v>
      </x:c>
      <x:c r="H193" s="14" t="n">
        <x:f>MIN(=INDEX(Inputs!$B$7:$D$7,1,MATCH(A193,Inputs!$B$6:$D$6,0)),MAX(0,INDEX(Inputs!$B$14:$D$14,1,MATCH(A193,Inputs!$B$6:$D$6,0))-(C193-1)*=INDEX(Inputs!$B$7:$D$7,1,MATCH(A193,Inputs!$B$6:$D$6,0))))</x:f>
        <x:v>0</x:v>
      </x:c>
      <x:c r="I193" s="20" t="n">
        <x:f>INDEX(Inputs!$B$8:$D$8,1,MATCH(A193,Inputs!$B$6:$D$6,0))</x:f>
        <x:v>2395</x:v>
      </x:c>
      <x:c r="J193" s="20" t="n">
        <x:f>INDEX(Roster!$C$6:$C$108,MATCH(D193,Roster!$A$6:$A$108,0))*(1+INDEX(Inputs!$B$9:$D$9,1,MATCH(A193,Inputs!$B$6:$D$6,0)))</x:f>
        <x:v>0</x:v>
      </x:c>
      <x:c r="K193" s="20" t="n">
        <x:f>IF(=INDEX(Roster!$F$6:$F$108,MATCH(D193,Roster!$A$6:$A$108,0))="Yes",0,=INDEX(Inputs!$B$8:$D$8,1,MATCH(A193,Inputs!$B$6:$D$6,0))*IF(=INDEX(Roster!$B$6:$B$108,MATCH(D193,Roster!$A$6:$A$108,0))="Principal",INDEX(Inputs!$B$10:$D$10,1,MATCH(A193,Inputs!$B$6:$D$6,0)),IF(=INDEX(Roster!$B$6:$B$108,MATCH(D193,Roster!$A$6:$A$108,0))="Associate Principal",INDEX(Inputs!$B$11:$D$11,1,MATCH(A193,Inputs!$B$6:$D$6,0)),IF(=INDEX(Roster!$B$6:$B$108,MATCH(D193,Roster!$A$6:$A$108,0))="Assistant Principal",INDEX(Inputs!$B$12:$D$12,1,MATCH(A193,Inputs!$B$6:$D$6,0)),0))))</x:f>
        <x:v>239.5</x:v>
      </x:c>
      <x:c r="L193" s="20" t="n">
        <x:f>IF(INDEX(Roster!$D$6:$D$108,MATCH(D193,Roster!$A$6:$A$108,0))&gt;=25,INDEX(Inputs!$B$19:$D$19,1,MATCH(A193,Inputs!$B$6:$D$6,0)),IF(INDEX(Roster!$D$6:$D$108,MATCH(D193,Roster!$A$6:$A$108,0))&gt;=20,INDEX(Inputs!$B$18:$D$18,1,MATCH(A193,Inputs!$B$6:$D$6,0)),IF(INDEX(Roster!$D$6:$D$108,MATCH(D193,Roster!$A$6:$A$108,0))&gt;=15,INDEX(Inputs!$B$17:$D$17,1,MATCH(A193,Inputs!$B$6:$D$6,0)),IF(INDEX(Roster!$D$6:$D$108,MATCH(D193,Roster!$A$6:$A$108,0))&gt;=10,INDEX(Inputs!$B$16:$D$16,1,MATCH(A193,Inputs!$B$6:$D$6,0)),IF(INDEX(Roster!$D$6:$D$108,MATCH(D193,Roster!$A$6:$A$108,0))&gt;=5,INDEX(Inputs!$B$15:$D$15,1,MATCH(A193,Inputs!$B$6:$D$6,0)),0)))))</x:f>
        <x:v>50</x:v>
      </x:c>
      <x:c r="M193" s="20" t="n">
        <x:f>G193*I193</x:f>
        <x:v>31135</x:v>
      </x:c>
      <x:c r="N193" s="20" t="n">
        <x:f>G193*J193</x:f>
        <x:v>0</x:v>
      </x:c>
      <x:c r="O193" s="20" t="n">
        <x:f>G193*K193</x:f>
        <x:v>3113.5</x:v>
      </x:c>
      <x:c r="P193" s="20" t="n">
        <x:f>G193*L193</x:f>
        <x:v>650</x:v>
      </x:c>
      <x:c r="Q193" s="20" t="n">
        <x:f>H193*INDEX(Inputs!$B$13:$D$13,1,MATCH(A193,Inputs!$B$6:$D$6,0))</x:f>
        <x:v>0</x:v>
      </x:c>
      <x:c r="R193" s="20" t="n">
        <x:f>SUM(M193:Q193)</x:f>
        <x:v>34898.5</x:v>
      </x:c>
      <x:c r="S193" s="20" t="n">
        <x:f>IF(AND(A192=A193,D192=D193),S192+R193,R193)</x:f>
        <x:v>140764</x:v>
      </x:c>
      <x:c r="T193" s="20" t="n">
        <x:f>MIN(S193,INDEX(Inputs!$B$20:$D$20,1,MATCH(A193,Inputs!$B$6:$D$6,0)))*INDEX(Inputs!$B$22:$D$22,1,MATCH(A193,Inputs!$B$6:$D$6,0))+MAX(MIN(S193,INDEX(Inputs!$B$21:$D$21,1,MATCH(A193,Inputs!$B$6:$D$6,0)))-INDEX(Inputs!$B$20:$D$20,1,MATCH(A193,Inputs!$B$6:$D$6,0)),0)*INDEX(Inputs!$B$23:$D$23,1,MATCH(A193,Inputs!$B$6:$D$6,0))+MAX(S193-INDEX(Inputs!$B$21:$D$21,1,MATCH(A193,Inputs!$B$6:$D$6,0)),0)*INDEX(Inputs!$B$24:$D$24,1,MATCH(A193,Inputs!$B$6:$D$6,0))</x:f>
        <x:v>9955.02</x:v>
      </x:c>
      <x:c r="U193" s="20" t="n">
        <x:f>IF(AND(A192=A193,D192=D193),T192,0)</x:f>
        <x:v>8588.71075</x:v>
      </x:c>
      <x:c r="V193" s="20" t="n">
        <x:f>T193-U193</x:f>
        <x:v>1366.3092500000002</x:v>
      </x:c>
      <x:c r="W193" s="20" t="n">
        <x:f>R193+V193</x:f>
        <x:v>36264.80925</x:v>
      </x:c>
      <x:c r="X193" s="14" t="str">
        <x:f>IF(ABS(W193-SUM(M193:Q193)-V193)&lt;0.01,"OK","Check")</x:f>
        <x:v>OK</x:v>
      </x:c>
    </x:row>
    <x:row r="194">
      <x:c r="A194" s="14" t="n">
        <x:v>2026</x:v>
      </x:c>
      <x:c r="B194" s="14" t="str">
        <x:v>Q1</x:v>
      </x:c>
      <x:c r="C194" s="14" t="n">
        <x:v>1</x:v>
      </x:c>
      <x:c r="D194" s="14" t="n">
        <x:v>48</x:v>
      </x:c>
      <x:c r="E194" s="14" t="str">
        <x:f>INDEX(Roster!$B$6:$B$108,MATCH(D194,Roster!$A$6:$A$108,0))</x:f>
        <x:v>Principal</x:v>
      </x:c>
      <x:c r="F194" s="14" t="str">
        <x:f>INDEX(Roster!$F$6:$F$108,MATCH(D194,Roster!$A$6:$A$108,0))</x:f>
        <x:v>No</x:v>
      </x:c>
      <x:c r="G194" s="14" t="n">
        <x:f>INDEX(Inputs!$B$7:$D$7,1,MATCH(A194,Inputs!$B$6:$D$6,0))</x:f>
        <x:v>13</x:v>
      </x:c>
      <x:c r="H194" s="14" t="n">
        <x:f>MIN(=INDEX(Inputs!$B$7:$D$7,1,MATCH(A194,Inputs!$B$6:$D$6,0)),MAX(0,INDEX(Inputs!$B$14:$D$14,1,MATCH(A194,Inputs!$B$6:$D$6,0))-(C194-1)*=INDEX(Inputs!$B$7:$D$7,1,MATCH(A194,Inputs!$B$6:$D$6,0))))</x:f>
        <x:v>13</x:v>
      </x:c>
      <x:c r="I194" s="20" t="n">
        <x:f>INDEX(Inputs!$B$8:$D$8,1,MATCH(A194,Inputs!$B$6:$D$6,0))</x:f>
        <x:v>2395</x:v>
      </x:c>
      <x:c r="J194" s="20" t="n">
        <x:f>INDEX(Roster!$C$6:$C$108,MATCH(D194,Roster!$A$6:$A$108,0))*(1+INDEX(Inputs!$B$9:$D$9,1,MATCH(A194,Inputs!$B$6:$D$6,0)))</x:f>
        <x:v>0</x:v>
      </x:c>
      <x:c r="K194" s="20" t="n">
        <x:f>IF(=INDEX(Roster!$F$6:$F$108,MATCH(D194,Roster!$A$6:$A$108,0))="Yes",0,=INDEX(Inputs!$B$8:$D$8,1,MATCH(A194,Inputs!$B$6:$D$6,0))*IF(=INDEX(Roster!$B$6:$B$108,MATCH(D194,Roster!$A$6:$A$108,0))="Principal",INDEX(Inputs!$B$10:$D$10,1,MATCH(A194,Inputs!$B$6:$D$6,0)),IF(=INDEX(Roster!$B$6:$B$108,MATCH(D194,Roster!$A$6:$A$108,0))="Associate Principal",INDEX(Inputs!$B$11:$D$11,1,MATCH(A194,Inputs!$B$6:$D$6,0)),IF(=INDEX(Roster!$B$6:$B$108,MATCH(D194,Roster!$A$6:$A$108,0))="Assistant Principal",INDEX(Inputs!$B$12:$D$12,1,MATCH(A194,Inputs!$B$6:$D$6,0)),0))))</x:f>
        <x:v>479</x:v>
      </x:c>
      <x:c r="L194" s="20" t="n">
        <x:f>IF(INDEX(Roster!$D$6:$D$108,MATCH(D194,Roster!$A$6:$A$108,0))&gt;=25,INDEX(Inputs!$B$19:$D$19,1,MATCH(A194,Inputs!$B$6:$D$6,0)),IF(INDEX(Roster!$D$6:$D$108,MATCH(D194,Roster!$A$6:$A$108,0))&gt;=20,INDEX(Inputs!$B$18:$D$18,1,MATCH(A194,Inputs!$B$6:$D$6,0)),IF(INDEX(Roster!$D$6:$D$108,MATCH(D194,Roster!$A$6:$A$108,0))&gt;=15,INDEX(Inputs!$B$17:$D$17,1,MATCH(A194,Inputs!$B$6:$D$6,0)),IF(INDEX(Roster!$D$6:$D$108,MATCH(D194,Roster!$A$6:$A$108,0))&gt;=10,INDEX(Inputs!$B$16:$D$16,1,MATCH(A194,Inputs!$B$6:$D$6,0)),IF(INDEX(Roster!$D$6:$D$108,MATCH(D194,Roster!$A$6:$A$108,0))&gt;=5,INDEX(Inputs!$B$15:$D$15,1,MATCH(A194,Inputs!$B$6:$D$6,0)),0)))))</x:f>
        <x:v>90</x:v>
      </x:c>
      <x:c r="M194" s="20" t="n">
        <x:f>G194*I194</x:f>
        <x:v>31135</x:v>
      </x:c>
      <x:c r="N194" s="20" t="n">
        <x:f>G194*J194</x:f>
        <x:v>0</x:v>
      </x:c>
      <x:c r="O194" s="20" t="n">
        <x:f>G194*K194</x:f>
        <x:v>6227</x:v>
      </x:c>
      <x:c r="P194" s="20" t="n">
        <x:f>G194*L194</x:f>
        <x:v>1170</x:v>
      </x:c>
      <x:c r="Q194" s="20" t="n">
        <x:f>H194*INDEX(Inputs!$B$13:$D$13,1,MATCH(A194,Inputs!$B$6:$D$6,0))</x:f>
        <x:v>390</x:v>
      </x:c>
      <x:c r="R194" s="20" t="n">
        <x:f>SUM(M194:Q194)</x:f>
        <x:v>38922</x:v>
      </x:c>
      <x:c r="S194" s="20" t="n">
        <x:f>IF(AND(A193=A194,D193=D194),S193+R194,R194)</x:f>
        <x:v>38922</x:v>
      </x:c>
      <x:c r="T194" s="20" t="n">
        <x:f>MIN(S194,INDEX(Inputs!$B$20:$D$20,1,MATCH(A194,Inputs!$B$6:$D$6,0)))*INDEX(Inputs!$B$22:$D$22,1,MATCH(A194,Inputs!$B$6:$D$6,0))+MAX(MIN(S194,INDEX(Inputs!$B$21:$D$21,1,MATCH(A194,Inputs!$B$6:$D$6,0)))-INDEX(Inputs!$B$20:$D$20,1,MATCH(A194,Inputs!$B$6:$D$6,0)),0)*INDEX(Inputs!$B$23:$D$23,1,MATCH(A194,Inputs!$B$6:$D$6,0))+MAX(S194-INDEX(Inputs!$B$21:$D$21,1,MATCH(A194,Inputs!$B$6:$D$6,0)),0)*INDEX(Inputs!$B$24:$D$24,1,MATCH(A194,Inputs!$B$6:$D$6,0))</x:f>
        <x:v>3467.533</x:v>
      </x:c>
      <x:c r="U194" s="20" t="n">
        <x:f>IF(AND(A193=A194,D193=D194),T193,0)</x:f>
        <x:v>0</x:v>
      </x:c>
      <x:c r="V194" s="20" t="n">
        <x:f>T194-U194</x:f>
        <x:v>3467.533</x:v>
      </x:c>
      <x:c r="W194" s="20" t="n">
        <x:f>R194+V194</x:f>
        <x:v>42389.533</x:v>
      </x:c>
      <x:c r="X194" s="14" t="str">
        <x:f>IF(ABS(W194-SUM(M194:Q194)-V194)&lt;0.01,"OK","Check")</x:f>
        <x:v>OK</x:v>
      </x:c>
    </x:row>
    <x:row r="195">
      <x:c r="A195" s="14" t="n">
        <x:v>2026</x:v>
      </x:c>
      <x:c r="B195" s="14" t="str">
        <x:v>Q2</x:v>
      </x:c>
      <x:c r="C195" s="14" t="n">
        <x:v>2</x:v>
      </x:c>
      <x:c r="D195" s="14" t="n">
        <x:v>48</x:v>
      </x:c>
      <x:c r="E195" s="14" t="str">
        <x:f>INDEX(Roster!$B$6:$B$108,MATCH(D195,Roster!$A$6:$A$108,0))</x:f>
        <x:v>Principal</x:v>
      </x:c>
      <x:c r="F195" s="14" t="str">
        <x:f>INDEX(Roster!$F$6:$F$108,MATCH(D195,Roster!$A$6:$A$108,0))</x:f>
        <x:v>No</x:v>
      </x:c>
      <x:c r="G195" s="14" t="n">
        <x:f>INDEX(Inputs!$B$7:$D$7,1,MATCH(A195,Inputs!$B$6:$D$6,0))</x:f>
        <x:v>13</x:v>
      </x:c>
      <x:c r="H195" s="14" t="n">
        <x:f>MIN(=INDEX(Inputs!$B$7:$D$7,1,MATCH(A195,Inputs!$B$6:$D$6,0)),MAX(0,INDEX(Inputs!$B$14:$D$14,1,MATCH(A195,Inputs!$B$6:$D$6,0))-(C195-1)*=INDEX(Inputs!$B$7:$D$7,1,MATCH(A195,Inputs!$B$6:$D$6,0))))</x:f>
        <x:v>13</x:v>
      </x:c>
      <x:c r="I195" s="20" t="n">
        <x:f>INDEX(Inputs!$B$8:$D$8,1,MATCH(A195,Inputs!$B$6:$D$6,0))</x:f>
        <x:v>2395</x:v>
      </x:c>
      <x:c r="J195" s="20" t="n">
        <x:f>INDEX(Roster!$C$6:$C$108,MATCH(D195,Roster!$A$6:$A$108,0))*(1+INDEX(Inputs!$B$9:$D$9,1,MATCH(A195,Inputs!$B$6:$D$6,0)))</x:f>
        <x:v>0</x:v>
      </x:c>
      <x:c r="K195" s="20" t="n">
        <x:f>IF(=INDEX(Roster!$F$6:$F$108,MATCH(D195,Roster!$A$6:$A$108,0))="Yes",0,=INDEX(Inputs!$B$8:$D$8,1,MATCH(A195,Inputs!$B$6:$D$6,0))*IF(=INDEX(Roster!$B$6:$B$108,MATCH(D195,Roster!$A$6:$A$108,0))="Principal",INDEX(Inputs!$B$10:$D$10,1,MATCH(A195,Inputs!$B$6:$D$6,0)),IF(=INDEX(Roster!$B$6:$B$108,MATCH(D195,Roster!$A$6:$A$108,0))="Associate Principal",INDEX(Inputs!$B$11:$D$11,1,MATCH(A195,Inputs!$B$6:$D$6,0)),IF(=INDEX(Roster!$B$6:$B$108,MATCH(D195,Roster!$A$6:$A$108,0))="Assistant Principal",INDEX(Inputs!$B$12:$D$12,1,MATCH(A195,Inputs!$B$6:$D$6,0)),0))))</x:f>
        <x:v>479</x:v>
      </x:c>
      <x:c r="L195" s="20" t="n">
        <x:f>IF(INDEX(Roster!$D$6:$D$108,MATCH(D195,Roster!$A$6:$A$108,0))&gt;=25,INDEX(Inputs!$B$19:$D$19,1,MATCH(A195,Inputs!$B$6:$D$6,0)),IF(INDEX(Roster!$D$6:$D$108,MATCH(D195,Roster!$A$6:$A$108,0))&gt;=20,INDEX(Inputs!$B$18:$D$18,1,MATCH(A195,Inputs!$B$6:$D$6,0)),IF(INDEX(Roster!$D$6:$D$108,MATCH(D195,Roster!$A$6:$A$108,0))&gt;=15,INDEX(Inputs!$B$17:$D$17,1,MATCH(A195,Inputs!$B$6:$D$6,0)),IF(INDEX(Roster!$D$6:$D$108,MATCH(D195,Roster!$A$6:$A$108,0))&gt;=10,INDEX(Inputs!$B$16:$D$16,1,MATCH(A195,Inputs!$B$6:$D$6,0)),IF(INDEX(Roster!$D$6:$D$108,MATCH(D195,Roster!$A$6:$A$108,0))&gt;=5,INDEX(Inputs!$B$15:$D$15,1,MATCH(A195,Inputs!$B$6:$D$6,0)),0)))))</x:f>
        <x:v>90</x:v>
      </x:c>
      <x:c r="M195" s="20" t="n">
        <x:f>G195*I195</x:f>
        <x:v>31135</x:v>
      </x:c>
      <x:c r="N195" s="20" t="n">
        <x:f>G195*J195</x:f>
        <x:v>0</x:v>
      </x:c>
      <x:c r="O195" s="20" t="n">
        <x:f>G195*K195</x:f>
        <x:v>6227</x:v>
      </x:c>
      <x:c r="P195" s="20" t="n">
        <x:f>G195*L195</x:f>
        <x:v>1170</x:v>
      </x:c>
      <x:c r="Q195" s="20" t="n">
        <x:f>H195*INDEX(Inputs!$B$13:$D$13,1,MATCH(A195,Inputs!$B$6:$D$6,0))</x:f>
        <x:v>390</x:v>
      </x:c>
      <x:c r="R195" s="20" t="n">
        <x:f>SUM(M195:Q195)</x:f>
        <x:v>38922</x:v>
      </x:c>
      <x:c r="S195" s="20" t="n">
        <x:f>IF(AND(A194=A195,D194=D195),S194+R195,R195)</x:f>
        <x:v>77844</x:v>
      </x:c>
      <x:c r="T195" s="20" t="n">
        <x:f>MIN(S195,INDEX(Inputs!$B$20:$D$20,1,MATCH(A195,Inputs!$B$6:$D$6,0)))*INDEX(Inputs!$B$22:$D$22,1,MATCH(A195,Inputs!$B$6:$D$6,0))+MAX(MIN(S195,INDEX(Inputs!$B$21:$D$21,1,MATCH(A195,Inputs!$B$6:$D$6,0)))-INDEX(Inputs!$B$20:$D$20,1,MATCH(A195,Inputs!$B$6:$D$6,0)),0)*INDEX(Inputs!$B$23:$D$23,1,MATCH(A195,Inputs!$B$6:$D$6,0))+MAX(S195-INDEX(Inputs!$B$21:$D$21,1,MATCH(A195,Inputs!$B$6:$D$6,0)),0)*INDEX(Inputs!$B$24:$D$24,1,MATCH(A195,Inputs!$B$6:$D$6,0))</x:f>
        <x:v>6445.066</x:v>
      </x:c>
      <x:c r="U195" s="20" t="n">
        <x:f>IF(AND(A194=A195,D194=D195),T194,0)</x:f>
        <x:v>3467.533</x:v>
      </x:c>
      <x:c r="V195" s="20" t="n">
        <x:f>T195-U195</x:f>
        <x:v>2977.533</x:v>
      </x:c>
      <x:c r="W195" s="20" t="n">
        <x:f>R195+V195</x:f>
        <x:v>41899.533</x:v>
      </x:c>
      <x:c r="X195" s="14" t="str">
        <x:f>IF(ABS(W195-SUM(M195:Q195)-V195)&lt;0.01,"OK","Check")</x:f>
        <x:v>OK</x:v>
      </x:c>
    </x:row>
    <x:row r="196">
      <x:c r="A196" s="14" t="n">
        <x:v>2026</x:v>
      </x:c>
      <x:c r="B196" s="14" t="str">
        <x:v>Q3</x:v>
      </x:c>
      <x:c r="C196" s="14" t="n">
        <x:v>3</x:v>
      </x:c>
      <x:c r="D196" s="14" t="n">
        <x:v>48</x:v>
      </x:c>
      <x:c r="E196" s="14" t="str">
        <x:f>INDEX(Roster!$B$6:$B$108,MATCH(D196,Roster!$A$6:$A$108,0))</x:f>
        <x:v>Principal</x:v>
      </x:c>
      <x:c r="F196" s="14" t="str">
        <x:f>INDEX(Roster!$F$6:$F$108,MATCH(D196,Roster!$A$6:$A$108,0))</x:f>
        <x:v>No</x:v>
      </x:c>
      <x:c r="G196" s="14" t="n">
        <x:f>INDEX(Inputs!$B$7:$D$7,1,MATCH(A196,Inputs!$B$6:$D$6,0))</x:f>
        <x:v>13</x:v>
      </x:c>
      <x:c r="H196" s="14" t="n">
        <x:f>MIN(=INDEX(Inputs!$B$7:$D$7,1,MATCH(A196,Inputs!$B$6:$D$6,0)),MAX(0,INDEX(Inputs!$B$14:$D$14,1,MATCH(A196,Inputs!$B$6:$D$6,0))-(C196-1)*=INDEX(Inputs!$B$7:$D$7,1,MATCH(A196,Inputs!$B$6:$D$6,0))))</x:f>
        <x:v>13</x:v>
      </x:c>
      <x:c r="I196" s="20" t="n">
        <x:f>INDEX(Inputs!$B$8:$D$8,1,MATCH(A196,Inputs!$B$6:$D$6,0))</x:f>
        <x:v>2395</x:v>
      </x:c>
      <x:c r="J196" s="20" t="n">
        <x:f>INDEX(Roster!$C$6:$C$108,MATCH(D196,Roster!$A$6:$A$108,0))*(1+INDEX(Inputs!$B$9:$D$9,1,MATCH(A196,Inputs!$B$6:$D$6,0)))</x:f>
        <x:v>0</x:v>
      </x:c>
      <x:c r="K196" s="20" t="n">
        <x:f>IF(=INDEX(Roster!$F$6:$F$108,MATCH(D196,Roster!$A$6:$A$108,0))="Yes",0,=INDEX(Inputs!$B$8:$D$8,1,MATCH(A196,Inputs!$B$6:$D$6,0))*IF(=INDEX(Roster!$B$6:$B$108,MATCH(D196,Roster!$A$6:$A$108,0))="Principal",INDEX(Inputs!$B$10:$D$10,1,MATCH(A196,Inputs!$B$6:$D$6,0)),IF(=INDEX(Roster!$B$6:$B$108,MATCH(D196,Roster!$A$6:$A$108,0))="Associate Principal",INDEX(Inputs!$B$11:$D$11,1,MATCH(A196,Inputs!$B$6:$D$6,0)),IF(=INDEX(Roster!$B$6:$B$108,MATCH(D196,Roster!$A$6:$A$108,0))="Assistant Principal",INDEX(Inputs!$B$12:$D$12,1,MATCH(A196,Inputs!$B$6:$D$6,0)),0))))</x:f>
        <x:v>479</x:v>
      </x:c>
      <x:c r="L196" s="20" t="n">
        <x:f>IF(INDEX(Roster!$D$6:$D$108,MATCH(D196,Roster!$A$6:$A$108,0))&gt;=25,INDEX(Inputs!$B$19:$D$19,1,MATCH(A196,Inputs!$B$6:$D$6,0)),IF(INDEX(Roster!$D$6:$D$108,MATCH(D196,Roster!$A$6:$A$108,0))&gt;=20,INDEX(Inputs!$B$18:$D$18,1,MATCH(A196,Inputs!$B$6:$D$6,0)),IF(INDEX(Roster!$D$6:$D$108,MATCH(D196,Roster!$A$6:$A$108,0))&gt;=15,INDEX(Inputs!$B$17:$D$17,1,MATCH(A196,Inputs!$B$6:$D$6,0)),IF(INDEX(Roster!$D$6:$D$108,MATCH(D196,Roster!$A$6:$A$108,0))&gt;=10,INDEX(Inputs!$B$16:$D$16,1,MATCH(A196,Inputs!$B$6:$D$6,0)),IF(INDEX(Roster!$D$6:$D$108,MATCH(D196,Roster!$A$6:$A$108,0))&gt;=5,INDEX(Inputs!$B$15:$D$15,1,MATCH(A196,Inputs!$B$6:$D$6,0)),0)))))</x:f>
        <x:v>90</x:v>
      </x:c>
      <x:c r="M196" s="20" t="n">
        <x:f>G196*I196</x:f>
        <x:v>31135</x:v>
      </x:c>
      <x:c r="N196" s="20" t="n">
        <x:f>G196*J196</x:f>
        <x:v>0</x:v>
      </x:c>
      <x:c r="O196" s="20" t="n">
        <x:f>G196*K196</x:f>
        <x:v>6227</x:v>
      </x:c>
      <x:c r="P196" s="20" t="n">
        <x:f>G196*L196</x:f>
        <x:v>1170</x:v>
      </x:c>
      <x:c r="Q196" s="20" t="n">
        <x:f>H196*INDEX(Inputs!$B$13:$D$13,1,MATCH(A196,Inputs!$B$6:$D$6,0))</x:f>
        <x:v>390</x:v>
      </x:c>
      <x:c r="R196" s="20" t="n">
        <x:f>SUM(M196:Q196)</x:f>
        <x:v>38922</x:v>
      </x:c>
      <x:c r="S196" s="20" t="n">
        <x:f>IF(AND(A195=A196,D195=D196),S195+R196,R196)</x:f>
        <x:v>116766</x:v>
      </x:c>
      <x:c r="T196" s="20" t="n">
        <x:f>MIN(S196,INDEX(Inputs!$B$20:$D$20,1,MATCH(A196,Inputs!$B$6:$D$6,0)))*INDEX(Inputs!$B$22:$D$22,1,MATCH(A196,Inputs!$B$6:$D$6,0))+MAX(MIN(S196,INDEX(Inputs!$B$21:$D$21,1,MATCH(A196,Inputs!$B$6:$D$6,0)))-INDEX(Inputs!$B$20:$D$20,1,MATCH(A196,Inputs!$B$6:$D$6,0)),0)*INDEX(Inputs!$B$23:$D$23,1,MATCH(A196,Inputs!$B$6:$D$6,0))+MAX(S196-INDEX(Inputs!$B$21:$D$21,1,MATCH(A196,Inputs!$B$6:$D$6,0)),0)*INDEX(Inputs!$B$24:$D$24,1,MATCH(A196,Inputs!$B$6:$D$6,0))</x:f>
        <x:v>9422.599</x:v>
      </x:c>
      <x:c r="U196" s="20" t="n">
        <x:f>IF(AND(A195=A196,D195=D196),T195,0)</x:f>
        <x:v>6445.066</x:v>
      </x:c>
      <x:c r="V196" s="20" t="n">
        <x:f>T196-U196</x:f>
        <x:v>2977.5330000000004</x:v>
      </x:c>
      <x:c r="W196" s="20" t="n">
        <x:f>R196+V196</x:f>
        <x:v>41899.533</x:v>
      </x:c>
      <x:c r="X196" s="14" t="str">
        <x:f>IF(ABS(W196-SUM(M196:Q196)-V196)&lt;0.01,"OK","Check")</x:f>
        <x:v>OK</x:v>
      </x:c>
    </x:row>
    <x:row r="197">
      <x:c r="A197" s="14" t="n">
        <x:v>2026</x:v>
      </x:c>
      <x:c r="B197" s="14" t="str">
        <x:v>Q4</x:v>
      </x:c>
      <x:c r="C197" s="14" t="n">
        <x:v>4</x:v>
      </x:c>
      <x:c r="D197" s="14" t="n">
        <x:v>48</x:v>
      </x:c>
      <x:c r="E197" s="14" t="str">
        <x:f>INDEX(Roster!$B$6:$B$108,MATCH(D197,Roster!$A$6:$A$108,0))</x:f>
        <x:v>Principal</x:v>
      </x:c>
      <x:c r="F197" s="14" t="str">
        <x:f>INDEX(Roster!$F$6:$F$108,MATCH(D197,Roster!$A$6:$A$108,0))</x:f>
        <x:v>No</x:v>
      </x:c>
      <x:c r="G197" s="14" t="n">
        <x:f>INDEX(Inputs!$B$7:$D$7,1,MATCH(A197,Inputs!$B$6:$D$6,0))</x:f>
        <x:v>13</x:v>
      </x:c>
      <x:c r="H197" s="14" t="n">
        <x:f>MIN(=INDEX(Inputs!$B$7:$D$7,1,MATCH(A197,Inputs!$B$6:$D$6,0)),MAX(0,INDEX(Inputs!$B$14:$D$14,1,MATCH(A197,Inputs!$B$6:$D$6,0))-(C197-1)*=INDEX(Inputs!$B$7:$D$7,1,MATCH(A197,Inputs!$B$6:$D$6,0))))</x:f>
        <x:v>0</x:v>
      </x:c>
      <x:c r="I197" s="20" t="n">
        <x:f>INDEX(Inputs!$B$8:$D$8,1,MATCH(A197,Inputs!$B$6:$D$6,0))</x:f>
        <x:v>2395</x:v>
      </x:c>
      <x:c r="J197" s="20" t="n">
        <x:f>INDEX(Roster!$C$6:$C$108,MATCH(D197,Roster!$A$6:$A$108,0))*(1+INDEX(Inputs!$B$9:$D$9,1,MATCH(A197,Inputs!$B$6:$D$6,0)))</x:f>
        <x:v>0</x:v>
      </x:c>
      <x:c r="K197" s="20" t="n">
        <x:f>IF(=INDEX(Roster!$F$6:$F$108,MATCH(D197,Roster!$A$6:$A$108,0))="Yes",0,=INDEX(Inputs!$B$8:$D$8,1,MATCH(A197,Inputs!$B$6:$D$6,0))*IF(=INDEX(Roster!$B$6:$B$108,MATCH(D197,Roster!$A$6:$A$108,0))="Principal",INDEX(Inputs!$B$10:$D$10,1,MATCH(A197,Inputs!$B$6:$D$6,0)),IF(=INDEX(Roster!$B$6:$B$108,MATCH(D197,Roster!$A$6:$A$108,0))="Associate Principal",INDEX(Inputs!$B$11:$D$11,1,MATCH(A197,Inputs!$B$6:$D$6,0)),IF(=INDEX(Roster!$B$6:$B$108,MATCH(D197,Roster!$A$6:$A$108,0))="Assistant Principal",INDEX(Inputs!$B$12:$D$12,1,MATCH(A197,Inputs!$B$6:$D$6,0)),0))))</x:f>
        <x:v>479</x:v>
      </x:c>
      <x:c r="L197" s="20" t="n">
        <x:f>IF(INDEX(Roster!$D$6:$D$108,MATCH(D197,Roster!$A$6:$A$108,0))&gt;=25,INDEX(Inputs!$B$19:$D$19,1,MATCH(A197,Inputs!$B$6:$D$6,0)),IF(INDEX(Roster!$D$6:$D$108,MATCH(D197,Roster!$A$6:$A$108,0))&gt;=20,INDEX(Inputs!$B$18:$D$18,1,MATCH(A197,Inputs!$B$6:$D$6,0)),IF(INDEX(Roster!$D$6:$D$108,MATCH(D197,Roster!$A$6:$A$108,0))&gt;=15,INDEX(Inputs!$B$17:$D$17,1,MATCH(A197,Inputs!$B$6:$D$6,0)),IF(INDEX(Roster!$D$6:$D$108,MATCH(D197,Roster!$A$6:$A$108,0))&gt;=10,INDEX(Inputs!$B$16:$D$16,1,MATCH(A197,Inputs!$B$6:$D$6,0)),IF(INDEX(Roster!$D$6:$D$108,MATCH(D197,Roster!$A$6:$A$108,0))&gt;=5,INDEX(Inputs!$B$15:$D$15,1,MATCH(A197,Inputs!$B$6:$D$6,0)),0)))))</x:f>
        <x:v>90</x:v>
      </x:c>
      <x:c r="M197" s="20" t="n">
        <x:f>G197*I197</x:f>
        <x:v>31135</x:v>
      </x:c>
      <x:c r="N197" s="20" t="n">
        <x:f>G197*J197</x:f>
        <x:v>0</x:v>
      </x:c>
      <x:c r="O197" s="20" t="n">
        <x:f>G197*K197</x:f>
        <x:v>6227</x:v>
      </x:c>
      <x:c r="P197" s="20" t="n">
        <x:f>G197*L197</x:f>
        <x:v>1170</x:v>
      </x:c>
      <x:c r="Q197" s="20" t="n">
        <x:f>H197*INDEX(Inputs!$B$13:$D$13,1,MATCH(A197,Inputs!$B$6:$D$6,0))</x:f>
        <x:v>0</x:v>
      </x:c>
      <x:c r="R197" s="20" t="n">
        <x:f>SUM(M197:Q197)</x:f>
        <x:v>38532</x:v>
      </x:c>
      <x:c r="S197" s="20" t="n">
        <x:f>IF(AND(A196=A197,D196=D197),S196+R197,R197)</x:f>
        <x:v>155298</x:v>
      </x:c>
      <x:c r="T197" s="20" t="n">
        <x:f>MIN(S197,INDEX(Inputs!$B$20:$D$20,1,MATCH(A197,Inputs!$B$6:$D$6,0)))*INDEX(Inputs!$B$22:$D$22,1,MATCH(A197,Inputs!$B$6:$D$6,0))+MAX(MIN(S197,INDEX(Inputs!$B$21:$D$21,1,MATCH(A197,Inputs!$B$6:$D$6,0)))-INDEX(Inputs!$B$20:$D$20,1,MATCH(A197,Inputs!$B$6:$D$6,0)),0)*INDEX(Inputs!$B$23:$D$23,1,MATCH(A197,Inputs!$B$6:$D$6,0))+MAX(S197-INDEX(Inputs!$B$21:$D$21,1,MATCH(A197,Inputs!$B$6:$D$6,0)),0)*INDEX(Inputs!$B$24:$D$24,1,MATCH(A197,Inputs!$B$6:$D$6,0))</x:f>
        <x:v>10165.762999999999</x:v>
      </x:c>
      <x:c r="U197" s="20" t="n">
        <x:f>IF(AND(A196=A197,D196=D197),T196,0)</x:f>
        <x:v>9422.599</x:v>
      </x:c>
      <x:c r="V197" s="20" t="n">
        <x:f>T197-U197</x:f>
        <x:v>743.1639999999989</x:v>
      </x:c>
      <x:c r="W197" s="20" t="n">
        <x:f>R197+V197</x:f>
        <x:v>39275.164</x:v>
      </x:c>
      <x:c r="X197" s="14" t="str">
        <x:f>IF(ABS(W197-SUM(M197:Q197)-V197)&lt;0.01,"OK","Check")</x:f>
        <x:v>OK</x:v>
      </x:c>
    </x:row>
    <x:row r="198">
      <x:c r="A198" s="14" t="n">
        <x:v>2026</x:v>
      </x:c>
      <x:c r="B198" s="14" t="str">
        <x:v>Q1</x:v>
      </x:c>
      <x:c r="C198" s="14" t="n">
        <x:v>1</x:v>
      </x:c>
      <x:c r="D198" s="14" t="n">
        <x:v>49</x:v>
      </x:c>
      <x:c r="E198" s="14" t="str">
        <x:f>INDEX(Roster!$B$6:$B$108,MATCH(D198,Roster!$A$6:$A$108,0))</x:f>
      </x:c>
      <x:c r="F198" s="14" t="str">
        <x:f>INDEX(Roster!$F$6:$F$108,MATCH(D198,Roster!$A$6:$A$108,0))</x:f>
        <x:v>No</x:v>
      </x:c>
      <x:c r="G198" s="14" t="n">
        <x:f>INDEX(Inputs!$B$7:$D$7,1,MATCH(A198,Inputs!$B$6:$D$6,0))</x:f>
        <x:v>13</x:v>
      </x:c>
      <x:c r="H198" s="14" t="n">
        <x:f>MIN(=INDEX(Inputs!$B$7:$D$7,1,MATCH(A198,Inputs!$B$6:$D$6,0)),MAX(0,INDEX(Inputs!$B$14:$D$14,1,MATCH(A198,Inputs!$B$6:$D$6,0))-(C198-1)*=INDEX(Inputs!$B$7:$D$7,1,MATCH(A198,Inputs!$B$6:$D$6,0))))</x:f>
        <x:v>13</x:v>
      </x:c>
      <x:c r="I198" s="20" t="n">
        <x:f>INDEX(Inputs!$B$8:$D$8,1,MATCH(A198,Inputs!$B$6:$D$6,0))</x:f>
        <x:v>2395</x:v>
      </x:c>
      <x:c r="J198" s="20" t="n">
        <x:f>INDEX(Roster!$C$6:$C$108,MATCH(D198,Roster!$A$6:$A$108,0))*(1+INDEX(Inputs!$B$9:$D$9,1,MATCH(A198,Inputs!$B$6:$D$6,0)))</x:f>
        <x:v>30</x:v>
      </x:c>
      <x:c r="K198" s="20" t="n">
        <x:f>IF(=INDEX(Roster!$F$6:$F$108,MATCH(D198,Roster!$A$6:$A$108,0))="Yes",0,=INDEX(Inputs!$B$8:$D$8,1,MATCH(A198,Inputs!$B$6:$D$6,0))*IF(=INDEX(Roster!$B$6:$B$108,MATCH(D198,Roster!$A$6:$A$108,0))="Principal",INDEX(Inputs!$B$10:$D$10,1,MATCH(A198,Inputs!$B$6:$D$6,0)),IF(=INDEX(Roster!$B$6:$B$108,MATCH(D198,Roster!$A$6:$A$108,0))="Associate Principal",INDEX(Inputs!$B$11:$D$11,1,MATCH(A198,Inputs!$B$6:$D$6,0)),IF(=INDEX(Roster!$B$6:$B$108,MATCH(D198,Roster!$A$6:$A$108,0))="Assistant Principal",INDEX(Inputs!$B$12:$D$12,1,MATCH(A198,Inputs!$B$6:$D$6,0)),0))))</x:f>
        <x:v>0</x:v>
      </x:c>
      <x:c r="L198" s="20" t="n">
        <x:f>IF(INDEX(Roster!$D$6:$D$108,MATCH(D198,Roster!$A$6:$A$108,0))&gt;=25,INDEX(Inputs!$B$19:$D$19,1,MATCH(A198,Inputs!$B$6:$D$6,0)),IF(INDEX(Roster!$D$6:$D$108,MATCH(D198,Roster!$A$6:$A$108,0))&gt;=20,INDEX(Inputs!$B$18:$D$18,1,MATCH(A198,Inputs!$B$6:$D$6,0)),IF(INDEX(Roster!$D$6:$D$108,MATCH(D198,Roster!$A$6:$A$108,0))&gt;=15,INDEX(Inputs!$B$17:$D$17,1,MATCH(A198,Inputs!$B$6:$D$6,0)),IF(INDEX(Roster!$D$6:$D$108,MATCH(D198,Roster!$A$6:$A$108,0))&gt;=10,INDEX(Inputs!$B$16:$D$16,1,MATCH(A198,Inputs!$B$6:$D$6,0)),IF(INDEX(Roster!$D$6:$D$108,MATCH(D198,Roster!$A$6:$A$108,0))&gt;=5,INDEX(Inputs!$B$15:$D$15,1,MATCH(A198,Inputs!$B$6:$D$6,0)),0)))))</x:f>
        <x:v>50</x:v>
      </x:c>
      <x:c r="M198" s="20" t="n">
        <x:f>G198*I198</x:f>
        <x:v>31135</x:v>
      </x:c>
      <x:c r="N198" s="20" t="n">
        <x:f>G198*J198</x:f>
        <x:v>390</x:v>
      </x:c>
      <x:c r="O198" s="20" t="n">
        <x:f>G198*K198</x:f>
        <x:v>0</x:v>
      </x:c>
      <x:c r="P198" s="20" t="n">
        <x:f>G198*L198</x:f>
        <x:v>650</x:v>
      </x:c>
      <x:c r="Q198" s="20" t="n">
        <x:f>H198*INDEX(Inputs!$B$13:$D$13,1,MATCH(A198,Inputs!$B$6:$D$6,0))</x:f>
        <x:v>390</x:v>
      </x:c>
      <x:c r="R198" s="20" t="n">
        <x:f>SUM(M198:Q198)</x:f>
        <x:v>32565</x:v>
      </x:c>
      <x:c r="S198" s="20" t="n">
        <x:f>IF(AND(A197=A198,D197=D198),S197+R198,R198)</x:f>
        <x:v>32565</x:v>
      </x:c>
      <x:c r="T198" s="20" t="n">
        <x:f>MIN(S198,INDEX(Inputs!$B$20:$D$20,1,MATCH(A198,Inputs!$B$6:$D$6,0)))*INDEX(Inputs!$B$22:$D$22,1,MATCH(A198,Inputs!$B$6:$D$6,0))+MAX(MIN(S198,INDEX(Inputs!$B$21:$D$21,1,MATCH(A198,Inputs!$B$6:$D$6,0)))-INDEX(Inputs!$B$20:$D$20,1,MATCH(A198,Inputs!$B$6:$D$6,0)),0)*INDEX(Inputs!$B$23:$D$23,1,MATCH(A198,Inputs!$B$6:$D$6,0))+MAX(S198-INDEX(Inputs!$B$21:$D$21,1,MATCH(A198,Inputs!$B$6:$D$6,0)),0)*INDEX(Inputs!$B$24:$D$24,1,MATCH(A198,Inputs!$B$6:$D$6,0))</x:f>
        <x:v>2981.2225</x:v>
      </x:c>
      <x:c r="U198" s="20" t="n">
        <x:f>IF(AND(A197=A198,D197=D198),T197,0)</x:f>
        <x:v>0</x:v>
      </x:c>
      <x:c r="V198" s="20" t="n">
        <x:f>T198-U198</x:f>
        <x:v>2981.2225</x:v>
      </x:c>
      <x:c r="W198" s="20" t="n">
        <x:f>R198+V198</x:f>
        <x:v>35546.2225</x:v>
      </x:c>
      <x:c r="X198" s="14" t="str">
        <x:f>IF(ABS(W198-SUM(M198:Q198)-V198)&lt;0.01,"OK","Check")</x:f>
        <x:v>OK</x:v>
      </x:c>
    </x:row>
    <x:row r="199">
      <x:c r="A199" s="14" t="n">
        <x:v>2026</x:v>
      </x:c>
      <x:c r="B199" s="14" t="str">
        <x:v>Q2</x:v>
      </x:c>
      <x:c r="C199" s="14" t="n">
        <x:v>2</x:v>
      </x:c>
      <x:c r="D199" s="14" t="n">
        <x:v>49</x:v>
      </x:c>
      <x:c r="E199" s="14" t="str">
        <x:f>INDEX(Roster!$B$6:$B$108,MATCH(D199,Roster!$A$6:$A$108,0))</x:f>
      </x:c>
      <x:c r="F199" s="14" t="str">
        <x:f>INDEX(Roster!$F$6:$F$108,MATCH(D199,Roster!$A$6:$A$108,0))</x:f>
        <x:v>No</x:v>
      </x:c>
      <x:c r="G199" s="14" t="n">
        <x:f>INDEX(Inputs!$B$7:$D$7,1,MATCH(A199,Inputs!$B$6:$D$6,0))</x:f>
        <x:v>13</x:v>
      </x:c>
      <x:c r="H199" s="14" t="n">
        <x:f>MIN(=INDEX(Inputs!$B$7:$D$7,1,MATCH(A199,Inputs!$B$6:$D$6,0)),MAX(0,INDEX(Inputs!$B$14:$D$14,1,MATCH(A199,Inputs!$B$6:$D$6,0))-(C199-1)*=INDEX(Inputs!$B$7:$D$7,1,MATCH(A199,Inputs!$B$6:$D$6,0))))</x:f>
        <x:v>13</x:v>
      </x:c>
      <x:c r="I199" s="20" t="n">
        <x:f>INDEX(Inputs!$B$8:$D$8,1,MATCH(A199,Inputs!$B$6:$D$6,0))</x:f>
        <x:v>2395</x:v>
      </x:c>
      <x:c r="J199" s="20" t="n">
        <x:f>INDEX(Roster!$C$6:$C$108,MATCH(D199,Roster!$A$6:$A$108,0))*(1+INDEX(Inputs!$B$9:$D$9,1,MATCH(A199,Inputs!$B$6:$D$6,0)))</x:f>
        <x:v>30</x:v>
      </x:c>
      <x:c r="K199" s="20" t="n">
        <x:f>IF(=INDEX(Roster!$F$6:$F$108,MATCH(D199,Roster!$A$6:$A$108,0))="Yes",0,=INDEX(Inputs!$B$8:$D$8,1,MATCH(A199,Inputs!$B$6:$D$6,0))*IF(=INDEX(Roster!$B$6:$B$108,MATCH(D199,Roster!$A$6:$A$108,0))="Principal",INDEX(Inputs!$B$10:$D$10,1,MATCH(A199,Inputs!$B$6:$D$6,0)),IF(=INDEX(Roster!$B$6:$B$108,MATCH(D199,Roster!$A$6:$A$108,0))="Associate Principal",INDEX(Inputs!$B$11:$D$11,1,MATCH(A199,Inputs!$B$6:$D$6,0)),IF(=INDEX(Roster!$B$6:$B$108,MATCH(D199,Roster!$A$6:$A$108,0))="Assistant Principal",INDEX(Inputs!$B$12:$D$12,1,MATCH(A199,Inputs!$B$6:$D$6,0)),0))))</x:f>
        <x:v>0</x:v>
      </x:c>
      <x:c r="L199" s="20" t="n">
        <x:f>IF(INDEX(Roster!$D$6:$D$108,MATCH(D199,Roster!$A$6:$A$108,0))&gt;=25,INDEX(Inputs!$B$19:$D$19,1,MATCH(A199,Inputs!$B$6:$D$6,0)),IF(INDEX(Roster!$D$6:$D$108,MATCH(D199,Roster!$A$6:$A$108,0))&gt;=20,INDEX(Inputs!$B$18:$D$18,1,MATCH(A199,Inputs!$B$6:$D$6,0)),IF(INDEX(Roster!$D$6:$D$108,MATCH(D199,Roster!$A$6:$A$108,0))&gt;=15,INDEX(Inputs!$B$17:$D$17,1,MATCH(A199,Inputs!$B$6:$D$6,0)),IF(INDEX(Roster!$D$6:$D$108,MATCH(D199,Roster!$A$6:$A$108,0))&gt;=10,INDEX(Inputs!$B$16:$D$16,1,MATCH(A199,Inputs!$B$6:$D$6,0)),IF(INDEX(Roster!$D$6:$D$108,MATCH(D199,Roster!$A$6:$A$108,0))&gt;=5,INDEX(Inputs!$B$15:$D$15,1,MATCH(A199,Inputs!$B$6:$D$6,0)),0)))))</x:f>
        <x:v>50</x:v>
      </x:c>
      <x:c r="M199" s="20" t="n">
        <x:f>G199*I199</x:f>
        <x:v>31135</x:v>
      </x:c>
      <x:c r="N199" s="20" t="n">
        <x:f>G199*J199</x:f>
        <x:v>390</x:v>
      </x:c>
      <x:c r="O199" s="20" t="n">
        <x:f>G199*K199</x:f>
        <x:v>0</x:v>
      </x:c>
      <x:c r="P199" s="20" t="n">
        <x:f>G199*L199</x:f>
        <x:v>650</x:v>
      </x:c>
      <x:c r="Q199" s="20" t="n">
        <x:f>H199*INDEX(Inputs!$B$13:$D$13,1,MATCH(A199,Inputs!$B$6:$D$6,0))</x:f>
        <x:v>390</x:v>
      </x:c>
      <x:c r="R199" s="20" t="n">
        <x:f>SUM(M199:Q199)</x:f>
        <x:v>32565</x:v>
      </x:c>
      <x:c r="S199" s="20" t="n">
        <x:f>IF(AND(A198=A199,D198=D199),S198+R199,R199)</x:f>
        <x:v>65130</x:v>
      </x:c>
      <x:c r="T199" s="20" t="n">
        <x:f>MIN(S199,INDEX(Inputs!$B$20:$D$20,1,MATCH(A199,Inputs!$B$6:$D$6,0)))*INDEX(Inputs!$B$22:$D$22,1,MATCH(A199,Inputs!$B$6:$D$6,0))+MAX(MIN(S199,INDEX(Inputs!$B$21:$D$21,1,MATCH(A199,Inputs!$B$6:$D$6,0)))-INDEX(Inputs!$B$20:$D$20,1,MATCH(A199,Inputs!$B$6:$D$6,0)),0)*INDEX(Inputs!$B$23:$D$23,1,MATCH(A199,Inputs!$B$6:$D$6,0))+MAX(S199-INDEX(Inputs!$B$21:$D$21,1,MATCH(A199,Inputs!$B$6:$D$6,0)),0)*INDEX(Inputs!$B$24:$D$24,1,MATCH(A199,Inputs!$B$6:$D$6,0))</x:f>
        <x:v>5472.445</x:v>
      </x:c>
      <x:c r="U199" s="20" t="n">
        <x:f>IF(AND(A198=A199,D198=D199),T198,0)</x:f>
        <x:v>2981.2225</x:v>
      </x:c>
      <x:c r="V199" s="20" t="n">
        <x:f>T199-U199</x:f>
        <x:v>2491.2225</x:v>
      </x:c>
      <x:c r="W199" s="20" t="n">
        <x:f>R199+V199</x:f>
        <x:v>35056.2225</x:v>
      </x:c>
      <x:c r="X199" s="14" t="str">
        <x:f>IF(ABS(W199-SUM(M199:Q199)-V199)&lt;0.01,"OK","Check")</x:f>
        <x:v>OK</x:v>
      </x:c>
    </x:row>
    <x:row r="200">
      <x:c r="A200" s="14" t="n">
        <x:v>2026</x:v>
      </x:c>
      <x:c r="B200" s="14" t="str">
        <x:v>Q3</x:v>
      </x:c>
      <x:c r="C200" s="14" t="n">
        <x:v>3</x:v>
      </x:c>
      <x:c r="D200" s="14" t="n">
        <x:v>49</x:v>
      </x:c>
      <x:c r="E200" s="14" t="str">
        <x:f>INDEX(Roster!$B$6:$B$108,MATCH(D200,Roster!$A$6:$A$108,0))</x:f>
      </x:c>
      <x:c r="F200" s="14" t="str">
        <x:f>INDEX(Roster!$F$6:$F$108,MATCH(D200,Roster!$A$6:$A$108,0))</x:f>
        <x:v>No</x:v>
      </x:c>
      <x:c r="G200" s="14" t="n">
        <x:f>INDEX(Inputs!$B$7:$D$7,1,MATCH(A200,Inputs!$B$6:$D$6,0))</x:f>
        <x:v>13</x:v>
      </x:c>
      <x:c r="H200" s="14" t="n">
        <x:f>MIN(=INDEX(Inputs!$B$7:$D$7,1,MATCH(A200,Inputs!$B$6:$D$6,0)),MAX(0,INDEX(Inputs!$B$14:$D$14,1,MATCH(A200,Inputs!$B$6:$D$6,0))-(C200-1)*=INDEX(Inputs!$B$7:$D$7,1,MATCH(A200,Inputs!$B$6:$D$6,0))))</x:f>
        <x:v>13</x:v>
      </x:c>
      <x:c r="I200" s="20" t="n">
        <x:f>INDEX(Inputs!$B$8:$D$8,1,MATCH(A200,Inputs!$B$6:$D$6,0))</x:f>
        <x:v>2395</x:v>
      </x:c>
      <x:c r="J200" s="20" t="n">
        <x:f>INDEX(Roster!$C$6:$C$108,MATCH(D200,Roster!$A$6:$A$108,0))*(1+INDEX(Inputs!$B$9:$D$9,1,MATCH(A200,Inputs!$B$6:$D$6,0)))</x:f>
        <x:v>30</x:v>
      </x:c>
      <x:c r="K200" s="20" t="n">
        <x:f>IF(=INDEX(Roster!$F$6:$F$108,MATCH(D200,Roster!$A$6:$A$108,0))="Yes",0,=INDEX(Inputs!$B$8:$D$8,1,MATCH(A200,Inputs!$B$6:$D$6,0))*IF(=INDEX(Roster!$B$6:$B$108,MATCH(D200,Roster!$A$6:$A$108,0))="Principal",INDEX(Inputs!$B$10:$D$10,1,MATCH(A200,Inputs!$B$6:$D$6,0)),IF(=INDEX(Roster!$B$6:$B$108,MATCH(D200,Roster!$A$6:$A$108,0))="Associate Principal",INDEX(Inputs!$B$11:$D$11,1,MATCH(A200,Inputs!$B$6:$D$6,0)),IF(=INDEX(Roster!$B$6:$B$108,MATCH(D200,Roster!$A$6:$A$108,0))="Assistant Principal",INDEX(Inputs!$B$12:$D$12,1,MATCH(A200,Inputs!$B$6:$D$6,0)),0))))</x:f>
        <x:v>0</x:v>
      </x:c>
      <x:c r="L200" s="20" t="n">
        <x:f>IF(INDEX(Roster!$D$6:$D$108,MATCH(D200,Roster!$A$6:$A$108,0))&gt;=25,INDEX(Inputs!$B$19:$D$19,1,MATCH(A200,Inputs!$B$6:$D$6,0)),IF(INDEX(Roster!$D$6:$D$108,MATCH(D200,Roster!$A$6:$A$108,0))&gt;=20,INDEX(Inputs!$B$18:$D$18,1,MATCH(A200,Inputs!$B$6:$D$6,0)),IF(INDEX(Roster!$D$6:$D$108,MATCH(D200,Roster!$A$6:$A$108,0))&gt;=15,INDEX(Inputs!$B$17:$D$17,1,MATCH(A200,Inputs!$B$6:$D$6,0)),IF(INDEX(Roster!$D$6:$D$108,MATCH(D200,Roster!$A$6:$A$108,0))&gt;=10,INDEX(Inputs!$B$16:$D$16,1,MATCH(A200,Inputs!$B$6:$D$6,0)),IF(INDEX(Roster!$D$6:$D$108,MATCH(D200,Roster!$A$6:$A$108,0))&gt;=5,INDEX(Inputs!$B$15:$D$15,1,MATCH(A200,Inputs!$B$6:$D$6,0)),0)))))</x:f>
        <x:v>50</x:v>
      </x:c>
      <x:c r="M200" s="20" t="n">
        <x:f>G200*I200</x:f>
        <x:v>31135</x:v>
      </x:c>
      <x:c r="N200" s="20" t="n">
        <x:f>G200*J200</x:f>
        <x:v>390</x:v>
      </x:c>
      <x:c r="O200" s="20" t="n">
        <x:f>G200*K200</x:f>
        <x:v>0</x:v>
      </x:c>
      <x:c r="P200" s="20" t="n">
        <x:f>G200*L200</x:f>
        <x:v>650</x:v>
      </x:c>
      <x:c r="Q200" s="20" t="n">
        <x:f>H200*INDEX(Inputs!$B$13:$D$13,1,MATCH(A200,Inputs!$B$6:$D$6,0))</x:f>
        <x:v>390</x:v>
      </x:c>
      <x:c r="R200" s="20" t="n">
        <x:f>SUM(M200:Q200)</x:f>
        <x:v>32565</x:v>
      </x:c>
      <x:c r="S200" s="20" t="n">
        <x:f>IF(AND(A199=A200,D199=D200),S199+R200,R200)</x:f>
        <x:v>97695</x:v>
      </x:c>
      <x:c r="T200" s="20" t="n">
        <x:f>MIN(S200,INDEX(Inputs!$B$20:$D$20,1,MATCH(A200,Inputs!$B$6:$D$6,0)))*INDEX(Inputs!$B$22:$D$22,1,MATCH(A200,Inputs!$B$6:$D$6,0))+MAX(MIN(S200,INDEX(Inputs!$B$21:$D$21,1,MATCH(A200,Inputs!$B$6:$D$6,0)))-INDEX(Inputs!$B$20:$D$20,1,MATCH(A200,Inputs!$B$6:$D$6,0)),0)*INDEX(Inputs!$B$23:$D$23,1,MATCH(A200,Inputs!$B$6:$D$6,0))+MAX(S200-INDEX(Inputs!$B$21:$D$21,1,MATCH(A200,Inputs!$B$6:$D$6,0)),0)*INDEX(Inputs!$B$24:$D$24,1,MATCH(A200,Inputs!$B$6:$D$6,0))</x:f>
        <x:v>7963.6675</x:v>
      </x:c>
      <x:c r="U200" s="20" t="n">
        <x:f>IF(AND(A199=A200,D199=D200),T199,0)</x:f>
        <x:v>5472.445</x:v>
      </x:c>
      <x:c r="V200" s="20" t="n">
        <x:f>T200-U200</x:f>
        <x:v>2491.2225</x:v>
      </x:c>
      <x:c r="W200" s="20" t="n">
        <x:f>R200+V200</x:f>
        <x:v>35056.2225</x:v>
      </x:c>
      <x:c r="X200" s="14" t="str">
        <x:f>IF(ABS(W200-SUM(M200:Q200)-V200)&lt;0.01,"OK","Check")</x:f>
        <x:v>OK</x:v>
      </x:c>
    </x:row>
    <x:row r="201">
      <x:c r="A201" s="14" t="n">
        <x:v>2026</x:v>
      </x:c>
      <x:c r="B201" s="14" t="str">
        <x:v>Q4</x:v>
      </x:c>
      <x:c r="C201" s="14" t="n">
        <x:v>4</x:v>
      </x:c>
      <x:c r="D201" s="14" t="n">
        <x:v>49</x:v>
      </x:c>
      <x:c r="E201" s="14" t="str">
        <x:f>INDEX(Roster!$B$6:$B$108,MATCH(D201,Roster!$A$6:$A$108,0))</x:f>
      </x:c>
      <x:c r="F201" s="14" t="str">
        <x:f>INDEX(Roster!$F$6:$F$108,MATCH(D201,Roster!$A$6:$A$108,0))</x:f>
        <x:v>No</x:v>
      </x:c>
      <x:c r="G201" s="14" t="n">
        <x:f>INDEX(Inputs!$B$7:$D$7,1,MATCH(A201,Inputs!$B$6:$D$6,0))</x:f>
        <x:v>13</x:v>
      </x:c>
      <x:c r="H201" s="14" t="n">
        <x:f>MIN(=INDEX(Inputs!$B$7:$D$7,1,MATCH(A201,Inputs!$B$6:$D$6,0)),MAX(0,INDEX(Inputs!$B$14:$D$14,1,MATCH(A201,Inputs!$B$6:$D$6,0))-(C201-1)*=INDEX(Inputs!$B$7:$D$7,1,MATCH(A201,Inputs!$B$6:$D$6,0))))</x:f>
        <x:v>0</x:v>
      </x:c>
      <x:c r="I201" s="20" t="n">
        <x:f>INDEX(Inputs!$B$8:$D$8,1,MATCH(A201,Inputs!$B$6:$D$6,0))</x:f>
        <x:v>2395</x:v>
      </x:c>
      <x:c r="J201" s="20" t="n">
        <x:f>INDEX(Roster!$C$6:$C$108,MATCH(D201,Roster!$A$6:$A$108,0))*(1+INDEX(Inputs!$B$9:$D$9,1,MATCH(A201,Inputs!$B$6:$D$6,0)))</x:f>
        <x:v>30</x:v>
      </x:c>
      <x:c r="K201" s="20" t="n">
        <x:f>IF(=INDEX(Roster!$F$6:$F$108,MATCH(D201,Roster!$A$6:$A$108,0))="Yes",0,=INDEX(Inputs!$B$8:$D$8,1,MATCH(A201,Inputs!$B$6:$D$6,0))*IF(=INDEX(Roster!$B$6:$B$108,MATCH(D201,Roster!$A$6:$A$108,0))="Principal",INDEX(Inputs!$B$10:$D$10,1,MATCH(A201,Inputs!$B$6:$D$6,0)),IF(=INDEX(Roster!$B$6:$B$108,MATCH(D201,Roster!$A$6:$A$108,0))="Associate Principal",INDEX(Inputs!$B$11:$D$11,1,MATCH(A201,Inputs!$B$6:$D$6,0)),IF(=INDEX(Roster!$B$6:$B$108,MATCH(D201,Roster!$A$6:$A$108,0))="Assistant Principal",INDEX(Inputs!$B$12:$D$12,1,MATCH(A201,Inputs!$B$6:$D$6,0)),0))))</x:f>
        <x:v>0</x:v>
      </x:c>
      <x:c r="L201" s="20" t="n">
        <x:f>IF(INDEX(Roster!$D$6:$D$108,MATCH(D201,Roster!$A$6:$A$108,0))&gt;=25,INDEX(Inputs!$B$19:$D$19,1,MATCH(A201,Inputs!$B$6:$D$6,0)),IF(INDEX(Roster!$D$6:$D$108,MATCH(D201,Roster!$A$6:$A$108,0))&gt;=20,INDEX(Inputs!$B$18:$D$18,1,MATCH(A201,Inputs!$B$6:$D$6,0)),IF(INDEX(Roster!$D$6:$D$108,MATCH(D201,Roster!$A$6:$A$108,0))&gt;=15,INDEX(Inputs!$B$17:$D$17,1,MATCH(A201,Inputs!$B$6:$D$6,0)),IF(INDEX(Roster!$D$6:$D$108,MATCH(D201,Roster!$A$6:$A$108,0))&gt;=10,INDEX(Inputs!$B$16:$D$16,1,MATCH(A201,Inputs!$B$6:$D$6,0)),IF(INDEX(Roster!$D$6:$D$108,MATCH(D201,Roster!$A$6:$A$108,0))&gt;=5,INDEX(Inputs!$B$15:$D$15,1,MATCH(A201,Inputs!$B$6:$D$6,0)),0)))))</x:f>
        <x:v>50</x:v>
      </x:c>
      <x:c r="M201" s="20" t="n">
        <x:f>G201*I201</x:f>
        <x:v>31135</x:v>
      </x:c>
      <x:c r="N201" s="20" t="n">
        <x:f>G201*J201</x:f>
        <x:v>390</x:v>
      </x:c>
      <x:c r="O201" s="20" t="n">
        <x:f>G201*K201</x:f>
        <x:v>0</x:v>
      </x:c>
      <x:c r="P201" s="20" t="n">
        <x:f>G201*L201</x:f>
        <x:v>650</x:v>
      </x:c>
      <x:c r="Q201" s="20" t="n">
        <x:f>H201*INDEX(Inputs!$B$13:$D$13,1,MATCH(A201,Inputs!$B$6:$D$6,0))</x:f>
        <x:v>0</x:v>
      </x:c>
      <x:c r="R201" s="20" t="n">
        <x:f>SUM(M201:Q201)</x:f>
        <x:v>32175</x:v>
      </x:c>
      <x:c r="S201" s="20" t="n">
        <x:f>IF(AND(A200=A201,D200=D201),S200+R201,R201)</x:f>
        <x:v>129870</x:v>
      </x:c>
      <x:c r="T201" s="20" t="n">
        <x:f>MIN(S201,INDEX(Inputs!$B$20:$D$20,1,MATCH(A201,Inputs!$B$6:$D$6,0)))*INDEX(Inputs!$B$22:$D$22,1,MATCH(A201,Inputs!$B$6:$D$6,0))+MAX(MIN(S201,INDEX(Inputs!$B$21:$D$21,1,MATCH(A201,Inputs!$B$6:$D$6,0)))-INDEX(Inputs!$B$20:$D$20,1,MATCH(A201,Inputs!$B$6:$D$6,0)),0)*INDEX(Inputs!$B$23:$D$23,1,MATCH(A201,Inputs!$B$6:$D$6,0))+MAX(S201-INDEX(Inputs!$B$21:$D$21,1,MATCH(A201,Inputs!$B$6:$D$6,0)),0)*INDEX(Inputs!$B$24:$D$24,1,MATCH(A201,Inputs!$B$6:$D$6,0))</x:f>
        <x:v>9797.057</x:v>
      </x:c>
      <x:c r="U201" s="20" t="n">
        <x:f>IF(AND(A200=A201,D200=D201),T200,0)</x:f>
        <x:v>7963.6675</x:v>
      </x:c>
      <x:c r="V201" s="20" t="n">
        <x:f>T201-U201</x:f>
        <x:v>1833.3895000000011</x:v>
      </x:c>
      <x:c r="W201" s="20" t="n">
        <x:f>R201+V201</x:f>
        <x:v>34008.389500000005</x:v>
      </x:c>
      <x:c r="X201" s="14" t="str">
        <x:f>IF(ABS(W201-SUM(M201:Q201)-V201)&lt;0.01,"OK","Check")</x:f>
        <x:v>OK</x:v>
      </x:c>
    </x:row>
    <x:row r="202">
      <x:c r="A202" s="14" t="n">
        <x:v>2026</x:v>
      </x:c>
      <x:c r="B202" s="14" t="str">
        <x:v>Q1</x:v>
      </x:c>
      <x:c r="C202" s="14" t="n">
        <x:v>1</x:v>
      </x:c>
      <x:c r="D202" s="14" t="n">
        <x:v>50</x:v>
      </x:c>
      <x:c r="E202" s="14" t="str">
        <x:f>INDEX(Roster!$B$6:$B$108,MATCH(D202,Roster!$A$6:$A$108,0))</x:f>
      </x:c>
      <x:c r="F202" s="14" t="str">
        <x:f>INDEX(Roster!$F$6:$F$108,MATCH(D202,Roster!$A$6:$A$108,0))</x:f>
        <x:v>No</x:v>
      </x:c>
      <x:c r="G202" s="14" t="n">
        <x:f>INDEX(Inputs!$B$7:$D$7,1,MATCH(A202,Inputs!$B$6:$D$6,0))</x:f>
        <x:v>13</x:v>
      </x:c>
      <x:c r="H202" s="14" t="n">
        <x:f>MIN(=INDEX(Inputs!$B$7:$D$7,1,MATCH(A202,Inputs!$B$6:$D$6,0)),MAX(0,INDEX(Inputs!$B$14:$D$14,1,MATCH(A202,Inputs!$B$6:$D$6,0))-(C202-1)*=INDEX(Inputs!$B$7:$D$7,1,MATCH(A202,Inputs!$B$6:$D$6,0))))</x:f>
        <x:v>13</x:v>
      </x:c>
      <x:c r="I202" s="20" t="n">
        <x:f>INDEX(Inputs!$B$8:$D$8,1,MATCH(A202,Inputs!$B$6:$D$6,0))</x:f>
        <x:v>2395</x:v>
      </x:c>
      <x:c r="J202" s="20" t="n">
        <x:f>INDEX(Roster!$C$6:$C$108,MATCH(D202,Roster!$A$6:$A$108,0))*(1+INDEX(Inputs!$B$9:$D$9,1,MATCH(A202,Inputs!$B$6:$D$6,0)))</x:f>
        <x:v>20</x:v>
      </x:c>
      <x:c r="K202" s="20" t="n">
        <x:f>IF(=INDEX(Roster!$F$6:$F$108,MATCH(D202,Roster!$A$6:$A$108,0))="Yes",0,=INDEX(Inputs!$B$8:$D$8,1,MATCH(A202,Inputs!$B$6:$D$6,0))*IF(=INDEX(Roster!$B$6:$B$108,MATCH(D202,Roster!$A$6:$A$108,0))="Principal",INDEX(Inputs!$B$10:$D$10,1,MATCH(A202,Inputs!$B$6:$D$6,0)),IF(=INDEX(Roster!$B$6:$B$108,MATCH(D202,Roster!$A$6:$A$108,0))="Associate Principal",INDEX(Inputs!$B$11:$D$11,1,MATCH(A202,Inputs!$B$6:$D$6,0)),IF(=INDEX(Roster!$B$6:$B$108,MATCH(D202,Roster!$A$6:$A$108,0))="Assistant Principal",INDEX(Inputs!$B$12:$D$12,1,MATCH(A202,Inputs!$B$6:$D$6,0)),0))))</x:f>
        <x:v>0</x:v>
      </x:c>
      <x:c r="L202" s="20" t="n">
        <x:f>IF(INDEX(Roster!$D$6:$D$108,MATCH(D202,Roster!$A$6:$A$108,0))&gt;=25,INDEX(Inputs!$B$19:$D$19,1,MATCH(A202,Inputs!$B$6:$D$6,0)),IF(INDEX(Roster!$D$6:$D$108,MATCH(D202,Roster!$A$6:$A$108,0))&gt;=20,INDEX(Inputs!$B$18:$D$18,1,MATCH(A202,Inputs!$B$6:$D$6,0)),IF(INDEX(Roster!$D$6:$D$108,MATCH(D202,Roster!$A$6:$A$108,0))&gt;=15,INDEX(Inputs!$B$17:$D$17,1,MATCH(A202,Inputs!$B$6:$D$6,0)),IF(INDEX(Roster!$D$6:$D$108,MATCH(D202,Roster!$A$6:$A$108,0))&gt;=10,INDEX(Inputs!$B$16:$D$16,1,MATCH(A202,Inputs!$B$6:$D$6,0)),IF(INDEX(Roster!$D$6:$D$108,MATCH(D202,Roster!$A$6:$A$108,0))&gt;=5,INDEX(Inputs!$B$15:$D$15,1,MATCH(A202,Inputs!$B$6:$D$6,0)),0)))))</x:f>
        <x:v>90</x:v>
      </x:c>
      <x:c r="M202" s="20" t="n">
        <x:f>G202*I202</x:f>
        <x:v>31135</x:v>
      </x:c>
      <x:c r="N202" s="20" t="n">
        <x:f>G202*J202</x:f>
        <x:v>260</x:v>
      </x:c>
      <x:c r="O202" s="20" t="n">
        <x:f>G202*K202</x:f>
        <x:v>0</x:v>
      </x:c>
      <x:c r="P202" s="20" t="n">
        <x:f>G202*L202</x:f>
        <x:v>1170</x:v>
      </x:c>
      <x:c r="Q202" s="20" t="n">
        <x:f>H202*INDEX(Inputs!$B$13:$D$13,1,MATCH(A202,Inputs!$B$6:$D$6,0))</x:f>
        <x:v>390</x:v>
      </x:c>
      <x:c r="R202" s="20" t="n">
        <x:f>SUM(M202:Q202)</x:f>
        <x:v>32955</x:v>
      </x:c>
      <x:c r="S202" s="20" t="n">
        <x:f>IF(AND(A201=A202,D201=D202),S201+R202,R202)</x:f>
        <x:v>32955</x:v>
      </x:c>
      <x:c r="T202" s="20" t="n">
        <x:f>MIN(S202,INDEX(Inputs!$B$20:$D$20,1,MATCH(A202,Inputs!$B$6:$D$6,0)))*INDEX(Inputs!$B$22:$D$22,1,MATCH(A202,Inputs!$B$6:$D$6,0))+MAX(MIN(S202,INDEX(Inputs!$B$21:$D$21,1,MATCH(A202,Inputs!$B$6:$D$6,0)))-INDEX(Inputs!$B$20:$D$20,1,MATCH(A202,Inputs!$B$6:$D$6,0)),0)*INDEX(Inputs!$B$23:$D$23,1,MATCH(A202,Inputs!$B$6:$D$6,0))+MAX(S202-INDEX(Inputs!$B$21:$D$21,1,MATCH(A202,Inputs!$B$6:$D$6,0)),0)*INDEX(Inputs!$B$24:$D$24,1,MATCH(A202,Inputs!$B$6:$D$6,0))</x:f>
        <x:v>3011.0575</x:v>
      </x:c>
      <x:c r="U202" s="20" t="n">
        <x:f>IF(AND(A201=A202,D201=D202),T201,0)</x:f>
        <x:v>0</x:v>
      </x:c>
      <x:c r="V202" s="20" t="n">
        <x:f>T202-U202</x:f>
        <x:v>3011.0575</x:v>
      </x:c>
      <x:c r="W202" s="20" t="n">
        <x:f>R202+V202</x:f>
        <x:v>35966.0575</x:v>
      </x:c>
      <x:c r="X202" s="14" t="str">
        <x:f>IF(ABS(W202-SUM(M202:Q202)-V202)&lt;0.01,"OK","Check")</x:f>
        <x:v>OK</x:v>
      </x:c>
    </x:row>
    <x:row r="203">
      <x:c r="A203" s="14" t="n">
        <x:v>2026</x:v>
      </x:c>
      <x:c r="B203" s="14" t="str">
        <x:v>Q2</x:v>
      </x:c>
      <x:c r="C203" s="14" t="n">
        <x:v>2</x:v>
      </x:c>
      <x:c r="D203" s="14" t="n">
        <x:v>50</x:v>
      </x:c>
      <x:c r="E203" s="14" t="str">
        <x:f>INDEX(Roster!$B$6:$B$108,MATCH(D203,Roster!$A$6:$A$108,0))</x:f>
      </x:c>
      <x:c r="F203" s="14" t="str">
        <x:f>INDEX(Roster!$F$6:$F$108,MATCH(D203,Roster!$A$6:$A$108,0))</x:f>
        <x:v>No</x:v>
      </x:c>
      <x:c r="G203" s="14" t="n">
        <x:f>INDEX(Inputs!$B$7:$D$7,1,MATCH(A203,Inputs!$B$6:$D$6,0))</x:f>
        <x:v>13</x:v>
      </x:c>
      <x:c r="H203" s="14" t="n">
        <x:f>MIN(=INDEX(Inputs!$B$7:$D$7,1,MATCH(A203,Inputs!$B$6:$D$6,0)),MAX(0,INDEX(Inputs!$B$14:$D$14,1,MATCH(A203,Inputs!$B$6:$D$6,0))-(C203-1)*=INDEX(Inputs!$B$7:$D$7,1,MATCH(A203,Inputs!$B$6:$D$6,0))))</x:f>
        <x:v>13</x:v>
      </x:c>
      <x:c r="I203" s="20" t="n">
        <x:f>INDEX(Inputs!$B$8:$D$8,1,MATCH(A203,Inputs!$B$6:$D$6,0))</x:f>
        <x:v>2395</x:v>
      </x:c>
      <x:c r="J203" s="20" t="n">
        <x:f>INDEX(Roster!$C$6:$C$108,MATCH(D203,Roster!$A$6:$A$108,0))*(1+INDEX(Inputs!$B$9:$D$9,1,MATCH(A203,Inputs!$B$6:$D$6,0)))</x:f>
        <x:v>20</x:v>
      </x:c>
      <x:c r="K203" s="20" t="n">
        <x:f>IF(=INDEX(Roster!$F$6:$F$108,MATCH(D203,Roster!$A$6:$A$108,0))="Yes",0,=INDEX(Inputs!$B$8:$D$8,1,MATCH(A203,Inputs!$B$6:$D$6,0))*IF(=INDEX(Roster!$B$6:$B$108,MATCH(D203,Roster!$A$6:$A$108,0))="Principal",INDEX(Inputs!$B$10:$D$10,1,MATCH(A203,Inputs!$B$6:$D$6,0)),IF(=INDEX(Roster!$B$6:$B$108,MATCH(D203,Roster!$A$6:$A$108,0))="Associate Principal",INDEX(Inputs!$B$11:$D$11,1,MATCH(A203,Inputs!$B$6:$D$6,0)),IF(=INDEX(Roster!$B$6:$B$108,MATCH(D203,Roster!$A$6:$A$108,0))="Assistant Principal",INDEX(Inputs!$B$12:$D$12,1,MATCH(A203,Inputs!$B$6:$D$6,0)),0))))</x:f>
        <x:v>0</x:v>
      </x:c>
      <x:c r="L203" s="20" t="n">
        <x:f>IF(INDEX(Roster!$D$6:$D$108,MATCH(D203,Roster!$A$6:$A$108,0))&gt;=25,INDEX(Inputs!$B$19:$D$19,1,MATCH(A203,Inputs!$B$6:$D$6,0)),IF(INDEX(Roster!$D$6:$D$108,MATCH(D203,Roster!$A$6:$A$108,0))&gt;=20,INDEX(Inputs!$B$18:$D$18,1,MATCH(A203,Inputs!$B$6:$D$6,0)),IF(INDEX(Roster!$D$6:$D$108,MATCH(D203,Roster!$A$6:$A$108,0))&gt;=15,INDEX(Inputs!$B$17:$D$17,1,MATCH(A203,Inputs!$B$6:$D$6,0)),IF(INDEX(Roster!$D$6:$D$108,MATCH(D203,Roster!$A$6:$A$108,0))&gt;=10,INDEX(Inputs!$B$16:$D$16,1,MATCH(A203,Inputs!$B$6:$D$6,0)),IF(INDEX(Roster!$D$6:$D$108,MATCH(D203,Roster!$A$6:$A$108,0))&gt;=5,INDEX(Inputs!$B$15:$D$15,1,MATCH(A203,Inputs!$B$6:$D$6,0)),0)))))</x:f>
        <x:v>90</x:v>
      </x:c>
      <x:c r="M203" s="20" t="n">
        <x:f>G203*I203</x:f>
        <x:v>31135</x:v>
      </x:c>
      <x:c r="N203" s="20" t="n">
        <x:f>G203*J203</x:f>
        <x:v>260</x:v>
      </x:c>
      <x:c r="O203" s="20" t="n">
        <x:f>G203*K203</x:f>
        <x:v>0</x:v>
      </x:c>
      <x:c r="P203" s="20" t="n">
        <x:f>G203*L203</x:f>
        <x:v>1170</x:v>
      </x:c>
      <x:c r="Q203" s="20" t="n">
        <x:f>H203*INDEX(Inputs!$B$13:$D$13,1,MATCH(A203,Inputs!$B$6:$D$6,0))</x:f>
        <x:v>390</x:v>
      </x:c>
      <x:c r="R203" s="20" t="n">
        <x:f>SUM(M203:Q203)</x:f>
        <x:v>32955</x:v>
      </x:c>
      <x:c r="S203" s="20" t="n">
        <x:f>IF(AND(A202=A203,D202=D203),S202+R203,R203)</x:f>
        <x:v>65910</x:v>
      </x:c>
      <x:c r="T203" s="20" t="n">
        <x:f>MIN(S203,INDEX(Inputs!$B$20:$D$20,1,MATCH(A203,Inputs!$B$6:$D$6,0)))*INDEX(Inputs!$B$22:$D$22,1,MATCH(A203,Inputs!$B$6:$D$6,0))+MAX(MIN(S203,INDEX(Inputs!$B$21:$D$21,1,MATCH(A203,Inputs!$B$6:$D$6,0)))-INDEX(Inputs!$B$20:$D$20,1,MATCH(A203,Inputs!$B$6:$D$6,0)),0)*INDEX(Inputs!$B$23:$D$23,1,MATCH(A203,Inputs!$B$6:$D$6,0))+MAX(S203-INDEX(Inputs!$B$21:$D$21,1,MATCH(A203,Inputs!$B$6:$D$6,0)),0)*INDEX(Inputs!$B$24:$D$24,1,MATCH(A203,Inputs!$B$6:$D$6,0))</x:f>
        <x:v>5532.115</x:v>
      </x:c>
      <x:c r="U203" s="20" t="n">
        <x:f>IF(AND(A202=A203,D202=D203),T202,0)</x:f>
        <x:v>3011.0575</x:v>
      </x:c>
      <x:c r="V203" s="20" t="n">
        <x:f>T203-U203</x:f>
        <x:v>2521.0575</x:v>
      </x:c>
      <x:c r="W203" s="20" t="n">
        <x:f>R203+V203</x:f>
        <x:v>35476.0575</x:v>
      </x:c>
      <x:c r="X203" s="14" t="str">
        <x:f>IF(ABS(W203-SUM(M203:Q203)-V203)&lt;0.01,"OK","Check")</x:f>
        <x:v>OK</x:v>
      </x:c>
    </x:row>
    <x:row r="204">
      <x:c r="A204" s="14" t="n">
        <x:v>2026</x:v>
      </x:c>
      <x:c r="B204" s="14" t="str">
        <x:v>Q3</x:v>
      </x:c>
      <x:c r="C204" s="14" t="n">
        <x:v>3</x:v>
      </x:c>
      <x:c r="D204" s="14" t="n">
        <x:v>50</x:v>
      </x:c>
      <x:c r="E204" s="14" t="str">
        <x:f>INDEX(Roster!$B$6:$B$108,MATCH(D204,Roster!$A$6:$A$108,0))</x:f>
      </x:c>
      <x:c r="F204" s="14" t="str">
        <x:f>INDEX(Roster!$F$6:$F$108,MATCH(D204,Roster!$A$6:$A$108,0))</x:f>
        <x:v>No</x:v>
      </x:c>
      <x:c r="G204" s="14" t="n">
        <x:f>INDEX(Inputs!$B$7:$D$7,1,MATCH(A204,Inputs!$B$6:$D$6,0))</x:f>
        <x:v>13</x:v>
      </x:c>
      <x:c r="H204" s="14" t="n">
        <x:f>MIN(=INDEX(Inputs!$B$7:$D$7,1,MATCH(A204,Inputs!$B$6:$D$6,0)),MAX(0,INDEX(Inputs!$B$14:$D$14,1,MATCH(A204,Inputs!$B$6:$D$6,0))-(C204-1)*=INDEX(Inputs!$B$7:$D$7,1,MATCH(A204,Inputs!$B$6:$D$6,0))))</x:f>
        <x:v>13</x:v>
      </x:c>
      <x:c r="I204" s="20" t="n">
        <x:f>INDEX(Inputs!$B$8:$D$8,1,MATCH(A204,Inputs!$B$6:$D$6,0))</x:f>
        <x:v>2395</x:v>
      </x:c>
      <x:c r="J204" s="20" t="n">
        <x:f>INDEX(Roster!$C$6:$C$108,MATCH(D204,Roster!$A$6:$A$108,0))*(1+INDEX(Inputs!$B$9:$D$9,1,MATCH(A204,Inputs!$B$6:$D$6,0)))</x:f>
        <x:v>20</x:v>
      </x:c>
      <x:c r="K204" s="20" t="n">
        <x:f>IF(=INDEX(Roster!$F$6:$F$108,MATCH(D204,Roster!$A$6:$A$108,0))="Yes",0,=INDEX(Inputs!$B$8:$D$8,1,MATCH(A204,Inputs!$B$6:$D$6,0))*IF(=INDEX(Roster!$B$6:$B$108,MATCH(D204,Roster!$A$6:$A$108,0))="Principal",INDEX(Inputs!$B$10:$D$10,1,MATCH(A204,Inputs!$B$6:$D$6,0)),IF(=INDEX(Roster!$B$6:$B$108,MATCH(D204,Roster!$A$6:$A$108,0))="Associate Principal",INDEX(Inputs!$B$11:$D$11,1,MATCH(A204,Inputs!$B$6:$D$6,0)),IF(=INDEX(Roster!$B$6:$B$108,MATCH(D204,Roster!$A$6:$A$108,0))="Assistant Principal",INDEX(Inputs!$B$12:$D$12,1,MATCH(A204,Inputs!$B$6:$D$6,0)),0))))</x:f>
        <x:v>0</x:v>
      </x:c>
      <x:c r="L204" s="20" t="n">
        <x:f>IF(INDEX(Roster!$D$6:$D$108,MATCH(D204,Roster!$A$6:$A$108,0))&gt;=25,INDEX(Inputs!$B$19:$D$19,1,MATCH(A204,Inputs!$B$6:$D$6,0)),IF(INDEX(Roster!$D$6:$D$108,MATCH(D204,Roster!$A$6:$A$108,0))&gt;=20,INDEX(Inputs!$B$18:$D$18,1,MATCH(A204,Inputs!$B$6:$D$6,0)),IF(INDEX(Roster!$D$6:$D$108,MATCH(D204,Roster!$A$6:$A$108,0))&gt;=15,INDEX(Inputs!$B$17:$D$17,1,MATCH(A204,Inputs!$B$6:$D$6,0)),IF(INDEX(Roster!$D$6:$D$108,MATCH(D204,Roster!$A$6:$A$108,0))&gt;=10,INDEX(Inputs!$B$16:$D$16,1,MATCH(A204,Inputs!$B$6:$D$6,0)),IF(INDEX(Roster!$D$6:$D$108,MATCH(D204,Roster!$A$6:$A$108,0))&gt;=5,INDEX(Inputs!$B$15:$D$15,1,MATCH(A204,Inputs!$B$6:$D$6,0)),0)))))</x:f>
        <x:v>90</x:v>
      </x:c>
      <x:c r="M204" s="20" t="n">
        <x:f>G204*I204</x:f>
        <x:v>31135</x:v>
      </x:c>
      <x:c r="N204" s="20" t="n">
        <x:f>G204*J204</x:f>
        <x:v>260</x:v>
      </x:c>
      <x:c r="O204" s="20" t="n">
        <x:f>G204*K204</x:f>
        <x:v>0</x:v>
      </x:c>
      <x:c r="P204" s="20" t="n">
        <x:f>G204*L204</x:f>
        <x:v>1170</x:v>
      </x:c>
      <x:c r="Q204" s="20" t="n">
        <x:f>H204*INDEX(Inputs!$B$13:$D$13,1,MATCH(A204,Inputs!$B$6:$D$6,0))</x:f>
        <x:v>390</x:v>
      </x:c>
      <x:c r="R204" s="20" t="n">
        <x:f>SUM(M204:Q204)</x:f>
        <x:v>32955</x:v>
      </x:c>
      <x:c r="S204" s="20" t="n">
        <x:f>IF(AND(A203=A204,D203=D204),S203+R204,R204)</x:f>
        <x:v>98865</x:v>
      </x:c>
      <x:c r="T204" s="20" t="n">
        <x:f>MIN(S204,INDEX(Inputs!$B$20:$D$20,1,MATCH(A204,Inputs!$B$6:$D$6,0)))*INDEX(Inputs!$B$22:$D$22,1,MATCH(A204,Inputs!$B$6:$D$6,0))+MAX(MIN(S204,INDEX(Inputs!$B$21:$D$21,1,MATCH(A204,Inputs!$B$6:$D$6,0)))-INDEX(Inputs!$B$20:$D$20,1,MATCH(A204,Inputs!$B$6:$D$6,0)),0)*INDEX(Inputs!$B$23:$D$23,1,MATCH(A204,Inputs!$B$6:$D$6,0))+MAX(S204-INDEX(Inputs!$B$21:$D$21,1,MATCH(A204,Inputs!$B$6:$D$6,0)),0)*INDEX(Inputs!$B$24:$D$24,1,MATCH(A204,Inputs!$B$6:$D$6,0))</x:f>
        <x:v>8053.1725</x:v>
      </x:c>
      <x:c r="U204" s="20" t="n">
        <x:f>IF(AND(A203=A204,D203=D204),T203,0)</x:f>
        <x:v>5532.115</x:v>
      </x:c>
      <x:c r="V204" s="20" t="n">
        <x:f>T204-U204</x:f>
        <x:v>2521.0575</x:v>
      </x:c>
      <x:c r="W204" s="20" t="n">
        <x:f>R204+V204</x:f>
        <x:v>35476.0575</x:v>
      </x:c>
      <x:c r="X204" s="14" t="str">
        <x:f>IF(ABS(W204-SUM(M204:Q204)-V204)&lt;0.01,"OK","Check")</x:f>
        <x:v>OK</x:v>
      </x:c>
    </x:row>
    <x:row r="205">
      <x:c r="A205" s="14" t="n">
        <x:v>2026</x:v>
      </x:c>
      <x:c r="B205" s="14" t="str">
        <x:v>Q4</x:v>
      </x:c>
      <x:c r="C205" s="14" t="n">
        <x:v>4</x:v>
      </x:c>
      <x:c r="D205" s="14" t="n">
        <x:v>50</x:v>
      </x:c>
      <x:c r="E205" s="14" t="str">
        <x:f>INDEX(Roster!$B$6:$B$108,MATCH(D205,Roster!$A$6:$A$108,0))</x:f>
      </x:c>
      <x:c r="F205" s="14" t="str">
        <x:f>INDEX(Roster!$F$6:$F$108,MATCH(D205,Roster!$A$6:$A$108,0))</x:f>
        <x:v>No</x:v>
      </x:c>
      <x:c r="G205" s="14" t="n">
        <x:f>INDEX(Inputs!$B$7:$D$7,1,MATCH(A205,Inputs!$B$6:$D$6,0))</x:f>
        <x:v>13</x:v>
      </x:c>
      <x:c r="H205" s="14" t="n">
        <x:f>MIN(=INDEX(Inputs!$B$7:$D$7,1,MATCH(A205,Inputs!$B$6:$D$6,0)),MAX(0,INDEX(Inputs!$B$14:$D$14,1,MATCH(A205,Inputs!$B$6:$D$6,0))-(C205-1)*=INDEX(Inputs!$B$7:$D$7,1,MATCH(A205,Inputs!$B$6:$D$6,0))))</x:f>
        <x:v>0</x:v>
      </x:c>
      <x:c r="I205" s="20" t="n">
        <x:f>INDEX(Inputs!$B$8:$D$8,1,MATCH(A205,Inputs!$B$6:$D$6,0))</x:f>
        <x:v>2395</x:v>
      </x:c>
      <x:c r="J205" s="20" t="n">
        <x:f>INDEX(Roster!$C$6:$C$108,MATCH(D205,Roster!$A$6:$A$108,0))*(1+INDEX(Inputs!$B$9:$D$9,1,MATCH(A205,Inputs!$B$6:$D$6,0)))</x:f>
        <x:v>20</x:v>
      </x:c>
      <x:c r="K205" s="20" t="n">
        <x:f>IF(=INDEX(Roster!$F$6:$F$108,MATCH(D205,Roster!$A$6:$A$108,0))="Yes",0,=INDEX(Inputs!$B$8:$D$8,1,MATCH(A205,Inputs!$B$6:$D$6,0))*IF(=INDEX(Roster!$B$6:$B$108,MATCH(D205,Roster!$A$6:$A$108,0))="Principal",INDEX(Inputs!$B$10:$D$10,1,MATCH(A205,Inputs!$B$6:$D$6,0)),IF(=INDEX(Roster!$B$6:$B$108,MATCH(D205,Roster!$A$6:$A$108,0))="Associate Principal",INDEX(Inputs!$B$11:$D$11,1,MATCH(A205,Inputs!$B$6:$D$6,0)),IF(=INDEX(Roster!$B$6:$B$108,MATCH(D205,Roster!$A$6:$A$108,0))="Assistant Principal",INDEX(Inputs!$B$12:$D$12,1,MATCH(A205,Inputs!$B$6:$D$6,0)),0))))</x:f>
        <x:v>0</x:v>
      </x:c>
      <x:c r="L205" s="20" t="n">
        <x:f>IF(INDEX(Roster!$D$6:$D$108,MATCH(D205,Roster!$A$6:$A$108,0))&gt;=25,INDEX(Inputs!$B$19:$D$19,1,MATCH(A205,Inputs!$B$6:$D$6,0)),IF(INDEX(Roster!$D$6:$D$108,MATCH(D205,Roster!$A$6:$A$108,0))&gt;=20,INDEX(Inputs!$B$18:$D$18,1,MATCH(A205,Inputs!$B$6:$D$6,0)),IF(INDEX(Roster!$D$6:$D$108,MATCH(D205,Roster!$A$6:$A$108,0))&gt;=15,INDEX(Inputs!$B$17:$D$17,1,MATCH(A205,Inputs!$B$6:$D$6,0)),IF(INDEX(Roster!$D$6:$D$108,MATCH(D205,Roster!$A$6:$A$108,0))&gt;=10,INDEX(Inputs!$B$16:$D$16,1,MATCH(A205,Inputs!$B$6:$D$6,0)),IF(INDEX(Roster!$D$6:$D$108,MATCH(D205,Roster!$A$6:$A$108,0))&gt;=5,INDEX(Inputs!$B$15:$D$15,1,MATCH(A205,Inputs!$B$6:$D$6,0)),0)))))</x:f>
        <x:v>90</x:v>
      </x:c>
      <x:c r="M205" s="20" t="n">
        <x:f>G205*I205</x:f>
        <x:v>31135</x:v>
      </x:c>
      <x:c r="N205" s="20" t="n">
        <x:f>G205*J205</x:f>
        <x:v>260</x:v>
      </x:c>
      <x:c r="O205" s="20" t="n">
        <x:f>G205*K205</x:f>
        <x:v>0</x:v>
      </x:c>
      <x:c r="P205" s="20" t="n">
        <x:f>G205*L205</x:f>
        <x:v>1170</x:v>
      </x:c>
      <x:c r="Q205" s="20" t="n">
        <x:f>H205*INDEX(Inputs!$B$13:$D$13,1,MATCH(A205,Inputs!$B$6:$D$6,0))</x:f>
        <x:v>0</x:v>
      </x:c>
      <x:c r="R205" s="20" t="n">
        <x:f>SUM(M205:Q205)</x:f>
        <x:v>32565</x:v>
      </x:c>
      <x:c r="S205" s="20" t="n">
        <x:f>IF(AND(A204=A205,D204=D205),S204+R205,R205)</x:f>
        <x:v>131430</x:v>
      </x:c>
      <x:c r="T205" s="20" t="n">
        <x:f>MIN(S205,INDEX(Inputs!$B$20:$D$20,1,MATCH(A205,Inputs!$B$6:$D$6,0)))*INDEX(Inputs!$B$22:$D$22,1,MATCH(A205,Inputs!$B$6:$D$6,0))+MAX(MIN(S205,INDEX(Inputs!$B$21:$D$21,1,MATCH(A205,Inputs!$B$6:$D$6,0)))-INDEX(Inputs!$B$20:$D$20,1,MATCH(A205,Inputs!$B$6:$D$6,0)),0)*INDEX(Inputs!$B$23:$D$23,1,MATCH(A205,Inputs!$B$6:$D$6,0))+MAX(S205-INDEX(Inputs!$B$21:$D$21,1,MATCH(A205,Inputs!$B$6:$D$6,0)),0)*INDEX(Inputs!$B$24:$D$24,1,MATCH(A205,Inputs!$B$6:$D$6,0))</x:f>
        <x:v>9819.677</x:v>
      </x:c>
      <x:c r="U205" s="20" t="n">
        <x:f>IF(AND(A204=A205,D204=D205),T204,0)</x:f>
        <x:v>8053.1725</x:v>
      </x:c>
      <x:c r="V205" s="20" t="n">
        <x:f>T205-U205</x:f>
        <x:v>1766.5045</x:v>
      </x:c>
      <x:c r="W205" s="20" t="n">
        <x:f>R205+V205</x:f>
        <x:v>34331.5045</x:v>
      </x:c>
      <x:c r="X205" s="14" t="str">
        <x:f>IF(ABS(W205-SUM(M205:Q205)-V205)&lt;0.01,"OK","Check")</x:f>
        <x:v>OK</x:v>
      </x:c>
    </x:row>
    <x:row r="206">
      <x:c r="A206" s="14" t="n">
        <x:v>2026</x:v>
      </x:c>
      <x:c r="B206" s="14" t="str">
        <x:v>Q1</x:v>
      </x:c>
      <x:c r="C206" s="14" t="n">
        <x:v>1</x:v>
      </x:c>
      <x:c r="D206" s="14" t="n">
        <x:v>51</x:v>
      </x:c>
      <x:c r="E206" s="14" t="str">
        <x:f>INDEX(Roster!$B$6:$B$108,MATCH(D206,Roster!$A$6:$A$108,0))</x:f>
      </x:c>
      <x:c r="F206" s="14" t="str">
        <x:f>INDEX(Roster!$F$6:$F$108,MATCH(D206,Roster!$A$6:$A$108,0))</x:f>
        <x:v>No</x:v>
      </x:c>
      <x:c r="G206" s="14" t="n">
        <x:f>INDEX(Inputs!$B$7:$D$7,1,MATCH(A206,Inputs!$B$6:$D$6,0))</x:f>
        <x:v>13</x:v>
      </x:c>
      <x:c r="H206" s="14" t="n">
        <x:f>MIN(=INDEX(Inputs!$B$7:$D$7,1,MATCH(A206,Inputs!$B$6:$D$6,0)),MAX(0,INDEX(Inputs!$B$14:$D$14,1,MATCH(A206,Inputs!$B$6:$D$6,0))-(C206-1)*=INDEX(Inputs!$B$7:$D$7,1,MATCH(A206,Inputs!$B$6:$D$6,0))))</x:f>
        <x:v>13</x:v>
      </x:c>
      <x:c r="I206" s="20" t="n">
        <x:f>INDEX(Inputs!$B$8:$D$8,1,MATCH(A206,Inputs!$B$6:$D$6,0))</x:f>
        <x:v>2395</x:v>
      </x:c>
      <x:c r="J206" s="20" t="n">
        <x:f>INDEX(Roster!$C$6:$C$108,MATCH(D206,Roster!$A$6:$A$108,0))*(1+INDEX(Inputs!$B$9:$D$9,1,MATCH(A206,Inputs!$B$6:$D$6,0)))</x:f>
        <x:v>40</x:v>
      </x:c>
      <x:c r="K206" s="20" t="n">
        <x:f>IF(=INDEX(Roster!$F$6:$F$108,MATCH(D206,Roster!$A$6:$A$108,0))="Yes",0,=INDEX(Inputs!$B$8:$D$8,1,MATCH(A206,Inputs!$B$6:$D$6,0))*IF(=INDEX(Roster!$B$6:$B$108,MATCH(D206,Roster!$A$6:$A$108,0))="Principal",INDEX(Inputs!$B$10:$D$10,1,MATCH(A206,Inputs!$B$6:$D$6,0)),IF(=INDEX(Roster!$B$6:$B$108,MATCH(D206,Roster!$A$6:$A$108,0))="Associate Principal",INDEX(Inputs!$B$11:$D$11,1,MATCH(A206,Inputs!$B$6:$D$6,0)),IF(=INDEX(Roster!$B$6:$B$108,MATCH(D206,Roster!$A$6:$A$108,0))="Assistant Principal",INDEX(Inputs!$B$12:$D$12,1,MATCH(A206,Inputs!$B$6:$D$6,0)),0))))</x:f>
        <x:v>0</x:v>
      </x:c>
      <x:c r="L206" s="20" t="n">
        <x:f>IF(INDEX(Roster!$D$6:$D$108,MATCH(D206,Roster!$A$6:$A$108,0))&gt;=25,INDEX(Inputs!$B$19:$D$19,1,MATCH(A206,Inputs!$B$6:$D$6,0)),IF(INDEX(Roster!$D$6:$D$108,MATCH(D206,Roster!$A$6:$A$108,0))&gt;=20,INDEX(Inputs!$B$18:$D$18,1,MATCH(A206,Inputs!$B$6:$D$6,0)),IF(INDEX(Roster!$D$6:$D$108,MATCH(D206,Roster!$A$6:$A$108,0))&gt;=15,INDEX(Inputs!$B$17:$D$17,1,MATCH(A206,Inputs!$B$6:$D$6,0)),IF(INDEX(Roster!$D$6:$D$108,MATCH(D206,Roster!$A$6:$A$108,0))&gt;=10,INDEX(Inputs!$B$16:$D$16,1,MATCH(A206,Inputs!$B$6:$D$6,0)),IF(INDEX(Roster!$D$6:$D$108,MATCH(D206,Roster!$A$6:$A$108,0))&gt;=5,INDEX(Inputs!$B$15:$D$15,1,MATCH(A206,Inputs!$B$6:$D$6,0)),0)))))</x:f>
        <x:v>70</x:v>
      </x:c>
      <x:c r="M206" s="20" t="n">
        <x:f>G206*I206</x:f>
        <x:v>31135</x:v>
      </x:c>
      <x:c r="N206" s="20" t="n">
        <x:f>G206*J206</x:f>
        <x:v>520</x:v>
      </x:c>
      <x:c r="O206" s="20" t="n">
        <x:f>G206*K206</x:f>
        <x:v>0</x:v>
      </x:c>
      <x:c r="P206" s="20" t="n">
        <x:f>G206*L206</x:f>
        <x:v>910</x:v>
      </x:c>
      <x:c r="Q206" s="20" t="n">
        <x:f>H206*INDEX(Inputs!$B$13:$D$13,1,MATCH(A206,Inputs!$B$6:$D$6,0))</x:f>
        <x:v>390</x:v>
      </x:c>
      <x:c r="R206" s="20" t="n">
        <x:f>SUM(M206:Q206)</x:f>
        <x:v>32955</x:v>
      </x:c>
      <x:c r="S206" s="20" t="n">
        <x:f>IF(AND(A205=A206,D205=D206),S205+R206,R206)</x:f>
        <x:v>32955</x:v>
      </x:c>
      <x:c r="T206" s="20" t="n">
        <x:f>MIN(S206,INDEX(Inputs!$B$20:$D$20,1,MATCH(A206,Inputs!$B$6:$D$6,0)))*INDEX(Inputs!$B$22:$D$22,1,MATCH(A206,Inputs!$B$6:$D$6,0))+MAX(MIN(S206,INDEX(Inputs!$B$21:$D$21,1,MATCH(A206,Inputs!$B$6:$D$6,0)))-INDEX(Inputs!$B$20:$D$20,1,MATCH(A206,Inputs!$B$6:$D$6,0)),0)*INDEX(Inputs!$B$23:$D$23,1,MATCH(A206,Inputs!$B$6:$D$6,0))+MAX(S206-INDEX(Inputs!$B$21:$D$21,1,MATCH(A206,Inputs!$B$6:$D$6,0)),0)*INDEX(Inputs!$B$24:$D$24,1,MATCH(A206,Inputs!$B$6:$D$6,0))</x:f>
        <x:v>3011.0575</x:v>
      </x:c>
      <x:c r="U206" s="20" t="n">
        <x:f>IF(AND(A205=A206,D205=D206),T205,0)</x:f>
        <x:v>0</x:v>
      </x:c>
      <x:c r="V206" s="20" t="n">
        <x:f>T206-U206</x:f>
        <x:v>3011.0575</x:v>
      </x:c>
      <x:c r="W206" s="20" t="n">
        <x:f>R206+V206</x:f>
        <x:v>35966.0575</x:v>
      </x:c>
      <x:c r="X206" s="14" t="str">
        <x:f>IF(ABS(W206-SUM(M206:Q206)-V206)&lt;0.01,"OK","Check")</x:f>
        <x:v>OK</x:v>
      </x:c>
    </x:row>
    <x:row r="207">
      <x:c r="A207" s="14" t="n">
        <x:v>2026</x:v>
      </x:c>
      <x:c r="B207" s="14" t="str">
        <x:v>Q2</x:v>
      </x:c>
      <x:c r="C207" s="14" t="n">
        <x:v>2</x:v>
      </x:c>
      <x:c r="D207" s="14" t="n">
        <x:v>51</x:v>
      </x:c>
      <x:c r="E207" s="14" t="str">
        <x:f>INDEX(Roster!$B$6:$B$108,MATCH(D207,Roster!$A$6:$A$108,0))</x:f>
      </x:c>
      <x:c r="F207" s="14" t="str">
        <x:f>INDEX(Roster!$F$6:$F$108,MATCH(D207,Roster!$A$6:$A$108,0))</x:f>
        <x:v>No</x:v>
      </x:c>
      <x:c r="G207" s="14" t="n">
        <x:f>INDEX(Inputs!$B$7:$D$7,1,MATCH(A207,Inputs!$B$6:$D$6,0))</x:f>
        <x:v>13</x:v>
      </x:c>
      <x:c r="H207" s="14" t="n">
        <x:f>MIN(=INDEX(Inputs!$B$7:$D$7,1,MATCH(A207,Inputs!$B$6:$D$6,0)),MAX(0,INDEX(Inputs!$B$14:$D$14,1,MATCH(A207,Inputs!$B$6:$D$6,0))-(C207-1)*=INDEX(Inputs!$B$7:$D$7,1,MATCH(A207,Inputs!$B$6:$D$6,0))))</x:f>
        <x:v>13</x:v>
      </x:c>
      <x:c r="I207" s="20" t="n">
        <x:f>INDEX(Inputs!$B$8:$D$8,1,MATCH(A207,Inputs!$B$6:$D$6,0))</x:f>
        <x:v>2395</x:v>
      </x:c>
      <x:c r="J207" s="20" t="n">
        <x:f>INDEX(Roster!$C$6:$C$108,MATCH(D207,Roster!$A$6:$A$108,0))*(1+INDEX(Inputs!$B$9:$D$9,1,MATCH(A207,Inputs!$B$6:$D$6,0)))</x:f>
        <x:v>40</x:v>
      </x:c>
      <x:c r="K207" s="20" t="n">
        <x:f>IF(=INDEX(Roster!$F$6:$F$108,MATCH(D207,Roster!$A$6:$A$108,0))="Yes",0,=INDEX(Inputs!$B$8:$D$8,1,MATCH(A207,Inputs!$B$6:$D$6,0))*IF(=INDEX(Roster!$B$6:$B$108,MATCH(D207,Roster!$A$6:$A$108,0))="Principal",INDEX(Inputs!$B$10:$D$10,1,MATCH(A207,Inputs!$B$6:$D$6,0)),IF(=INDEX(Roster!$B$6:$B$108,MATCH(D207,Roster!$A$6:$A$108,0))="Associate Principal",INDEX(Inputs!$B$11:$D$11,1,MATCH(A207,Inputs!$B$6:$D$6,0)),IF(=INDEX(Roster!$B$6:$B$108,MATCH(D207,Roster!$A$6:$A$108,0))="Assistant Principal",INDEX(Inputs!$B$12:$D$12,1,MATCH(A207,Inputs!$B$6:$D$6,0)),0))))</x:f>
        <x:v>0</x:v>
      </x:c>
      <x:c r="L207" s="20" t="n">
        <x:f>IF(INDEX(Roster!$D$6:$D$108,MATCH(D207,Roster!$A$6:$A$108,0))&gt;=25,INDEX(Inputs!$B$19:$D$19,1,MATCH(A207,Inputs!$B$6:$D$6,0)),IF(INDEX(Roster!$D$6:$D$108,MATCH(D207,Roster!$A$6:$A$108,0))&gt;=20,INDEX(Inputs!$B$18:$D$18,1,MATCH(A207,Inputs!$B$6:$D$6,0)),IF(INDEX(Roster!$D$6:$D$108,MATCH(D207,Roster!$A$6:$A$108,0))&gt;=15,INDEX(Inputs!$B$17:$D$17,1,MATCH(A207,Inputs!$B$6:$D$6,0)),IF(INDEX(Roster!$D$6:$D$108,MATCH(D207,Roster!$A$6:$A$108,0))&gt;=10,INDEX(Inputs!$B$16:$D$16,1,MATCH(A207,Inputs!$B$6:$D$6,0)),IF(INDEX(Roster!$D$6:$D$108,MATCH(D207,Roster!$A$6:$A$108,0))&gt;=5,INDEX(Inputs!$B$15:$D$15,1,MATCH(A207,Inputs!$B$6:$D$6,0)),0)))))</x:f>
        <x:v>70</x:v>
      </x:c>
      <x:c r="M207" s="20" t="n">
        <x:f>G207*I207</x:f>
        <x:v>31135</x:v>
      </x:c>
      <x:c r="N207" s="20" t="n">
        <x:f>G207*J207</x:f>
        <x:v>520</x:v>
      </x:c>
      <x:c r="O207" s="20" t="n">
        <x:f>G207*K207</x:f>
        <x:v>0</x:v>
      </x:c>
      <x:c r="P207" s="20" t="n">
        <x:f>G207*L207</x:f>
        <x:v>910</x:v>
      </x:c>
      <x:c r="Q207" s="20" t="n">
        <x:f>H207*INDEX(Inputs!$B$13:$D$13,1,MATCH(A207,Inputs!$B$6:$D$6,0))</x:f>
        <x:v>390</x:v>
      </x:c>
      <x:c r="R207" s="20" t="n">
        <x:f>SUM(M207:Q207)</x:f>
        <x:v>32955</x:v>
      </x:c>
      <x:c r="S207" s="20" t="n">
        <x:f>IF(AND(A206=A207,D206=D207),S206+R207,R207)</x:f>
        <x:v>65910</x:v>
      </x:c>
      <x:c r="T207" s="20" t="n">
        <x:f>MIN(S207,INDEX(Inputs!$B$20:$D$20,1,MATCH(A207,Inputs!$B$6:$D$6,0)))*INDEX(Inputs!$B$22:$D$22,1,MATCH(A207,Inputs!$B$6:$D$6,0))+MAX(MIN(S207,INDEX(Inputs!$B$21:$D$21,1,MATCH(A207,Inputs!$B$6:$D$6,0)))-INDEX(Inputs!$B$20:$D$20,1,MATCH(A207,Inputs!$B$6:$D$6,0)),0)*INDEX(Inputs!$B$23:$D$23,1,MATCH(A207,Inputs!$B$6:$D$6,0))+MAX(S207-INDEX(Inputs!$B$21:$D$21,1,MATCH(A207,Inputs!$B$6:$D$6,0)),0)*INDEX(Inputs!$B$24:$D$24,1,MATCH(A207,Inputs!$B$6:$D$6,0))</x:f>
        <x:v>5532.115</x:v>
      </x:c>
      <x:c r="U207" s="20" t="n">
        <x:f>IF(AND(A206=A207,D206=D207),T206,0)</x:f>
        <x:v>3011.0575</x:v>
      </x:c>
      <x:c r="V207" s="20" t="n">
        <x:f>T207-U207</x:f>
        <x:v>2521.0575</x:v>
      </x:c>
      <x:c r="W207" s="20" t="n">
        <x:f>R207+V207</x:f>
        <x:v>35476.0575</x:v>
      </x:c>
      <x:c r="X207" s="14" t="str">
        <x:f>IF(ABS(W207-SUM(M207:Q207)-V207)&lt;0.01,"OK","Check")</x:f>
        <x:v>OK</x:v>
      </x:c>
    </x:row>
    <x:row r="208">
      <x:c r="A208" s="14" t="n">
        <x:v>2026</x:v>
      </x:c>
      <x:c r="B208" s="14" t="str">
        <x:v>Q3</x:v>
      </x:c>
      <x:c r="C208" s="14" t="n">
        <x:v>3</x:v>
      </x:c>
      <x:c r="D208" s="14" t="n">
        <x:v>51</x:v>
      </x:c>
      <x:c r="E208" s="14" t="str">
        <x:f>INDEX(Roster!$B$6:$B$108,MATCH(D208,Roster!$A$6:$A$108,0))</x:f>
      </x:c>
      <x:c r="F208" s="14" t="str">
        <x:f>INDEX(Roster!$F$6:$F$108,MATCH(D208,Roster!$A$6:$A$108,0))</x:f>
        <x:v>No</x:v>
      </x:c>
      <x:c r="G208" s="14" t="n">
        <x:f>INDEX(Inputs!$B$7:$D$7,1,MATCH(A208,Inputs!$B$6:$D$6,0))</x:f>
        <x:v>13</x:v>
      </x:c>
      <x:c r="H208" s="14" t="n">
        <x:f>MIN(=INDEX(Inputs!$B$7:$D$7,1,MATCH(A208,Inputs!$B$6:$D$6,0)),MAX(0,INDEX(Inputs!$B$14:$D$14,1,MATCH(A208,Inputs!$B$6:$D$6,0))-(C208-1)*=INDEX(Inputs!$B$7:$D$7,1,MATCH(A208,Inputs!$B$6:$D$6,0))))</x:f>
        <x:v>13</x:v>
      </x:c>
      <x:c r="I208" s="20" t="n">
        <x:f>INDEX(Inputs!$B$8:$D$8,1,MATCH(A208,Inputs!$B$6:$D$6,0))</x:f>
        <x:v>2395</x:v>
      </x:c>
      <x:c r="J208" s="20" t="n">
        <x:f>INDEX(Roster!$C$6:$C$108,MATCH(D208,Roster!$A$6:$A$108,0))*(1+INDEX(Inputs!$B$9:$D$9,1,MATCH(A208,Inputs!$B$6:$D$6,0)))</x:f>
        <x:v>40</x:v>
      </x:c>
      <x:c r="K208" s="20" t="n">
        <x:f>IF(=INDEX(Roster!$F$6:$F$108,MATCH(D208,Roster!$A$6:$A$108,0))="Yes",0,=INDEX(Inputs!$B$8:$D$8,1,MATCH(A208,Inputs!$B$6:$D$6,0))*IF(=INDEX(Roster!$B$6:$B$108,MATCH(D208,Roster!$A$6:$A$108,0))="Principal",INDEX(Inputs!$B$10:$D$10,1,MATCH(A208,Inputs!$B$6:$D$6,0)),IF(=INDEX(Roster!$B$6:$B$108,MATCH(D208,Roster!$A$6:$A$108,0))="Associate Principal",INDEX(Inputs!$B$11:$D$11,1,MATCH(A208,Inputs!$B$6:$D$6,0)),IF(=INDEX(Roster!$B$6:$B$108,MATCH(D208,Roster!$A$6:$A$108,0))="Assistant Principal",INDEX(Inputs!$B$12:$D$12,1,MATCH(A208,Inputs!$B$6:$D$6,0)),0))))</x:f>
        <x:v>0</x:v>
      </x:c>
      <x:c r="L208" s="20" t="n">
        <x:f>IF(INDEX(Roster!$D$6:$D$108,MATCH(D208,Roster!$A$6:$A$108,0))&gt;=25,INDEX(Inputs!$B$19:$D$19,1,MATCH(A208,Inputs!$B$6:$D$6,0)),IF(INDEX(Roster!$D$6:$D$108,MATCH(D208,Roster!$A$6:$A$108,0))&gt;=20,INDEX(Inputs!$B$18:$D$18,1,MATCH(A208,Inputs!$B$6:$D$6,0)),IF(INDEX(Roster!$D$6:$D$108,MATCH(D208,Roster!$A$6:$A$108,0))&gt;=15,INDEX(Inputs!$B$17:$D$17,1,MATCH(A208,Inputs!$B$6:$D$6,0)),IF(INDEX(Roster!$D$6:$D$108,MATCH(D208,Roster!$A$6:$A$108,0))&gt;=10,INDEX(Inputs!$B$16:$D$16,1,MATCH(A208,Inputs!$B$6:$D$6,0)),IF(INDEX(Roster!$D$6:$D$108,MATCH(D208,Roster!$A$6:$A$108,0))&gt;=5,INDEX(Inputs!$B$15:$D$15,1,MATCH(A208,Inputs!$B$6:$D$6,0)),0)))))</x:f>
        <x:v>70</x:v>
      </x:c>
      <x:c r="M208" s="20" t="n">
        <x:f>G208*I208</x:f>
        <x:v>31135</x:v>
      </x:c>
      <x:c r="N208" s="20" t="n">
        <x:f>G208*J208</x:f>
        <x:v>520</x:v>
      </x:c>
      <x:c r="O208" s="20" t="n">
        <x:f>G208*K208</x:f>
        <x:v>0</x:v>
      </x:c>
      <x:c r="P208" s="20" t="n">
        <x:f>G208*L208</x:f>
        <x:v>910</x:v>
      </x:c>
      <x:c r="Q208" s="20" t="n">
        <x:f>H208*INDEX(Inputs!$B$13:$D$13,1,MATCH(A208,Inputs!$B$6:$D$6,0))</x:f>
        <x:v>390</x:v>
      </x:c>
      <x:c r="R208" s="20" t="n">
        <x:f>SUM(M208:Q208)</x:f>
        <x:v>32955</x:v>
      </x:c>
      <x:c r="S208" s="20" t="n">
        <x:f>IF(AND(A207=A208,D207=D208),S207+R208,R208)</x:f>
        <x:v>98865</x:v>
      </x:c>
      <x:c r="T208" s="20" t="n">
        <x:f>MIN(S208,INDEX(Inputs!$B$20:$D$20,1,MATCH(A208,Inputs!$B$6:$D$6,0)))*INDEX(Inputs!$B$22:$D$22,1,MATCH(A208,Inputs!$B$6:$D$6,0))+MAX(MIN(S208,INDEX(Inputs!$B$21:$D$21,1,MATCH(A208,Inputs!$B$6:$D$6,0)))-INDEX(Inputs!$B$20:$D$20,1,MATCH(A208,Inputs!$B$6:$D$6,0)),0)*INDEX(Inputs!$B$23:$D$23,1,MATCH(A208,Inputs!$B$6:$D$6,0))+MAX(S208-INDEX(Inputs!$B$21:$D$21,1,MATCH(A208,Inputs!$B$6:$D$6,0)),0)*INDEX(Inputs!$B$24:$D$24,1,MATCH(A208,Inputs!$B$6:$D$6,0))</x:f>
        <x:v>8053.1725</x:v>
      </x:c>
      <x:c r="U208" s="20" t="n">
        <x:f>IF(AND(A207=A208,D207=D208),T207,0)</x:f>
        <x:v>5532.115</x:v>
      </x:c>
      <x:c r="V208" s="20" t="n">
        <x:f>T208-U208</x:f>
        <x:v>2521.0575</x:v>
      </x:c>
      <x:c r="W208" s="20" t="n">
        <x:f>R208+V208</x:f>
        <x:v>35476.0575</x:v>
      </x:c>
      <x:c r="X208" s="14" t="str">
        <x:f>IF(ABS(W208-SUM(M208:Q208)-V208)&lt;0.01,"OK","Check")</x:f>
        <x:v>OK</x:v>
      </x:c>
    </x:row>
    <x:row r="209">
      <x:c r="A209" s="14" t="n">
        <x:v>2026</x:v>
      </x:c>
      <x:c r="B209" s="14" t="str">
        <x:v>Q4</x:v>
      </x:c>
      <x:c r="C209" s="14" t="n">
        <x:v>4</x:v>
      </x:c>
      <x:c r="D209" s="14" t="n">
        <x:v>51</x:v>
      </x:c>
      <x:c r="E209" s="14" t="str">
        <x:f>INDEX(Roster!$B$6:$B$108,MATCH(D209,Roster!$A$6:$A$108,0))</x:f>
      </x:c>
      <x:c r="F209" s="14" t="str">
        <x:f>INDEX(Roster!$F$6:$F$108,MATCH(D209,Roster!$A$6:$A$108,0))</x:f>
        <x:v>No</x:v>
      </x:c>
      <x:c r="G209" s="14" t="n">
        <x:f>INDEX(Inputs!$B$7:$D$7,1,MATCH(A209,Inputs!$B$6:$D$6,0))</x:f>
        <x:v>13</x:v>
      </x:c>
      <x:c r="H209" s="14" t="n">
        <x:f>MIN(=INDEX(Inputs!$B$7:$D$7,1,MATCH(A209,Inputs!$B$6:$D$6,0)),MAX(0,INDEX(Inputs!$B$14:$D$14,1,MATCH(A209,Inputs!$B$6:$D$6,0))-(C209-1)*=INDEX(Inputs!$B$7:$D$7,1,MATCH(A209,Inputs!$B$6:$D$6,0))))</x:f>
        <x:v>0</x:v>
      </x:c>
      <x:c r="I209" s="20" t="n">
        <x:f>INDEX(Inputs!$B$8:$D$8,1,MATCH(A209,Inputs!$B$6:$D$6,0))</x:f>
        <x:v>2395</x:v>
      </x:c>
      <x:c r="J209" s="20" t="n">
        <x:f>INDEX(Roster!$C$6:$C$108,MATCH(D209,Roster!$A$6:$A$108,0))*(1+INDEX(Inputs!$B$9:$D$9,1,MATCH(A209,Inputs!$B$6:$D$6,0)))</x:f>
        <x:v>40</x:v>
      </x:c>
      <x:c r="K209" s="20" t="n">
        <x:f>IF(=INDEX(Roster!$F$6:$F$108,MATCH(D209,Roster!$A$6:$A$108,0))="Yes",0,=INDEX(Inputs!$B$8:$D$8,1,MATCH(A209,Inputs!$B$6:$D$6,0))*IF(=INDEX(Roster!$B$6:$B$108,MATCH(D209,Roster!$A$6:$A$108,0))="Principal",INDEX(Inputs!$B$10:$D$10,1,MATCH(A209,Inputs!$B$6:$D$6,0)),IF(=INDEX(Roster!$B$6:$B$108,MATCH(D209,Roster!$A$6:$A$108,0))="Associate Principal",INDEX(Inputs!$B$11:$D$11,1,MATCH(A209,Inputs!$B$6:$D$6,0)),IF(=INDEX(Roster!$B$6:$B$108,MATCH(D209,Roster!$A$6:$A$108,0))="Assistant Principal",INDEX(Inputs!$B$12:$D$12,1,MATCH(A209,Inputs!$B$6:$D$6,0)),0))))</x:f>
        <x:v>0</x:v>
      </x:c>
      <x:c r="L209" s="20" t="n">
        <x:f>IF(INDEX(Roster!$D$6:$D$108,MATCH(D209,Roster!$A$6:$A$108,0))&gt;=25,INDEX(Inputs!$B$19:$D$19,1,MATCH(A209,Inputs!$B$6:$D$6,0)),IF(INDEX(Roster!$D$6:$D$108,MATCH(D209,Roster!$A$6:$A$108,0))&gt;=20,INDEX(Inputs!$B$18:$D$18,1,MATCH(A209,Inputs!$B$6:$D$6,0)),IF(INDEX(Roster!$D$6:$D$108,MATCH(D209,Roster!$A$6:$A$108,0))&gt;=15,INDEX(Inputs!$B$17:$D$17,1,MATCH(A209,Inputs!$B$6:$D$6,0)),IF(INDEX(Roster!$D$6:$D$108,MATCH(D209,Roster!$A$6:$A$108,0))&gt;=10,INDEX(Inputs!$B$16:$D$16,1,MATCH(A209,Inputs!$B$6:$D$6,0)),IF(INDEX(Roster!$D$6:$D$108,MATCH(D209,Roster!$A$6:$A$108,0))&gt;=5,INDEX(Inputs!$B$15:$D$15,1,MATCH(A209,Inputs!$B$6:$D$6,0)),0)))))</x:f>
        <x:v>70</x:v>
      </x:c>
      <x:c r="M209" s="20" t="n">
        <x:f>G209*I209</x:f>
        <x:v>31135</x:v>
      </x:c>
      <x:c r="N209" s="20" t="n">
        <x:f>G209*J209</x:f>
        <x:v>520</x:v>
      </x:c>
      <x:c r="O209" s="20" t="n">
        <x:f>G209*K209</x:f>
        <x:v>0</x:v>
      </x:c>
      <x:c r="P209" s="20" t="n">
        <x:f>G209*L209</x:f>
        <x:v>910</x:v>
      </x:c>
      <x:c r="Q209" s="20" t="n">
        <x:f>H209*INDEX(Inputs!$B$13:$D$13,1,MATCH(A209,Inputs!$B$6:$D$6,0))</x:f>
        <x:v>0</x:v>
      </x:c>
      <x:c r="R209" s="20" t="n">
        <x:f>SUM(M209:Q209)</x:f>
        <x:v>32565</x:v>
      </x:c>
      <x:c r="S209" s="20" t="n">
        <x:f>IF(AND(A208=A209,D208=D209),S208+R209,R209)</x:f>
        <x:v>131430</x:v>
      </x:c>
      <x:c r="T209" s="20" t="n">
        <x:f>MIN(S209,INDEX(Inputs!$B$20:$D$20,1,MATCH(A209,Inputs!$B$6:$D$6,0)))*INDEX(Inputs!$B$22:$D$22,1,MATCH(A209,Inputs!$B$6:$D$6,0))+MAX(MIN(S209,INDEX(Inputs!$B$21:$D$21,1,MATCH(A209,Inputs!$B$6:$D$6,0)))-INDEX(Inputs!$B$20:$D$20,1,MATCH(A209,Inputs!$B$6:$D$6,0)),0)*INDEX(Inputs!$B$23:$D$23,1,MATCH(A209,Inputs!$B$6:$D$6,0))+MAX(S209-INDEX(Inputs!$B$21:$D$21,1,MATCH(A209,Inputs!$B$6:$D$6,0)),0)*INDEX(Inputs!$B$24:$D$24,1,MATCH(A209,Inputs!$B$6:$D$6,0))</x:f>
        <x:v>9819.677</x:v>
      </x:c>
      <x:c r="U209" s="20" t="n">
        <x:f>IF(AND(A208=A209,D208=D209),T208,0)</x:f>
        <x:v>8053.1725</x:v>
      </x:c>
      <x:c r="V209" s="20" t="n">
        <x:f>T209-U209</x:f>
        <x:v>1766.5045</x:v>
      </x:c>
      <x:c r="W209" s="20" t="n">
        <x:f>R209+V209</x:f>
        <x:v>34331.5045</x:v>
      </x:c>
      <x:c r="X209" s="14" t="str">
        <x:f>IF(ABS(W209-SUM(M209:Q209)-V209)&lt;0.01,"OK","Check")</x:f>
        <x:v>OK</x:v>
      </x:c>
    </x:row>
    <x:row r="210">
      <x:c r="A210" s="14" t="n">
        <x:v>2026</x:v>
      </x:c>
      <x:c r="B210" s="14" t="str">
        <x:v>Q1</x:v>
      </x:c>
      <x:c r="C210" s="14" t="n">
        <x:v>1</x:v>
      </x:c>
      <x:c r="D210" s="14" t="n">
        <x:v>52</x:v>
      </x:c>
      <x:c r="E210" s="14" t="str">
        <x:f>INDEX(Roster!$B$6:$B$108,MATCH(D210,Roster!$A$6:$A$108,0))</x:f>
      </x:c>
      <x:c r="F210" s="14" t="str">
        <x:f>INDEX(Roster!$F$6:$F$108,MATCH(D210,Roster!$A$6:$A$108,0))</x:f>
        <x:v>No</x:v>
      </x:c>
      <x:c r="G210" s="14" t="n">
        <x:f>INDEX(Inputs!$B$7:$D$7,1,MATCH(A210,Inputs!$B$6:$D$6,0))</x:f>
        <x:v>13</x:v>
      </x:c>
      <x:c r="H210" s="14" t="n">
        <x:f>MIN(=INDEX(Inputs!$B$7:$D$7,1,MATCH(A210,Inputs!$B$6:$D$6,0)),MAX(0,INDEX(Inputs!$B$14:$D$14,1,MATCH(A210,Inputs!$B$6:$D$6,0))-(C210-1)*=INDEX(Inputs!$B$7:$D$7,1,MATCH(A210,Inputs!$B$6:$D$6,0))))</x:f>
        <x:v>13</x:v>
      </x:c>
      <x:c r="I210" s="20" t="n">
        <x:f>INDEX(Inputs!$B$8:$D$8,1,MATCH(A210,Inputs!$B$6:$D$6,0))</x:f>
        <x:v>2395</x:v>
      </x:c>
      <x:c r="J210" s="20" t="n">
        <x:f>INDEX(Roster!$C$6:$C$108,MATCH(D210,Roster!$A$6:$A$108,0))*(1+INDEX(Inputs!$B$9:$D$9,1,MATCH(A210,Inputs!$B$6:$D$6,0)))</x:f>
        <x:v>90</x:v>
      </x:c>
      <x:c r="K210" s="20" t="n">
        <x:f>IF(=INDEX(Roster!$F$6:$F$108,MATCH(D210,Roster!$A$6:$A$108,0))="Yes",0,=INDEX(Inputs!$B$8:$D$8,1,MATCH(A210,Inputs!$B$6:$D$6,0))*IF(=INDEX(Roster!$B$6:$B$108,MATCH(D210,Roster!$A$6:$A$108,0))="Principal",INDEX(Inputs!$B$10:$D$10,1,MATCH(A210,Inputs!$B$6:$D$6,0)),IF(=INDEX(Roster!$B$6:$B$108,MATCH(D210,Roster!$A$6:$A$108,0))="Associate Principal",INDEX(Inputs!$B$11:$D$11,1,MATCH(A210,Inputs!$B$6:$D$6,0)),IF(=INDEX(Roster!$B$6:$B$108,MATCH(D210,Roster!$A$6:$A$108,0))="Assistant Principal",INDEX(Inputs!$B$12:$D$12,1,MATCH(A210,Inputs!$B$6:$D$6,0)),0))))</x:f>
        <x:v>0</x:v>
      </x:c>
      <x:c r="L210" s="20" t="n">
        <x:f>IF(INDEX(Roster!$D$6:$D$108,MATCH(D210,Roster!$A$6:$A$108,0))&gt;=25,INDEX(Inputs!$B$19:$D$19,1,MATCH(A210,Inputs!$B$6:$D$6,0)),IF(INDEX(Roster!$D$6:$D$108,MATCH(D210,Roster!$A$6:$A$108,0))&gt;=20,INDEX(Inputs!$B$18:$D$18,1,MATCH(A210,Inputs!$B$6:$D$6,0)),IF(INDEX(Roster!$D$6:$D$108,MATCH(D210,Roster!$A$6:$A$108,0))&gt;=15,INDEX(Inputs!$B$17:$D$17,1,MATCH(A210,Inputs!$B$6:$D$6,0)),IF(INDEX(Roster!$D$6:$D$108,MATCH(D210,Roster!$A$6:$A$108,0))&gt;=10,INDEX(Inputs!$B$16:$D$16,1,MATCH(A210,Inputs!$B$6:$D$6,0)),IF(INDEX(Roster!$D$6:$D$108,MATCH(D210,Roster!$A$6:$A$108,0))&gt;=5,INDEX(Inputs!$B$15:$D$15,1,MATCH(A210,Inputs!$B$6:$D$6,0)),0)))))</x:f>
        <x:v>70</x:v>
      </x:c>
      <x:c r="M210" s="20" t="n">
        <x:f>G210*I210</x:f>
        <x:v>31135</x:v>
      </x:c>
      <x:c r="N210" s="20" t="n">
        <x:f>G210*J210</x:f>
        <x:v>1170</x:v>
      </x:c>
      <x:c r="O210" s="20" t="n">
        <x:f>G210*K210</x:f>
        <x:v>0</x:v>
      </x:c>
      <x:c r="P210" s="20" t="n">
        <x:f>G210*L210</x:f>
        <x:v>910</x:v>
      </x:c>
      <x:c r="Q210" s="20" t="n">
        <x:f>H210*INDEX(Inputs!$B$13:$D$13,1,MATCH(A210,Inputs!$B$6:$D$6,0))</x:f>
        <x:v>390</x:v>
      </x:c>
      <x:c r="R210" s="20" t="n">
        <x:f>SUM(M210:Q210)</x:f>
        <x:v>33605</x:v>
      </x:c>
      <x:c r="S210" s="20" t="n">
        <x:f>IF(AND(A209=A210,D209=D210),S209+R210,R210)</x:f>
        <x:v>33605</x:v>
      </x:c>
      <x:c r="T210" s="20" t="n">
        <x:f>MIN(S210,INDEX(Inputs!$B$20:$D$20,1,MATCH(A210,Inputs!$B$6:$D$6,0)))*INDEX(Inputs!$B$22:$D$22,1,MATCH(A210,Inputs!$B$6:$D$6,0))+MAX(MIN(S210,INDEX(Inputs!$B$21:$D$21,1,MATCH(A210,Inputs!$B$6:$D$6,0)))-INDEX(Inputs!$B$20:$D$20,1,MATCH(A210,Inputs!$B$6:$D$6,0)),0)*INDEX(Inputs!$B$23:$D$23,1,MATCH(A210,Inputs!$B$6:$D$6,0))+MAX(S210-INDEX(Inputs!$B$21:$D$21,1,MATCH(A210,Inputs!$B$6:$D$6,0)),0)*INDEX(Inputs!$B$24:$D$24,1,MATCH(A210,Inputs!$B$6:$D$6,0))</x:f>
        <x:v>3060.7825000000003</x:v>
      </x:c>
      <x:c r="U210" s="20" t="n">
        <x:f>IF(AND(A209=A210,D209=D210),T209,0)</x:f>
        <x:v>0</x:v>
      </x:c>
      <x:c r="V210" s="20" t="n">
        <x:f>T210-U210</x:f>
        <x:v>3060.7825000000003</x:v>
      </x:c>
      <x:c r="W210" s="20" t="n">
        <x:f>R210+V210</x:f>
        <x:v>36665.7825</x:v>
      </x:c>
      <x:c r="X210" s="14" t="str">
        <x:f>IF(ABS(W210-SUM(M210:Q210)-V210)&lt;0.01,"OK","Check")</x:f>
        <x:v>OK</x:v>
      </x:c>
    </x:row>
    <x:row r="211">
      <x:c r="A211" s="14" t="n">
        <x:v>2026</x:v>
      </x:c>
      <x:c r="B211" s="14" t="str">
        <x:v>Q2</x:v>
      </x:c>
      <x:c r="C211" s="14" t="n">
        <x:v>2</x:v>
      </x:c>
      <x:c r="D211" s="14" t="n">
        <x:v>52</x:v>
      </x:c>
      <x:c r="E211" s="14" t="str">
        <x:f>INDEX(Roster!$B$6:$B$108,MATCH(D211,Roster!$A$6:$A$108,0))</x:f>
      </x:c>
      <x:c r="F211" s="14" t="str">
        <x:f>INDEX(Roster!$F$6:$F$108,MATCH(D211,Roster!$A$6:$A$108,0))</x:f>
        <x:v>No</x:v>
      </x:c>
      <x:c r="G211" s="14" t="n">
        <x:f>INDEX(Inputs!$B$7:$D$7,1,MATCH(A211,Inputs!$B$6:$D$6,0))</x:f>
        <x:v>13</x:v>
      </x:c>
      <x:c r="H211" s="14" t="n">
        <x:f>MIN(=INDEX(Inputs!$B$7:$D$7,1,MATCH(A211,Inputs!$B$6:$D$6,0)),MAX(0,INDEX(Inputs!$B$14:$D$14,1,MATCH(A211,Inputs!$B$6:$D$6,0))-(C211-1)*=INDEX(Inputs!$B$7:$D$7,1,MATCH(A211,Inputs!$B$6:$D$6,0))))</x:f>
        <x:v>13</x:v>
      </x:c>
      <x:c r="I211" s="20" t="n">
        <x:f>INDEX(Inputs!$B$8:$D$8,1,MATCH(A211,Inputs!$B$6:$D$6,0))</x:f>
        <x:v>2395</x:v>
      </x:c>
      <x:c r="J211" s="20" t="n">
        <x:f>INDEX(Roster!$C$6:$C$108,MATCH(D211,Roster!$A$6:$A$108,0))*(1+INDEX(Inputs!$B$9:$D$9,1,MATCH(A211,Inputs!$B$6:$D$6,0)))</x:f>
        <x:v>90</x:v>
      </x:c>
      <x:c r="K211" s="20" t="n">
        <x:f>IF(=INDEX(Roster!$F$6:$F$108,MATCH(D211,Roster!$A$6:$A$108,0))="Yes",0,=INDEX(Inputs!$B$8:$D$8,1,MATCH(A211,Inputs!$B$6:$D$6,0))*IF(=INDEX(Roster!$B$6:$B$108,MATCH(D211,Roster!$A$6:$A$108,0))="Principal",INDEX(Inputs!$B$10:$D$10,1,MATCH(A211,Inputs!$B$6:$D$6,0)),IF(=INDEX(Roster!$B$6:$B$108,MATCH(D211,Roster!$A$6:$A$108,0))="Associate Principal",INDEX(Inputs!$B$11:$D$11,1,MATCH(A211,Inputs!$B$6:$D$6,0)),IF(=INDEX(Roster!$B$6:$B$108,MATCH(D211,Roster!$A$6:$A$108,0))="Assistant Principal",INDEX(Inputs!$B$12:$D$12,1,MATCH(A211,Inputs!$B$6:$D$6,0)),0))))</x:f>
        <x:v>0</x:v>
      </x:c>
      <x:c r="L211" s="20" t="n">
        <x:f>IF(INDEX(Roster!$D$6:$D$108,MATCH(D211,Roster!$A$6:$A$108,0))&gt;=25,INDEX(Inputs!$B$19:$D$19,1,MATCH(A211,Inputs!$B$6:$D$6,0)),IF(INDEX(Roster!$D$6:$D$108,MATCH(D211,Roster!$A$6:$A$108,0))&gt;=20,INDEX(Inputs!$B$18:$D$18,1,MATCH(A211,Inputs!$B$6:$D$6,0)),IF(INDEX(Roster!$D$6:$D$108,MATCH(D211,Roster!$A$6:$A$108,0))&gt;=15,INDEX(Inputs!$B$17:$D$17,1,MATCH(A211,Inputs!$B$6:$D$6,0)),IF(INDEX(Roster!$D$6:$D$108,MATCH(D211,Roster!$A$6:$A$108,0))&gt;=10,INDEX(Inputs!$B$16:$D$16,1,MATCH(A211,Inputs!$B$6:$D$6,0)),IF(INDEX(Roster!$D$6:$D$108,MATCH(D211,Roster!$A$6:$A$108,0))&gt;=5,INDEX(Inputs!$B$15:$D$15,1,MATCH(A211,Inputs!$B$6:$D$6,0)),0)))))</x:f>
        <x:v>70</x:v>
      </x:c>
      <x:c r="M211" s="20" t="n">
        <x:f>G211*I211</x:f>
        <x:v>31135</x:v>
      </x:c>
      <x:c r="N211" s="20" t="n">
        <x:f>G211*J211</x:f>
        <x:v>1170</x:v>
      </x:c>
      <x:c r="O211" s="20" t="n">
        <x:f>G211*K211</x:f>
        <x:v>0</x:v>
      </x:c>
      <x:c r="P211" s="20" t="n">
        <x:f>G211*L211</x:f>
        <x:v>910</x:v>
      </x:c>
      <x:c r="Q211" s="20" t="n">
        <x:f>H211*INDEX(Inputs!$B$13:$D$13,1,MATCH(A211,Inputs!$B$6:$D$6,0))</x:f>
        <x:v>390</x:v>
      </x:c>
      <x:c r="R211" s="20" t="n">
        <x:f>SUM(M211:Q211)</x:f>
        <x:v>33605</x:v>
      </x:c>
      <x:c r="S211" s="20" t="n">
        <x:f>IF(AND(A210=A211,D210=D211),S210+R211,R211)</x:f>
        <x:v>67210</x:v>
      </x:c>
      <x:c r="T211" s="20" t="n">
        <x:f>MIN(S211,INDEX(Inputs!$B$20:$D$20,1,MATCH(A211,Inputs!$B$6:$D$6,0)))*INDEX(Inputs!$B$22:$D$22,1,MATCH(A211,Inputs!$B$6:$D$6,0))+MAX(MIN(S211,INDEX(Inputs!$B$21:$D$21,1,MATCH(A211,Inputs!$B$6:$D$6,0)))-INDEX(Inputs!$B$20:$D$20,1,MATCH(A211,Inputs!$B$6:$D$6,0)),0)*INDEX(Inputs!$B$23:$D$23,1,MATCH(A211,Inputs!$B$6:$D$6,0))+MAX(S211-INDEX(Inputs!$B$21:$D$21,1,MATCH(A211,Inputs!$B$6:$D$6,0)),0)*INDEX(Inputs!$B$24:$D$24,1,MATCH(A211,Inputs!$B$6:$D$6,0))</x:f>
        <x:v>5631.565</x:v>
      </x:c>
      <x:c r="U211" s="20" t="n">
        <x:f>IF(AND(A210=A211,D210=D211),T210,0)</x:f>
        <x:v>3060.7825000000003</x:v>
      </x:c>
      <x:c r="V211" s="20" t="n">
        <x:f>T211-U211</x:f>
        <x:v>2570.7824999999993</x:v>
      </x:c>
      <x:c r="W211" s="20" t="n">
        <x:f>R211+V211</x:f>
        <x:v>36175.7825</x:v>
      </x:c>
      <x:c r="X211" s="14" t="str">
        <x:f>IF(ABS(W211-SUM(M211:Q211)-V211)&lt;0.01,"OK","Check")</x:f>
        <x:v>OK</x:v>
      </x:c>
    </x:row>
    <x:row r="212">
      <x:c r="A212" s="14" t="n">
        <x:v>2026</x:v>
      </x:c>
      <x:c r="B212" s="14" t="str">
        <x:v>Q3</x:v>
      </x:c>
      <x:c r="C212" s="14" t="n">
        <x:v>3</x:v>
      </x:c>
      <x:c r="D212" s="14" t="n">
        <x:v>52</x:v>
      </x:c>
      <x:c r="E212" s="14" t="str">
        <x:f>INDEX(Roster!$B$6:$B$108,MATCH(D212,Roster!$A$6:$A$108,0))</x:f>
      </x:c>
      <x:c r="F212" s="14" t="str">
        <x:f>INDEX(Roster!$F$6:$F$108,MATCH(D212,Roster!$A$6:$A$108,0))</x:f>
        <x:v>No</x:v>
      </x:c>
      <x:c r="G212" s="14" t="n">
        <x:f>INDEX(Inputs!$B$7:$D$7,1,MATCH(A212,Inputs!$B$6:$D$6,0))</x:f>
        <x:v>13</x:v>
      </x:c>
      <x:c r="H212" s="14" t="n">
        <x:f>MIN(=INDEX(Inputs!$B$7:$D$7,1,MATCH(A212,Inputs!$B$6:$D$6,0)),MAX(0,INDEX(Inputs!$B$14:$D$14,1,MATCH(A212,Inputs!$B$6:$D$6,0))-(C212-1)*=INDEX(Inputs!$B$7:$D$7,1,MATCH(A212,Inputs!$B$6:$D$6,0))))</x:f>
        <x:v>13</x:v>
      </x:c>
      <x:c r="I212" s="20" t="n">
        <x:f>INDEX(Inputs!$B$8:$D$8,1,MATCH(A212,Inputs!$B$6:$D$6,0))</x:f>
        <x:v>2395</x:v>
      </x:c>
      <x:c r="J212" s="20" t="n">
        <x:f>INDEX(Roster!$C$6:$C$108,MATCH(D212,Roster!$A$6:$A$108,0))*(1+INDEX(Inputs!$B$9:$D$9,1,MATCH(A212,Inputs!$B$6:$D$6,0)))</x:f>
        <x:v>90</x:v>
      </x:c>
      <x:c r="K212" s="20" t="n">
        <x:f>IF(=INDEX(Roster!$F$6:$F$108,MATCH(D212,Roster!$A$6:$A$108,0))="Yes",0,=INDEX(Inputs!$B$8:$D$8,1,MATCH(A212,Inputs!$B$6:$D$6,0))*IF(=INDEX(Roster!$B$6:$B$108,MATCH(D212,Roster!$A$6:$A$108,0))="Principal",INDEX(Inputs!$B$10:$D$10,1,MATCH(A212,Inputs!$B$6:$D$6,0)),IF(=INDEX(Roster!$B$6:$B$108,MATCH(D212,Roster!$A$6:$A$108,0))="Associate Principal",INDEX(Inputs!$B$11:$D$11,1,MATCH(A212,Inputs!$B$6:$D$6,0)),IF(=INDEX(Roster!$B$6:$B$108,MATCH(D212,Roster!$A$6:$A$108,0))="Assistant Principal",INDEX(Inputs!$B$12:$D$12,1,MATCH(A212,Inputs!$B$6:$D$6,0)),0))))</x:f>
        <x:v>0</x:v>
      </x:c>
      <x:c r="L212" s="20" t="n">
        <x:f>IF(INDEX(Roster!$D$6:$D$108,MATCH(D212,Roster!$A$6:$A$108,0))&gt;=25,INDEX(Inputs!$B$19:$D$19,1,MATCH(A212,Inputs!$B$6:$D$6,0)),IF(INDEX(Roster!$D$6:$D$108,MATCH(D212,Roster!$A$6:$A$108,0))&gt;=20,INDEX(Inputs!$B$18:$D$18,1,MATCH(A212,Inputs!$B$6:$D$6,0)),IF(INDEX(Roster!$D$6:$D$108,MATCH(D212,Roster!$A$6:$A$108,0))&gt;=15,INDEX(Inputs!$B$17:$D$17,1,MATCH(A212,Inputs!$B$6:$D$6,0)),IF(INDEX(Roster!$D$6:$D$108,MATCH(D212,Roster!$A$6:$A$108,0))&gt;=10,INDEX(Inputs!$B$16:$D$16,1,MATCH(A212,Inputs!$B$6:$D$6,0)),IF(INDEX(Roster!$D$6:$D$108,MATCH(D212,Roster!$A$6:$A$108,0))&gt;=5,INDEX(Inputs!$B$15:$D$15,1,MATCH(A212,Inputs!$B$6:$D$6,0)),0)))))</x:f>
        <x:v>70</x:v>
      </x:c>
      <x:c r="M212" s="20" t="n">
        <x:f>G212*I212</x:f>
        <x:v>31135</x:v>
      </x:c>
      <x:c r="N212" s="20" t="n">
        <x:f>G212*J212</x:f>
        <x:v>1170</x:v>
      </x:c>
      <x:c r="O212" s="20" t="n">
        <x:f>G212*K212</x:f>
        <x:v>0</x:v>
      </x:c>
      <x:c r="P212" s="20" t="n">
        <x:f>G212*L212</x:f>
        <x:v>910</x:v>
      </x:c>
      <x:c r="Q212" s="20" t="n">
        <x:f>H212*INDEX(Inputs!$B$13:$D$13,1,MATCH(A212,Inputs!$B$6:$D$6,0))</x:f>
        <x:v>390</x:v>
      </x:c>
      <x:c r="R212" s="20" t="n">
        <x:f>SUM(M212:Q212)</x:f>
        <x:v>33605</x:v>
      </x:c>
      <x:c r="S212" s="20" t="n">
        <x:f>IF(AND(A211=A212,D211=D212),S211+R212,R212)</x:f>
        <x:v>100815</x:v>
      </x:c>
      <x:c r="T212" s="20" t="n">
        <x:f>MIN(S212,INDEX(Inputs!$B$20:$D$20,1,MATCH(A212,Inputs!$B$6:$D$6,0)))*INDEX(Inputs!$B$22:$D$22,1,MATCH(A212,Inputs!$B$6:$D$6,0))+MAX(MIN(S212,INDEX(Inputs!$B$21:$D$21,1,MATCH(A212,Inputs!$B$6:$D$6,0)))-INDEX(Inputs!$B$20:$D$20,1,MATCH(A212,Inputs!$B$6:$D$6,0)),0)*INDEX(Inputs!$B$23:$D$23,1,MATCH(A212,Inputs!$B$6:$D$6,0))+MAX(S212-INDEX(Inputs!$B$21:$D$21,1,MATCH(A212,Inputs!$B$6:$D$6,0)),0)*INDEX(Inputs!$B$24:$D$24,1,MATCH(A212,Inputs!$B$6:$D$6,0))</x:f>
        <x:v>8202.3475</x:v>
      </x:c>
      <x:c r="U212" s="20" t="n">
        <x:f>IF(AND(A211=A212,D211=D212),T211,0)</x:f>
        <x:v>5631.565</x:v>
      </x:c>
      <x:c r="V212" s="20" t="n">
        <x:f>T212-U212</x:f>
        <x:v>2570.7825000000003</x:v>
      </x:c>
      <x:c r="W212" s="20" t="n">
        <x:f>R212+V212</x:f>
        <x:v>36175.7825</x:v>
      </x:c>
      <x:c r="X212" s="14" t="str">
        <x:f>IF(ABS(W212-SUM(M212:Q212)-V212)&lt;0.01,"OK","Check")</x:f>
        <x:v>OK</x:v>
      </x:c>
    </x:row>
    <x:row r="213">
      <x:c r="A213" s="14" t="n">
        <x:v>2026</x:v>
      </x:c>
      <x:c r="B213" s="14" t="str">
        <x:v>Q4</x:v>
      </x:c>
      <x:c r="C213" s="14" t="n">
        <x:v>4</x:v>
      </x:c>
      <x:c r="D213" s="14" t="n">
        <x:v>52</x:v>
      </x:c>
      <x:c r="E213" s="14" t="str">
        <x:f>INDEX(Roster!$B$6:$B$108,MATCH(D213,Roster!$A$6:$A$108,0))</x:f>
      </x:c>
      <x:c r="F213" s="14" t="str">
        <x:f>INDEX(Roster!$F$6:$F$108,MATCH(D213,Roster!$A$6:$A$108,0))</x:f>
        <x:v>No</x:v>
      </x:c>
      <x:c r="G213" s="14" t="n">
        <x:f>INDEX(Inputs!$B$7:$D$7,1,MATCH(A213,Inputs!$B$6:$D$6,0))</x:f>
        <x:v>13</x:v>
      </x:c>
      <x:c r="H213" s="14" t="n">
        <x:f>MIN(=INDEX(Inputs!$B$7:$D$7,1,MATCH(A213,Inputs!$B$6:$D$6,0)),MAX(0,INDEX(Inputs!$B$14:$D$14,1,MATCH(A213,Inputs!$B$6:$D$6,0))-(C213-1)*=INDEX(Inputs!$B$7:$D$7,1,MATCH(A213,Inputs!$B$6:$D$6,0))))</x:f>
        <x:v>0</x:v>
      </x:c>
      <x:c r="I213" s="20" t="n">
        <x:f>INDEX(Inputs!$B$8:$D$8,1,MATCH(A213,Inputs!$B$6:$D$6,0))</x:f>
        <x:v>2395</x:v>
      </x:c>
      <x:c r="J213" s="20" t="n">
        <x:f>INDEX(Roster!$C$6:$C$108,MATCH(D213,Roster!$A$6:$A$108,0))*(1+INDEX(Inputs!$B$9:$D$9,1,MATCH(A213,Inputs!$B$6:$D$6,0)))</x:f>
        <x:v>90</x:v>
      </x:c>
      <x:c r="K213" s="20" t="n">
        <x:f>IF(=INDEX(Roster!$F$6:$F$108,MATCH(D213,Roster!$A$6:$A$108,0))="Yes",0,=INDEX(Inputs!$B$8:$D$8,1,MATCH(A213,Inputs!$B$6:$D$6,0))*IF(=INDEX(Roster!$B$6:$B$108,MATCH(D213,Roster!$A$6:$A$108,0))="Principal",INDEX(Inputs!$B$10:$D$10,1,MATCH(A213,Inputs!$B$6:$D$6,0)),IF(=INDEX(Roster!$B$6:$B$108,MATCH(D213,Roster!$A$6:$A$108,0))="Associate Principal",INDEX(Inputs!$B$11:$D$11,1,MATCH(A213,Inputs!$B$6:$D$6,0)),IF(=INDEX(Roster!$B$6:$B$108,MATCH(D213,Roster!$A$6:$A$108,0))="Assistant Principal",INDEX(Inputs!$B$12:$D$12,1,MATCH(A213,Inputs!$B$6:$D$6,0)),0))))</x:f>
        <x:v>0</x:v>
      </x:c>
      <x:c r="L213" s="20" t="n">
        <x:f>IF(INDEX(Roster!$D$6:$D$108,MATCH(D213,Roster!$A$6:$A$108,0))&gt;=25,INDEX(Inputs!$B$19:$D$19,1,MATCH(A213,Inputs!$B$6:$D$6,0)),IF(INDEX(Roster!$D$6:$D$108,MATCH(D213,Roster!$A$6:$A$108,0))&gt;=20,INDEX(Inputs!$B$18:$D$18,1,MATCH(A213,Inputs!$B$6:$D$6,0)),IF(INDEX(Roster!$D$6:$D$108,MATCH(D213,Roster!$A$6:$A$108,0))&gt;=15,INDEX(Inputs!$B$17:$D$17,1,MATCH(A213,Inputs!$B$6:$D$6,0)),IF(INDEX(Roster!$D$6:$D$108,MATCH(D213,Roster!$A$6:$A$108,0))&gt;=10,INDEX(Inputs!$B$16:$D$16,1,MATCH(A213,Inputs!$B$6:$D$6,0)),IF(INDEX(Roster!$D$6:$D$108,MATCH(D213,Roster!$A$6:$A$108,0))&gt;=5,INDEX(Inputs!$B$15:$D$15,1,MATCH(A213,Inputs!$B$6:$D$6,0)),0)))))</x:f>
        <x:v>70</x:v>
      </x:c>
      <x:c r="M213" s="20" t="n">
        <x:f>G213*I213</x:f>
        <x:v>31135</x:v>
      </x:c>
      <x:c r="N213" s="20" t="n">
        <x:f>G213*J213</x:f>
        <x:v>1170</x:v>
      </x:c>
      <x:c r="O213" s="20" t="n">
        <x:f>G213*K213</x:f>
        <x:v>0</x:v>
      </x:c>
      <x:c r="P213" s="20" t="n">
        <x:f>G213*L213</x:f>
        <x:v>910</x:v>
      </x:c>
      <x:c r="Q213" s="20" t="n">
        <x:f>H213*INDEX(Inputs!$B$13:$D$13,1,MATCH(A213,Inputs!$B$6:$D$6,0))</x:f>
        <x:v>0</x:v>
      </x:c>
      <x:c r="R213" s="20" t="n">
        <x:f>SUM(M213:Q213)</x:f>
        <x:v>33215</x:v>
      </x:c>
      <x:c r="S213" s="20" t="n">
        <x:f>IF(AND(A212=A213,D212=D213),S212+R213,R213)</x:f>
        <x:v>134030</x:v>
      </x:c>
      <x:c r="T213" s="20" t="n">
        <x:f>MIN(S213,INDEX(Inputs!$B$20:$D$20,1,MATCH(A213,Inputs!$B$6:$D$6,0)))*INDEX(Inputs!$B$22:$D$22,1,MATCH(A213,Inputs!$B$6:$D$6,0))+MAX(MIN(S213,INDEX(Inputs!$B$21:$D$21,1,MATCH(A213,Inputs!$B$6:$D$6,0)))-INDEX(Inputs!$B$20:$D$20,1,MATCH(A213,Inputs!$B$6:$D$6,0)),0)*INDEX(Inputs!$B$23:$D$23,1,MATCH(A213,Inputs!$B$6:$D$6,0))+MAX(S213-INDEX(Inputs!$B$21:$D$21,1,MATCH(A213,Inputs!$B$6:$D$6,0)),0)*INDEX(Inputs!$B$24:$D$24,1,MATCH(A213,Inputs!$B$6:$D$6,0))</x:f>
        <x:v>9857.377</x:v>
      </x:c>
      <x:c r="U213" s="20" t="n">
        <x:f>IF(AND(A212=A213,D212=D213),T212,0)</x:f>
        <x:v>8202.3475</x:v>
      </x:c>
      <x:c r="V213" s="20" t="n">
        <x:f>T213-U213</x:f>
        <x:v>1655.0295000000006</x:v>
      </x:c>
      <x:c r="W213" s="20" t="n">
        <x:f>R213+V213</x:f>
        <x:v>34870.029500000004</x:v>
      </x:c>
      <x:c r="X213" s="14" t="str">
        <x:f>IF(ABS(W213-SUM(M213:Q213)-V213)&lt;0.01,"OK","Check")</x:f>
        <x:v>OK</x:v>
      </x:c>
    </x:row>
    <x:row r="214">
      <x:c r="A214" s="14" t="n">
        <x:v>2026</x:v>
      </x:c>
      <x:c r="B214" s="14" t="str">
        <x:v>Q1</x:v>
      </x:c>
      <x:c r="C214" s="14" t="n">
        <x:v>1</x:v>
      </x:c>
      <x:c r="D214" s="14" t="n">
        <x:v>53</x:v>
      </x:c>
      <x:c r="E214" s="14" t="str">
        <x:f>INDEX(Roster!$B$6:$B$108,MATCH(D214,Roster!$A$6:$A$108,0))</x:f>
      </x:c>
      <x:c r="F214" s="14" t="str">
        <x:f>INDEX(Roster!$F$6:$F$108,MATCH(D214,Roster!$A$6:$A$108,0))</x:f>
        <x:v>No</x:v>
      </x:c>
      <x:c r="G214" s="14" t="n">
        <x:f>INDEX(Inputs!$B$7:$D$7,1,MATCH(A214,Inputs!$B$6:$D$6,0))</x:f>
        <x:v>13</x:v>
      </x:c>
      <x:c r="H214" s="14" t="n">
        <x:f>MIN(=INDEX(Inputs!$B$7:$D$7,1,MATCH(A214,Inputs!$B$6:$D$6,0)),MAX(0,INDEX(Inputs!$B$14:$D$14,1,MATCH(A214,Inputs!$B$6:$D$6,0))-(C214-1)*=INDEX(Inputs!$B$7:$D$7,1,MATCH(A214,Inputs!$B$6:$D$6,0))))</x:f>
        <x:v>13</x:v>
      </x:c>
      <x:c r="I214" s="20" t="n">
        <x:f>INDEX(Inputs!$B$8:$D$8,1,MATCH(A214,Inputs!$B$6:$D$6,0))</x:f>
        <x:v>2395</x:v>
      </x:c>
      <x:c r="J214" s="20" t="n">
        <x:f>INDEX(Roster!$C$6:$C$108,MATCH(D214,Roster!$A$6:$A$108,0))*(1+INDEX(Inputs!$B$9:$D$9,1,MATCH(A214,Inputs!$B$6:$D$6,0)))</x:f>
        <x:v>60</x:v>
      </x:c>
      <x:c r="K214" s="20" t="n">
        <x:f>IF(=INDEX(Roster!$F$6:$F$108,MATCH(D214,Roster!$A$6:$A$108,0))="Yes",0,=INDEX(Inputs!$B$8:$D$8,1,MATCH(A214,Inputs!$B$6:$D$6,0))*IF(=INDEX(Roster!$B$6:$B$108,MATCH(D214,Roster!$A$6:$A$108,0))="Principal",INDEX(Inputs!$B$10:$D$10,1,MATCH(A214,Inputs!$B$6:$D$6,0)),IF(=INDEX(Roster!$B$6:$B$108,MATCH(D214,Roster!$A$6:$A$108,0))="Associate Principal",INDEX(Inputs!$B$11:$D$11,1,MATCH(A214,Inputs!$B$6:$D$6,0)),IF(=INDEX(Roster!$B$6:$B$108,MATCH(D214,Roster!$A$6:$A$108,0))="Assistant Principal",INDEX(Inputs!$B$12:$D$12,1,MATCH(A214,Inputs!$B$6:$D$6,0)),0))))</x:f>
        <x:v>0</x:v>
      </x:c>
      <x:c r="L214" s="20" t="n">
        <x:f>IF(INDEX(Roster!$D$6:$D$108,MATCH(D214,Roster!$A$6:$A$108,0))&gt;=25,INDEX(Inputs!$B$19:$D$19,1,MATCH(A214,Inputs!$B$6:$D$6,0)),IF(INDEX(Roster!$D$6:$D$108,MATCH(D214,Roster!$A$6:$A$108,0))&gt;=20,INDEX(Inputs!$B$18:$D$18,1,MATCH(A214,Inputs!$B$6:$D$6,0)),IF(INDEX(Roster!$D$6:$D$108,MATCH(D214,Roster!$A$6:$A$108,0))&gt;=15,INDEX(Inputs!$B$17:$D$17,1,MATCH(A214,Inputs!$B$6:$D$6,0)),IF(INDEX(Roster!$D$6:$D$108,MATCH(D214,Roster!$A$6:$A$108,0))&gt;=10,INDEX(Inputs!$B$16:$D$16,1,MATCH(A214,Inputs!$B$6:$D$6,0)),IF(INDEX(Roster!$D$6:$D$108,MATCH(D214,Roster!$A$6:$A$108,0))&gt;=5,INDEX(Inputs!$B$15:$D$15,1,MATCH(A214,Inputs!$B$6:$D$6,0)),0)))))</x:f>
        <x:v>80</x:v>
      </x:c>
      <x:c r="M214" s="20" t="n">
        <x:f>G214*I214</x:f>
        <x:v>31135</x:v>
      </x:c>
      <x:c r="N214" s="20" t="n">
        <x:f>G214*J214</x:f>
        <x:v>780</x:v>
      </x:c>
      <x:c r="O214" s="20" t="n">
        <x:f>G214*K214</x:f>
        <x:v>0</x:v>
      </x:c>
      <x:c r="P214" s="20" t="n">
        <x:f>G214*L214</x:f>
        <x:v>1040</x:v>
      </x:c>
      <x:c r="Q214" s="20" t="n">
        <x:f>H214*INDEX(Inputs!$B$13:$D$13,1,MATCH(A214,Inputs!$B$6:$D$6,0))</x:f>
        <x:v>390</x:v>
      </x:c>
      <x:c r="R214" s="20" t="n">
        <x:f>SUM(M214:Q214)</x:f>
        <x:v>33345</x:v>
      </x:c>
      <x:c r="S214" s="20" t="n">
        <x:f>IF(AND(A213=A214,D213=D214),S213+R214,R214)</x:f>
        <x:v>33345</x:v>
      </x:c>
      <x:c r="T214" s="20" t="n">
        <x:f>MIN(S214,INDEX(Inputs!$B$20:$D$20,1,MATCH(A214,Inputs!$B$6:$D$6,0)))*INDEX(Inputs!$B$22:$D$22,1,MATCH(A214,Inputs!$B$6:$D$6,0))+MAX(MIN(S214,INDEX(Inputs!$B$21:$D$21,1,MATCH(A214,Inputs!$B$6:$D$6,0)))-INDEX(Inputs!$B$20:$D$20,1,MATCH(A214,Inputs!$B$6:$D$6,0)),0)*INDEX(Inputs!$B$23:$D$23,1,MATCH(A214,Inputs!$B$6:$D$6,0))+MAX(S214-INDEX(Inputs!$B$21:$D$21,1,MATCH(A214,Inputs!$B$6:$D$6,0)),0)*INDEX(Inputs!$B$24:$D$24,1,MATCH(A214,Inputs!$B$6:$D$6,0))</x:f>
        <x:v>3040.8925</x:v>
      </x:c>
      <x:c r="U214" s="20" t="n">
        <x:f>IF(AND(A213=A214,D213=D214),T213,0)</x:f>
        <x:v>0</x:v>
      </x:c>
      <x:c r="V214" s="20" t="n">
        <x:f>T214-U214</x:f>
        <x:v>3040.8925</x:v>
      </x:c>
      <x:c r="W214" s="20" t="n">
        <x:f>R214+V214</x:f>
        <x:v>36385.8925</x:v>
      </x:c>
      <x:c r="X214" s="14" t="str">
        <x:f>IF(ABS(W214-SUM(M214:Q214)-V214)&lt;0.01,"OK","Check")</x:f>
        <x:v>OK</x:v>
      </x:c>
    </x:row>
    <x:row r="215">
      <x:c r="A215" s="14" t="n">
        <x:v>2026</x:v>
      </x:c>
      <x:c r="B215" s="14" t="str">
        <x:v>Q2</x:v>
      </x:c>
      <x:c r="C215" s="14" t="n">
        <x:v>2</x:v>
      </x:c>
      <x:c r="D215" s="14" t="n">
        <x:v>53</x:v>
      </x:c>
      <x:c r="E215" s="14" t="str">
        <x:f>INDEX(Roster!$B$6:$B$108,MATCH(D215,Roster!$A$6:$A$108,0))</x:f>
      </x:c>
      <x:c r="F215" s="14" t="str">
        <x:f>INDEX(Roster!$F$6:$F$108,MATCH(D215,Roster!$A$6:$A$108,0))</x:f>
        <x:v>No</x:v>
      </x:c>
      <x:c r="G215" s="14" t="n">
        <x:f>INDEX(Inputs!$B$7:$D$7,1,MATCH(A215,Inputs!$B$6:$D$6,0))</x:f>
        <x:v>13</x:v>
      </x:c>
      <x:c r="H215" s="14" t="n">
        <x:f>MIN(=INDEX(Inputs!$B$7:$D$7,1,MATCH(A215,Inputs!$B$6:$D$6,0)),MAX(0,INDEX(Inputs!$B$14:$D$14,1,MATCH(A215,Inputs!$B$6:$D$6,0))-(C215-1)*=INDEX(Inputs!$B$7:$D$7,1,MATCH(A215,Inputs!$B$6:$D$6,0))))</x:f>
        <x:v>13</x:v>
      </x:c>
      <x:c r="I215" s="20" t="n">
        <x:f>INDEX(Inputs!$B$8:$D$8,1,MATCH(A215,Inputs!$B$6:$D$6,0))</x:f>
        <x:v>2395</x:v>
      </x:c>
      <x:c r="J215" s="20" t="n">
        <x:f>INDEX(Roster!$C$6:$C$108,MATCH(D215,Roster!$A$6:$A$108,0))*(1+INDEX(Inputs!$B$9:$D$9,1,MATCH(A215,Inputs!$B$6:$D$6,0)))</x:f>
        <x:v>60</x:v>
      </x:c>
      <x:c r="K215" s="20" t="n">
        <x:f>IF(=INDEX(Roster!$F$6:$F$108,MATCH(D215,Roster!$A$6:$A$108,0))="Yes",0,=INDEX(Inputs!$B$8:$D$8,1,MATCH(A215,Inputs!$B$6:$D$6,0))*IF(=INDEX(Roster!$B$6:$B$108,MATCH(D215,Roster!$A$6:$A$108,0))="Principal",INDEX(Inputs!$B$10:$D$10,1,MATCH(A215,Inputs!$B$6:$D$6,0)),IF(=INDEX(Roster!$B$6:$B$108,MATCH(D215,Roster!$A$6:$A$108,0))="Associate Principal",INDEX(Inputs!$B$11:$D$11,1,MATCH(A215,Inputs!$B$6:$D$6,0)),IF(=INDEX(Roster!$B$6:$B$108,MATCH(D215,Roster!$A$6:$A$108,0))="Assistant Principal",INDEX(Inputs!$B$12:$D$12,1,MATCH(A215,Inputs!$B$6:$D$6,0)),0))))</x:f>
        <x:v>0</x:v>
      </x:c>
      <x:c r="L215" s="20" t="n">
        <x:f>IF(INDEX(Roster!$D$6:$D$108,MATCH(D215,Roster!$A$6:$A$108,0))&gt;=25,INDEX(Inputs!$B$19:$D$19,1,MATCH(A215,Inputs!$B$6:$D$6,0)),IF(INDEX(Roster!$D$6:$D$108,MATCH(D215,Roster!$A$6:$A$108,0))&gt;=20,INDEX(Inputs!$B$18:$D$18,1,MATCH(A215,Inputs!$B$6:$D$6,0)),IF(INDEX(Roster!$D$6:$D$108,MATCH(D215,Roster!$A$6:$A$108,0))&gt;=15,INDEX(Inputs!$B$17:$D$17,1,MATCH(A215,Inputs!$B$6:$D$6,0)),IF(INDEX(Roster!$D$6:$D$108,MATCH(D215,Roster!$A$6:$A$108,0))&gt;=10,INDEX(Inputs!$B$16:$D$16,1,MATCH(A215,Inputs!$B$6:$D$6,0)),IF(INDEX(Roster!$D$6:$D$108,MATCH(D215,Roster!$A$6:$A$108,0))&gt;=5,INDEX(Inputs!$B$15:$D$15,1,MATCH(A215,Inputs!$B$6:$D$6,0)),0)))))</x:f>
        <x:v>80</x:v>
      </x:c>
      <x:c r="M215" s="20" t="n">
        <x:f>G215*I215</x:f>
        <x:v>31135</x:v>
      </x:c>
      <x:c r="N215" s="20" t="n">
        <x:f>G215*J215</x:f>
        <x:v>780</x:v>
      </x:c>
      <x:c r="O215" s="20" t="n">
        <x:f>G215*K215</x:f>
        <x:v>0</x:v>
      </x:c>
      <x:c r="P215" s="20" t="n">
        <x:f>G215*L215</x:f>
        <x:v>1040</x:v>
      </x:c>
      <x:c r="Q215" s="20" t="n">
        <x:f>H215*INDEX(Inputs!$B$13:$D$13,1,MATCH(A215,Inputs!$B$6:$D$6,0))</x:f>
        <x:v>390</x:v>
      </x:c>
      <x:c r="R215" s="20" t="n">
        <x:f>SUM(M215:Q215)</x:f>
        <x:v>33345</x:v>
      </x:c>
      <x:c r="S215" s="20" t="n">
        <x:f>IF(AND(A214=A215,D214=D215),S214+R215,R215)</x:f>
        <x:v>66690</x:v>
      </x:c>
      <x:c r="T215" s="20" t="n">
        <x:f>MIN(S215,INDEX(Inputs!$B$20:$D$20,1,MATCH(A215,Inputs!$B$6:$D$6,0)))*INDEX(Inputs!$B$22:$D$22,1,MATCH(A215,Inputs!$B$6:$D$6,0))+MAX(MIN(S215,INDEX(Inputs!$B$21:$D$21,1,MATCH(A215,Inputs!$B$6:$D$6,0)))-INDEX(Inputs!$B$20:$D$20,1,MATCH(A215,Inputs!$B$6:$D$6,0)),0)*INDEX(Inputs!$B$23:$D$23,1,MATCH(A215,Inputs!$B$6:$D$6,0))+MAX(S215-INDEX(Inputs!$B$21:$D$21,1,MATCH(A215,Inputs!$B$6:$D$6,0)),0)*INDEX(Inputs!$B$24:$D$24,1,MATCH(A215,Inputs!$B$6:$D$6,0))</x:f>
        <x:v>5591.785</x:v>
      </x:c>
      <x:c r="U215" s="20" t="n">
        <x:f>IF(AND(A214=A215,D214=D215),T214,0)</x:f>
        <x:v>3040.8925</x:v>
      </x:c>
      <x:c r="V215" s="20" t="n">
        <x:f>T215-U215</x:f>
        <x:v>2550.8925</x:v>
      </x:c>
      <x:c r="W215" s="20" t="n">
        <x:f>R215+V215</x:f>
        <x:v>35895.8925</x:v>
      </x:c>
      <x:c r="X215" s="14" t="str">
        <x:f>IF(ABS(W215-SUM(M215:Q215)-V215)&lt;0.01,"OK","Check")</x:f>
        <x:v>OK</x:v>
      </x:c>
    </x:row>
    <x:row r="216">
      <x:c r="A216" s="14" t="n">
        <x:v>2026</x:v>
      </x:c>
      <x:c r="B216" s="14" t="str">
        <x:v>Q3</x:v>
      </x:c>
      <x:c r="C216" s="14" t="n">
        <x:v>3</x:v>
      </x:c>
      <x:c r="D216" s="14" t="n">
        <x:v>53</x:v>
      </x:c>
      <x:c r="E216" s="14" t="str">
        <x:f>INDEX(Roster!$B$6:$B$108,MATCH(D216,Roster!$A$6:$A$108,0))</x:f>
      </x:c>
      <x:c r="F216" s="14" t="str">
        <x:f>INDEX(Roster!$F$6:$F$108,MATCH(D216,Roster!$A$6:$A$108,0))</x:f>
        <x:v>No</x:v>
      </x:c>
      <x:c r="G216" s="14" t="n">
        <x:f>INDEX(Inputs!$B$7:$D$7,1,MATCH(A216,Inputs!$B$6:$D$6,0))</x:f>
        <x:v>13</x:v>
      </x:c>
      <x:c r="H216" s="14" t="n">
        <x:f>MIN(=INDEX(Inputs!$B$7:$D$7,1,MATCH(A216,Inputs!$B$6:$D$6,0)),MAX(0,INDEX(Inputs!$B$14:$D$14,1,MATCH(A216,Inputs!$B$6:$D$6,0))-(C216-1)*=INDEX(Inputs!$B$7:$D$7,1,MATCH(A216,Inputs!$B$6:$D$6,0))))</x:f>
        <x:v>13</x:v>
      </x:c>
      <x:c r="I216" s="20" t="n">
        <x:f>INDEX(Inputs!$B$8:$D$8,1,MATCH(A216,Inputs!$B$6:$D$6,0))</x:f>
        <x:v>2395</x:v>
      </x:c>
      <x:c r="J216" s="20" t="n">
        <x:f>INDEX(Roster!$C$6:$C$108,MATCH(D216,Roster!$A$6:$A$108,0))*(1+INDEX(Inputs!$B$9:$D$9,1,MATCH(A216,Inputs!$B$6:$D$6,0)))</x:f>
        <x:v>60</x:v>
      </x:c>
      <x:c r="K216" s="20" t="n">
        <x:f>IF(=INDEX(Roster!$F$6:$F$108,MATCH(D216,Roster!$A$6:$A$108,0))="Yes",0,=INDEX(Inputs!$B$8:$D$8,1,MATCH(A216,Inputs!$B$6:$D$6,0))*IF(=INDEX(Roster!$B$6:$B$108,MATCH(D216,Roster!$A$6:$A$108,0))="Principal",INDEX(Inputs!$B$10:$D$10,1,MATCH(A216,Inputs!$B$6:$D$6,0)),IF(=INDEX(Roster!$B$6:$B$108,MATCH(D216,Roster!$A$6:$A$108,0))="Associate Principal",INDEX(Inputs!$B$11:$D$11,1,MATCH(A216,Inputs!$B$6:$D$6,0)),IF(=INDEX(Roster!$B$6:$B$108,MATCH(D216,Roster!$A$6:$A$108,0))="Assistant Principal",INDEX(Inputs!$B$12:$D$12,1,MATCH(A216,Inputs!$B$6:$D$6,0)),0))))</x:f>
        <x:v>0</x:v>
      </x:c>
      <x:c r="L216" s="20" t="n">
        <x:f>IF(INDEX(Roster!$D$6:$D$108,MATCH(D216,Roster!$A$6:$A$108,0))&gt;=25,INDEX(Inputs!$B$19:$D$19,1,MATCH(A216,Inputs!$B$6:$D$6,0)),IF(INDEX(Roster!$D$6:$D$108,MATCH(D216,Roster!$A$6:$A$108,0))&gt;=20,INDEX(Inputs!$B$18:$D$18,1,MATCH(A216,Inputs!$B$6:$D$6,0)),IF(INDEX(Roster!$D$6:$D$108,MATCH(D216,Roster!$A$6:$A$108,0))&gt;=15,INDEX(Inputs!$B$17:$D$17,1,MATCH(A216,Inputs!$B$6:$D$6,0)),IF(INDEX(Roster!$D$6:$D$108,MATCH(D216,Roster!$A$6:$A$108,0))&gt;=10,INDEX(Inputs!$B$16:$D$16,1,MATCH(A216,Inputs!$B$6:$D$6,0)),IF(INDEX(Roster!$D$6:$D$108,MATCH(D216,Roster!$A$6:$A$108,0))&gt;=5,INDEX(Inputs!$B$15:$D$15,1,MATCH(A216,Inputs!$B$6:$D$6,0)),0)))))</x:f>
        <x:v>80</x:v>
      </x:c>
      <x:c r="M216" s="20" t="n">
        <x:f>G216*I216</x:f>
        <x:v>31135</x:v>
      </x:c>
      <x:c r="N216" s="20" t="n">
        <x:f>G216*J216</x:f>
        <x:v>780</x:v>
      </x:c>
      <x:c r="O216" s="20" t="n">
        <x:f>G216*K216</x:f>
        <x:v>0</x:v>
      </x:c>
      <x:c r="P216" s="20" t="n">
        <x:f>G216*L216</x:f>
        <x:v>1040</x:v>
      </x:c>
      <x:c r="Q216" s="20" t="n">
        <x:f>H216*INDEX(Inputs!$B$13:$D$13,1,MATCH(A216,Inputs!$B$6:$D$6,0))</x:f>
        <x:v>390</x:v>
      </x:c>
      <x:c r="R216" s="20" t="n">
        <x:f>SUM(M216:Q216)</x:f>
        <x:v>33345</x:v>
      </x:c>
      <x:c r="S216" s="20" t="n">
        <x:f>IF(AND(A215=A216,D215=D216),S215+R216,R216)</x:f>
        <x:v>100035</x:v>
      </x:c>
      <x:c r="T216" s="20" t="n">
        <x:f>MIN(S216,INDEX(Inputs!$B$20:$D$20,1,MATCH(A216,Inputs!$B$6:$D$6,0)))*INDEX(Inputs!$B$22:$D$22,1,MATCH(A216,Inputs!$B$6:$D$6,0))+MAX(MIN(S216,INDEX(Inputs!$B$21:$D$21,1,MATCH(A216,Inputs!$B$6:$D$6,0)))-INDEX(Inputs!$B$20:$D$20,1,MATCH(A216,Inputs!$B$6:$D$6,0)),0)*INDEX(Inputs!$B$23:$D$23,1,MATCH(A216,Inputs!$B$6:$D$6,0))+MAX(S216-INDEX(Inputs!$B$21:$D$21,1,MATCH(A216,Inputs!$B$6:$D$6,0)),0)*INDEX(Inputs!$B$24:$D$24,1,MATCH(A216,Inputs!$B$6:$D$6,0))</x:f>
        <x:v>8142.6775</x:v>
      </x:c>
      <x:c r="U216" s="20" t="n">
        <x:f>IF(AND(A215=A216,D215=D216),T215,0)</x:f>
        <x:v>5591.785</x:v>
      </x:c>
      <x:c r="V216" s="20" t="n">
        <x:f>T216-U216</x:f>
        <x:v>2550.8925</x:v>
      </x:c>
      <x:c r="W216" s="20" t="n">
        <x:f>R216+V216</x:f>
        <x:v>35895.8925</x:v>
      </x:c>
      <x:c r="X216" s="14" t="str">
        <x:f>IF(ABS(W216-SUM(M216:Q216)-V216)&lt;0.01,"OK","Check")</x:f>
        <x:v>OK</x:v>
      </x:c>
    </x:row>
    <x:row r="217">
      <x:c r="A217" s="14" t="n">
        <x:v>2026</x:v>
      </x:c>
      <x:c r="B217" s="14" t="str">
        <x:v>Q4</x:v>
      </x:c>
      <x:c r="C217" s="14" t="n">
        <x:v>4</x:v>
      </x:c>
      <x:c r="D217" s="14" t="n">
        <x:v>53</x:v>
      </x:c>
      <x:c r="E217" s="14" t="str">
        <x:f>INDEX(Roster!$B$6:$B$108,MATCH(D217,Roster!$A$6:$A$108,0))</x:f>
      </x:c>
      <x:c r="F217" s="14" t="str">
        <x:f>INDEX(Roster!$F$6:$F$108,MATCH(D217,Roster!$A$6:$A$108,0))</x:f>
        <x:v>No</x:v>
      </x:c>
      <x:c r="G217" s="14" t="n">
        <x:f>INDEX(Inputs!$B$7:$D$7,1,MATCH(A217,Inputs!$B$6:$D$6,0))</x:f>
        <x:v>13</x:v>
      </x:c>
      <x:c r="H217" s="14" t="n">
        <x:f>MIN(=INDEX(Inputs!$B$7:$D$7,1,MATCH(A217,Inputs!$B$6:$D$6,0)),MAX(0,INDEX(Inputs!$B$14:$D$14,1,MATCH(A217,Inputs!$B$6:$D$6,0))-(C217-1)*=INDEX(Inputs!$B$7:$D$7,1,MATCH(A217,Inputs!$B$6:$D$6,0))))</x:f>
        <x:v>0</x:v>
      </x:c>
      <x:c r="I217" s="20" t="n">
        <x:f>INDEX(Inputs!$B$8:$D$8,1,MATCH(A217,Inputs!$B$6:$D$6,0))</x:f>
        <x:v>2395</x:v>
      </x:c>
      <x:c r="J217" s="20" t="n">
        <x:f>INDEX(Roster!$C$6:$C$108,MATCH(D217,Roster!$A$6:$A$108,0))*(1+INDEX(Inputs!$B$9:$D$9,1,MATCH(A217,Inputs!$B$6:$D$6,0)))</x:f>
        <x:v>60</x:v>
      </x:c>
      <x:c r="K217" s="20" t="n">
        <x:f>IF(=INDEX(Roster!$F$6:$F$108,MATCH(D217,Roster!$A$6:$A$108,0))="Yes",0,=INDEX(Inputs!$B$8:$D$8,1,MATCH(A217,Inputs!$B$6:$D$6,0))*IF(=INDEX(Roster!$B$6:$B$108,MATCH(D217,Roster!$A$6:$A$108,0))="Principal",INDEX(Inputs!$B$10:$D$10,1,MATCH(A217,Inputs!$B$6:$D$6,0)),IF(=INDEX(Roster!$B$6:$B$108,MATCH(D217,Roster!$A$6:$A$108,0))="Associate Principal",INDEX(Inputs!$B$11:$D$11,1,MATCH(A217,Inputs!$B$6:$D$6,0)),IF(=INDEX(Roster!$B$6:$B$108,MATCH(D217,Roster!$A$6:$A$108,0))="Assistant Principal",INDEX(Inputs!$B$12:$D$12,1,MATCH(A217,Inputs!$B$6:$D$6,0)),0))))</x:f>
        <x:v>0</x:v>
      </x:c>
      <x:c r="L217" s="20" t="n">
        <x:f>IF(INDEX(Roster!$D$6:$D$108,MATCH(D217,Roster!$A$6:$A$108,0))&gt;=25,INDEX(Inputs!$B$19:$D$19,1,MATCH(A217,Inputs!$B$6:$D$6,0)),IF(INDEX(Roster!$D$6:$D$108,MATCH(D217,Roster!$A$6:$A$108,0))&gt;=20,INDEX(Inputs!$B$18:$D$18,1,MATCH(A217,Inputs!$B$6:$D$6,0)),IF(INDEX(Roster!$D$6:$D$108,MATCH(D217,Roster!$A$6:$A$108,0))&gt;=15,INDEX(Inputs!$B$17:$D$17,1,MATCH(A217,Inputs!$B$6:$D$6,0)),IF(INDEX(Roster!$D$6:$D$108,MATCH(D217,Roster!$A$6:$A$108,0))&gt;=10,INDEX(Inputs!$B$16:$D$16,1,MATCH(A217,Inputs!$B$6:$D$6,0)),IF(INDEX(Roster!$D$6:$D$108,MATCH(D217,Roster!$A$6:$A$108,0))&gt;=5,INDEX(Inputs!$B$15:$D$15,1,MATCH(A217,Inputs!$B$6:$D$6,0)),0)))))</x:f>
        <x:v>80</x:v>
      </x:c>
      <x:c r="M217" s="20" t="n">
        <x:f>G217*I217</x:f>
        <x:v>31135</x:v>
      </x:c>
      <x:c r="N217" s="20" t="n">
        <x:f>G217*J217</x:f>
        <x:v>780</x:v>
      </x:c>
      <x:c r="O217" s="20" t="n">
        <x:f>G217*K217</x:f>
        <x:v>0</x:v>
      </x:c>
      <x:c r="P217" s="20" t="n">
        <x:f>G217*L217</x:f>
        <x:v>1040</x:v>
      </x:c>
      <x:c r="Q217" s="20" t="n">
        <x:f>H217*INDEX(Inputs!$B$13:$D$13,1,MATCH(A217,Inputs!$B$6:$D$6,0))</x:f>
        <x:v>0</x:v>
      </x:c>
      <x:c r="R217" s="20" t="n">
        <x:f>SUM(M217:Q217)</x:f>
        <x:v>32955</x:v>
      </x:c>
      <x:c r="S217" s="20" t="n">
        <x:f>IF(AND(A216=A217,D216=D217),S216+R217,R217)</x:f>
        <x:v>132990</x:v>
      </x:c>
      <x:c r="T217" s="20" t="n">
        <x:f>MIN(S217,INDEX(Inputs!$B$20:$D$20,1,MATCH(A217,Inputs!$B$6:$D$6,0)))*INDEX(Inputs!$B$22:$D$22,1,MATCH(A217,Inputs!$B$6:$D$6,0))+MAX(MIN(S217,INDEX(Inputs!$B$21:$D$21,1,MATCH(A217,Inputs!$B$6:$D$6,0)))-INDEX(Inputs!$B$20:$D$20,1,MATCH(A217,Inputs!$B$6:$D$6,0)),0)*INDEX(Inputs!$B$23:$D$23,1,MATCH(A217,Inputs!$B$6:$D$6,0))+MAX(S217-INDEX(Inputs!$B$21:$D$21,1,MATCH(A217,Inputs!$B$6:$D$6,0)),0)*INDEX(Inputs!$B$24:$D$24,1,MATCH(A217,Inputs!$B$6:$D$6,0))</x:f>
        <x:v>9842.297</x:v>
      </x:c>
      <x:c r="U217" s="20" t="n">
        <x:f>IF(AND(A216=A217,D216=D217),T216,0)</x:f>
        <x:v>8142.6775</x:v>
      </x:c>
      <x:c r="V217" s="20" t="n">
        <x:f>T217-U217</x:f>
        <x:v>1699.6195000000007</x:v>
      </x:c>
      <x:c r="W217" s="20" t="n">
        <x:f>R217+V217</x:f>
        <x:v>34654.6195</x:v>
      </x:c>
      <x:c r="X217" s="14" t="str">
        <x:f>IF(ABS(W217-SUM(M217:Q217)-V217)&lt;0.01,"OK","Check")</x:f>
        <x:v>OK</x:v>
      </x:c>
    </x:row>
    <x:row r="218">
      <x:c r="A218" s="14" t="n">
        <x:v>2026</x:v>
      </x:c>
      <x:c r="B218" s="14" t="str">
        <x:v>Q1</x:v>
      </x:c>
      <x:c r="C218" s="14" t="n">
        <x:v>1</x:v>
      </x:c>
      <x:c r="D218" s="14" t="n">
        <x:v>54</x:v>
      </x:c>
      <x:c r="E218" s="14" t="str">
        <x:f>INDEX(Roster!$B$6:$B$108,MATCH(D218,Roster!$A$6:$A$108,0))</x:f>
      </x:c>
      <x:c r="F218" s="14" t="str">
        <x:f>INDEX(Roster!$F$6:$F$108,MATCH(D218,Roster!$A$6:$A$108,0))</x:f>
        <x:v>No</x:v>
      </x:c>
      <x:c r="G218" s="14" t="n">
        <x:f>INDEX(Inputs!$B$7:$D$7,1,MATCH(A218,Inputs!$B$6:$D$6,0))</x:f>
        <x:v>13</x:v>
      </x:c>
      <x:c r="H218" s="14" t="n">
        <x:f>MIN(=INDEX(Inputs!$B$7:$D$7,1,MATCH(A218,Inputs!$B$6:$D$6,0)),MAX(0,INDEX(Inputs!$B$14:$D$14,1,MATCH(A218,Inputs!$B$6:$D$6,0))-(C218-1)*=INDEX(Inputs!$B$7:$D$7,1,MATCH(A218,Inputs!$B$6:$D$6,0))))</x:f>
        <x:v>13</x:v>
      </x:c>
      <x:c r="I218" s="20" t="n">
        <x:f>INDEX(Inputs!$B$8:$D$8,1,MATCH(A218,Inputs!$B$6:$D$6,0))</x:f>
        <x:v>2395</x:v>
      </x:c>
      <x:c r="J218" s="20" t="n">
        <x:f>INDEX(Roster!$C$6:$C$108,MATCH(D218,Roster!$A$6:$A$108,0))*(1+INDEX(Inputs!$B$9:$D$9,1,MATCH(A218,Inputs!$B$6:$D$6,0)))</x:f>
        <x:v>35</x:v>
      </x:c>
      <x:c r="K218" s="20" t="n">
        <x:f>IF(=INDEX(Roster!$F$6:$F$108,MATCH(D218,Roster!$A$6:$A$108,0))="Yes",0,=INDEX(Inputs!$B$8:$D$8,1,MATCH(A218,Inputs!$B$6:$D$6,0))*IF(=INDEX(Roster!$B$6:$B$108,MATCH(D218,Roster!$A$6:$A$108,0))="Principal",INDEX(Inputs!$B$10:$D$10,1,MATCH(A218,Inputs!$B$6:$D$6,0)),IF(=INDEX(Roster!$B$6:$B$108,MATCH(D218,Roster!$A$6:$A$108,0))="Associate Principal",INDEX(Inputs!$B$11:$D$11,1,MATCH(A218,Inputs!$B$6:$D$6,0)),IF(=INDEX(Roster!$B$6:$B$108,MATCH(D218,Roster!$A$6:$A$108,0))="Assistant Principal",INDEX(Inputs!$B$12:$D$12,1,MATCH(A218,Inputs!$B$6:$D$6,0)),0))))</x:f>
        <x:v>0</x:v>
      </x:c>
      <x:c r="L218" s="20" t="n">
        <x:f>IF(INDEX(Roster!$D$6:$D$108,MATCH(D218,Roster!$A$6:$A$108,0))&gt;=25,INDEX(Inputs!$B$19:$D$19,1,MATCH(A218,Inputs!$B$6:$D$6,0)),IF(INDEX(Roster!$D$6:$D$108,MATCH(D218,Roster!$A$6:$A$108,0))&gt;=20,INDEX(Inputs!$B$18:$D$18,1,MATCH(A218,Inputs!$B$6:$D$6,0)),IF(INDEX(Roster!$D$6:$D$108,MATCH(D218,Roster!$A$6:$A$108,0))&gt;=15,INDEX(Inputs!$B$17:$D$17,1,MATCH(A218,Inputs!$B$6:$D$6,0)),IF(INDEX(Roster!$D$6:$D$108,MATCH(D218,Roster!$A$6:$A$108,0))&gt;=10,INDEX(Inputs!$B$16:$D$16,1,MATCH(A218,Inputs!$B$6:$D$6,0)),IF(INDEX(Roster!$D$6:$D$108,MATCH(D218,Roster!$A$6:$A$108,0))&gt;=5,INDEX(Inputs!$B$15:$D$15,1,MATCH(A218,Inputs!$B$6:$D$6,0)),0)))))</x:f>
        <x:v>80</x:v>
      </x:c>
      <x:c r="M218" s="20" t="n">
        <x:f>G218*I218</x:f>
        <x:v>31135</x:v>
      </x:c>
      <x:c r="N218" s="20" t="n">
        <x:f>G218*J218</x:f>
        <x:v>455</x:v>
      </x:c>
      <x:c r="O218" s="20" t="n">
        <x:f>G218*K218</x:f>
        <x:v>0</x:v>
      </x:c>
      <x:c r="P218" s="20" t="n">
        <x:f>G218*L218</x:f>
        <x:v>1040</x:v>
      </x:c>
      <x:c r="Q218" s="20" t="n">
        <x:f>H218*INDEX(Inputs!$B$13:$D$13,1,MATCH(A218,Inputs!$B$6:$D$6,0))</x:f>
        <x:v>390</x:v>
      </x:c>
      <x:c r="R218" s="20" t="n">
        <x:f>SUM(M218:Q218)</x:f>
        <x:v>33020</x:v>
      </x:c>
      <x:c r="S218" s="20" t="n">
        <x:f>IF(AND(A217=A218,D217=D218),S217+R218,R218)</x:f>
        <x:v>33020</x:v>
      </x:c>
      <x:c r="T218" s="20" t="n">
        <x:f>MIN(S218,INDEX(Inputs!$B$20:$D$20,1,MATCH(A218,Inputs!$B$6:$D$6,0)))*INDEX(Inputs!$B$22:$D$22,1,MATCH(A218,Inputs!$B$6:$D$6,0))+MAX(MIN(S218,INDEX(Inputs!$B$21:$D$21,1,MATCH(A218,Inputs!$B$6:$D$6,0)))-INDEX(Inputs!$B$20:$D$20,1,MATCH(A218,Inputs!$B$6:$D$6,0)),0)*INDEX(Inputs!$B$23:$D$23,1,MATCH(A218,Inputs!$B$6:$D$6,0))+MAX(S218-INDEX(Inputs!$B$21:$D$21,1,MATCH(A218,Inputs!$B$6:$D$6,0)),0)*INDEX(Inputs!$B$24:$D$24,1,MATCH(A218,Inputs!$B$6:$D$6,0))</x:f>
        <x:v>3016.0299999999997</x:v>
      </x:c>
      <x:c r="U218" s="20" t="n">
        <x:f>IF(AND(A217=A218,D217=D218),T217,0)</x:f>
        <x:v>0</x:v>
      </x:c>
      <x:c r="V218" s="20" t="n">
        <x:f>T218-U218</x:f>
        <x:v>3016.0299999999997</x:v>
      </x:c>
      <x:c r="W218" s="20" t="n">
        <x:f>R218+V218</x:f>
        <x:v>36036.03</x:v>
      </x:c>
      <x:c r="X218" s="14" t="str">
        <x:f>IF(ABS(W218-SUM(M218:Q218)-V218)&lt;0.01,"OK","Check")</x:f>
        <x:v>OK</x:v>
      </x:c>
    </x:row>
    <x:row r="219">
      <x:c r="A219" s="14" t="n">
        <x:v>2026</x:v>
      </x:c>
      <x:c r="B219" s="14" t="str">
        <x:v>Q2</x:v>
      </x:c>
      <x:c r="C219" s="14" t="n">
        <x:v>2</x:v>
      </x:c>
      <x:c r="D219" s="14" t="n">
        <x:v>54</x:v>
      </x:c>
      <x:c r="E219" s="14" t="str">
        <x:f>INDEX(Roster!$B$6:$B$108,MATCH(D219,Roster!$A$6:$A$108,0))</x:f>
      </x:c>
      <x:c r="F219" s="14" t="str">
        <x:f>INDEX(Roster!$F$6:$F$108,MATCH(D219,Roster!$A$6:$A$108,0))</x:f>
        <x:v>No</x:v>
      </x:c>
      <x:c r="G219" s="14" t="n">
        <x:f>INDEX(Inputs!$B$7:$D$7,1,MATCH(A219,Inputs!$B$6:$D$6,0))</x:f>
        <x:v>13</x:v>
      </x:c>
      <x:c r="H219" s="14" t="n">
        <x:f>MIN(=INDEX(Inputs!$B$7:$D$7,1,MATCH(A219,Inputs!$B$6:$D$6,0)),MAX(0,INDEX(Inputs!$B$14:$D$14,1,MATCH(A219,Inputs!$B$6:$D$6,0))-(C219-1)*=INDEX(Inputs!$B$7:$D$7,1,MATCH(A219,Inputs!$B$6:$D$6,0))))</x:f>
        <x:v>13</x:v>
      </x:c>
      <x:c r="I219" s="20" t="n">
        <x:f>INDEX(Inputs!$B$8:$D$8,1,MATCH(A219,Inputs!$B$6:$D$6,0))</x:f>
        <x:v>2395</x:v>
      </x:c>
      <x:c r="J219" s="20" t="n">
        <x:f>INDEX(Roster!$C$6:$C$108,MATCH(D219,Roster!$A$6:$A$108,0))*(1+INDEX(Inputs!$B$9:$D$9,1,MATCH(A219,Inputs!$B$6:$D$6,0)))</x:f>
        <x:v>35</x:v>
      </x:c>
      <x:c r="K219" s="20" t="n">
        <x:f>IF(=INDEX(Roster!$F$6:$F$108,MATCH(D219,Roster!$A$6:$A$108,0))="Yes",0,=INDEX(Inputs!$B$8:$D$8,1,MATCH(A219,Inputs!$B$6:$D$6,0))*IF(=INDEX(Roster!$B$6:$B$108,MATCH(D219,Roster!$A$6:$A$108,0))="Principal",INDEX(Inputs!$B$10:$D$10,1,MATCH(A219,Inputs!$B$6:$D$6,0)),IF(=INDEX(Roster!$B$6:$B$108,MATCH(D219,Roster!$A$6:$A$108,0))="Associate Principal",INDEX(Inputs!$B$11:$D$11,1,MATCH(A219,Inputs!$B$6:$D$6,0)),IF(=INDEX(Roster!$B$6:$B$108,MATCH(D219,Roster!$A$6:$A$108,0))="Assistant Principal",INDEX(Inputs!$B$12:$D$12,1,MATCH(A219,Inputs!$B$6:$D$6,0)),0))))</x:f>
        <x:v>0</x:v>
      </x:c>
      <x:c r="L219" s="20" t="n">
        <x:f>IF(INDEX(Roster!$D$6:$D$108,MATCH(D219,Roster!$A$6:$A$108,0))&gt;=25,INDEX(Inputs!$B$19:$D$19,1,MATCH(A219,Inputs!$B$6:$D$6,0)),IF(INDEX(Roster!$D$6:$D$108,MATCH(D219,Roster!$A$6:$A$108,0))&gt;=20,INDEX(Inputs!$B$18:$D$18,1,MATCH(A219,Inputs!$B$6:$D$6,0)),IF(INDEX(Roster!$D$6:$D$108,MATCH(D219,Roster!$A$6:$A$108,0))&gt;=15,INDEX(Inputs!$B$17:$D$17,1,MATCH(A219,Inputs!$B$6:$D$6,0)),IF(INDEX(Roster!$D$6:$D$108,MATCH(D219,Roster!$A$6:$A$108,0))&gt;=10,INDEX(Inputs!$B$16:$D$16,1,MATCH(A219,Inputs!$B$6:$D$6,0)),IF(INDEX(Roster!$D$6:$D$108,MATCH(D219,Roster!$A$6:$A$108,0))&gt;=5,INDEX(Inputs!$B$15:$D$15,1,MATCH(A219,Inputs!$B$6:$D$6,0)),0)))))</x:f>
        <x:v>80</x:v>
      </x:c>
      <x:c r="M219" s="20" t="n">
        <x:f>G219*I219</x:f>
        <x:v>31135</x:v>
      </x:c>
      <x:c r="N219" s="20" t="n">
        <x:f>G219*J219</x:f>
        <x:v>455</x:v>
      </x:c>
      <x:c r="O219" s="20" t="n">
        <x:f>G219*K219</x:f>
        <x:v>0</x:v>
      </x:c>
      <x:c r="P219" s="20" t="n">
        <x:f>G219*L219</x:f>
        <x:v>1040</x:v>
      </x:c>
      <x:c r="Q219" s="20" t="n">
        <x:f>H219*INDEX(Inputs!$B$13:$D$13,1,MATCH(A219,Inputs!$B$6:$D$6,0))</x:f>
        <x:v>390</x:v>
      </x:c>
      <x:c r="R219" s="20" t="n">
        <x:f>SUM(M219:Q219)</x:f>
        <x:v>33020</x:v>
      </x:c>
      <x:c r="S219" s="20" t="n">
        <x:f>IF(AND(A218=A219,D218=D219),S218+R219,R219)</x:f>
        <x:v>66040</x:v>
      </x:c>
      <x:c r="T219" s="20" t="n">
        <x:f>MIN(S219,INDEX(Inputs!$B$20:$D$20,1,MATCH(A219,Inputs!$B$6:$D$6,0)))*INDEX(Inputs!$B$22:$D$22,1,MATCH(A219,Inputs!$B$6:$D$6,0))+MAX(MIN(S219,INDEX(Inputs!$B$21:$D$21,1,MATCH(A219,Inputs!$B$6:$D$6,0)))-INDEX(Inputs!$B$20:$D$20,1,MATCH(A219,Inputs!$B$6:$D$6,0)),0)*INDEX(Inputs!$B$23:$D$23,1,MATCH(A219,Inputs!$B$6:$D$6,0))+MAX(S219-INDEX(Inputs!$B$21:$D$21,1,MATCH(A219,Inputs!$B$6:$D$6,0)),0)*INDEX(Inputs!$B$24:$D$24,1,MATCH(A219,Inputs!$B$6:$D$6,0))</x:f>
        <x:v>5542.0599999999995</x:v>
      </x:c>
      <x:c r="U219" s="20" t="n">
        <x:f>IF(AND(A218=A219,D218=D219),T218,0)</x:f>
        <x:v>3016.0299999999997</x:v>
      </x:c>
      <x:c r="V219" s="20" t="n">
        <x:f>T219-U219</x:f>
        <x:v>2526.0299999999997</x:v>
      </x:c>
      <x:c r="W219" s="20" t="n">
        <x:f>R219+V219</x:f>
        <x:v>35546.03</x:v>
      </x:c>
      <x:c r="X219" s="14" t="str">
        <x:f>IF(ABS(W219-SUM(M219:Q219)-V219)&lt;0.01,"OK","Check")</x:f>
        <x:v>OK</x:v>
      </x:c>
    </x:row>
    <x:row r="220">
      <x:c r="A220" s="14" t="n">
        <x:v>2026</x:v>
      </x:c>
      <x:c r="B220" s="14" t="str">
        <x:v>Q3</x:v>
      </x:c>
      <x:c r="C220" s="14" t="n">
        <x:v>3</x:v>
      </x:c>
      <x:c r="D220" s="14" t="n">
        <x:v>54</x:v>
      </x:c>
      <x:c r="E220" s="14" t="str">
        <x:f>INDEX(Roster!$B$6:$B$108,MATCH(D220,Roster!$A$6:$A$108,0))</x:f>
      </x:c>
      <x:c r="F220" s="14" t="str">
        <x:f>INDEX(Roster!$F$6:$F$108,MATCH(D220,Roster!$A$6:$A$108,0))</x:f>
        <x:v>No</x:v>
      </x:c>
      <x:c r="G220" s="14" t="n">
        <x:f>INDEX(Inputs!$B$7:$D$7,1,MATCH(A220,Inputs!$B$6:$D$6,0))</x:f>
        <x:v>13</x:v>
      </x:c>
      <x:c r="H220" s="14" t="n">
        <x:f>MIN(=INDEX(Inputs!$B$7:$D$7,1,MATCH(A220,Inputs!$B$6:$D$6,0)),MAX(0,INDEX(Inputs!$B$14:$D$14,1,MATCH(A220,Inputs!$B$6:$D$6,0))-(C220-1)*=INDEX(Inputs!$B$7:$D$7,1,MATCH(A220,Inputs!$B$6:$D$6,0))))</x:f>
        <x:v>13</x:v>
      </x:c>
      <x:c r="I220" s="20" t="n">
        <x:f>INDEX(Inputs!$B$8:$D$8,1,MATCH(A220,Inputs!$B$6:$D$6,0))</x:f>
        <x:v>2395</x:v>
      </x:c>
      <x:c r="J220" s="20" t="n">
        <x:f>INDEX(Roster!$C$6:$C$108,MATCH(D220,Roster!$A$6:$A$108,0))*(1+INDEX(Inputs!$B$9:$D$9,1,MATCH(A220,Inputs!$B$6:$D$6,0)))</x:f>
        <x:v>35</x:v>
      </x:c>
      <x:c r="K220" s="20" t="n">
        <x:f>IF(=INDEX(Roster!$F$6:$F$108,MATCH(D220,Roster!$A$6:$A$108,0))="Yes",0,=INDEX(Inputs!$B$8:$D$8,1,MATCH(A220,Inputs!$B$6:$D$6,0))*IF(=INDEX(Roster!$B$6:$B$108,MATCH(D220,Roster!$A$6:$A$108,0))="Principal",INDEX(Inputs!$B$10:$D$10,1,MATCH(A220,Inputs!$B$6:$D$6,0)),IF(=INDEX(Roster!$B$6:$B$108,MATCH(D220,Roster!$A$6:$A$108,0))="Associate Principal",INDEX(Inputs!$B$11:$D$11,1,MATCH(A220,Inputs!$B$6:$D$6,0)),IF(=INDEX(Roster!$B$6:$B$108,MATCH(D220,Roster!$A$6:$A$108,0))="Assistant Principal",INDEX(Inputs!$B$12:$D$12,1,MATCH(A220,Inputs!$B$6:$D$6,0)),0))))</x:f>
        <x:v>0</x:v>
      </x:c>
      <x:c r="L220" s="20" t="n">
        <x:f>IF(INDEX(Roster!$D$6:$D$108,MATCH(D220,Roster!$A$6:$A$108,0))&gt;=25,INDEX(Inputs!$B$19:$D$19,1,MATCH(A220,Inputs!$B$6:$D$6,0)),IF(INDEX(Roster!$D$6:$D$108,MATCH(D220,Roster!$A$6:$A$108,0))&gt;=20,INDEX(Inputs!$B$18:$D$18,1,MATCH(A220,Inputs!$B$6:$D$6,0)),IF(INDEX(Roster!$D$6:$D$108,MATCH(D220,Roster!$A$6:$A$108,0))&gt;=15,INDEX(Inputs!$B$17:$D$17,1,MATCH(A220,Inputs!$B$6:$D$6,0)),IF(INDEX(Roster!$D$6:$D$108,MATCH(D220,Roster!$A$6:$A$108,0))&gt;=10,INDEX(Inputs!$B$16:$D$16,1,MATCH(A220,Inputs!$B$6:$D$6,0)),IF(INDEX(Roster!$D$6:$D$108,MATCH(D220,Roster!$A$6:$A$108,0))&gt;=5,INDEX(Inputs!$B$15:$D$15,1,MATCH(A220,Inputs!$B$6:$D$6,0)),0)))))</x:f>
        <x:v>80</x:v>
      </x:c>
      <x:c r="M220" s="20" t="n">
        <x:f>G220*I220</x:f>
        <x:v>31135</x:v>
      </x:c>
      <x:c r="N220" s="20" t="n">
        <x:f>G220*J220</x:f>
        <x:v>455</x:v>
      </x:c>
      <x:c r="O220" s="20" t="n">
        <x:f>G220*K220</x:f>
        <x:v>0</x:v>
      </x:c>
      <x:c r="P220" s="20" t="n">
        <x:f>G220*L220</x:f>
        <x:v>1040</x:v>
      </x:c>
      <x:c r="Q220" s="20" t="n">
        <x:f>H220*INDEX(Inputs!$B$13:$D$13,1,MATCH(A220,Inputs!$B$6:$D$6,0))</x:f>
        <x:v>390</x:v>
      </x:c>
      <x:c r="R220" s="20" t="n">
        <x:f>SUM(M220:Q220)</x:f>
        <x:v>33020</x:v>
      </x:c>
      <x:c r="S220" s="20" t="n">
        <x:f>IF(AND(A219=A220,D219=D220),S219+R220,R220)</x:f>
        <x:v>99060</x:v>
      </x:c>
      <x:c r="T220" s="20" t="n">
        <x:f>MIN(S220,INDEX(Inputs!$B$20:$D$20,1,MATCH(A220,Inputs!$B$6:$D$6,0)))*INDEX(Inputs!$B$22:$D$22,1,MATCH(A220,Inputs!$B$6:$D$6,0))+MAX(MIN(S220,INDEX(Inputs!$B$21:$D$21,1,MATCH(A220,Inputs!$B$6:$D$6,0)))-INDEX(Inputs!$B$20:$D$20,1,MATCH(A220,Inputs!$B$6:$D$6,0)),0)*INDEX(Inputs!$B$23:$D$23,1,MATCH(A220,Inputs!$B$6:$D$6,0))+MAX(S220-INDEX(Inputs!$B$21:$D$21,1,MATCH(A220,Inputs!$B$6:$D$6,0)),0)*INDEX(Inputs!$B$24:$D$24,1,MATCH(A220,Inputs!$B$6:$D$6,0))</x:f>
        <x:v>8068.09</x:v>
      </x:c>
      <x:c r="U220" s="20" t="n">
        <x:f>IF(AND(A219=A220,D219=D220),T219,0)</x:f>
        <x:v>5542.0599999999995</x:v>
      </x:c>
      <x:c r="V220" s="20" t="n">
        <x:f>T220-U220</x:f>
        <x:v>2526.0300000000007</x:v>
      </x:c>
      <x:c r="W220" s="20" t="n">
        <x:f>R220+V220</x:f>
        <x:v>35546.03</x:v>
      </x:c>
      <x:c r="X220" s="14" t="str">
        <x:f>IF(ABS(W220-SUM(M220:Q220)-V220)&lt;0.01,"OK","Check")</x:f>
        <x:v>OK</x:v>
      </x:c>
    </x:row>
    <x:row r="221">
      <x:c r="A221" s="14" t="n">
        <x:v>2026</x:v>
      </x:c>
      <x:c r="B221" s="14" t="str">
        <x:v>Q4</x:v>
      </x:c>
      <x:c r="C221" s="14" t="n">
        <x:v>4</x:v>
      </x:c>
      <x:c r="D221" s="14" t="n">
        <x:v>54</x:v>
      </x:c>
      <x:c r="E221" s="14" t="str">
        <x:f>INDEX(Roster!$B$6:$B$108,MATCH(D221,Roster!$A$6:$A$108,0))</x:f>
      </x:c>
      <x:c r="F221" s="14" t="str">
        <x:f>INDEX(Roster!$F$6:$F$108,MATCH(D221,Roster!$A$6:$A$108,0))</x:f>
        <x:v>No</x:v>
      </x:c>
      <x:c r="G221" s="14" t="n">
        <x:f>INDEX(Inputs!$B$7:$D$7,1,MATCH(A221,Inputs!$B$6:$D$6,0))</x:f>
        <x:v>13</x:v>
      </x:c>
      <x:c r="H221" s="14" t="n">
        <x:f>MIN(=INDEX(Inputs!$B$7:$D$7,1,MATCH(A221,Inputs!$B$6:$D$6,0)),MAX(0,INDEX(Inputs!$B$14:$D$14,1,MATCH(A221,Inputs!$B$6:$D$6,0))-(C221-1)*=INDEX(Inputs!$B$7:$D$7,1,MATCH(A221,Inputs!$B$6:$D$6,0))))</x:f>
        <x:v>0</x:v>
      </x:c>
      <x:c r="I221" s="20" t="n">
        <x:f>INDEX(Inputs!$B$8:$D$8,1,MATCH(A221,Inputs!$B$6:$D$6,0))</x:f>
        <x:v>2395</x:v>
      </x:c>
      <x:c r="J221" s="20" t="n">
        <x:f>INDEX(Roster!$C$6:$C$108,MATCH(D221,Roster!$A$6:$A$108,0))*(1+INDEX(Inputs!$B$9:$D$9,1,MATCH(A221,Inputs!$B$6:$D$6,0)))</x:f>
        <x:v>35</x:v>
      </x:c>
      <x:c r="K221" s="20" t="n">
        <x:f>IF(=INDEX(Roster!$F$6:$F$108,MATCH(D221,Roster!$A$6:$A$108,0))="Yes",0,=INDEX(Inputs!$B$8:$D$8,1,MATCH(A221,Inputs!$B$6:$D$6,0))*IF(=INDEX(Roster!$B$6:$B$108,MATCH(D221,Roster!$A$6:$A$108,0))="Principal",INDEX(Inputs!$B$10:$D$10,1,MATCH(A221,Inputs!$B$6:$D$6,0)),IF(=INDEX(Roster!$B$6:$B$108,MATCH(D221,Roster!$A$6:$A$108,0))="Associate Principal",INDEX(Inputs!$B$11:$D$11,1,MATCH(A221,Inputs!$B$6:$D$6,0)),IF(=INDEX(Roster!$B$6:$B$108,MATCH(D221,Roster!$A$6:$A$108,0))="Assistant Principal",INDEX(Inputs!$B$12:$D$12,1,MATCH(A221,Inputs!$B$6:$D$6,0)),0))))</x:f>
        <x:v>0</x:v>
      </x:c>
      <x:c r="L221" s="20" t="n">
        <x:f>IF(INDEX(Roster!$D$6:$D$108,MATCH(D221,Roster!$A$6:$A$108,0))&gt;=25,INDEX(Inputs!$B$19:$D$19,1,MATCH(A221,Inputs!$B$6:$D$6,0)),IF(INDEX(Roster!$D$6:$D$108,MATCH(D221,Roster!$A$6:$A$108,0))&gt;=20,INDEX(Inputs!$B$18:$D$18,1,MATCH(A221,Inputs!$B$6:$D$6,0)),IF(INDEX(Roster!$D$6:$D$108,MATCH(D221,Roster!$A$6:$A$108,0))&gt;=15,INDEX(Inputs!$B$17:$D$17,1,MATCH(A221,Inputs!$B$6:$D$6,0)),IF(INDEX(Roster!$D$6:$D$108,MATCH(D221,Roster!$A$6:$A$108,0))&gt;=10,INDEX(Inputs!$B$16:$D$16,1,MATCH(A221,Inputs!$B$6:$D$6,0)),IF(INDEX(Roster!$D$6:$D$108,MATCH(D221,Roster!$A$6:$A$108,0))&gt;=5,INDEX(Inputs!$B$15:$D$15,1,MATCH(A221,Inputs!$B$6:$D$6,0)),0)))))</x:f>
        <x:v>80</x:v>
      </x:c>
      <x:c r="M221" s="20" t="n">
        <x:f>G221*I221</x:f>
        <x:v>31135</x:v>
      </x:c>
      <x:c r="N221" s="20" t="n">
        <x:f>G221*J221</x:f>
        <x:v>455</x:v>
      </x:c>
      <x:c r="O221" s="20" t="n">
        <x:f>G221*K221</x:f>
        <x:v>0</x:v>
      </x:c>
      <x:c r="P221" s="20" t="n">
        <x:f>G221*L221</x:f>
        <x:v>1040</x:v>
      </x:c>
      <x:c r="Q221" s="20" t="n">
        <x:f>H221*INDEX(Inputs!$B$13:$D$13,1,MATCH(A221,Inputs!$B$6:$D$6,0))</x:f>
        <x:v>0</x:v>
      </x:c>
      <x:c r="R221" s="20" t="n">
        <x:f>SUM(M221:Q221)</x:f>
        <x:v>32630</x:v>
      </x:c>
      <x:c r="S221" s="20" t="n">
        <x:f>IF(AND(A220=A221,D220=D221),S220+R221,R221)</x:f>
        <x:v>131690</x:v>
      </x:c>
      <x:c r="T221" s="20" t="n">
        <x:f>MIN(S221,INDEX(Inputs!$B$20:$D$20,1,MATCH(A221,Inputs!$B$6:$D$6,0)))*INDEX(Inputs!$B$22:$D$22,1,MATCH(A221,Inputs!$B$6:$D$6,0))+MAX(MIN(S221,INDEX(Inputs!$B$21:$D$21,1,MATCH(A221,Inputs!$B$6:$D$6,0)))-INDEX(Inputs!$B$20:$D$20,1,MATCH(A221,Inputs!$B$6:$D$6,0)),0)*INDEX(Inputs!$B$23:$D$23,1,MATCH(A221,Inputs!$B$6:$D$6,0))+MAX(S221-INDEX(Inputs!$B$21:$D$21,1,MATCH(A221,Inputs!$B$6:$D$6,0)),0)*INDEX(Inputs!$B$24:$D$24,1,MATCH(A221,Inputs!$B$6:$D$6,0))</x:f>
        <x:v>9823.447</x:v>
      </x:c>
      <x:c r="U221" s="20" t="n">
        <x:f>IF(AND(A220=A221,D220=D221),T220,0)</x:f>
        <x:v>8068.09</x:v>
      </x:c>
      <x:c r="V221" s="20" t="n">
        <x:f>T221-U221</x:f>
        <x:v>1755.357</x:v>
      </x:c>
      <x:c r="W221" s="20" t="n">
        <x:f>R221+V221</x:f>
        <x:v>34385.357</x:v>
      </x:c>
      <x:c r="X221" s="14" t="str">
        <x:f>IF(ABS(W221-SUM(M221:Q221)-V221)&lt;0.01,"OK","Check")</x:f>
        <x:v>OK</x:v>
      </x:c>
    </x:row>
    <x:row r="222">
      <x:c r="A222" s="14" t="n">
        <x:v>2026</x:v>
      </x:c>
      <x:c r="B222" s="14" t="str">
        <x:v>Q1</x:v>
      </x:c>
      <x:c r="C222" s="14" t="n">
        <x:v>1</x:v>
      </x:c>
      <x:c r="D222" s="14" t="n">
        <x:v>55</x:v>
      </x:c>
      <x:c r="E222" s="14" t="str">
        <x:f>INDEX(Roster!$B$6:$B$108,MATCH(D222,Roster!$A$6:$A$108,0))</x:f>
      </x:c>
      <x:c r="F222" s="14" t="str">
        <x:f>INDEX(Roster!$F$6:$F$108,MATCH(D222,Roster!$A$6:$A$108,0))</x:f>
        <x:v>No</x:v>
      </x:c>
      <x:c r="G222" s="14" t="n">
        <x:f>INDEX(Inputs!$B$7:$D$7,1,MATCH(A222,Inputs!$B$6:$D$6,0))</x:f>
        <x:v>13</x:v>
      </x:c>
      <x:c r="H222" s="14" t="n">
        <x:f>MIN(=INDEX(Inputs!$B$7:$D$7,1,MATCH(A222,Inputs!$B$6:$D$6,0)),MAX(0,INDEX(Inputs!$B$14:$D$14,1,MATCH(A222,Inputs!$B$6:$D$6,0))-(C222-1)*=INDEX(Inputs!$B$7:$D$7,1,MATCH(A222,Inputs!$B$6:$D$6,0))))</x:f>
        <x:v>13</x:v>
      </x:c>
      <x:c r="I222" s="20" t="n">
        <x:f>INDEX(Inputs!$B$8:$D$8,1,MATCH(A222,Inputs!$B$6:$D$6,0))</x:f>
        <x:v>2395</x:v>
      </x:c>
      <x:c r="J222" s="20" t="n">
        <x:f>INDEX(Roster!$C$6:$C$108,MATCH(D222,Roster!$A$6:$A$108,0))*(1+INDEX(Inputs!$B$9:$D$9,1,MATCH(A222,Inputs!$B$6:$D$6,0)))</x:f>
        <x:v>40</x:v>
      </x:c>
      <x:c r="K222" s="20" t="n">
        <x:f>IF(=INDEX(Roster!$F$6:$F$108,MATCH(D222,Roster!$A$6:$A$108,0))="Yes",0,=INDEX(Inputs!$B$8:$D$8,1,MATCH(A222,Inputs!$B$6:$D$6,0))*IF(=INDEX(Roster!$B$6:$B$108,MATCH(D222,Roster!$A$6:$A$108,0))="Principal",INDEX(Inputs!$B$10:$D$10,1,MATCH(A222,Inputs!$B$6:$D$6,0)),IF(=INDEX(Roster!$B$6:$B$108,MATCH(D222,Roster!$A$6:$A$108,0))="Associate Principal",INDEX(Inputs!$B$11:$D$11,1,MATCH(A222,Inputs!$B$6:$D$6,0)),IF(=INDEX(Roster!$B$6:$B$108,MATCH(D222,Roster!$A$6:$A$108,0))="Assistant Principal",INDEX(Inputs!$B$12:$D$12,1,MATCH(A222,Inputs!$B$6:$D$6,0)),0))))</x:f>
        <x:v>0</x:v>
      </x:c>
      <x:c r="L222" s="20" t="n">
        <x:f>IF(INDEX(Roster!$D$6:$D$108,MATCH(D222,Roster!$A$6:$A$108,0))&gt;=25,INDEX(Inputs!$B$19:$D$19,1,MATCH(A222,Inputs!$B$6:$D$6,0)),IF(INDEX(Roster!$D$6:$D$108,MATCH(D222,Roster!$A$6:$A$108,0))&gt;=20,INDEX(Inputs!$B$18:$D$18,1,MATCH(A222,Inputs!$B$6:$D$6,0)),IF(INDEX(Roster!$D$6:$D$108,MATCH(D222,Roster!$A$6:$A$108,0))&gt;=15,INDEX(Inputs!$B$17:$D$17,1,MATCH(A222,Inputs!$B$6:$D$6,0)),IF(INDEX(Roster!$D$6:$D$108,MATCH(D222,Roster!$A$6:$A$108,0))&gt;=10,INDEX(Inputs!$B$16:$D$16,1,MATCH(A222,Inputs!$B$6:$D$6,0)),IF(INDEX(Roster!$D$6:$D$108,MATCH(D222,Roster!$A$6:$A$108,0))&gt;=5,INDEX(Inputs!$B$15:$D$15,1,MATCH(A222,Inputs!$B$6:$D$6,0)),0)))))</x:f>
        <x:v>90</x:v>
      </x:c>
      <x:c r="M222" s="20" t="n">
        <x:f>G222*I222</x:f>
        <x:v>31135</x:v>
      </x:c>
      <x:c r="N222" s="20" t="n">
        <x:f>G222*J222</x:f>
        <x:v>520</x:v>
      </x:c>
      <x:c r="O222" s="20" t="n">
        <x:f>G222*K222</x:f>
        <x:v>0</x:v>
      </x:c>
      <x:c r="P222" s="20" t="n">
        <x:f>G222*L222</x:f>
        <x:v>1170</x:v>
      </x:c>
      <x:c r="Q222" s="20" t="n">
        <x:f>H222*INDEX(Inputs!$B$13:$D$13,1,MATCH(A222,Inputs!$B$6:$D$6,0))</x:f>
        <x:v>390</x:v>
      </x:c>
      <x:c r="R222" s="20" t="n">
        <x:f>SUM(M222:Q222)</x:f>
        <x:v>33215</x:v>
      </x:c>
      <x:c r="S222" s="20" t="n">
        <x:f>IF(AND(A221=A222,D221=D222),S221+R222,R222)</x:f>
        <x:v>33215</x:v>
      </x:c>
      <x:c r="T222" s="20" t="n">
        <x:f>MIN(S222,INDEX(Inputs!$B$20:$D$20,1,MATCH(A222,Inputs!$B$6:$D$6,0)))*INDEX(Inputs!$B$22:$D$22,1,MATCH(A222,Inputs!$B$6:$D$6,0))+MAX(MIN(S222,INDEX(Inputs!$B$21:$D$21,1,MATCH(A222,Inputs!$B$6:$D$6,0)))-INDEX(Inputs!$B$20:$D$20,1,MATCH(A222,Inputs!$B$6:$D$6,0)),0)*INDEX(Inputs!$B$23:$D$23,1,MATCH(A222,Inputs!$B$6:$D$6,0))+MAX(S222-INDEX(Inputs!$B$21:$D$21,1,MATCH(A222,Inputs!$B$6:$D$6,0)),0)*INDEX(Inputs!$B$24:$D$24,1,MATCH(A222,Inputs!$B$6:$D$6,0))</x:f>
        <x:v>3030.9475</x:v>
      </x:c>
      <x:c r="U222" s="20" t="n">
        <x:f>IF(AND(A221=A222,D221=D222),T221,0)</x:f>
        <x:v>0</x:v>
      </x:c>
      <x:c r="V222" s="20" t="n">
        <x:f>T222-U222</x:f>
        <x:v>3030.9475</x:v>
      </x:c>
      <x:c r="W222" s="20" t="n">
        <x:f>R222+V222</x:f>
        <x:v>36245.9475</x:v>
      </x:c>
      <x:c r="X222" s="14" t="str">
        <x:f>IF(ABS(W222-SUM(M222:Q222)-V222)&lt;0.01,"OK","Check")</x:f>
        <x:v>OK</x:v>
      </x:c>
    </x:row>
    <x:row r="223">
      <x:c r="A223" s="14" t="n">
        <x:v>2026</x:v>
      </x:c>
      <x:c r="B223" s="14" t="str">
        <x:v>Q2</x:v>
      </x:c>
      <x:c r="C223" s="14" t="n">
        <x:v>2</x:v>
      </x:c>
      <x:c r="D223" s="14" t="n">
        <x:v>55</x:v>
      </x:c>
      <x:c r="E223" s="14" t="str">
        <x:f>INDEX(Roster!$B$6:$B$108,MATCH(D223,Roster!$A$6:$A$108,0))</x:f>
      </x:c>
      <x:c r="F223" s="14" t="str">
        <x:f>INDEX(Roster!$F$6:$F$108,MATCH(D223,Roster!$A$6:$A$108,0))</x:f>
        <x:v>No</x:v>
      </x:c>
      <x:c r="G223" s="14" t="n">
        <x:f>INDEX(Inputs!$B$7:$D$7,1,MATCH(A223,Inputs!$B$6:$D$6,0))</x:f>
        <x:v>13</x:v>
      </x:c>
      <x:c r="H223" s="14" t="n">
        <x:f>MIN(=INDEX(Inputs!$B$7:$D$7,1,MATCH(A223,Inputs!$B$6:$D$6,0)),MAX(0,INDEX(Inputs!$B$14:$D$14,1,MATCH(A223,Inputs!$B$6:$D$6,0))-(C223-1)*=INDEX(Inputs!$B$7:$D$7,1,MATCH(A223,Inputs!$B$6:$D$6,0))))</x:f>
        <x:v>13</x:v>
      </x:c>
      <x:c r="I223" s="20" t="n">
        <x:f>INDEX(Inputs!$B$8:$D$8,1,MATCH(A223,Inputs!$B$6:$D$6,0))</x:f>
        <x:v>2395</x:v>
      </x:c>
      <x:c r="J223" s="20" t="n">
        <x:f>INDEX(Roster!$C$6:$C$108,MATCH(D223,Roster!$A$6:$A$108,0))*(1+INDEX(Inputs!$B$9:$D$9,1,MATCH(A223,Inputs!$B$6:$D$6,0)))</x:f>
        <x:v>40</x:v>
      </x:c>
      <x:c r="K223" s="20" t="n">
        <x:f>IF(=INDEX(Roster!$F$6:$F$108,MATCH(D223,Roster!$A$6:$A$108,0))="Yes",0,=INDEX(Inputs!$B$8:$D$8,1,MATCH(A223,Inputs!$B$6:$D$6,0))*IF(=INDEX(Roster!$B$6:$B$108,MATCH(D223,Roster!$A$6:$A$108,0))="Principal",INDEX(Inputs!$B$10:$D$10,1,MATCH(A223,Inputs!$B$6:$D$6,0)),IF(=INDEX(Roster!$B$6:$B$108,MATCH(D223,Roster!$A$6:$A$108,0))="Associate Principal",INDEX(Inputs!$B$11:$D$11,1,MATCH(A223,Inputs!$B$6:$D$6,0)),IF(=INDEX(Roster!$B$6:$B$108,MATCH(D223,Roster!$A$6:$A$108,0))="Assistant Principal",INDEX(Inputs!$B$12:$D$12,1,MATCH(A223,Inputs!$B$6:$D$6,0)),0))))</x:f>
        <x:v>0</x:v>
      </x:c>
      <x:c r="L223" s="20" t="n">
        <x:f>IF(INDEX(Roster!$D$6:$D$108,MATCH(D223,Roster!$A$6:$A$108,0))&gt;=25,INDEX(Inputs!$B$19:$D$19,1,MATCH(A223,Inputs!$B$6:$D$6,0)),IF(INDEX(Roster!$D$6:$D$108,MATCH(D223,Roster!$A$6:$A$108,0))&gt;=20,INDEX(Inputs!$B$18:$D$18,1,MATCH(A223,Inputs!$B$6:$D$6,0)),IF(INDEX(Roster!$D$6:$D$108,MATCH(D223,Roster!$A$6:$A$108,0))&gt;=15,INDEX(Inputs!$B$17:$D$17,1,MATCH(A223,Inputs!$B$6:$D$6,0)),IF(INDEX(Roster!$D$6:$D$108,MATCH(D223,Roster!$A$6:$A$108,0))&gt;=10,INDEX(Inputs!$B$16:$D$16,1,MATCH(A223,Inputs!$B$6:$D$6,0)),IF(INDEX(Roster!$D$6:$D$108,MATCH(D223,Roster!$A$6:$A$108,0))&gt;=5,INDEX(Inputs!$B$15:$D$15,1,MATCH(A223,Inputs!$B$6:$D$6,0)),0)))))</x:f>
        <x:v>90</x:v>
      </x:c>
      <x:c r="M223" s="20" t="n">
        <x:f>G223*I223</x:f>
        <x:v>31135</x:v>
      </x:c>
      <x:c r="N223" s="20" t="n">
        <x:f>G223*J223</x:f>
        <x:v>520</x:v>
      </x:c>
      <x:c r="O223" s="20" t="n">
        <x:f>G223*K223</x:f>
        <x:v>0</x:v>
      </x:c>
      <x:c r="P223" s="20" t="n">
        <x:f>G223*L223</x:f>
        <x:v>1170</x:v>
      </x:c>
      <x:c r="Q223" s="20" t="n">
        <x:f>H223*INDEX(Inputs!$B$13:$D$13,1,MATCH(A223,Inputs!$B$6:$D$6,0))</x:f>
        <x:v>390</x:v>
      </x:c>
      <x:c r="R223" s="20" t="n">
        <x:f>SUM(M223:Q223)</x:f>
        <x:v>33215</x:v>
      </x:c>
      <x:c r="S223" s="20" t="n">
        <x:f>IF(AND(A222=A223,D222=D223),S222+R223,R223)</x:f>
        <x:v>66430</x:v>
      </x:c>
      <x:c r="T223" s="20" t="n">
        <x:f>MIN(S223,INDEX(Inputs!$B$20:$D$20,1,MATCH(A223,Inputs!$B$6:$D$6,0)))*INDEX(Inputs!$B$22:$D$22,1,MATCH(A223,Inputs!$B$6:$D$6,0))+MAX(MIN(S223,INDEX(Inputs!$B$21:$D$21,1,MATCH(A223,Inputs!$B$6:$D$6,0)))-INDEX(Inputs!$B$20:$D$20,1,MATCH(A223,Inputs!$B$6:$D$6,0)),0)*INDEX(Inputs!$B$23:$D$23,1,MATCH(A223,Inputs!$B$6:$D$6,0))+MAX(S223-INDEX(Inputs!$B$21:$D$21,1,MATCH(A223,Inputs!$B$6:$D$6,0)),0)*INDEX(Inputs!$B$24:$D$24,1,MATCH(A223,Inputs!$B$6:$D$6,0))</x:f>
        <x:v>5571.8949999999995</x:v>
      </x:c>
      <x:c r="U223" s="20" t="n">
        <x:f>IF(AND(A222=A223,D222=D223),T222,0)</x:f>
        <x:v>3030.9475</x:v>
      </x:c>
      <x:c r="V223" s="20" t="n">
        <x:f>T223-U223</x:f>
        <x:v>2540.9474999999993</x:v>
      </x:c>
      <x:c r="W223" s="20" t="n">
        <x:f>R223+V223</x:f>
        <x:v>35755.9475</x:v>
      </x:c>
      <x:c r="X223" s="14" t="str">
        <x:f>IF(ABS(W223-SUM(M223:Q223)-V223)&lt;0.01,"OK","Check")</x:f>
        <x:v>OK</x:v>
      </x:c>
    </x:row>
    <x:row r="224">
      <x:c r="A224" s="14" t="n">
        <x:v>2026</x:v>
      </x:c>
      <x:c r="B224" s="14" t="str">
        <x:v>Q3</x:v>
      </x:c>
      <x:c r="C224" s="14" t="n">
        <x:v>3</x:v>
      </x:c>
      <x:c r="D224" s="14" t="n">
        <x:v>55</x:v>
      </x:c>
      <x:c r="E224" s="14" t="str">
        <x:f>INDEX(Roster!$B$6:$B$108,MATCH(D224,Roster!$A$6:$A$108,0))</x:f>
      </x:c>
      <x:c r="F224" s="14" t="str">
        <x:f>INDEX(Roster!$F$6:$F$108,MATCH(D224,Roster!$A$6:$A$108,0))</x:f>
        <x:v>No</x:v>
      </x:c>
      <x:c r="G224" s="14" t="n">
        <x:f>INDEX(Inputs!$B$7:$D$7,1,MATCH(A224,Inputs!$B$6:$D$6,0))</x:f>
        <x:v>13</x:v>
      </x:c>
      <x:c r="H224" s="14" t="n">
        <x:f>MIN(=INDEX(Inputs!$B$7:$D$7,1,MATCH(A224,Inputs!$B$6:$D$6,0)),MAX(0,INDEX(Inputs!$B$14:$D$14,1,MATCH(A224,Inputs!$B$6:$D$6,0))-(C224-1)*=INDEX(Inputs!$B$7:$D$7,1,MATCH(A224,Inputs!$B$6:$D$6,0))))</x:f>
        <x:v>13</x:v>
      </x:c>
      <x:c r="I224" s="20" t="n">
        <x:f>INDEX(Inputs!$B$8:$D$8,1,MATCH(A224,Inputs!$B$6:$D$6,0))</x:f>
        <x:v>2395</x:v>
      </x:c>
      <x:c r="J224" s="20" t="n">
        <x:f>INDEX(Roster!$C$6:$C$108,MATCH(D224,Roster!$A$6:$A$108,0))*(1+INDEX(Inputs!$B$9:$D$9,1,MATCH(A224,Inputs!$B$6:$D$6,0)))</x:f>
        <x:v>40</x:v>
      </x:c>
      <x:c r="K224" s="20" t="n">
        <x:f>IF(=INDEX(Roster!$F$6:$F$108,MATCH(D224,Roster!$A$6:$A$108,0))="Yes",0,=INDEX(Inputs!$B$8:$D$8,1,MATCH(A224,Inputs!$B$6:$D$6,0))*IF(=INDEX(Roster!$B$6:$B$108,MATCH(D224,Roster!$A$6:$A$108,0))="Principal",INDEX(Inputs!$B$10:$D$10,1,MATCH(A224,Inputs!$B$6:$D$6,0)),IF(=INDEX(Roster!$B$6:$B$108,MATCH(D224,Roster!$A$6:$A$108,0))="Associate Principal",INDEX(Inputs!$B$11:$D$11,1,MATCH(A224,Inputs!$B$6:$D$6,0)),IF(=INDEX(Roster!$B$6:$B$108,MATCH(D224,Roster!$A$6:$A$108,0))="Assistant Principal",INDEX(Inputs!$B$12:$D$12,1,MATCH(A224,Inputs!$B$6:$D$6,0)),0))))</x:f>
        <x:v>0</x:v>
      </x:c>
      <x:c r="L224" s="20" t="n">
        <x:f>IF(INDEX(Roster!$D$6:$D$108,MATCH(D224,Roster!$A$6:$A$108,0))&gt;=25,INDEX(Inputs!$B$19:$D$19,1,MATCH(A224,Inputs!$B$6:$D$6,0)),IF(INDEX(Roster!$D$6:$D$108,MATCH(D224,Roster!$A$6:$A$108,0))&gt;=20,INDEX(Inputs!$B$18:$D$18,1,MATCH(A224,Inputs!$B$6:$D$6,0)),IF(INDEX(Roster!$D$6:$D$108,MATCH(D224,Roster!$A$6:$A$108,0))&gt;=15,INDEX(Inputs!$B$17:$D$17,1,MATCH(A224,Inputs!$B$6:$D$6,0)),IF(INDEX(Roster!$D$6:$D$108,MATCH(D224,Roster!$A$6:$A$108,0))&gt;=10,INDEX(Inputs!$B$16:$D$16,1,MATCH(A224,Inputs!$B$6:$D$6,0)),IF(INDEX(Roster!$D$6:$D$108,MATCH(D224,Roster!$A$6:$A$108,0))&gt;=5,INDEX(Inputs!$B$15:$D$15,1,MATCH(A224,Inputs!$B$6:$D$6,0)),0)))))</x:f>
        <x:v>90</x:v>
      </x:c>
      <x:c r="M224" s="20" t="n">
        <x:f>G224*I224</x:f>
        <x:v>31135</x:v>
      </x:c>
      <x:c r="N224" s="20" t="n">
        <x:f>G224*J224</x:f>
        <x:v>520</x:v>
      </x:c>
      <x:c r="O224" s="20" t="n">
        <x:f>G224*K224</x:f>
        <x:v>0</x:v>
      </x:c>
      <x:c r="P224" s="20" t="n">
        <x:f>G224*L224</x:f>
        <x:v>1170</x:v>
      </x:c>
      <x:c r="Q224" s="20" t="n">
        <x:f>H224*INDEX(Inputs!$B$13:$D$13,1,MATCH(A224,Inputs!$B$6:$D$6,0))</x:f>
        <x:v>390</x:v>
      </x:c>
      <x:c r="R224" s="20" t="n">
        <x:f>SUM(M224:Q224)</x:f>
        <x:v>33215</x:v>
      </x:c>
      <x:c r="S224" s="20" t="n">
        <x:f>IF(AND(A223=A224,D223=D224),S223+R224,R224)</x:f>
        <x:v>99645</x:v>
      </x:c>
      <x:c r="T224" s="20" t="n">
        <x:f>MIN(S224,INDEX(Inputs!$B$20:$D$20,1,MATCH(A224,Inputs!$B$6:$D$6,0)))*INDEX(Inputs!$B$22:$D$22,1,MATCH(A224,Inputs!$B$6:$D$6,0))+MAX(MIN(S224,INDEX(Inputs!$B$21:$D$21,1,MATCH(A224,Inputs!$B$6:$D$6,0)))-INDEX(Inputs!$B$20:$D$20,1,MATCH(A224,Inputs!$B$6:$D$6,0)),0)*INDEX(Inputs!$B$23:$D$23,1,MATCH(A224,Inputs!$B$6:$D$6,0))+MAX(S224-INDEX(Inputs!$B$21:$D$21,1,MATCH(A224,Inputs!$B$6:$D$6,0)),0)*INDEX(Inputs!$B$24:$D$24,1,MATCH(A224,Inputs!$B$6:$D$6,0))</x:f>
        <x:v>8112.8425</x:v>
      </x:c>
      <x:c r="U224" s="20" t="n">
        <x:f>IF(AND(A223=A224,D223=D224),T223,0)</x:f>
        <x:v>5571.8949999999995</x:v>
      </x:c>
      <x:c r="V224" s="20" t="n">
        <x:f>T224-U224</x:f>
        <x:v>2540.9475</x:v>
      </x:c>
      <x:c r="W224" s="20" t="n">
        <x:f>R224+V224</x:f>
        <x:v>35755.9475</x:v>
      </x:c>
      <x:c r="X224" s="14" t="str">
        <x:f>IF(ABS(W224-SUM(M224:Q224)-V224)&lt;0.01,"OK","Check")</x:f>
        <x:v>OK</x:v>
      </x:c>
    </x:row>
    <x:row r="225">
      <x:c r="A225" s="14" t="n">
        <x:v>2026</x:v>
      </x:c>
      <x:c r="B225" s="14" t="str">
        <x:v>Q4</x:v>
      </x:c>
      <x:c r="C225" s="14" t="n">
        <x:v>4</x:v>
      </x:c>
      <x:c r="D225" s="14" t="n">
        <x:v>55</x:v>
      </x:c>
      <x:c r="E225" s="14" t="str">
        <x:f>INDEX(Roster!$B$6:$B$108,MATCH(D225,Roster!$A$6:$A$108,0))</x:f>
      </x:c>
      <x:c r="F225" s="14" t="str">
        <x:f>INDEX(Roster!$F$6:$F$108,MATCH(D225,Roster!$A$6:$A$108,0))</x:f>
        <x:v>No</x:v>
      </x:c>
      <x:c r="G225" s="14" t="n">
        <x:f>INDEX(Inputs!$B$7:$D$7,1,MATCH(A225,Inputs!$B$6:$D$6,0))</x:f>
        <x:v>13</x:v>
      </x:c>
      <x:c r="H225" s="14" t="n">
        <x:f>MIN(=INDEX(Inputs!$B$7:$D$7,1,MATCH(A225,Inputs!$B$6:$D$6,0)),MAX(0,INDEX(Inputs!$B$14:$D$14,1,MATCH(A225,Inputs!$B$6:$D$6,0))-(C225-1)*=INDEX(Inputs!$B$7:$D$7,1,MATCH(A225,Inputs!$B$6:$D$6,0))))</x:f>
        <x:v>0</x:v>
      </x:c>
      <x:c r="I225" s="20" t="n">
        <x:f>INDEX(Inputs!$B$8:$D$8,1,MATCH(A225,Inputs!$B$6:$D$6,0))</x:f>
        <x:v>2395</x:v>
      </x:c>
      <x:c r="J225" s="20" t="n">
        <x:f>INDEX(Roster!$C$6:$C$108,MATCH(D225,Roster!$A$6:$A$108,0))*(1+INDEX(Inputs!$B$9:$D$9,1,MATCH(A225,Inputs!$B$6:$D$6,0)))</x:f>
        <x:v>40</x:v>
      </x:c>
      <x:c r="K225" s="20" t="n">
        <x:f>IF(=INDEX(Roster!$F$6:$F$108,MATCH(D225,Roster!$A$6:$A$108,0))="Yes",0,=INDEX(Inputs!$B$8:$D$8,1,MATCH(A225,Inputs!$B$6:$D$6,0))*IF(=INDEX(Roster!$B$6:$B$108,MATCH(D225,Roster!$A$6:$A$108,0))="Principal",INDEX(Inputs!$B$10:$D$10,1,MATCH(A225,Inputs!$B$6:$D$6,0)),IF(=INDEX(Roster!$B$6:$B$108,MATCH(D225,Roster!$A$6:$A$108,0))="Associate Principal",INDEX(Inputs!$B$11:$D$11,1,MATCH(A225,Inputs!$B$6:$D$6,0)),IF(=INDEX(Roster!$B$6:$B$108,MATCH(D225,Roster!$A$6:$A$108,0))="Assistant Principal",INDEX(Inputs!$B$12:$D$12,1,MATCH(A225,Inputs!$B$6:$D$6,0)),0))))</x:f>
        <x:v>0</x:v>
      </x:c>
      <x:c r="L225" s="20" t="n">
        <x:f>IF(INDEX(Roster!$D$6:$D$108,MATCH(D225,Roster!$A$6:$A$108,0))&gt;=25,INDEX(Inputs!$B$19:$D$19,1,MATCH(A225,Inputs!$B$6:$D$6,0)),IF(INDEX(Roster!$D$6:$D$108,MATCH(D225,Roster!$A$6:$A$108,0))&gt;=20,INDEX(Inputs!$B$18:$D$18,1,MATCH(A225,Inputs!$B$6:$D$6,0)),IF(INDEX(Roster!$D$6:$D$108,MATCH(D225,Roster!$A$6:$A$108,0))&gt;=15,INDEX(Inputs!$B$17:$D$17,1,MATCH(A225,Inputs!$B$6:$D$6,0)),IF(INDEX(Roster!$D$6:$D$108,MATCH(D225,Roster!$A$6:$A$108,0))&gt;=10,INDEX(Inputs!$B$16:$D$16,1,MATCH(A225,Inputs!$B$6:$D$6,0)),IF(INDEX(Roster!$D$6:$D$108,MATCH(D225,Roster!$A$6:$A$108,0))&gt;=5,INDEX(Inputs!$B$15:$D$15,1,MATCH(A225,Inputs!$B$6:$D$6,0)),0)))))</x:f>
        <x:v>90</x:v>
      </x:c>
      <x:c r="M225" s="20" t="n">
        <x:f>G225*I225</x:f>
        <x:v>31135</x:v>
      </x:c>
      <x:c r="N225" s="20" t="n">
        <x:f>G225*J225</x:f>
        <x:v>520</x:v>
      </x:c>
      <x:c r="O225" s="20" t="n">
        <x:f>G225*K225</x:f>
        <x:v>0</x:v>
      </x:c>
      <x:c r="P225" s="20" t="n">
        <x:f>G225*L225</x:f>
        <x:v>1170</x:v>
      </x:c>
      <x:c r="Q225" s="20" t="n">
        <x:f>H225*INDEX(Inputs!$B$13:$D$13,1,MATCH(A225,Inputs!$B$6:$D$6,0))</x:f>
        <x:v>0</x:v>
      </x:c>
      <x:c r="R225" s="20" t="n">
        <x:f>SUM(M225:Q225)</x:f>
        <x:v>32825</x:v>
      </x:c>
      <x:c r="S225" s="20" t="n">
        <x:f>IF(AND(A224=A225,D224=D225),S224+R225,R225)</x:f>
        <x:v>132470</x:v>
      </x:c>
      <x:c r="T225" s="20" t="n">
        <x:f>MIN(S225,INDEX(Inputs!$B$20:$D$20,1,MATCH(A225,Inputs!$B$6:$D$6,0)))*INDEX(Inputs!$B$22:$D$22,1,MATCH(A225,Inputs!$B$6:$D$6,0))+MAX(MIN(S225,INDEX(Inputs!$B$21:$D$21,1,MATCH(A225,Inputs!$B$6:$D$6,0)))-INDEX(Inputs!$B$20:$D$20,1,MATCH(A225,Inputs!$B$6:$D$6,0)),0)*INDEX(Inputs!$B$23:$D$23,1,MATCH(A225,Inputs!$B$6:$D$6,0))+MAX(S225-INDEX(Inputs!$B$21:$D$21,1,MATCH(A225,Inputs!$B$6:$D$6,0)),0)*INDEX(Inputs!$B$24:$D$24,1,MATCH(A225,Inputs!$B$6:$D$6,0))</x:f>
        <x:v>9834.757</x:v>
      </x:c>
      <x:c r="U225" s="20" t="n">
        <x:f>IF(AND(A224=A225,D224=D225),T224,0)</x:f>
        <x:v>8112.8425</x:v>
      </x:c>
      <x:c r="V225" s="20" t="n">
        <x:f>T225-U225</x:f>
        <x:v>1721.9144999999999</x:v>
      </x:c>
      <x:c r="W225" s="20" t="n">
        <x:f>R225+V225</x:f>
        <x:v>34546.9145</x:v>
      </x:c>
      <x:c r="X225" s="14" t="str">
        <x:f>IF(ABS(W225-SUM(M225:Q225)-V225)&lt;0.01,"OK","Check")</x:f>
        <x:v>OK</x:v>
      </x:c>
    </x:row>
    <x:row r="226">
      <x:c r="A226" s="14" t="n">
        <x:v>2026</x:v>
      </x:c>
      <x:c r="B226" s="14" t="str">
        <x:v>Q1</x:v>
      </x:c>
      <x:c r="C226" s="14" t="n">
        <x:v>1</x:v>
      </x:c>
      <x:c r="D226" s="14" t="n">
        <x:v>56</x:v>
      </x:c>
      <x:c r="E226" s="14" t="str">
        <x:f>INDEX(Roster!$B$6:$B$108,MATCH(D226,Roster!$A$6:$A$108,0))</x:f>
        <x:v>Associate Principal</x:v>
      </x:c>
      <x:c r="F226" s="14" t="str">
        <x:f>INDEX(Roster!$F$6:$F$108,MATCH(D226,Roster!$A$6:$A$108,0))</x:f>
        <x:v>No</x:v>
      </x:c>
      <x:c r="G226" s="14" t="n">
        <x:f>INDEX(Inputs!$B$7:$D$7,1,MATCH(A226,Inputs!$B$6:$D$6,0))</x:f>
        <x:v>13</x:v>
      </x:c>
      <x:c r="H226" s="14" t="n">
        <x:f>MIN(=INDEX(Inputs!$B$7:$D$7,1,MATCH(A226,Inputs!$B$6:$D$6,0)),MAX(0,INDEX(Inputs!$B$14:$D$14,1,MATCH(A226,Inputs!$B$6:$D$6,0))-(C226-1)*=INDEX(Inputs!$B$7:$D$7,1,MATCH(A226,Inputs!$B$6:$D$6,0))))</x:f>
        <x:v>13</x:v>
      </x:c>
      <x:c r="I226" s="20" t="n">
        <x:f>INDEX(Inputs!$B$8:$D$8,1,MATCH(A226,Inputs!$B$6:$D$6,0))</x:f>
        <x:v>2395</x:v>
      </x:c>
      <x:c r="J226" s="20" t="n">
        <x:f>INDEX(Roster!$C$6:$C$108,MATCH(D226,Roster!$A$6:$A$108,0))*(1+INDEX(Inputs!$B$9:$D$9,1,MATCH(A226,Inputs!$B$6:$D$6,0)))</x:f>
        <x:v>400</x:v>
      </x:c>
      <x:c r="K226" s="20" t="n">
        <x:f>IF(=INDEX(Roster!$F$6:$F$108,MATCH(D226,Roster!$A$6:$A$108,0))="Yes",0,=INDEX(Inputs!$B$8:$D$8,1,MATCH(A226,Inputs!$B$6:$D$6,0))*IF(=INDEX(Roster!$B$6:$B$108,MATCH(D226,Roster!$A$6:$A$108,0))="Principal",INDEX(Inputs!$B$10:$D$10,1,MATCH(A226,Inputs!$B$6:$D$6,0)),IF(=INDEX(Roster!$B$6:$B$108,MATCH(D226,Roster!$A$6:$A$108,0))="Associate Principal",INDEX(Inputs!$B$11:$D$11,1,MATCH(A226,Inputs!$B$6:$D$6,0)),IF(=INDEX(Roster!$B$6:$B$108,MATCH(D226,Roster!$A$6:$A$108,0))="Assistant Principal",INDEX(Inputs!$B$12:$D$12,1,MATCH(A226,Inputs!$B$6:$D$6,0)),0))))</x:f>
        <x:v>239.5</x:v>
      </x:c>
      <x:c r="L226" s="20" t="n">
        <x:f>IF(INDEX(Roster!$D$6:$D$108,MATCH(D226,Roster!$A$6:$A$108,0))&gt;=25,INDEX(Inputs!$B$19:$D$19,1,MATCH(A226,Inputs!$B$6:$D$6,0)),IF(INDEX(Roster!$D$6:$D$108,MATCH(D226,Roster!$A$6:$A$108,0))&gt;=20,INDEX(Inputs!$B$18:$D$18,1,MATCH(A226,Inputs!$B$6:$D$6,0)),IF(INDEX(Roster!$D$6:$D$108,MATCH(D226,Roster!$A$6:$A$108,0))&gt;=15,INDEX(Inputs!$B$17:$D$17,1,MATCH(A226,Inputs!$B$6:$D$6,0)),IF(INDEX(Roster!$D$6:$D$108,MATCH(D226,Roster!$A$6:$A$108,0))&gt;=10,INDEX(Inputs!$B$16:$D$16,1,MATCH(A226,Inputs!$B$6:$D$6,0)),IF(INDEX(Roster!$D$6:$D$108,MATCH(D226,Roster!$A$6:$A$108,0))&gt;=5,INDEX(Inputs!$B$15:$D$15,1,MATCH(A226,Inputs!$B$6:$D$6,0)),0)))))</x:f>
        <x:v>80</x:v>
      </x:c>
      <x:c r="M226" s="20" t="n">
        <x:f>G226*I226</x:f>
        <x:v>31135</x:v>
      </x:c>
      <x:c r="N226" s="20" t="n">
        <x:f>G226*J226</x:f>
        <x:v>5200</x:v>
      </x:c>
      <x:c r="O226" s="20" t="n">
        <x:f>G226*K226</x:f>
        <x:v>3113.5</x:v>
      </x:c>
      <x:c r="P226" s="20" t="n">
        <x:f>G226*L226</x:f>
        <x:v>1040</x:v>
      </x:c>
      <x:c r="Q226" s="20" t="n">
        <x:f>H226*INDEX(Inputs!$B$13:$D$13,1,MATCH(A226,Inputs!$B$6:$D$6,0))</x:f>
        <x:v>390</x:v>
      </x:c>
      <x:c r="R226" s="20" t="n">
        <x:f>SUM(M226:Q226)</x:f>
        <x:v>40878.5</x:v>
      </x:c>
      <x:c r="S226" s="20" t="n">
        <x:f>IF(AND(A225=A226,D225=D226),S225+R226,R226)</x:f>
        <x:v>40878.5</x:v>
      </x:c>
      <x:c r="T226" s="20" t="n">
        <x:f>MIN(S226,INDEX(Inputs!$B$20:$D$20,1,MATCH(A226,Inputs!$B$6:$D$6,0)))*INDEX(Inputs!$B$22:$D$22,1,MATCH(A226,Inputs!$B$6:$D$6,0))+MAX(MIN(S226,INDEX(Inputs!$B$21:$D$21,1,MATCH(A226,Inputs!$B$6:$D$6,0)))-INDEX(Inputs!$B$20:$D$20,1,MATCH(A226,Inputs!$B$6:$D$6,0)),0)*INDEX(Inputs!$B$23:$D$23,1,MATCH(A226,Inputs!$B$6:$D$6,0))+MAX(S226-INDEX(Inputs!$B$21:$D$21,1,MATCH(A226,Inputs!$B$6:$D$6,0)),0)*INDEX(Inputs!$B$24:$D$24,1,MATCH(A226,Inputs!$B$6:$D$6,0))</x:f>
        <x:v>3617.20525</x:v>
      </x:c>
      <x:c r="U226" s="20" t="n">
        <x:f>IF(AND(A225=A226,D225=D226),T225,0)</x:f>
        <x:v>0</x:v>
      </x:c>
      <x:c r="V226" s="20" t="n">
        <x:f>T226-U226</x:f>
        <x:v>3617.20525</x:v>
      </x:c>
      <x:c r="W226" s="20" t="n">
        <x:f>R226+V226</x:f>
        <x:v>44495.70525</x:v>
      </x:c>
      <x:c r="X226" s="14" t="str">
        <x:f>IF(ABS(W226-SUM(M226:Q226)-V226)&lt;0.01,"OK","Check")</x:f>
        <x:v>OK</x:v>
      </x:c>
    </x:row>
    <x:row r="227">
      <x:c r="A227" s="14" t="n">
        <x:v>2026</x:v>
      </x:c>
      <x:c r="B227" s="14" t="str">
        <x:v>Q2</x:v>
      </x:c>
      <x:c r="C227" s="14" t="n">
        <x:v>2</x:v>
      </x:c>
      <x:c r="D227" s="14" t="n">
        <x:v>56</x:v>
      </x:c>
      <x:c r="E227" s="14" t="str">
        <x:f>INDEX(Roster!$B$6:$B$108,MATCH(D227,Roster!$A$6:$A$108,0))</x:f>
        <x:v>Associate Principal</x:v>
      </x:c>
      <x:c r="F227" s="14" t="str">
        <x:f>INDEX(Roster!$F$6:$F$108,MATCH(D227,Roster!$A$6:$A$108,0))</x:f>
        <x:v>No</x:v>
      </x:c>
      <x:c r="G227" s="14" t="n">
        <x:f>INDEX(Inputs!$B$7:$D$7,1,MATCH(A227,Inputs!$B$6:$D$6,0))</x:f>
        <x:v>13</x:v>
      </x:c>
      <x:c r="H227" s="14" t="n">
        <x:f>MIN(=INDEX(Inputs!$B$7:$D$7,1,MATCH(A227,Inputs!$B$6:$D$6,0)),MAX(0,INDEX(Inputs!$B$14:$D$14,1,MATCH(A227,Inputs!$B$6:$D$6,0))-(C227-1)*=INDEX(Inputs!$B$7:$D$7,1,MATCH(A227,Inputs!$B$6:$D$6,0))))</x:f>
        <x:v>13</x:v>
      </x:c>
      <x:c r="I227" s="20" t="n">
        <x:f>INDEX(Inputs!$B$8:$D$8,1,MATCH(A227,Inputs!$B$6:$D$6,0))</x:f>
        <x:v>2395</x:v>
      </x:c>
      <x:c r="J227" s="20" t="n">
        <x:f>INDEX(Roster!$C$6:$C$108,MATCH(D227,Roster!$A$6:$A$108,0))*(1+INDEX(Inputs!$B$9:$D$9,1,MATCH(A227,Inputs!$B$6:$D$6,0)))</x:f>
        <x:v>400</x:v>
      </x:c>
      <x:c r="K227" s="20" t="n">
        <x:f>IF(=INDEX(Roster!$F$6:$F$108,MATCH(D227,Roster!$A$6:$A$108,0))="Yes",0,=INDEX(Inputs!$B$8:$D$8,1,MATCH(A227,Inputs!$B$6:$D$6,0))*IF(=INDEX(Roster!$B$6:$B$108,MATCH(D227,Roster!$A$6:$A$108,0))="Principal",INDEX(Inputs!$B$10:$D$10,1,MATCH(A227,Inputs!$B$6:$D$6,0)),IF(=INDEX(Roster!$B$6:$B$108,MATCH(D227,Roster!$A$6:$A$108,0))="Associate Principal",INDEX(Inputs!$B$11:$D$11,1,MATCH(A227,Inputs!$B$6:$D$6,0)),IF(=INDEX(Roster!$B$6:$B$108,MATCH(D227,Roster!$A$6:$A$108,0))="Assistant Principal",INDEX(Inputs!$B$12:$D$12,1,MATCH(A227,Inputs!$B$6:$D$6,0)),0))))</x:f>
        <x:v>239.5</x:v>
      </x:c>
      <x:c r="L227" s="20" t="n">
        <x:f>IF(INDEX(Roster!$D$6:$D$108,MATCH(D227,Roster!$A$6:$A$108,0))&gt;=25,INDEX(Inputs!$B$19:$D$19,1,MATCH(A227,Inputs!$B$6:$D$6,0)),IF(INDEX(Roster!$D$6:$D$108,MATCH(D227,Roster!$A$6:$A$108,0))&gt;=20,INDEX(Inputs!$B$18:$D$18,1,MATCH(A227,Inputs!$B$6:$D$6,0)),IF(INDEX(Roster!$D$6:$D$108,MATCH(D227,Roster!$A$6:$A$108,0))&gt;=15,INDEX(Inputs!$B$17:$D$17,1,MATCH(A227,Inputs!$B$6:$D$6,0)),IF(INDEX(Roster!$D$6:$D$108,MATCH(D227,Roster!$A$6:$A$108,0))&gt;=10,INDEX(Inputs!$B$16:$D$16,1,MATCH(A227,Inputs!$B$6:$D$6,0)),IF(INDEX(Roster!$D$6:$D$108,MATCH(D227,Roster!$A$6:$A$108,0))&gt;=5,INDEX(Inputs!$B$15:$D$15,1,MATCH(A227,Inputs!$B$6:$D$6,0)),0)))))</x:f>
        <x:v>80</x:v>
      </x:c>
      <x:c r="M227" s="20" t="n">
        <x:f>G227*I227</x:f>
        <x:v>31135</x:v>
      </x:c>
      <x:c r="N227" s="20" t="n">
        <x:f>G227*J227</x:f>
        <x:v>5200</x:v>
      </x:c>
      <x:c r="O227" s="20" t="n">
        <x:f>G227*K227</x:f>
        <x:v>3113.5</x:v>
      </x:c>
      <x:c r="P227" s="20" t="n">
        <x:f>G227*L227</x:f>
        <x:v>1040</x:v>
      </x:c>
      <x:c r="Q227" s="20" t="n">
        <x:f>H227*INDEX(Inputs!$B$13:$D$13,1,MATCH(A227,Inputs!$B$6:$D$6,0))</x:f>
        <x:v>390</x:v>
      </x:c>
      <x:c r="R227" s="20" t="n">
        <x:f>SUM(M227:Q227)</x:f>
        <x:v>40878.5</x:v>
      </x:c>
      <x:c r="S227" s="20" t="n">
        <x:f>IF(AND(A226=A227,D226=D227),S226+R227,R227)</x:f>
        <x:v>81757</x:v>
      </x:c>
      <x:c r="T227" s="20" t="n">
        <x:f>MIN(S227,INDEX(Inputs!$B$20:$D$20,1,MATCH(A227,Inputs!$B$6:$D$6,0)))*INDEX(Inputs!$B$22:$D$22,1,MATCH(A227,Inputs!$B$6:$D$6,0))+MAX(MIN(S227,INDEX(Inputs!$B$21:$D$21,1,MATCH(A227,Inputs!$B$6:$D$6,0)))-INDEX(Inputs!$B$20:$D$20,1,MATCH(A227,Inputs!$B$6:$D$6,0)),0)*INDEX(Inputs!$B$23:$D$23,1,MATCH(A227,Inputs!$B$6:$D$6,0))+MAX(S227-INDEX(Inputs!$B$21:$D$21,1,MATCH(A227,Inputs!$B$6:$D$6,0)),0)*INDEX(Inputs!$B$24:$D$24,1,MATCH(A227,Inputs!$B$6:$D$6,0))</x:f>
        <x:v>6744.4105</x:v>
      </x:c>
      <x:c r="U227" s="20" t="n">
        <x:f>IF(AND(A226=A227,D226=D227),T226,0)</x:f>
        <x:v>3617.20525</x:v>
      </x:c>
      <x:c r="V227" s="20" t="n">
        <x:f>T227-U227</x:f>
        <x:v>3127.20525</x:v>
      </x:c>
      <x:c r="W227" s="20" t="n">
        <x:f>R227+V227</x:f>
        <x:v>44005.70525</x:v>
      </x:c>
      <x:c r="X227" s="14" t="str">
        <x:f>IF(ABS(W227-SUM(M227:Q227)-V227)&lt;0.01,"OK","Check")</x:f>
        <x:v>OK</x:v>
      </x:c>
    </x:row>
    <x:row r="228">
      <x:c r="A228" s="14" t="n">
        <x:v>2026</x:v>
      </x:c>
      <x:c r="B228" s="14" t="str">
        <x:v>Q3</x:v>
      </x:c>
      <x:c r="C228" s="14" t="n">
        <x:v>3</x:v>
      </x:c>
      <x:c r="D228" s="14" t="n">
        <x:v>56</x:v>
      </x:c>
      <x:c r="E228" s="14" t="str">
        <x:f>INDEX(Roster!$B$6:$B$108,MATCH(D228,Roster!$A$6:$A$108,0))</x:f>
        <x:v>Associate Principal</x:v>
      </x:c>
      <x:c r="F228" s="14" t="str">
        <x:f>INDEX(Roster!$F$6:$F$108,MATCH(D228,Roster!$A$6:$A$108,0))</x:f>
        <x:v>No</x:v>
      </x:c>
      <x:c r="G228" s="14" t="n">
        <x:f>INDEX(Inputs!$B$7:$D$7,1,MATCH(A228,Inputs!$B$6:$D$6,0))</x:f>
        <x:v>13</x:v>
      </x:c>
      <x:c r="H228" s="14" t="n">
        <x:f>MIN(=INDEX(Inputs!$B$7:$D$7,1,MATCH(A228,Inputs!$B$6:$D$6,0)),MAX(0,INDEX(Inputs!$B$14:$D$14,1,MATCH(A228,Inputs!$B$6:$D$6,0))-(C228-1)*=INDEX(Inputs!$B$7:$D$7,1,MATCH(A228,Inputs!$B$6:$D$6,0))))</x:f>
        <x:v>13</x:v>
      </x:c>
      <x:c r="I228" s="20" t="n">
        <x:f>INDEX(Inputs!$B$8:$D$8,1,MATCH(A228,Inputs!$B$6:$D$6,0))</x:f>
        <x:v>2395</x:v>
      </x:c>
      <x:c r="J228" s="20" t="n">
        <x:f>INDEX(Roster!$C$6:$C$108,MATCH(D228,Roster!$A$6:$A$108,0))*(1+INDEX(Inputs!$B$9:$D$9,1,MATCH(A228,Inputs!$B$6:$D$6,0)))</x:f>
        <x:v>400</x:v>
      </x:c>
      <x:c r="K228" s="20" t="n">
        <x:f>IF(=INDEX(Roster!$F$6:$F$108,MATCH(D228,Roster!$A$6:$A$108,0))="Yes",0,=INDEX(Inputs!$B$8:$D$8,1,MATCH(A228,Inputs!$B$6:$D$6,0))*IF(=INDEX(Roster!$B$6:$B$108,MATCH(D228,Roster!$A$6:$A$108,0))="Principal",INDEX(Inputs!$B$10:$D$10,1,MATCH(A228,Inputs!$B$6:$D$6,0)),IF(=INDEX(Roster!$B$6:$B$108,MATCH(D228,Roster!$A$6:$A$108,0))="Associate Principal",INDEX(Inputs!$B$11:$D$11,1,MATCH(A228,Inputs!$B$6:$D$6,0)),IF(=INDEX(Roster!$B$6:$B$108,MATCH(D228,Roster!$A$6:$A$108,0))="Assistant Principal",INDEX(Inputs!$B$12:$D$12,1,MATCH(A228,Inputs!$B$6:$D$6,0)),0))))</x:f>
        <x:v>239.5</x:v>
      </x:c>
      <x:c r="L228" s="20" t="n">
        <x:f>IF(INDEX(Roster!$D$6:$D$108,MATCH(D228,Roster!$A$6:$A$108,0))&gt;=25,INDEX(Inputs!$B$19:$D$19,1,MATCH(A228,Inputs!$B$6:$D$6,0)),IF(INDEX(Roster!$D$6:$D$108,MATCH(D228,Roster!$A$6:$A$108,0))&gt;=20,INDEX(Inputs!$B$18:$D$18,1,MATCH(A228,Inputs!$B$6:$D$6,0)),IF(INDEX(Roster!$D$6:$D$108,MATCH(D228,Roster!$A$6:$A$108,0))&gt;=15,INDEX(Inputs!$B$17:$D$17,1,MATCH(A228,Inputs!$B$6:$D$6,0)),IF(INDEX(Roster!$D$6:$D$108,MATCH(D228,Roster!$A$6:$A$108,0))&gt;=10,INDEX(Inputs!$B$16:$D$16,1,MATCH(A228,Inputs!$B$6:$D$6,0)),IF(INDEX(Roster!$D$6:$D$108,MATCH(D228,Roster!$A$6:$A$108,0))&gt;=5,INDEX(Inputs!$B$15:$D$15,1,MATCH(A228,Inputs!$B$6:$D$6,0)),0)))))</x:f>
        <x:v>80</x:v>
      </x:c>
      <x:c r="M228" s="20" t="n">
        <x:f>G228*I228</x:f>
        <x:v>31135</x:v>
      </x:c>
      <x:c r="N228" s="20" t="n">
        <x:f>G228*J228</x:f>
        <x:v>5200</x:v>
      </x:c>
      <x:c r="O228" s="20" t="n">
        <x:f>G228*K228</x:f>
        <x:v>3113.5</x:v>
      </x:c>
      <x:c r="P228" s="20" t="n">
        <x:f>G228*L228</x:f>
        <x:v>1040</x:v>
      </x:c>
      <x:c r="Q228" s="20" t="n">
        <x:f>H228*INDEX(Inputs!$B$13:$D$13,1,MATCH(A228,Inputs!$B$6:$D$6,0))</x:f>
        <x:v>390</x:v>
      </x:c>
      <x:c r="R228" s="20" t="n">
        <x:f>SUM(M228:Q228)</x:f>
        <x:v>40878.5</x:v>
      </x:c>
      <x:c r="S228" s="20" t="n">
        <x:f>IF(AND(A227=A228,D227=D228),S227+R228,R228)</x:f>
        <x:v>122635.5</x:v>
      </x:c>
      <x:c r="T228" s="20" t="n">
        <x:f>MIN(S228,INDEX(Inputs!$B$20:$D$20,1,MATCH(A228,Inputs!$B$6:$D$6,0)))*INDEX(Inputs!$B$22:$D$22,1,MATCH(A228,Inputs!$B$6:$D$6,0))+MAX(MIN(S228,INDEX(Inputs!$B$21:$D$21,1,MATCH(A228,Inputs!$B$6:$D$6,0)))-INDEX(Inputs!$B$20:$D$20,1,MATCH(A228,Inputs!$B$6:$D$6,0)),0)*INDEX(Inputs!$B$23:$D$23,1,MATCH(A228,Inputs!$B$6:$D$6,0))+MAX(S228-INDEX(Inputs!$B$21:$D$21,1,MATCH(A228,Inputs!$B$6:$D$6,0)),0)*INDEX(Inputs!$B$24:$D$24,1,MATCH(A228,Inputs!$B$6:$D$6,0))</x:f>
        <x:v>9692.15675</x:v>
      </x:c>
      <x:c r="U228" s="20" t="n">
        <x:f>IF(AND(A227=A228,D227=D228),T227,0)</x:f>
        <x:v>6744.4105</x:v>
      </x:c>
      <x:c r="V228" s="20" t="n">
        <x:f>T228-U228</x:f>
        <x:v>2947.74625</x:v>
      </x:c>
      <x:c r="W228" s="20" t="n">
        <x:f>R228+V228</x:f>
        <x:v>43826.24625</x:v>
      </x:c>
      <x:c r="X228" s="14" t="str">
        <x:f>IF(ABS(W228-SUM(M228:Q228)-V228)&lt;0.01,"OK","Check")</x:f>
        <x:v>OK</x:v>
      </x:c>
    </x:row>
    <x:row r="229">
      <x:c r="A229" s="14" t="n">
        <x:v>2026</x:v>
      </x:c>
      <x:c r="B229" s="14" t="str">
        <x:v>Q4</x:v>
      </x:c>
      <x:c r="C229" s="14" t="n">
        <x:v>4</x:v>
      </x:c>
      <x:c r="D229" s="14" t="n">
        <x:v>56</x:v>
      </x:c>
      <x:c r="E229" s="14" t="str">
        <x:f>INDEX(Roster!$B$6:$B$108,MATCH(D229,Roster!$A$6:$A$108,0))</x:f>
        <x:v>Associate Principal</x:v>
      </x:c>
      <x:c r="F229" s="14" t="str">
        <x:f>INDEX(Roster!$F$6:$F$108,MATCH(D229,Roster!$A$6:$A$108,0))</x:f>
        <x:v>No</x:v>
      </x:c>
      <x:c r="G229" s="14" t="n">
        <x:f>INDEX(Inputs!$B$7:$D$7,1,MATCH(A229,Inputs!$B$6:$D$6,0))</x:f>
        <x:v>13</x:v>
      </x:c>
      <x:c r="H229" s="14" t="n">
        <x:f>MIN(=INDEX(Inputs!$B$7:$D$7,1,MATCH(A229,Inputs!$B$6:$D$6,0)),MAX(0,INDEX(Inputs!$B$14:$D$14,1,MATCH(A229,Inputs!$B$6:$D$6,0))-(C229-1)*=INDEX(Inputs!$B$7:$D$7,1,MATCH(A229,Inputs!$B$6:$D$6,0))))</x:f>
        <x:v>0</x:v>
      </x:c>
      <x:c r="I229" s="20" t="n">
        <x:f>INDEX(Inputs!$B$8:$D$8,1,MATCH(A229,Inputs!$B$6:$D$6,0))</x:f>
        <x:v>2395</x:v>
      </x:c>
      <x:c r="J229" s="20" t="n">
        <x:f>INDEX(Roster!$C$6:$C$108,MATCH(D229,Roster!$A$6:$A$108,0))*(1+INDEX(Inputs!$B$9:$D$9,1,MATCH(A229,Inputs!$B$6:$D$6,0)))</x:f>
        <x:v>400</x:v>
      </x:c>
      <x:c r="K229" s="20" t="n">
        <x:f>IF(=INDEX(Roster!$F$6:$F$108,MATCH(D229,Roster!$A$6:$A$108,0))="Yes",0,=INDEX(Inputs!$B$8:$D$8,1,MATCH(A229,Inputs!$B$6:$D$6,0))*IF(=INDEX(Roster!$B$6:$B$108,MATCH(D229,Roster!$A$6:$A$108,0))="Principal",INDEX(Inputs!$B$10:$D$10,1,MATCH(A229,Inputs!$B$6:$D$6,0)),IF(=INDEX(Roster!$B$6:$B$108,MATCH(D229,Roster!$A$6:$A$108,0))="Associate Principal",INDEX(Inputs!$B$11:$D$11,1,MATCH(A229,Inputs!$B$6:$D$6,0)),IF(=INDEX(Roster!$B$6:$B$108,MATCH(D229,Roster!$A$6:$A$108,0))="Assistant Principal",INDEX(Inputs!$B$12:$D$12,1,MATCH(A229,Inputs!$B$6:$D$6,0)),0))))</x:f>
        <x:v>239.5</x:v>
      </x:c>
      <x:c r="L229" s="20" t="n">
        <x:f>IF(INDEX(Roster!$D$6:$D$108,MATCH(D229,Roster!$A$6:$A$108,0))&gt;=25,INDEX(Inputs!$B$19:$D$19,1,MATCH(A229,Inputs!$B$6:$D$6,0)),IF(INDEX(Roster!$D$6:$D$108,MATCH(D229,Roster!$A$6:$A$108,0))&gt;=20,INDEX(Inputs!$B$18:$D$18,1,MATCH(A229,Inputs!$B$6:$D$6,0)),IF(INDEX(Roster!$D$6:$D$108,MATCH(D229,Roster!$A$6:$A$108,0))&gt;=15,INDEX(Inputs!$B$17:$D$17,1,MATCH(A229,Inputs!$B$6:$D$6,0)),IF(INDEX(Roster!$D$6:$D$108,MATCH(D229,Roster!$A$6:$A$108,0))&gt;=10,INDEX(Inputs!$B$16:$D$16,1,MATCH(A229,Inputs!$B$6:$D$6,0)),IF(INDEX(Roster!$D$6:$D$108,MATCH(D229,Roster!$A$6:$A$108,0))&gt;=5,INDEX(Inputs!$B$15:$D$15,1,MATCH(A229,Inputs!$B$6:$D$6,0)),0)))))</x:f>
        <x:v>80</x:v>
      </x:c>
      <x:c r="M229" s="20" t="n">
        <x:f>G229*I229</x:f>
        <x:v>31135</x:v>
      </x:c>
      <x:c r="N229" s="20" t="n">
        <x:f>G229*J229</x:f>
        <x:v>5200</x:v>
      </x:c>
      <x:c r="O229" s="20" t="n">
        <x:f>G229*K229</x:f>
        <x:v>3113.5</x:v>
      </x:c>
      <x:c r="P229" s="20" t="n">
        <x:f>G229*L229</x:f>
        <x:v>1040</x:v>
      </x:c>
      <x:c r="Q229" s="20" t="n">
        <x:f>H229*INDEX(Inputs!$B$13:$D$13,1,MATCH(A229,Inputs!$B$6:$D$6,0))</x:f>
        <x:v>0</x:v>
      </x:c>
      <x:c r="R229" s="20" t="n">
        <x:f>SUM(M229:Q229)</x:f>
        <x:v>40488.5</x:v>
      </x:c>
      <x:c r="S229" s="20" t="n">
        <x:f>IF(AND(A228=A229,D228=D229),S228+R229,R229)</x:f>
        <x:v>163124</x:v>
      </x:c>
      <x:c r="T229" s="20" t="n">
        <x:f>MIN(S229,INDEX(Inputs!$B$20:$D$20,1,MATCH(A229,Inputs!$B$6:$D$6,0)))*INDEX(Inputs!$B$22:$D$22,1,MATCH(A229,Inputs!$B$6:$D$6,0))+MAX(MIN(S229,INDEX(Inputs!$B$21:$D$21,1,MATCH(A229,Inputs!$B$6:$D$6,0)))-INDEX(Inputs!$B$20:$D$20,1,MATCH(A229,Inputs!$B$6:$D$6,0)),0)*INDEX(Inputs!$B$23:$D$23,1,MATCH(A229,Inputs!$B$6:$D$6,0))+MAX(S229-INDEX(Inputs!$B$21:$D$21,1,MATCH(A229,Inputs!$B$6:$D$6,0)),0)*INDEX(Inputs!$B$24:$D$24,1,MATCH(A229,Inputs!$B$6:$D$6,0))</x:f>
        <x:v>10279.24</x:v>
      </x:c>
      <x:c r="U229" s="20" t="n">
        <x:f>IF(AND(A228=A229,D228=D229),T228,0)</x:f>
        <x:v>9692.15675</x:v>
      </x:c>
      <x:c r="V229" s="20" t="n">
        <x:f>T229-U229</x:f>
        <x:v>587.0832499999997</x:v>
      </x:c>
      <x:c r="W229" s="20" t="n">
        <x:f>R229+V229</x:f>
        <x:v>41075.583249999996</x:v>
      </x:c>
      <x:c r="X229" s="14" t="str">
        <x:f>IF(ABS(W229-SUM(M229:Q229)-V229)&lt;0.01,"OK","Check")</x:f>
        <x:v>OK</x:v>
      </x:c>
    </x:row>
    <x:row r="230">
      <x:c r="A230" s="14" t="n">
        <x:v>2026</x:v>
      </x:c>
      <x:c r="B230" s="14" t="str">
        <x:v>Q1</x:v>
      </x:c>
      <x:c r="C230" s="14" t="n">
        <x:v>1</x:v>
      </x:c>
      <x:c r="D230" s="14" t="n">
        <x:v>57</x:v>
      </x:c>
      <x:c r="E230" s="14" t="str">
        <x:f>INDEX(Roster!$B$6:$B$108,MATCH(D230,Roster!$A$6:$A$108,0))</x:f>
      </x:c>
      <x:c r="F230" s="14" t="str">
        <x:f>INDEX(Roster!$F$6:$F$108,MATCH(D230,Roster!$A$6:$A$108,0))</x:f>
        <x:v>No</x:v>
      </x:c>
      <x:c r="G230" s="14" t="n">
        <x:f>INDEX(Inputs!$B$7:$D$7,1,MATCH(A230,Inputs!$B$6:$D$6,0))</x:f>
        <x:v>13</x:v>
      </x:c>
      <x:c r="H230" s="14" t="n">
        <x:f>MIN(=INDEX(Inputs!$B$7:$D$7,1,MATCH(A230,Inputs!$B$6:$D$6,0)),MAX(0,INDEX(Inputs!$B$14:$D$14,1,MATCH(A230,Inputs!$B$6:$D$6,0))-(C230-1)*=INDEX(Inputs!$B$7:$D$7,1,MATCH(A230,Inputs!$B$6:$D$6,0))))</x:f>
        <x:v>13</x:v>
      </x:c>
      <x:c r="I230" s="20" t="n">
        <x:f>INDEX(Inputs!$B$8:$D$8,1,MATCH(A230,Inputs!$B$6:$D$6,0))</x:f>
        <x:v>2395</x:v>
      </x:c>
      <x:c r="J230" s="20" t="n">
        <x:f>INDEX(Roster!$C$6:$C$108,MATCH(D230,Roster!$A$6:$A$108,0))*(1+INDEX(Inputs!$B$9:$D$9,1,MATCH(A230,Inputs!$B$6:$D$6,0)))</x:f>
        <x:v>75</x:v>
      </x:c>
      <x:c r="K230" s="20" t="n">
        <x:f>IF(=INDEX(Roster!$F$6:$F$108,MATCH(D230,Roster!$A$6:$A$108,0))="Yes",0,=INDEX(Inputs!$B$8:$D$8,1,MATCH(A230,Inputs!$B$6:$D$6,0))*IF(=INDEX(Roster!$B$6:$B$108,MATCH(D230,Roster!$A$6:$A$108,0))="Principal",INDEX(Inputs!$B$10:$D$10,1,MATCH(A230,Inputs!$B$6:$D$6,0)),IF(=INDEX(Roster!$B$6:$B$108,MATCH(D230,Roster!$A$6:$A$108,0))="Associate Principal",INDEX(Inputs!$B$11:$D$11,1,MATCH(A230,Inputs!$B$6:$D$6,0)),IF(=INDEX(Roster!$B$6:$B$108,MATCH(D230,Roster!$A$6:$A$108,0))="Assistant Principal",INDEX(Inputs!$B$12:$D$12,1,MATCH(A230,Inputs!$B$6:$D$6,0)),0))))</x:f>
        <x:v>0</x:v>
      </x:c>
      <x:c r="L230" s="20" t="n">
        <x:f>IF(INDEX(Roster!$D$6:$D$108,MATCH(D230,Roster!$A$6:$A$108,0))&gt;=25,INDEX(Inputs!$B$19:$D$19,1,MATCH(A230,Inputs!$B$6:$D$6,0)),IF(INDEX(Roster!$D$6:$D$108,MATCH(D230,Roster!$A$6:$A$108,0))&gt;=20,INDEX(Inputs!$B$18:$D$18,1,MATCH(A230,Inputs!$B$6:$D$6,0)),IF(INDEX(Roster!$D$6:$D$108,MATCH(D230,Roster!$A$6:$A$108,0))&gt;=15,INDEX(Inputs!$B$17:$D$17,1,MATCH(A230,Inputs!$B$6:$D$6,0)),IF(INDEX(Roster!$D$6:$D$108,MATCH(D230,Roster!$A$6:$A$108,0))&gt;=10,INDEX(Inputs!$B$16:$D$16,1,MATCH(A230,Inputs!$B$6:$D$6,0)),IF(INDEX(Roster!$D$6:$D$108,MATCH(D230,Roster!$A$6:$A$108,0))&gt;=5,INDEX(Inputs!$B$15:$D$15,1,MATCH(A230,Inputs!$B$6:$D$6,0)),0)))))</x:f>
        <x:v>80</x:v>
      </x:c>
      <x:c r="M230" s="20" t="n">
        <x:f>G230*I230</x:f>
        <x:v>31135</x:v>
      </x:c>
      <x:c r="N230" s="20" t="n">
        <x:f>G230*J230</x:f>
        <x:v>975</x:v>
      </x:c>
      <x:c r="O230" s="20" t="n">
        <x:f>G230*K230</x:f>
        <x:v>0</x:v>
      </x:c>
      <x:c r="P230" s="20" t="n">
        <x:f>G230*L230</x:f>
        <x:v>1040</x:v>
      </x:c>
      <x:c r="Q230" s="20" t="n">
        <x:f>H230*INDEX(Inputs!$B$13:$D$13,1,MATCH(A230,Inputs!$B$6:$D$6,0))</x:f>
        <x:v>390</x:v>
      </x:c>
      <x:c r="R230" s="20" t="n">
        <x:f>SUM(M230:Q230)</x:f>
        <x:v>33540</x:v>
      </x:c>
      <x:c r="S230" s="20" t="n">
        <x:f>IF(AND(A229=A230,D229=D230),S229+R230,R230)</x:f>
        <x:v>33540</x:v>
      </x:c>
      <x:c r="T230" s="20" t="n">
        <x:f>MIN(S230,INDEX(Inputs!$B$20:$D$20,1,MATCH(A230,Inputs!$B$6:$D$6,0)))*INDEX(Inputs!$B$22:$D$22,1,MATCH(A230,Inputs!$B$6:$D$6,0))+MAX(MIN(S230,INDEX(Inputs!$B$21:$D$21,1,MATCH(A230,Inputs!$B$6:$D$6,0)))-INDEX(Inputs!$B$20:$D$20,1,MATCH(A230,Inputs!$B$6:$D$6,0)),0)*INDEX(Inputs!$B$23:$D$23,1,MATCH(A230,Inputs!$B$6:$D$6,0))+MAX(S230-INDEX(Inputs!$B$21:$D$21,1,MATCH(A230,Inputs!$B$6:$D$6,0)),0)*INDEX(Inputs!$B$24:$D$24,1,MATCH(A230,Inputs!$B$6:$D$6,0))</x:f>
        <x:v>3055.81</x:v>
      </x:c>
      <x:c r="U230" s="20" t="n">
        <x:f>IF(AND(A229=A230,D229=D230),T229,0)</x:f>
        <x:v>0</x:v>
      </x:c>
      <x:c r="V230" s="20" t="n">
        <x:f>T230-U230</x:f>
        <x:v>3055.81</x:v>
      </x:c>
      <x:c r="W230" s="20" t="n">
        <x:f>R230+V230</x:f>
        <x:v>36595.81</x:v>
      </x:c>
      <x:c r="X230" s="14" t="str">
        <x:f>IF(ABS(W230-SUM(M230:Q230)-V230)&lt;0.01,"OK","Check")</x:f>
        <x:v>OK</x:v>
      </x:c>
    </x:row>
    <x:row r="231">
      <x:c r="A231" s="14" t="n">
        <x:v>2026</x:v>
      </x:c>
      <x:c r="B231" s="14" t="str">
        <x:v>Q2</x:v>
      </x:c>
      <x:c r="C231" s="14" t="n">
        <x:v>2</x:v>
      </x:c>
      <x:c r="D231" s="14" t="n">
        <x:v>57</x:v>
      </x:c>
      <x:c r="E231" s="14" t="str">
        <x:f>INDEX(Roster!$B$6:$B$108,MATCH(D231,Roster!$A$6:$A$108,0))</x:f>
      </x:c>
      <x:c r="F231" s="14" t="str">
        <x:f>INDEX(Roster!$F$6:$F$108,MATCH(D231,Roster!$A$6:$A$108,0))</x:f>
        <x:v>No</x:v>
      </x:c>
      <x:c r="G231" s="14" t="n">
        <x:f>INDEX(Inputs!$B$7:$D$7,1,MATCH(A231,Inputs!$B$6:$D$6,0))</x:f>
        <x:v>13</x:v>
      </x:c>
      <x:c r="H231" s="14" t="n">
        <x:f>MIN(=INDEX(Inputs!$B$7:$D$7,1,MATCH(A231,Inputs!$B$6:$D$6,0)),MAX(0,INDEX(Inputs!$B$14:$D$14,1,MATCH(A231,Inputs!$B$6:$D$6,0))-(C231-1)*=INDEX(Inputs!$B$7:$D$7,1,MATCH(A231,Inputs!$B$6:$D$6,0))))</x:f>
        <x:v>13</x:v>
      </x:c>
      <x:c r="I231" s="20" t="n">
        <x:f>INDEX(Inputs!$B$8:$D$8,1,MATCH(A231,Inputs!$B$6:$D$6,0))</x:f>
        <x:v>2395</x:v>
      </x:c>
      <x:c r="J231" s="20" t="n">
        <x:f>INDEX(Roster!$C$6:$C$108,MATCH(D231,Roster!$A$6:$A$108,0))*(1+INDEX(Inputs!$B$9:$D$9,1,MATCH(A231,Inputs!$B$6:$D$6,0)))</x:f>
        <x:v>75</x:v>
      </x:c>
      <x:c r="K231" s="20" t="n">
        <x:f>IF(=INDEX(Roster!$F$6:$F$108,MATCH(D231,Roster!$A$6:$A$108,0))="Yes",0,=INDEX(Inputs!$B$8:$D$8,1,MATCH(A231,Inputs!$B$6:$D$6,0))*IF(=INDEX(Roster!$B$6:$B$108,MATCH(D231,Roster!$A$6:$A$108,0))="Principal",INDEX(Inputs!$B$10:$D$10,1,MATCH(A231,Inputs!$B$6:$D$6,0)),IF(=INDEX(Roster!$B$6:$B$108,MATCH(D231,Roster!$A$6:$A$108,0))="Associate Principal",INDEX(Inputs!$B$11:$D$11,1,MATCH(A231,Inputs!$B$6:$D$6,0)),IF(=INDEX(Roster!$B$6:$B$108,MATCH(D231,Roster!$A$6:$A$108,0))="Assistant Principal",INDEX(Inputs!$B$12:$D$12,1,MATCH(A231,Inputs!$B$6:$D$6,0)),0))))</x:f>
        <x:v>0</x:v>
      </x:c>
      <x:c r="L231" s="20" t="n">
        <x:f>IF(INDEX(Roster!$D$6:$D$108,MATCH(D231,Roster!$A$6:$A$108,0))&gt;=25,INDEX(Inputs!$B$19:$D$19,1,MATCH(A231,Inputs!$B$6:$D$6,0)),IF(INDEX(Roster!$D$6:$D$108,MATCH(D231,Roster!$A$6:$A$108,0))&gt;=20,INDEX(Inputs!$B$18:$D$18,1,MATCH(A231,Inputs!$B$6:$D$6,0)),IF(INDEX(Roster!$D$6:$D$108,MATCH(D231,Roster!$A$6:$A$108,0))&gt;=15,INDEX(Inputs!$B$17:$D$17,1,MATCH(A231,Inputs!$B$6:$D$6,0)),IF(INDEX(Roster!$D$6:$D$108,MATCH(D231,Roster!$A$6:$A$108,0))&gt;=10,INDEX(Inputs!$B$16:$D$16,1,MATCH(A231,Inputs!$B$6:$D$6,0)),IF(INDEX(Roster!$D$6:$D$108,MATCH(D231,Roster!$A$6:$A$108,0))&gt;=5,INDEX(Inputs!$B$15:$D$15,1,MATCH(A231,Inputs!$B$6:$D$6,0)),0)))))</x:f>
        <x:v>80</x:v>
      </x:c>
      <x:c r="M231" s="20" t="n">
        <x:f>G231*I231</x:f>
        <x:v>31135</x:v>
      </x:c>
      <x:c r="N231" s="20" t="n">
        <x:f>G231*J231</x:f>
        <x:v>975</x:v>
      </x:c>
      <x:c r="O231" s="20" t="n">
        <x:f>G231*K231</x:f>
        <x:v>0</x:v>
      </x:c>
      <x:c r="P231" s="20" t="n">
        <x:f>G231*L231</x:f>
        <x:v>1040</x:v>
      </x:c>
      <x:c r="Q231" s="20" t="n">
        <x:f>H231*INDEX(Inputs!$B$13:$D$13,1,MATCH(A231,Inputs!$B$6:$D$6,0))</x:f>
        <x:v>390</x:v>
      </x:c>
      <x:c r="R231" s="20" t="n">
        <x:f>SUM(M231:Q231)</x:f>
        <x:v>33540</x:v>
      </x:c>
      <x:c r="S231" s="20" t="n">
        <x:f>IF(AND(A230=A231,D230=D231),S230+R231,R231)</x:f>
        <x:v>67080</x:v>
      </x:c>
      <x:c r="T231" s="20" t="n">
        <x:f>MIN(S231,INDEX(Inputs!$B$20:$D$20,1,MATCH(A231,Inputs!$B$6:$D$6,0)))*INDEX(Inputs!$B$22:$D$22,1,MATCH(A231,Inputs!$B$6:$D$6,0))+MAX(MIN(S231,INDEX(Inputs!$B$21:$D$21,1,MATCH(A231,Inputs!$B$6:$D$6,0)))-INDEX(Inputs!$B$20:$D$20,1,MATCH(A231,Inputs!$B$6:$D$6,0)),0)*INDEX(Inputs!$B$23:$D$23,1,MATCH(A231,Inputs!$B$6:$D$6,0))+MAX(S231-INDEX(Inputs!$B$21:$D$21,1,MATCH(A231,Inputs!$B$6:$D$6,0)),0)*INDEX(Inputs!$B$24:$D$24,1,MATCH(A231,Inputs!$B$6:$D$6,0))</x:f>
        <x:v>5621.62</x:v>
      </x:c>
      <x:c r="U231" s="20" t="n">
        <x:f>IF(AND(A230=A231,D230=D231),T230,0)</x:f>
        <x:v>3055.81</x:v>
      </x:c>
      <x:c r="V231" s="20" t="n">
        <x:f>T231-U231</x:f>
        <x:v>2565.81</x:v>
      </x:c>
      <x:c r="W231" s="20" t="n">
        <x:f>R231+V231</x:f>
        <x:v>36105.81</x:v>
      </x:c>
      <x:c r="X231" s="14" t="str">
        <x:f>IF(ABS(W231-SUM(M231:Q231)-V231)&lt;0.01,"OK","Check")</x:f>
        <x:v>OK</x:v>
      </x:c>
    </x:row>
    <x:row r="232">
      <x:c r="A232" s="14" t="n">
        <x:v>2026</x:v>
      </x:c>
      <x:c r="B232" s="14" t="str">
        <x:v>Q3</x:v>
      </x:c>
      <x:c r="C232" s="14" t="n">
        <x:v>3</x:v>
      </x:c>
      <x:c r="D232" s="14" t="n">
        <x:v>57</x:v>
      </x:c>
      <x:c r="E232" s="14" t="str">
        <x:f>INDEX(Roster!$B$6:$B$108,MATCH(D232,Roster!$A$6:$A$108,0))</x:f>
      </x:c>
      <x:c r="F232" s="14" t="str">
        <x:f>INDEX(Roster!$F$6:$F$108,MATCH(D232,Roster!$A$6:$A$108,0))</x:f>
        <x:v>No</x:v>
      </x:c>
      <x:c r="G232" s="14" t="n">
        <x:f>INDEX(Inputs!$B$7:$D$7,1,MATCH(A232,Inputs!$B$6:$D$6,0))</x:f>
        <x:v>13</x:v>
      </x:c>
      <x:c r="H232" s="14" t="n">
        <x:f>MIN(=INDEX(Inputs!$B$7:$D$7,1,MATCH(A232,Inputs!$B$6:$D$6,0)),MAX(0,INDEX(Inputs!$B$14:$D$14,1,MATCH(A232,Inputs!$B$6:$D$6,0))-(C232-1)*=INDEX(Inputs!$B$7:$D$7,1,MATCH(A232,Inputs!$B$6:$D$6,0))))</x:f>
        <x:v>13</x:v>
      </x:c>
      <x:c r="I232" s="20" t="n">
        <x:f>INDEX(Inputs!$B$8:$D$8,1,MATCH(A232,Inputs!$B$6:$D$6,0))</x:f>
        <x:v>2395</x:v>
      </x:c>
      <x:c r="J232" s="20" t="n">
        <x:f>INDEX(Roster!$C$6:$C$108,MATCH(D232,Roster!$A$6:$A$108,0))*(1+INDEX(Inputs!$B$9:$D$9,1,MATCH(A232,Inputs!$B$6:$D$6,0)))</x:f>
        <x:v>75</x:v>
      </x:c>
      <x:c r="K232" s="20" t="n">
        <x:f>IF(=INDEX(Roster!$F$6:$F$108,MATCH(D232,Roster!$A$6:$A$108,0))="Yes",0,=INDEX(Inputs!$B$8:$D$8,1,MATCH(A232,Inputs!$B$6:$D$6,0))*IF(=INDEX(Roster!$B$6:$B$108,MATCH(D232,Roster!$A$6:$A$108,0))="Principal",INDEX(Inputs!$B$10:$D$10,1,MATCH(A232,Inputs!$B$6:$D$6,0)),IF(=INDEX(Roster!$B$6:$B$108,MATCH(D232,Roster!$A$6:$A$108,0))="Associate Principal",INDEX(Inputs!$B$11:$D$11,1,MATCH(A232,Inputs!$B$6:$D$6,0)),IF(=INDEX(Roster!$B$6:$B$108,MATCH(D232,Roster!$A$6:$A$108,0))="Assistant Principal",INDEX(Inputs!$B$12:$D$12,1,MATCH(A232,Inputs!$B$6:$D$6,0)),0))))</x:f>
        <x:v>0</x:v>
      </x:c>
      <x:c r="L232" s="20" t="n">
        <x:f>IF(INDEX(Roster!$D$6:$D$108,MATCH(D232,Roster!$A$6:$A$108,0))&gt;=25,INDEX(Inputs!$B$19:$D$19,1,MATCH(A232,Inputs!$B$6:$D$6,0)),IF(INDEX(Roster!$D$6:$D$108,MATCH(D232,Roster!$A$6:$A$108,0))&gt;=20,INDEX(Inputs!$B$18:$D$18,1,MATCH(A232,Inputs!$B$6:$D$6,0)),IF(INDEX(Roster!$D$6:$D$108,MATCH(D232,Roster!$A$6:$A$108,0))&gt;=15,INDEX(Inputs!$B$17:$D$17,1,MATCH(A232,Inputs!$B$6:$D$6,0)),IF(INDEX(Roster!$D$6:$D$108,MATCH(D232,Roster!$A$6:$A$108,0))&gt;=10,INDEX(Inputs!$B$16:$D$16,1,MATCH(A232,Inputs!$B$6:$D$6,0)),IF(INDEX(Roster!$D$6:$D$108,MATCH(D232,Roster!$A$6:$A$108,0))&gt;=5,INDEX(Inputs!$B$15:$D$15,1,MATCH(A232,Inputs!$B$6:$D$6,0)),0)))))</x:f>
        <x:v>80</x:v>
      </x:c>
      <x:c r="M232" s="20" t="n">
        <x:f>G232*I232</x:f>
        <x:v>31135</x:v>
      </x:c>
      <x:c r="N232" s="20" t="n">
        <x:f>G232*J232</x:f>
        <x:v>975</x:v>
      </x:c>
      <x:c r="O232" s="20" t="n">
        <x:f>G232*K232</x:f>
        <x:v>0</x:v>
      </x:c>
      <x:c r="P232" s="20" t="n">
        <x:f>G232*L232</x:f>
        <x:v>1040</x:v>
      </x:c>
      <x:c r="Q232" s="20" t="n">
        <x:f>H232*INDEX(Inputs!$B$13:$D$13,1,MATCH(A232,Inputs!$B$6:$D$6,0))</x:f>
        <x:v>390</x:v>
      </x:c>
      <x:c r="R232" s="20" t="n">
        <x:f>SUM(M232:Q232)</x:f>
        <x:v>33540</x:v>
      </x:c>
      <x:c r="S232" s="20" t="n">
        <x:f>IF(AND(A231=A232,D231=D232),S231+R232,R232)</x:f>
        <x:v>100620</x:v>
      </x:c>
      <x:c r="T232" s="20" t="n">
        <x:f>MIN(S232,INDEX(Inputs!$B$20:$D$20,1,MATCH(A232,Inputs!$B$6:$D$6,0)))*INDEX(Inputs!$B$22:$D$22,1,MATCH(A232,Inputs!$B$6:$D$6,0))+MAX(MIN(S232,INDEX(Inputs!$B$21:$D$21,1,MATCH(A232,Inputs!$B$6:$D$6,0)))-INDEX(Inputs!$B$20:$D$20,1,MATCH(A232,Inputs!$B$6:$D$6,0)),0)*INDEX(Inputs!$B$23:$D$23,1,MATCH(A232,Inputs!$B$6:$D$6,0))+MAX(S232-INDEX(Inputs!$B$21:$D$21,1,MATCH(A232,Inputs!$B$6:$D$6,0)),0)*INDEX(Inputs!$B$24:$D$24,1,MATCH(A232,Inputs!$B$6:$D$6,0))</x:f>
        <x:v>8187.43</x:v>
      </x:c>
      <x:c r="U232" s="20" t="n">
        <x:f>IF(AND(A231=A232,D231=D232),T231,0)</x:f>
        <x:v>5621.62</x:v>
      </x:c>
      <x:c r="V232" s="20" t="n">
        <x:f>T232-U232</x:f>
        <x:v>2565.8100000000004</x:v>
      </x:c>
      <x:c r="W232" s="20" t="n">
        <x:f>R232+V232</x:f>
        <x:v>36105.81</x:v>
      </x:c>
      <x:c r="X232" s="14" t="str">
        <x:f>IF(ABS(W232-SUM(M232:Q232)-V232)&lt;0.01,"OK","Check")</x:f>
        <x:v>OK</x:v>
      </x:c>
    </x:row>
    <x:row r="233">
      <x:c r="A233" s="14" t="n">
        <x:v>2026</x:v>
      </x:c>
      <x:c r="B233" s="14" t="str">
        <x:v>Q4</x:v>
      </x:c>
      <x:c r="C233" s="14" t="n">
        <x:v>4</x:v>
      </x:c>
      <x:c r="D233" s="14" t="n">
        <x:v>57</x:v>
      </x:c>
      <x:c r="E233" s="14" t="str">
        <x:f>INDEX(Roster!$B$6:$B$108,MATCH(D233,Roster!$A$6:$A$108,0))</x:f>
      </x:c>
      <x:c r="F233" s="14" t="str">
        <x:f>INDEX(Roster!$F$6:$F$108,MATCH(D233,Roster!$A$6:$A$108,0))</x:f>
        <x:v>No</x:v>
      </x:c>
      <x:c r="G233" s="14" t="n">
        <x:f>INDEX(Inputs!$B$7:$D$7,1,MATCH(A233,Inputs!$B$6:$D$6,0))</x:f>
        <x:v>13</x:v>
      </x:c>
      <x:c r="H233" s="14" t="n">
        <x:f>MIN(=INDEX(Inputs!$B$7:$D$7,1,MATCH(A233,Inputs!$B$6:$D$6,0)),MAX(0,INDEX(Inputs!$B$14:$D$14,1,MATCH(A233,Inputs!$B$6:$D$6,0))-(C233-1)*=INDEX(Inputs!$B$7:$D$7,1,MATCH(A233,Inputs!$B$6:$D$6,0))))</x:f>
        <x:v>0</x:v>
      </x:c>
      <x:c r="I233" s="20" t="n">
        <x:f>INDEX(Inputs!$B$8:$D$8,1,MATCH(A233,Inputs!$B$6:$D$6,0))</x:f>
        <x:v>2395</x:v>
      </x:c>
      <x:c r="J233" s="20" t="n">
        <x:f>INDEX(Roster!$C$6:$C$108,MATCH(D233,Roster!$A$6:$A$108,0))*(1+INDEX(Inputs!$B$9:$D$9,1,MATCH(A233,Inputs!$B$6:$D$6,0)))</x:f>
        <x:v>75</x:v>
      </x:c>
      <x:c r="K233" s="20" t="n">
        <x:f>IF(=INDEX(Roster!$F$6:$F$108,MATCH(D233,Roster!$A$6:$A$108,0))="Yes",0,=INDEX(Inputs!$B$8:$D$8,1,MATCH(A233,Inputs!$B$6:$D$6,0))*IF(=INDEX(Roster!$B$6:$B$108,MATCH(D233,Roster!$A$6:$A$108,0))="Principal",INDEX(Inputs!$B$10:$D$10,1,MATCH(A233,Inputs!$B$6:$D$6,0)),IF(=INDEX(Roster!$B$6:$B$108,MATCH(D233,Roster!$A$6:$A$108,0))="Associate Principal",INDEX(Inputs!$B$11:$D$11,1,MATCH(A233,Inputs!$B$6:$D$6,0)),IF(=INDEX(Roster!$B$6:$B$108,MATCH(D233,Roster!$A$6:$A$108,0))="Assistant Principal",INDEX(Inputs!$B$12:$D$12,1,MATCH(A233,Inputs!$B$6:$D$6,0)),0))))</x:f>
        <x:v>0</x:v>
      </x:c>
      <x:c r="L233" s="20" t="n">
        <x:f>IF(INDEX(Roster!$D$6:$D$108,MATCH(D233,Roster!$A$6:$A$108,0))&gt;=25,INDEX(Inputs!$B$19:$D$19,1,MATCH(A233,Inputs!$B$6:$D$6,0)),IF(INDEX(Roster!$D$6:$D$108,MATCH(D233,Roster!$A$6:$A$108,0))&gt;=20,INDEX(Inputs!$B$18:$D$18,1,MATCH(A233,Inputs!$B$6:$D$6,0)),IF(INDEX(Roster!$D$6:$D$108,MATCH(D233,Roster!$A$6:$A$108,0))&gt;=15,INDEX(Inputs!$B$17:$D$17,1,MATCH(A233,Inputs!$B$6:$D$6,0)),IF(INDEX(Roster!$D$6:$D$108,MATCH(D233,Roster!$A$6:$A$108,0))&gt;=10,INDEX(Inputs!$B$16:$D$16,1,MATCH(A233,Inputs!$B$6:$D$6,0)),IF(INDEX(Roster!$D$6:$D$108,MATCH(D233,Roster!$A$6:$A$108,0))&gt;=5,INDEX(Inputs!$B$15:$D$15,1,MATCH(A233,Inputs!$B$6:$D$6,0)),0)))))</x:f>
        <x:v>80</x:v>
      </x:c>
      <x:c r="M233" s="20" t="n">
        <x:f>G233*I233</x:f>
        <x:v>31135</x:v>
      </x:c>
      <x:c r="N233" s="20" t="n">
        <x:f>G233*J233</x:f>
        <x:v>975</x:v>
      </x:c>
      <x:c r="O233" s="20" t="n">
        <x:f>G233*K233</x:f>
        <x:v>0</x:v>
      </x:c>
      <x:c r="P233" s="20" t="n">
        <x:f>G233*L233</x:f>
        <x:v>1040</x:v>
      </x:c>
      <x:c r="Q233" s="20" t="n">
        <x:f>H233*INDEX(Inputs!$B$13:$D$13,1,MATCH(A233,Inputs!$B$6:$D$6,0))</x:f>
        <x:v>0</x:v>
      </x:c>
      <x:c r="R233" s="20" t="n">
        <x:f>SUM(M233:Q233)</x:f>
        <x:v>33150</x:v>
      </x:c>
      <x:c r="S233" s="20" t="n">
        <x:f>IF(AND(A232=A233,D232=D233),S232+R233,R233)</x:f>
        <x:v>133770</x:v>
      </x:c>
      <x:c r="T233" s="20" t="n">
        <x:f>MIN(S233,INDEX(Inputs!$B$20:$D$20,1,MATCH(A233,Inputs!$B$6:$D$6,0)))*INDEX(Inputs!$B$22:$D$22,1,MATCH(A233,Inputs!$B$6:$D$6,0))+MAX(MIN(S233,INDEX(Inputs!$B$21:$D$21,1,MATCH(A233,Inputs!$B$6:$D$6,0)))-INDEX(Inputs!$B$20:$D$20,1,MATCH(A233,Inputs!$B$6:$D$6,0)),0)*INDEX(Inputs!$B$23:$D$23,1,MATCH(A233,Inputs!$B$6:$D$6,0))+MAX(S233-INDEX(Inputs!$B$21:$D$21,1,MATCH(A233,Inputs!$B$6:$D$6,0)),0)*INDEX(Inputs!$B$24:$D$24,1,MATCH(A233,Inputs!$B$6:$D$6,0))</x:f>
        <x:v>9853.607</x:v>
      </x:c>
      <x:c r="U233" s="20" t="n">
        <x:f>IF(AND(A232=A233,D232=D233),T232,0)</x:f>
        <x:v>8187.43</x:v>
      </x:c>
      <x:c r="V233" s="20" t="n">
        <x:f>T233-U233</x:f>
        <x:v>1666.1769999999997</x:v>
      </x:c>
      <x:c r="W233" s="20" t="n">
        <x:f>R233+V233</x:f>
        <x:v>34816.176999999996</x:v>
      </x:c>
      <x:c r="X233" s="14" t="str">
        <x:f>IF(ABS(W233-SUM(M233:Q233)-V233)&lt;0.01,"OK","Check")</x:f>
        <x:v>OK</x:v>
      </x:c>
    </x:row>
    <x:row r="234">
      <x:c r="A234" s="14" t="n">
        <x:v>2026</x:v>
      </x:c>
      <x:c r="B234" s="14" t="str">
        <x:v>Q1</x:v>
      </x:c>
      <x:c r="C234" s="14" t="n">
        <x:v>1</x:v>
      </x:c>
      <x:c r="D234" s="14" t="n">
        <x:v>58</x:v>
      </x:c>
      <x:c r="E234" s="14" t="str">
        <x:f>INDEX(Roster!$B$6:$B$108,MATCH(D234,Roster!$A$6:$A$108,0))</x:f>
      </x:c>
      <x:c r="F234" s="14" t="str">
        <x:f>INDEX(Roster!$F$6:$F$108,MATCH(D234,Roster!$A$6:$A$108,0))</x:f>
        <x:v>No</x:v>
      </x:c>
      <x:c r="G234" s="14" t="n">
        <x:f>INDEX(Inputs!$B$7:$D$7,1,MATCH(A234,Inputs!$B$6:$D$6,0))</x:f>
        <x:v>13</x:v>
      </x:c>
      <x:c r="H234" s="14" t="n">
        <x:f>MIN(=INDEX(Inputs!$B$7:$D$7,1,MATCH(A234,Inputs!$B$6:$D$6,0)),MAX(0,INDEX(Inputs!$B$14:$D$14,1,MATCH(A234,Inputs!$B$6:$D$6,0))-(C234-1)*=INDEX(Inputs!$B$7:$D$7,1,MATCH(A234,Inputs!$B$6:$D$6,0))))</x:f>
        <x:v>13</x:v>
      </x:c>
      <x:c r="I234" s="20" t="n">
        <x:f>INDEX(Inputs!$B$8:$D$8,1,MATCH(A234,Inputs!$B$6:$D$6,0))</x:f>
        <x:v>2395</x:v>
      </x:c>
      <x:c r="J234" s="20" t="n">
        <x:f>INDEX(Roster!$C$6:$C$108,MATCH(D234,Roster!$A$6:$A$108,0))*(1+INDEX(Inputs!$B$9:$D$9,1,MATCH(A234,Inputs!$B$6:$D$6,0)))</x:f>
        <x:v>20</x:v>
      </x:c>
      <x:c r="K234" s="20" t="n">
        <x:f>IF(=INDEX(Roster!$F$6:$F$108,MATCH(D234,Roster!$A$6:$A$108,0))="Yes",0,=INDEX(Inputs!$B$8:$D$8,1,MATCH(A234,Inputs!$B$6:$D$6,0))*IF(=INDEX(Roster!$B$6:$B$108,MATCH(D234,Roster!$A$6:$A$108,0))="Principal",INDEX(Inputs!$B$10:$D$10,1,MATCH(A234,Inputs!$B$6:$D$6,0)),IF(=INDEX(Roster!$B$6:$B$108,MATCH(D234,Roster!$A$6:$A$108,0))="Associate Principal",INDEX(Inputs!$B$11:$D$11,1,MATCH(A234,Inputs!$B$6:$D$6,0)),IF(=INDEX(Roster!$B$6:$B$108,MATCH(D234,Roster!$A$6:$A$108,0))="Assistant Principal",INDEX(Inputs!$B$12:$D$12,1,MATCH(A234,Inputs!$B$6:$D$6,0)),0))))</x:f>
        <x:v>0</x:v>
      </x:c>
      <x:c r="L234" s="20" t="n">
        <x:f>IF(INDEX(Roster!$D$6:$D$108,MATCH(D234,Roster!$A$6:$A$108,0))&gt;=25,INDEX(Inputs!$B$19:$D$19,1,MATCH(A234,Inputs!$B$6:$D$6,0)),IF(INDEX(Roster!$D$6:$D$108,MATCH(D234,Roster!$A$6:$A$108,0))&gt;=20,INDEX(Inputs!$B$18:$D$18,1,MATCH(A234,Inputs!$B$6:$D$6,0)),IF(INDEX(Roster!$D$6:$D$108,MATCH(D234,Roster!$A$6:$A$108,0))&gt;=15,INDEX(Inputs!$B$17:$D$17,1,MATCH(A234,Inputs!$B$6:$D$6,0)),IF(INDEX(Roster!$D$6:$D$108,MATCH(D234,Roster!$A$6:$A$108,0))&gt;=10,INDEX(Inputs!$B$16:$D$16,1,MATCH(A234,Inputs!$B$6:$D$6,0)),IF(INDEX(Roster!$D$6:$D$108,MATCH(D234,Roster!$A$6:$A$108,0))&gt;=5,INDEX(Inputs!$B$15:$D$15,1,MATCH(A234,Inputs!$B$6:$D$6,0)),0)))))</x:f>
        <x:v>60</x:v>
      </x:c>
      <x:c r="M234" s="20" t="n">
        <x:f>G234*I234</x:f>
        <x:v>31135</x:v>
      </x:c>
      <x:c r="N234" s="20" t="n">
        <x:f>G234*J234</x:f>
        <x:v>260</x:v>
      </x:c>
      <x:c r="O234" s="20" t="n">
        <x:f>G234*K234</x:f>
        <x:v>0</x:v>
      </x:c>
      <x:c r="P234" s="20" t="n">
        <x:f>G234*L234</x:f>
        <x:v>780</x:v>
      </x:c>
      <x:c r="Q234" s="20" t="n">
        <x:f>H234*INDEX(Inputs!$B$13:$D$13,1,MATCH(A234,Inputs!$B$6:$D$6,0))</x:f>
        <x:v>390</x:v>
      </x:c>
      <x:c r="R234" s="20" t="n">
        <x:f>SUM(M234:Q234)</x:f>
        <x:v>32565</x:v>
      </x:c>
      <x:c r="S234" s="20" t="n">
        <x:f>IF(AND(A233=A234,D233=D234),S233+R234,R234)</x:f>
        <x:v>32565</x:v>
      </x:c>
      <x:c r="T234" s="20" t="n">
        <x:f>MIN(S234,INDEX(Inputs!$B$20:$D$20,1,MATCH(A234,Inputs!$B$6:$D$6,0)))*INDEX(Inputs!$B$22:$D$22,1,MATCH(A234,Inputs!$B$6:$D$6,0))+MAX(MIN(S234,INDEX(Inputs!$B$21:$D$21,1,MATCH(A234,Inputs!$B$6:$D$6,0)))-INDEX(Inputs!$B$20:$D$20,1,MATCH(A234,Inputs!$B$6:$D$6,0)),0)*INDEX(Inputs!$B$23:$D$23,1,MATCH(A234,Inputs!$B$6:$D$6,0))+MAX(S234-INDEX(Inputs!$B$21:$D$21,1,MATCH(A234,Inputs!$B$6:$D$6,0)),0)*INDEX(Inputs!$B$24:$D$24,1,MATCH(A234,Inputs!$B$6:$D$6,0))</x:f>
        <x:v>2981.2225</x:v>
      </x:c>
      <x:c r="U234" s="20" t="n">
        <x:f>IF(AND(A233=A234,D233=D234),T233,0)</x:f>
        <x:v>0</x:v>
      </x:c>
      <x:c r="V234" s="20" t="n">
        <x:f>T234-U234</x:f>
        <x:v>2981.2225</x:v>
      </x:c>
      <x:c r="W234" s="20" t="n">
        <x:f>R234+V234</x:f>
        <x:v>35546.2225</x:v>
      </x:c>
      <x:c r="X234" s="14" t="str">
        <x:f>IF(ABS(W234-SUM(M234:Q234)-V234)&lt;0.01,"OK","Check")</x:f>
        <x:v>OK</x:v>
      </x:c>
    </x:row>
    <x:row r="235">
      <x:c r="A235" s="14" t="n">
        <x:v>2026</x:v>
      </x:c>
      <x:c r="B235" s="14" t="str">
        <x:v>Q2</x:v>
      </x:c>
      <x:c r="C235" s="14" t="n">
        <x:v>2</x:v>
      </x:c>
      <x:c r="D235" s="14" t="n">
        <x:v>58</x:v>
      </x:c>
      <x:c r="E235" s="14" t="str">
        <x:f>INDEX(Roster!$B$6:$B$108,MATCH(D235,Roster!$A$6:$A$108,0))</x:f>
      </x:c>
      <x:c r="F235" s="14" t="str">
        <x:f>INDEX(Roster!$F$6:$F$108,MATCH(D235,Roster!$A$6:$A$108,0))</x:f>
        <x:v>No</x:v>
      </x:c>
      <x:c r="G235" s="14" t="n">
        <x:f>INDEX(Inputs!$B$7:$D$7,1,MATCH(A235,Inputs!$B$6:$D$6,0))</x:f>
        <x:v>13</x:v>
      </x:c>
      <x:c r="H235" s="14" t="n">
        <x:f>MIN(=INDEX(Inputs!$B$7:$D$7,1,MATCH(A235,Inputs!$B$6:$D$6,0)),MAX(0,INDEX(Inputs!$B$14:$D$14,1,MATCH(A235,Inputs!$B$6:$D$6,0))-(C235-1)*=INDEX(Inputs!$B$7:$D$7,1,MATCH(A235,Inputs!$B$6:$D$6,0))))</x:f>
        <x:v>13</x:v>
      </x:c>
      <x:c r="I235" s="20" t="n">
        <x:f>INDEX(Inputs!$B$8:$D$8,1,MATCH(A235,Inputs!$B$6:$D$6,0))</x:f>
        <x:v>2395</x:v>
      </x:c>
      <x:c r="J235" s="20" t="n">
        <x:f>INDEX(Roster!$C$6:$C$108,MATCH(D235,Roster!$A$6:$A$108,0))*(1+INDEX(Inputs!$B$9:$D$9,1,MATCH(A235,Inputs!$B$6:$D$6,0)))</x:f>
        <x:v>20</x:v>
      </x:c>
      <x:c r="K235" s="20" t="n">
        <x:f>IF(=INDEX(Roster!$F$6:$F$108,MATCH(D235,Roster!$A$6:$A$108,0))="Yes",0,=INDEX(Inputs!$B$8:$D$8,1,MATCH(A235,Inputs!$B$6:$D$6,0))*IF(=INDEX(Roster!$B$6:$B$108,MATCH(D235,Roster!$A$6:$A$108,0))="Principal",INDEX(Inputs!$B$10:$D$10,1,MATCH(A235,Inputs!$B$6:$D$6,0)),IF(=INDEX(Roster!$B$6:$B$108,MATCH(D235,Roster!$A$6:$A$108,0))="Associate Principal",INDEX(Inputs!$B$11:$D$11,1,MATCH(A235,Inputs!$B$6:$D$6,0)),IF(=INDEX(Roster!$B$6:$B$108,MATCH(D235,Roster!$A$6:$A$108,0))="Assistant Principal",INDEX(Inputs!$B$12:$D$12,1,MATCH(A235,Inputs!$B$6:$D$6,0)),0))))</x:f>
        <x:v>0</x:v>
      </x:c>
      <x:c r="L235" s="20" t="n">
        <x:f>IF(INDEX(Roster!$D$6:$D$108,MATCH(D235,Roster!$A$6:$A$108,0))&gt;=25,INDEX(Inputs!$B$19:$D$19,1,MATCH(A235,Inputs!$B$6:$D$6,0)),IF(INDEX(Roster!$D$6:$D$108,MATCH(D235,Roster!$A$6:$A$108,0))&gt;=20,INDEX(Inputs!$B$18:$D$18,1,MATCH(A235,Inputs!$B$6:$D$6,0)),IF(INDEX(Roster!$D$6:$D$108,MATCH(D235,Roster!$A$6:$A$108,0))&gt;=15,INDEX(Inputs!$B$17:$D$17,1,MATCH(A235,Inputs!$B$6:$D$6,0)),IF(INDEX(Roster!$D$6:$D$108,MATCH(D235,Roster!$A$6:$A$108,0))&gt;=10,INDEX(Inputs!$B$16:$D$16,1,MATCH(A235,Inputs!$B$6:$D$6,0)),IF(INDEX(Roster!$D$6:$D$108,MATCH(D235,Roster!$A$6:$A$108,0))&gt;=5,INDEX(Inputs!$B$15:$D$15,1,MATCH(A235,Inputs!$B$6:$D$6,0)),0)))))</x:f>
        <x:v>60</x:v>
      </x:c>
      <x:c r="M235" s="20" t="n">
        <x:f>G235*I235</x:f>
        <x:v>31135</x:v>
      </x:c>
      <x:c r="N235" s="20" t="n">
        <x:f>G235*J235</x:f>
        <x:v>260</x:v>
      </x:c>
      <x:c r="O235" s="20" t="n">
        <x:f>G235*K235</x:f>
        <x:v>0</x:v>
      </x:c>
      <x:c r="P235" s="20" t="n">
        <x:f>G235*L235</x:f>
        <x:v>780</x:v>
      </x:c>
      <x:c r="Q235" s="20" t="n">
        <x:f>H235*INDEX(Inputs!$B$13:$D$13,1,MATCH(A235,Inputs!$B$6:$D$6,0))</x:f>
        <x:v>390</x:v>
      </x:c>
      <x:c r="R235" s="20" t="n">
        <x:f>SUM(M235:Q235)</x:f>
        <x:v>32565</x:v>
      </x:c>
      <x:c r="S235" s="20" t="n">
        <x:f>IF(AND(A234=A235,D234=D235),S234+R235,R235)</x:f>
        <x:v>65130</x:v>
      </x:c>
      <x:c r="T235" s="20" t="n">
        <x:f>MIN(S235,INDEX(Inputs!$B$20:$D$20,1,MATCH(A235,Inputs!$B$6:$D$6,0)))*INDEX(Inputs!$B$22:$D$22,1,MATCH(A235,Inputs!$B$6:$D$6,0))+MAX(MIN(S235,INDEX(Inputs!$B$21:$D$21,1,MATCH(A235,Inputs!$B$6:$D$6,0)))-INDEX(Inputs!$B$20:$D$20,1,MATCH(A235,Inputs!$B$6:$D$6,0)),0)*INDEX(Inputs!$B$23:$D$23,1,MATCH(A235,Inputs!$B$6:$D$6,0))+MAX(S235-INDEX(Inputs!$B$21:$D$21,1,MATCH(A235,Inputs!$B$6:$D$6,0)),0)*INDEX(Inputs!$B$24:$D$24,1,MATCH(A235,Inputs!$B$6:$D$6,0))</x:f>
        <x:v>5472.445</x:v>
      </x:c>
      <x:c r="U235" s="20" t="n">
        <x:f>IF(AND(A234=A235,D234=D235),T234,0)</x:f>
        <x:v>2981.2225</x:v>
      </x:c>
      <x:c r="V235" s="20" t="n">
        <x:f>T235-U235</x:f>
        <x:v>2491.2225</x:v>
      </x:c>
      <x:c r="W235" s="20" t="n">
        <x:f>R235+V235</x:f>
        <x:v>35056.2225</x:v>
      </x:c>
      <x:c r="X235" s="14" t="str">
        <x:f>IF(ABS(W235-SUM(M235:Q235)-V235)&lt;0.01,"OK","Check")</x:f>
        <x:v>OK</x:v>
      </x:c>
    </x:row>
    <x:row r="236">
      <x:c r="A236" s="14" t="n">
        <x:v>2026</x:v>
      </x:c>
      <x:c r="B236" s="14" t="str">
        <x:v>Q3</x:v>
      </x:c>
      <x:c r="C236" s="14" t="n">
        <x:v>3</x:v>
      </x:c>
      <x:c r="D236" s="14" t="n">
        <x:v>58</x:v>
      </x:c>
      <x:c r="E236" s="14" t="str">
        <x:f>INDEX(Roster!$B$6:$B$108,MATCH(D236,Roster!$A$6:$A$108,0))</x:f>
      </x:c>
      <x:c r="F236" s="14" t="str">
        <x:f>INDEX(Roster!$F$6:$F$108,MATCH(D236,Roster!$A$6:$A$108,0))</x:f>
        <x:v>No</x:v>
      </x:c>
      <x:c r="G236" s="14" t="n">
        <x:f>INDEX(Inputs!$B$7:$D$7,1,MATCH(A236,Inputs!$B$6:$D$6,0))</x:f>
        <x:v>13</x:v>
      </x:c>
      <x:c r="H236" s="14" t="n">
        <x:f>MIN(=INDEX(Inputs!$B$7:$D$7,1,MATCH(A236,Inputs!$B$6:$D$6,0)),MAX(0,INDEX(Inputs!$B$14:$D$14,1,MATCH(A236,Inputs!$B$6:$D$6,0))-(C236-1)*=INDEX(Inputs!$B$7:$D$7,1,MATCH(A236,Inputs!$B$6:$D$6,0))))</x:f>
        <x:v>13</x:v>
      </x:c>
      <x:c r="I236" s="20" t="n">
        <x:f>INDEX(Inputs!$B$8:$D$8,1,MATCH(A236,Inputs!$B$6:$D$6,0))</x:f>
        <x:v>2395</x:v>
      </x:c>
      <x:c r="J236" s="20" t="n">
        <x:f>INDEX(Roster!$C$6:$C$108,MATCH(D236,Roster!$A$6:$A$108,0))*(1+INDEX(Inputs!$B$9:$D$9,1,MATCH(A236,Inputs!$B$6:$D$6,0)))</x:f>
        <x:v>20</x:v>
      </x:c>
      <x:c r="K236" s="20" t="n">
        <x:f>IF(=INDEX(Roster!$F$6:$F$108,MATCH(D236,Roster!$A$6:$A$108,0))="Yes",0,=INDEX(Inputs!$B$8:$D$8,1,MATCH(A236,Inputs!$B$6:$D$6,0))*IF(=INDEX(Roster!$B$6:$B$108,MATCH(D236,Roster!$A$6:$A$108,0))="Principal",INDEX(Inputs!$B$10:$D$10,1,MATCH(A236,Inputs!$B$6:$D$6,0)),IF(=INDEX(Roster!$B$6:$B$108,MATCH(D236,Roster!$A$6:$A$108,0))="Associate Principal",INDEX(Inputs!$B$11:$D$11,1,MATCH(A236,Inputs!$B$6:$D$6,0)),IF(=INDEX(Roster!$B$6:$B$108,MATCH(D236,Roster!$A$6:$A$108,0))="Assistant Principal",INDEX(Inputs!$B$12:$D$12,1,MATCH(A236,Inputs!$B$6:$D$6,0)),0))))</x:f>
        <x:v>0</x:v>
      </x:c>
      <x:c r="L236" s="20" t="n">
        <x:f>IF(INDEX(Roster!$D$6:$D$108,MATCH(D236,Roster!$A$6:$A$108,0))&gt;=25,INDEX(Inputs!$B$19:$D$19,1,MATCH(A236,Inputs!$B$6:$D$6,0)),IF(INDEX(Roster!$D$6:$D$108,MATCH(D236,Roster!$A$6:$A$108,0))&gt;=20,INDEX(Inputs!$B$18:$D$18,1,MATCH(A236,Inputs!$B$6:$D$6,0)),IF(INDEX(Roster!$D$6:$D$108,MATCH(D236,Roster!$A$6:$A$108,0))&gt;=15,INDEX(Inputs!$B$17:$D$17,1,MATCH(A236,Inputs!$B$6:$D$6,0)),IF(INDEX(Roster!$D$6:$D$108,MATCH(D236,Roster!$A$6:$A$108,0))&gt;=10,INDEX(Inputs!$B$16:$D$16,1,MATCH(A236,Inputs!$B$6:$D$6,0)),IF(INDEX(Roster!$D$6:$D$108,MATCH(D236,Roster!$A$6:$A$108,0))&gt;=5,INDEX(Inputs!$B$15:$D$15,1,MATCH(A236,Inputs!$B$6:$D$6,0)),0)))))</x:f>
        <x:v>60</x:v>
      </x:c>
      <x:c r="M236" s="20" t="n">
        <x:f>G236*I236</x:f>
        <x:v>31135</x:v>
      </x:c>
      <x:c r="N236" s="20" t="n">
        <x:f>G236*J236</x:f>
        <x:v>260</x:v>
      </x:c>
      <x:c r="O236" s="20" t="n">
        <x:f>G236*K236</x:f>
        <x:v>0</x:v>
      </x:c>
      <x:c r="P236" s="20" t="n">
        <x:f>G236*L236</x:f>
        <x:v>780</x:v>
      </x:c>
      <x:c r="Q236" s="20" t="n">
        <x:f>H236*INDEX(Inputs!$B$13:$D$13,1,MATCH(A236,Inputs!$B$6:$D$6,0))</x:f>
        <x:v>390</x:v>
      </x:c>
      <x:c r="R236" s="20" t="n">
        <x:f>SUM(M236:Q236)</x:f>
        <x:v>32565</x:v>
      </x:c>
      <x:c r="S236" s="20" t="n">
        <x:f>IF(AND(A235=A236,D235=D236),S235+R236,R236)</x:f>
        <x:v>97695</x:v>
      </x:c>
      <x:c r="T236" s="20" t="n">
        <x:f>MIN(S236,INDEX(Inputs!$B$20:$D$20,1,MATCH(A236,Inputs!$B$6:$D$6,0)))*INDEX(Inputs!$B$22:$D$22,1,MATCH(A236,Inputs!$B$6:$D$6,0))+MAX(MIN(S236,INDEX(Inputs!$B$21:$D$21,1,MATCH(A236,Inputs!$B$6:$D$6,0)))-INDEX(Inputs!$B$20:$D$20,1,MATCH(A236,Inputs!$B$6:$D$6,0)),0)*INDEX(Inputs!$B$23:$D$23,1,MATCH(A236,Inputs!$B$6:$D$6,0))+MAX(S236-INDEX(Inputs!$B$21:$D$21,1,MATCH(A236,Inputs!$B$6:$D$6,0)),0)*INDEX(Inputs!$B$24:$D$24,1,MATCH(A236,Inputs!$B$6:$D$6,0))</x:f>
        <x:v>7963.6675</x:v>
      </x:c>
      <x:c r="U236" s="20" t="n">
        <x:f>IF(AND(A235=A236,D235=D236),T235,0)</x:f>
        <x:v>5472.445</x:v>
      </x:c>
      <x:c r="V236" s="20" t="n">
        <x:f>T236-U236</x:f>
        <x:v>2491.2225</x:v>
      </x:c>
      <x:c r="W236" s="20" t="n">
        <x:f>R236+V236</x:f>
        <x:v>35056.2225</x:v>
      </x:c>
      <x:c r="X236" s="14" t="str">
        <x:f>IF(ABS(W236-SUM(M236:Q236)-V236)&lt;0.01,"OK","Check")</x:f>
        <x:v>OK</x:v>
      </x:c>
    </x:row>
    <x:row r="237">
      <x:c r="A237" s="14" t="n">
        <x:v>2026</x:v>
      </x:c>
      <x:c r="B237" s="14" t="str">
        <x:v>Q4</x:v>
      </x:c>
      <x:c r="C237" s="14" t="n">
        <x:v>4</x:v>
      </x:c>
      <x:c r="D237" s="14" t="n">
        <x:v>58</x:v>
      </x:c>
      <x:c r="E237" s="14" t="str">
        <x:f>INDEX(Roster!$B$6:$B$108,MATCH(D237,Roster!$A$6:$A$108,0))</x:f>
      </x:c>
      <x:c r="F237" s="14" t="str">
        <x:f>INDEX(Roster!$F$6:$F$108,MATCH(D237,Roster!$A$6:$A$108,0))</x:f>
        <x:v>No</x:v>
      </x:c>
      <x:c r="G237" s="14" t="n">
        <x:f>INDEX(Inputs!$B$7:$D$7,1,MATCH(A237,Inputs!$B$6:$D$6,0))</x:f>
        <x:v>13</x:v>
      </x:c>
      <x:c r="H237" s="14" t="n">
        <x:f>MIN(=INDEX(Inputs!$B$7:$D$7,1,MATCH(A237,Inputs!$B$6:$D$6,0)),MAX(0,INDEX(Inputs!$B$14:$D$14,1,MATCH(A237,Inputs!$B$6:$D$6,0))-(C237-1)*=INDEX(Inputs!$B$7:$D$7,1,MATCH(A237,Inputs!$B$6:$D$6,0))))</x:f>
        <x:v>0</x:v>
      </x:c>
      <x:c r="I237" s="20" t="n">
        <x:f>INDEX(Inputs!$B$8:$D$8,1,MATCH(A237,Inputs!$B$6:$D$6,0))</x:f>
        <x:v>2395</x:v>
      </x:c>
      <x:c r="J237" s="20" t="n">
        <x:f>INDEX(Roster!$C$6:$C$108,MATCH(D237,Roster!$A$6:$A$108,0))*(1+INDEX(Inputs!$B$9:$D$9,1,MATCH(A237,Inputs!$B$6:$D$6,0)))</x:f>
        <x:v>20</x:v>
      </x:c>
      <x:c r="K237" s="20" t="n">
        <x:f>IF(=INDEX(Roster!$F$6:$F$108,MATCH(D237,Roster!$A$6:$A$108,0))="Yes",0,=INDEX(Inputs!$B$8:$D$8,1,MATCH(A237,Inputs!$B$6:$D$6,0))*IF(=INDEX(Roster!$B$6:$B$108,MATCH(D237,Roster!$A$6:$A$108,0))="Principal",INDEX(Inputs!$B$10:$D$10,1,MATCH(A237,Inputs!$B$6:$D$6,0)),IF(=INDEX(Roster!$B$6:$B$108,MATCH(D237,Roster!$A$6:$A$108,0))="Associate Principal",INDEX(Inputs!$B$11:$D$11,1,MATCH(A237,Inputs!$B$6:$D$6,0)),IF(=INDEX(Roster!$B$6:$B$108,MATCH(D237,Roster!$A$6:$A$108,0))="Assistant Principal",INDEX(Inputs!$B$12:$D$12,1,MATCH(A237,Inputs!$B$6:$D$6,0)),0))))</x:f>
        <x:v>0</x:v>
      </x:c>
      <x:c r="L237" s="20" t="n">
        <x:f>IF(INDEX(Roster!$D$6:$D$108,MATCH(D237,Roster!$A$6:$A$108,0))&gt;=25,INDEX(Inputs!$B$19:$D$19,1,MATCH(A237,Inputs!$B$6:$D$6,0)),IF(INDEX(Roster!$D$6:$D$108,MATCH(D237,Roster!$A$6:$A$108,0))&gt;=20,INDEX(Inputs!$B$18:$D$18,1,MATCH(A237,Inputs!$B$6:$D$6,0)),IF(INDEX(Roster!$D$6:$D$108,MATCH(D237,Roster!$A$6:$A$108,0))&gt;=15,INDEX(Inputs!$B$17:$D$17,1,MATCH(A237,Inputs!$B$6:$D$6,0)),IF(INDEX(Roster!$D$6:$D$108,MATCH(D237,Roster!$A$6:$A$108,0))&gt;=10,INDEX(Inputs!$B$16:$D$16,1,MATCH(A237,Inputs!$B$6:$D$6,0)),IF(INDEX(Roster!$D$6:$D$108,MATCH(D237,Roster!$A$6:$A$108,0))&gt;=5,INDEX(Inputs!$B$15:$D$15,1,MATCH(A237,Inputs!$B$6:$D$6,0)),0)))))</x:f>
        <x:v>60</x:v>
      </x:c>
      <x:c r="M237" s="20" t="n">
        <x:f>G237*I237</x:f>
        <x:v>31135</x:v>
      </x:c>
      <x:c r="N237" s="20" t="n">
        <x:f>G237*J237</x:f>
        <x:v>260</x:v>
      </x:c>
      <x:c r="O237" s="20" t="n">
        <x:f>G237*K237</x:f>
        <x:v>0</x:v>
      </x:c>
      <x:c r="P237" s="20" t="n">
        <x:f>G237*L237</x:f>
        <x:v>780</x:v>
      </x:c>
      <x:c r="Q237" s="20" t="n">
        <x:f>H237*INDEX(Inputs!$B$13:$D$13,1,MATCH(A237,Inputs!$B$6:$D$6,0))</x:f>
        <x:v>0</x:v>
      </x:c>
      <x:c r="R237" s="20" t="n">
        <x:f>SUM(M237:Q237)</x:f>
        <x:v>32175</x:v>
      </x:c>
      <x:c r="S237" s="20" t="n">
        <x:f>IF(AND(A236=A237,D236=D237),S236+R237,R237)</x:f>
        <x:v>129870</x:v>
      </x:c>
      <x:c r="T237" s="20" t="n">
        <x:f>MIN(S237,INDEX(Inputs!$B$20:$D$20,1,MATCH(A237,Inputs!$B$6:$D$6,0)))*INDEX(Inputs!$B$22:$D$22,1,MATCH(A237,Inputs!$B$6:$D$6,0))+MAX(MIN(S237,INDEX(Inputs!$B$21:$D$21,1,MATCH(A237,Inputs!$B$6:$D$6,0)))-INDEX(Inputs!$B$20:$D$20,1,MATCH(A237,Inputs!$B$6:$D$6,0)),0)*INDEX(Inputs!$B$23:$D$23,1,MATCH(A237,Inputs!$B$6:$D$6,0))+MAX(S237-INDEX(Inputs!$B$21:$D$21,1,MATCH(A237,Inputs!$B$6:$D$6,0)),0)*INDEX(Inputs!$B$24:$D$24,1,MATCH(A237,Inputs!$B$6:$D$6,0))</x:f>
        <x:v>9797.057</x:v>
      </x:c>
      <x:c r="U237" s="20" t="n">
        <x:f>IF(AND(A236=A237,D236=D237),T236,0)</x:f>
        <x:v>7963.6675</x:v>
      </x:c>
      <x:c r="V237" s="20" t="n">
        <x:f>T237-U237</x:f>
        <x:v>1833.3895000000011</x:v>
      </x:c>
      <x:c r="W237" s="20" t="n">
        <x:f>R237+V237</x:f>
        <x:v>34008.389500000005</x:v>
      </x:c>
      <x:c r="X237" s="14" t="str">
        <x:f>IF(ABS(W237-SUM(M237:Q237)-V237)&lt;0.01,"OK","Check")</x:f>
        <x:v>OK</x:v>
      </x:c>
    </x:row>
    <x:row r="238">
      <x:c r="A238" s="14" t="n">
        <x:v>2026</x:v>
      </x:c>
      <x:c r="B238" s="14" t="str">
        <x:v>Q1</x:v>
      </x:c>
      <x:c r="C238" s="14" t="n">
        <x:v>1</x:v>
      </x:c>
      <x:c r="D238" s="14" t="n">
        <x:v>59</x:v>
      </x:c>
      <x:c r="E238" s="14" t="str">
        <x:f>INDEX(Roster!$B$6:$B$108,MATCH(D238,Roster!$A$6:$A$108,0))</x:f>
      </x:c>
      <x:c r="F238" s="14" t="str">
        <x:f>INDEX(Roster!$F$6:$F$108,MATCH(D238,Roster!$A$6:$A$108,0))</x:f>
        <x:v>No</x:v>
      </x:c>
      <x:c r="G238" s="14" t="n">
        <x:f>INDEX(Inputs!$B$7:$D$7,1,MATCH(A238,Inputs!$B$6:$D$6,0))</x:f>
        <x:v>13</x:v>
      </x:c>
      <x:c r="H238" s="14" t="n">
        <x:f>MIN(=INDEX(Inputs!$B$7:$D$7,1,MATCH(A238,Inputs!$B$6:$D$6,0)),MAX(0,INDEX(Inputs!$B$14:$D$14,1,MATCH(A238,Inputs!$B$6:$D$6,0))-(C238-1)*=INDEX(Inputs!$B$7:$D$7,1,MATCH(A238,Inputs!$B$6:$D$6,0))))</x:f>
        <x:v>13</x:v>
      </x:c>
      <x:c r="I238" s="20" t="n">
        <x:f>INDEX(Inputs!$B$8:$D$8,1,MATCH(A238,Inputs!$B$6:$D$6,0))</x:f>
        <x:v>2395</x:v>
      </x:c>
      <x:c r="J238" s="20" t="n">
        <x:f>INDEX(Roster!$C$6:$C$108,MATCH(D238,Roster!$A$6:$A$108,0))*(1+INDEX(Inputs!$B$9:$D$9,1,MATCH(A238,Inputs!$B$6:$D$6,0)))</x:f>
        <x:v>40</x:v>
      </x:c>
      <x:c r="K238" s="20" t="n">
        <x:f>IF(=INDEX(Roster!$F$6:$F$108,MATCH(D238,Roster!$A$6:$A$108,0))="Yes",0,=INDEX(Inputs!$B$8:$D$8,1,MATCH(A238,Inputs!$B$6:$D$6,0))*IF(=INDEX(Roster!$B$6:$B$108,MATCH(D238,Roster!$A$6:$A$108,0))="Principal",INDEX(Inputs!$B$10:$D$10,1,MATCH(A238,Inputs!$B$6:$D$6,0)),IF(=INDEX(Roster!$B$6:$B$108,MATCH(D238,Roster!$A$6:$A$108,0))="Associate Principal",INDEX(Inputs!$B$11:$D$11,1,MATCH(A238,Inputs!$B$6:$D$6,0)),IF(=INDEX(Roster!$B$6:$B$108,MATCH(D238,Roster!$A$6:$A$108,0))="Assistant Principal",INDEX(Inputs!$B$12:$D$12,1,MATCH(A238,Inputs!$B$6:$D$6,0)),0))))</x:f>
        <x:v>0</x:v>
      </x:c>
      <x:c r="L238" s="20" t="n">
        <x:f>IF(INDEX(Roster!$D$6:$D$108,MATCH(D238,Roster!$A$6:$A$108,0))&gt;=25,INDEX(Inputs!$B$19:$D$19,1,MATCH(A238,Inputs!$B$6:$D$6,0)),IF(INDEX(Roster!$D$6:$D$108,MATCH(D238,Roster!$A$6:$A$108,0))&gt;=20,INDEX(Inputs!$B$18:$D$18,1,MATCH(A238,Inputs!$B$6:$D$6,0)),IF(INDEX(Roster!$D$6:$D$108,MATCH(D238,Roster!$A$6:$A$108,0))&gt;=15,INDEX(Inputs!$B$17:$D$17,1,MATCH(A238,Inputs!$B$6:$D$6,0)),IF(INDEX(Roster!$D$6:$D$108,MATCH(D238,Roster!$A$6:$A$108,0))&gt;=10,INDEX(Inputs!$B$16:$D$16,1,MATCH(A238,Inputs!$B$6:$D$6,0)),IF(INDEX(Roster!$D$6:$D$108,MATCH(D238,Roster!$A$6:$A$108,0))&gt;=5,INDEX(Inputs!$B$15:$D$15,1,MATCH(A238,Inputs!$B$6:$D$6,0)),0)))))</x:f>
        <x:v>90</x:v>
      </x:c>
      <x:c r="M238" s="20" t="n">
        <x:f>G238*I238</x:f>
        <x:v>31135</x:v>
      </x:c>
      <x:c r="N238" s="20" t="n">
        <x:f>G238*J238</x:f>
        <x:v>520</x:v>
      </x:c>
      <x:c r="O238" s="20" t="n">
        <x:f>G238*K238</x:f>
        <x:v>0</x:v>
      </x:c>
      <x:c r="P238" s="20" t="n">
        <x:f>G238*L238</x:f>
        <x:v>1170</x:v>
      </x:c>
      <x:c r="Q238" s="20" t="n">
        <x:f>H238*INDEX(Inputs!$B$13:$D$13,1,MATCH(A238,Inputs!$B$6:$D$6,0))</x:f>
        <x:v>390</x:v>
      </x:c>
      <x:c r="R238" s="20" t="n">
        <x:f>SUM(M238:Q238)</x:f>
        <x:v>33215</x:v>
      </x:c>
      <x:c r="S238" s="20" t="n">
        <x:f>IF(AND(A237=A238,D237=D238),S237+R238,R238)</x:f>
        <x:v>33215</x:v>
      </x:c>
      <x:c r="T238" s="20" t="n">
        <x:f>MIN(S238,INDEX(Inputs!$B$20:$D$20,1,MATCH(A238,Inputs!$B$6:$D$6,0)))*INDEX(Inputs!$B$22:$D$22,1,MATCH(A238,Inputs!$B$6:$D$6,0))+MAX(MIN(S238,INDEX(Inputs!$B$21:$D$21,1,MATCH(A238,Inputs!$B$6:$D$6,0)))-INDEX(Inputs!$B$20:$D$20,1,MATCH(A238,Inputs!$B$6:$D$6,0)),0)*INDEX(Inputs!$B$23:$D$23,1,MATCH(A238,Inputs!$B$6:$D$6,0))+MAX(S238-INDEX(Inputs!$B$21:$D$21,1,MATCH(A238,Inputs!$B$6:$D$6,0)),0)*INDEX(Inputs!$B$24:$D$24,1,MATCH(A238,Inputs!$B$6:$D$6,0))</x:f>
        <x:v>3030.9475</x:v>
      </x:c>
      <x:c r="U238" s="20" t="n">
        <x:f>IF(AND(A237=A238,D237=D238),T237,0)</x:f>
        <x:v>0</x:v>
      </x:c>
      <x:c r="V238" s="20" t="n">
        <x:f>T238-U238</x:f>
        <x:v>3030.9475</x:v>
      </x:c>
      <x:c r="W238" s="20" t="n">
        <x:f>R238+V238</x:f>
        <x:v>36245.9475</x:v>
      </x:c>
      <x:c r="X238" s="14" t="str">
        <x:f>IF(ABS(W238-SUM(M238:Q238)-V238)&lt;0.01,"OK","Check")</x:f>
        <x:v>OK</x:v>
      </x:c>
    </x:row>
    <x:row r="239">
      <x:c r="A239" s="14" t="n">
        <x:v>2026</x:v>
      </x:c>
      <x:c r="B239" s="14" t="str">
        <x:v>Q2</x:v>
      </x:c>
      <x:c r="C239" s="14" t="n">
        <x:v>2</x:v>
      </x:c>
      <x:c r="D239" s="14" t="n">
        <x:v>59</x:v>
      </x:c>
      <x:c r="E239" s="14" t="str">
        <x:f>INDEX(Roster!$B$6:$B$108,MATCH(D239,Roster!$A$6:$A$108,0))</x:f>
      </x:c>
      <x:c r="F239" s="14" t="str">
        <x:f>INDEX(Roster!$F$6:$F$108,MATCH(D239,Roster!$A$6:$A$108,0))</x:f>
        <x:v>No</x:v>
      </x:c>
      <x:c r="G239" s="14" t="n">
        <x:f>INDEX(Inputs!$B$7:$D$7,1,MATCH(A239,Inputs!$B$6:$D$6,0))</x:f>
        <x:v>13</x:v>
      </x:c>
      <x:c r="H239" s="14" t="n">
        <x:f>MIN(=INDEX(Inputs!$B$7:$D$7,1,MATCH(A239,Inputs!$B$6:$D$6,0)),MAX(0,INDEX(Inputs!$B$14:$D$14,1,MATCH(A239,Inputs!$B$6:$D$6,0))-(C239-1)*=INDEX(Inputs!$B$7:$D$7,1,MATCH(A239,Inputs!$B$6:$D$6,0))))</x:f>
        <x:v>13</x:v>
      </x:c>
      <x:c r="I239" s="20" t="n">
        <x:f>INDEX(Inputs!$B$8:$D$8,1,MATCH(A239,Inputs!$B$6:$D$6,0))</x:f>
        <x:v>2395</x:v>
      </x:c>
      <x:c r="J239" s="20" t="n">
        <x:f>INDEX(Roster!$C$6:$C$108,MATCH(D239,Roster!$A$6:$A$108,0))*(1+INDEX(Inputs!$B$9:$D$9,1,MATCH(A239,Inputs!$B$6:$D$6,0)))</x:f>
        <x:v>40</x:v>
      </x:c>
      <x:c r="K239" s="20" t="n">
        <x:f>IF(=INDEX(Roster!$F$6:$F$108,MATCH(D239,Roster!$A$6:$A$108,0))="Yes",0,=INDEX(Inputs!$B$8:$D$8,1,MATCH(A239,Inputs!$B$6:$D$6,0))*IF(=INDEX(Roster!$B$6:$B$108,MATCH(D239,Roster!$A$6:$A$108,0))="Principal",INDEX(Inputs!$B$10:$D$10,1,MATCH(A239,Inputs!$B$6:$D$6,0)),IF(=INDEX(Roster!$B$6:$B$108,MATCH(D239,Roster!$A$6:$A$108,0))="Associate Principal",INDEX(Inputs!$B$11:$D$11,1,MATCH(A239,Inputs!$B$6:$D$6,0)),IF(=INDEX(Roster!$B$6:$B$108,MATCH(D239,Roster!$A$6:$A$108,0))="Assistant Principal",INDEX(Inputs!$B$12:$D$12,1,MATCH(A239,Inputs!$B$6:$D$6,0)),0))))</x:f>
        <x:v>0</x:v>
      </x:c>
      <x:c r="L239" s="20" t="n">
        <x:f>IF(INDEX(Roster!$D$6:$D$108,MATCH(D239,Roster!$A$6:$A$108,0))&gt;=25,INDEX(Inputs!$B$19:$D$19,1,MATCH(A239,Inputs!$B$6:$D$6,0)),IF(INDEX(Roster!$D$6:$D$108,MATCH(D239,Roster!$A$6:$A$108,0))&gt;=20,INDEX(Inputs!$B$18:$D$18,1,MATCH(A239,Inputs!$B$6:$D$6,0)),IF(INDEX(Roster!$D$6:$D$108,MATCH(D239,Roster!$A$6:$A$108,0))&gt;=15,INDEX(Inputs!$B$17:$D$17,1,MATCH(A239,Inputs!$B$6:$D$6,0)),IF(INDEX(Roster!$D$6:$D$108,MATCH(D239,Roster!$A$6:$A$108,0))&gt;=10,INDEX(Inputs!$B$16:$D$16,1,MATCH(A239,Inputs!$B$6:$D$6,0)),IF(INDEX(Roster!$D$6:$D$108,MATCH(D239,Roster!$A$6:$A$108,0))&gt;=5,INDEX(Inputs!$B$15:$D$15,1,MATCH(A239,Inputs!$B$6:$D$6,0)),0)))))</x:f>
        <x:v>90</x:v>
      </x:c>
      <x:c r="M239" s="20" t="n">
        <x:f>G239*I239</x:f>
        <x:v>31135</x:v>
      </x:c>
      <x:c r="N239" s="20" t="n">
        <x:f>G239*J239</x:f>
        <x:v>520</x:v>
      </x:c>
      <x:c r="O239" s="20" t="n">
        <x:f>G239*K239</x:f>
        <x:v>0</x:v>
      </x:c>
      <x:c r="P239" s="20" t="n">
        <x:f>G239*L239</x:f>
        <x:v>1170</x:v>
      </x:c>
      <x:c r="Q239" s="20" t="n">
        <x:f>H239*INDEX(Inputs!$B$13:$D$13,1,MATCH(A239,Inputs!$B$6:$D$6,0))</x:f>
        <x:v>390</x:v>
      </x:c>
      <x:c r="R239" s="20" t="n">
        <x:f>SUM(M239:Q239)</x:f>
        <x:v>33215</x:v>
      </x:c>
      <x:c r="S239" s="20" t="n">
        <x:f>IF(AND(A238=A239,D238=D239),S238+R239,R239)</x:f>
        <x:v>66430</x:v>
      </x:c>
      <x:c r="T239" s="20" t="n">
        <x:f>MIN(S239,INDEX(Inputs!$B$20:$D$20,1,MATCH(A239,Inputs!$B$6:$D$6,0)))*INDEX(Inputs!$B$22:$D$22,1,MATCH(A239,Inputs!$B$6:$D$6,0))+MAX(MIN(S239,INDEX(Inputs!$B$21:$D$21,1,MATCH(A239,Inputs!$B$6:$D$6,0)))-INDEX(Inputs!$B$20:$D$20,1,MATCH(A239,Inputs!$B$6:$D$6,0)),0)*INDEX(Inputs!$B$23:$D$23,1,MATCH(A239,Inputs!$B$6:$D$6,0))+MAX(S239-INDEX(Inputs!$B$21:$D$21,1,MATCH(A239,Inputs!$B$6:$D$6,0)),0)*INDEX(Inputs!$B$24:$D$24,1,MATCH(A239,Inputs!$B$6:$D$6,0))</x:f>
        <x:v>5571.8949999999995</x:v>
      </x:c>
      <x:c r="U239" s="20" t="n">
        <x:f>IF(AND(A238=A239,D238=D239),T238,0)</x:f>
        <x:v>3030.9475</x:v>
      </x:c>
      <x:c r="V239" s="20" t="n">
        <x:f>T239-U239</x:f>
        <x:v>2540.9474999999993</x:v>
      </x:c>
      <x:c r="W239" s="20" t="n">
        <x:f>R239+V239</x:f>
        <x:v>35755.9475</x:v>
      </x:c>
      <x:c r="X239" s="14" t="str">
        <x:f>IF(ABS(W239-SUM(M239:Q239)-V239)&lt;0.01,"OK","Check")</x:f>
        <x:v>OK</x:v>
      </x:c>
    </x:row>
    <x:row r="240">
      <x:c r="A240" s="14" t="n">
        <x:v>2026</x:v>
      </x:c>
      <x:c r="B240" s="14" t="str">
        <x:v>Q3</x:v>
      </x:c>
      <x:c r="C240" s="14" t="n">
        <x:v>3</x:v>
      </x:c>
      <x:c r="D240" s="14" t="n">
        <x:v>59</x:v>
      </x:c>
      <x:c r="E240" s="14" t="str">
        <x:f>INDEX(Roster!$B$6:$B$108,MATCH(D240,Roster!$A$6:$A$108,0))</x:f>
      </x:c>
      <x:c r="F240" s="14" t="str">
        <x:f>INDEX(Roster!$F$6:$F$108,MATCH(D240,Roster!$A$6:$A$108,0))</x:f>
        <x:v>No</x:v>
      </x:c>
      <x:c r="G240" s="14" t="n">
        <x:f>INDEX(Inputs!$B$7:$D$7,1,MATCH(A240,Inputs!$B$6:$D$6,0))</x:f>
        <x:v>13</x:v>
      </x:c>
      <x:c r="H240" s="14" t="n">
        <x:f>MIN(=INDEX(Inputs!$B$7:$D$7,1,MATCH(A240,Inputs!$B$6:$D$6,0)),MAX(0,INDEX(Inputs!$B$14:$D$14,1,MATCH(A240,Inputs!$B$6:$D$6,0))-(C240-1)*=INDEX(Inputs!$B$7:$D$7,1,MATCH(A240,Inputs!$B$6:$D$6,0))))</x:f>
        <x:v>13</x:v>
      </x:c>
      <x:c r="I240" s="20" t="n">
        <x:f>INDEX(Inputs!$B$8:$D$8,1,MATCH(A240,Inputs!$B$6:$D$6,0))</x:f>
        <x:v>2395</x:v>
      </x:c>
      <x:c r="J240" s="20" t="n">
        <x:f>INDEX(Roster!$C$6:$C$108,MATCH(D240,Roster!$A$6:$A$108,0))*(1+INDEX(Inputs!$B$9:$D$9,1,MATCH(A240,Inputs!$B$6:$D$6,0)))</x:f>
        <x:v>40</x:v>
      </x:c>
      <x:c r="K240" s="20" t="n">
        <x:f>IF(=INDEX(Roster!$F$6:$F$108,MATCH(D240,Roster!$A$6:$A$108,0))="Yes",0,=INDEX(Inputs!$B$8:$D$8,1,MATCH(A240,Inputs!$B$6:$D$6,0))*IF(=INDEX(Roster!$B$6:$B$108,MATCH(D240,Roster!$A$6:$A$108,0))="Principal",INDEX(Inputs!$B$10:$D$10,1,MATCH(A240,Inputs!$B$6:$D$6,0)),IF(=INDEX(Roster!$B$6:$B$108,MATCH(D240,Roster!$A$6:$A$108,0))="Associate Principal",INDEX(Inputs!$B$11:$D$11,1,MATCH(A240,Inputs!$B$6:$D$6,0)),IF(=INDEX(Roster!$B$6:$B$108,MATCH(D240,Roster!$A$6:$A$108,0))="Assistant Principal",INDEX(Inputs!$B$12:$D$12,1,MATCH(A240,Inputs!$B$6:$D$6,0)),0))))</x:f>
        <x:v>0</x:v>
      </x:c>
      <x:c r="L240" s="20" t="n">
        <x:f>IF(INDEX(Roster!$D$6:$D$108,MATCH(D240,Roster!$A$6:$A$108,0))&gt;=25,INDEX(Inputs!$B$19:$D$19,1,MATCH(A240,Inputs!$B$6:$D$6,0)),IF(INDEX(Roster!$D$6:$D$108,MATCH(D240,Roster!$A$6:$A$108,0))&gt;=20,INDEX(Inputs!$B$18:$D$18,1,MATCH(A240,Inputs!$B$6:$D$6,0)),IF(INDEX(Roster!$D$6:$D$108,MATCH(D240,Roster!$A$6:$A$108,0))&gt;=15,INDEX(Inputs!$B$17:$D$17,1,MATCH(A240,Inputs!$B$6:$D$6,0)),IF(INDEX(Roster!$D$6:$D$108,MATCH(D240,Roster!$A$6:$A$108,0))&gt;=10,INDEX(Inputs!$B$16:$D$16,1,MATCH(A240,Inputs!$B$6:$D$6,0)),IF(INDEX(Roster!$D$6:$D$108,MATCH(D240,Roster!$A$6:$A$108,0))&gt;=5,INDEX(Inputs!$B$15:$D$15,1,MATCH(A240,Inputs!$B$6:$D$6,0)),0)))))</x:f>
        <x:v>90</x:v>
      </x:c>
      <x:c r="M240" s="20" t="n">
        <x:f>G240*I240</x:f>
        <x:v>31135</x:v>
      </x:c>
      <x:c r="N240" s="20" t="n">
        <x:f>G240*J240</x:f>
        <x:v>520</x:v>
      </x:c>
      <x:c r="O240" s="20" t="n">
        <x:f>G240*K240</x:f>
        <x:v>0</x:v>
      </x:c>
      <x:c r="P240" s="20" t="n">
        <x:f>G240*L240</x:f>
        <x:v>1170</x:v>
      </x:c>
      <x:c r="Q240" s="20" t="n">
        <x:f>H240*INDEX(Inputs!$B$13:$D$13,1,MATCH(A240,Inputs!$B$6:$D$6,0))</x:f>
        <x:v>390</x:v>
      </x:c>
      <x:c r="R240" s="20" t="n">
        <x:f>SUM(M240:Q240)</x:f>
        <x:v>33215</x:v>
      </x:c>
      <x:c r="S240" s="20" t="n">
        <x:f>IF(AND(A239=A240,D239=D240),S239+R240,R240)</x:f>
        <x:v>99645</x:v>
      </x:c>
      <x:c r="T240" s="20" t="n">
        <x:f>MIN(S240,INDEX(Inputs!$B$20:$D$20,1,MATCH(A240,Inputs!$B$6:$D$6,0)))*INDEX(Inputs!$B$22:$D$22,1,MATCH(A240,Inputs!$B$6:$D$6,0))+MAX(MIN(S240,INDEX(Inputs!$B$21:$D$21,1,MATCH(A240,Inputs!$B$6:$D$6,0)))-INDEX(Inputs!$B$20:$D$20,1,MATCH(A240,Inputs!$B$6:$D$6,0)),0)*INDEX(Inputs!$B$23:$D$23,1,MATCH(A240,Inputs!$B$6:$D$6,0))+MAX(S240-INDEX(Inputs!$B$21:$D$21,1,MATCH(A240,Inputs!$B$6:$D$6,0)),0)*INDEX(Inputs!$B$24:$D$24,1,MATCH(A240,Inputs!$B$6:$D$6,0))</x:f>
        <x:v>8112.8425</x:v>
      </x:c>
      <x:c r="U240" s="20" t="n">
        <x:f>IF(AND(A239=A240,D239=D240),T239,0)</x:f>
        <x:v>5571.8949999999995</x:v>
      </x:c>
      <x:c r="V240" s="20" t="n">
        <x:f>T240-U240</x:f>
        <x:v>2540.9475</x:v>
      </x:c>
      <x:c r="W240" s="20" t="n">
        <x:f>R240+V240</x:f>
        <x:v>35755.9475</x:v>
      </x:c>
      <x:c r="X240" s="14" t="str">
        <x:f>IF(ABS(W240-SUM(M240:Q240)-V240)&lt;0.01,"OK","Check")</x:f>
        <x:v>OK</x:v>
      </x:c>
    </x:row>
    <x:row r="241">
      <x:c r="A241" s="14" t="n">
        <x:v>2026</x:v>
      </x:c>
      <x:c r="B241" s="14" t="str">
        <x:v>Q4</x:v>
      </x:c>
      <x:c r="C241" s="14" t="n">
        <x:v>4</x:v>
      </x:c>
      <x:c r="D241" s="14" t="n">
        <x:v>59</x:v>
      </x:c>
      <x:c r="E241" s="14" t="str">
        <x:f>INDEX(Roster!$B$6:$B$108,MATCH(D241,Roster!$A$6:$A$108,0))</x:f>
      </x:c>
      <x:c r="F241" s="14" t="str">
        <x:f>INDEX(Roster!$F$6:$F$108,MATCH(D241,Roster!$A$6:$A$108,0))</x:f>
        <x:v>No</x:v>
      </x:c>
      <x:c r="G241" s="14" t="n">
        <x:f>INDEX(Inputs!$B$7:$D$7,1,MATCH(A241,Inputs!$B$6:$D$6,0))</x:f>
        <x:v>13</x:v>
      </x:c>
      <x:c r="H241" s="14" t="n">
        <x:f>MIN(=INDEX(Inputs!$B$7:$D$7,1,MATCH(A241,Inputs!$B$6:$D$6,0)),MAX(0,INDEX(Inputs!$B$14:$D$14,1,MATCH(A241,Inputs!$B$6:$D$6,0))-(C241-1)*=INDEX(Inputs!$B$7:$D$7,1,MATCH(A241,Inputs!$B$6:$D$6,0))))</x:f>
        <x:v>0</x:v>
      </x:c>
      <x:c r="I241" s="20" t="n">
        <x:f>INDEX(Inputs!$B$8:$D$8,1,MATCH(A241,Inputs!$B$6:$D$6,0))</x:f>
        <x:v>2395</x:v>
      </x:c>
      <x:c r="J241" s="20" t="n">
        <x:f>INDEX(Roster!$C$6:$C$108,MATCH(D241,Roster!$A$6:$A$108,0))*(1+INDEX(Inputs!$B$9:$D$9,1,MATCH(A241,Inputs!$B$6:$D$6,0)))</x:f>
        <x:v>40</x:v>
      </x:c>
      <x:c r="K241" s="20" t="n">
        <x:f>IF(=INDEX(Roster!$F$6:$F$108,MATCH(D241,Roster!$A$6:$A$108,0))="Yes",0,=INDEX(Inputs!$B$8:$D$8,1,MATCH(A241,Inputs!$B$6:$D$6,0))*IF(=INDEX(Roster!$B$6:$B$108,MATCH(D241,Roster!$A$6:$A$108,0))="Principal",INDEX(Inputs!$B$10:$D$10,1,MATCH(A241,Inputs!$B$6:$D$6,0)),IF(=INDEX(Roster!$B$6:$B$108,MATCH(D241,Roster!$A$6:$A$108,0))="Associate Principal",INDEX(Inputs!$B$11:$D$11,1,MATCH(A241,Inputs!$B$6:$D$6,0)),IF(=INDEX(Roster!$B$6:$B$108,MATCH(D241,Roster!$A$6:$A$108,0))="Assistant Principal",INDEX(Inputs!$B$12:$D$12,1,MATCH(A241,Inputs!$B$6:$D$6,0)),0))))</x:f>
        <x:v>0</x:v>
      </x:c>
      <x:c r="L241" s="20" t="n">
        <x:f>IF(INDEX(Roster!$D$6:$D$108,MATCH(D241,Roster!$A$6:$A$108,0))&gt;=25,INDEX(Inputs!$B$19:$D$19,1,MATCH(A241,Inputs!$B$6:$D$6,0)),IF(INDEX(Roster!$D$6:$D$108,MATCH(D241,Roster!$A$6:$A$108,0))&gt;=20,INDEX(Inputs!$B$18:$D$18,1,MATCH(A241,Inputs!$B$6:$D$6,0)),IF(INDEX(Roster!$D$6:$D$108,MATCH(D241,Roster!$A$6:$A$108,0))&gt;=15,INDEX(Inputs!$B$17:$D$17,1,MATCH(A241,Inputs!$B$6:$D$6,0)),IF(INDEX(Roster!$D$6:$D$108,MATCH(D241,Roster!$A$6:$A$108,0))&gt;=10,INDEX(Inputs!$B$16:$D$16,1,MATCH(A241,Inputs!$B$6:$D$6,0)),IF(INDEX(Roster!$D$6:$D$108,MATCH(D241,Roster!$A$6:$A$108,0))&gt;=5,INDEX(Inputs!$B$15:$D$15,1,MATCH(A241,Inputs!$B$6:$D$6,0)),0)))))</x:f>
        <x:v>90</x:v>
      </x:c>
      <x:c r="M241" s="20" t="n">
        <x:f>G241*I241</x:f>
        <x:v>31135</x:v>
      </x:c>
      <x:c r="N241" s="20" t="n">
        <x:f>G241*J241</x:f>
        <x:v>520</x:v>
      </x:c>
      <x:c r="O241" s="20" t="n">
        <x:f>G241*K241</x:f>
        <x:v>0</x:v>
      </x:c>
      <x:c r="P241" s="20" t="n">
        <x:f>G241*L241</x:f>
        <x:v>1170</x:v>
      </x:c>
      <x:c r="Q241" s="20" t="n">
        <x:f>H241*INDEX(Inputs!$B$13:$D$13,1,MATCH(A241,Inputs!$B$6:$D$6,0))</x:f>
        <x:v>0</x:v>
      </x:c>
      <x:c r="R241" s="20" t="n">
        <x:f>SUM(M241:Q241)</x:f>
        <x:v>32825</x:v>
      </x:c>
      <x:c r="S241" s="20" t="n">
        <x:f>IF(AND(A240=A241,D240=D241),S240+R241,R241)</x:f>
        <x:v>132470</x:v>
      </x:c>
      <x:c r="T241" s="20" t="n">
        <x:f>MIN(S241,INDEX(Inputs!$B$20:$D$20,1,MATCH(A241,Inputs!$B$6:$D$6,0)))*INDEX(Inputs!$B$22:$D$22,1,MATCH(A241,Inputs!$B$6:$D$6,0))+MAX(MIN(S241,INDEX(Inputs!$B$21:$D$21,1,MATCH(A241,Inputs!$B$6:$D$6,0)))-INDEX(Inputs!$B$20:$D$20,1,MATCH(A241,Inputs!$B$6:$D$6,0)),0)*INDEX(Inputs!$B$23:$D$23,1,MATCH(A241,Inputs!$B$6:$D$6,0))+MAX(S241-INDEX(Inputs!$B$21:$D$21,1,MATCH(A241,Inputs!$B$6:$D$6,0)),0)*INDEX(Inputs!$B$24:$D$24,1,MATCH(A241,Inputs!$B$6:$D$6,0))</x:f>
        <x:v>9834.757</x:v>
      </x:c>
      <x:c r="U241" s="20" t="n">
        <x:f>IF(AND(A240=A241,D240=D241),T240,0)</x:f>
        <x:v>8112.8425</x:v>
      </x:c>
      <x:c r="V241" s="20" t="n">
        <x:f>T241-U241</x:f>
        <x:v>1721.9144999999999</x:v>
      </x:c>
      <x:c r="W241" s="20" t="n">
        <x:f>R241+V241</x:f>
        <x:v>34546.9145</x:v>
      </x:c>
      <x:c r="X241" s="14" t="str">
        <x:f>IF(ABS(W241-SUM(M241:Q241)-V241)&lt;0.01,"OK","Check")</x:f>
        <x:v>OK</x:v>
      </x:c>
    </x:row>
    <x:row r="242">
      <x:c r="A242" s="14" t="n">
        <x:v>2026</x:v>
      </x:c>
      <x:c r="B242" s="14" t="str">
        <x:v>Q1</x:v>
      </x:c>
      <x:c r="C242" s="14" t="n">
        <x:v>1</x:v>
      </x:c>
      <x:c r="D242" s="14" t="n">
        <x:v>60</x:v>
      </x:c>
      <x:c r="E242" s="14" t="str">
        <x:f>INDEX(Roster!$B$6:$B$108,MATCH(D242,Roster!$A$6:$A$108,0))</x:f>
      </x:c>
      <x:c r="F242" s="14" t="str">
        <x:f>INDEX(Roster!$F$6:$F$108,MATCH(D242,Roster!$A$6:$A$108,0))</x:f>
        <x:v>No</x:v>
      </x:c>
      <x:c r="G242" s="14" t="n">
        <x:f>INDEX(Inputs!$B$7:$D$7,1,MATCH(A242,Inputs!$B$6:$D$6,0))</x:f>
        <x:v>13</x:v>
      </x:c>
      <x:c r="H242" s="14" t="n">
        <x:f>MIN(=INDEX(Inputs!$B$7:$D$7,1,MATCH(A242,Inputs!$B$6:$D$6,0)),MAX(0,INDEX(Inputs!$B$14:$D$14,1,MATCH(A242,Inputs!$B$6:$D$6,0))-(C242-1)*=INDEX(Inputs!$B$7:$D$7,1,MATCH(A242,Inputs!$B$6:$D$6,0))))</x:f>
        <x:v>13</x:v>
      </x:c>
      <x:c r="I242" s="20" t="n">
        <x:f>INDEX(Inputs!$B$8:$D$8,1,MATCH(A242,Inputs!$B$6:$D$6,0))</x:f>
        <x:v>2395</x:v>
      </x:c>
      <x:c r="J242" s="20" t="n">
        <x:f>INDEX(Roster!$C$6:$C$108,MATCH(D242,Roster!$A$6:$A$108,0))*(1+INDEX(Inputs!$B$9:$D$9,1,MATCH(A242,Inputs!$B$6:$D$6,0)))</x:f>
        <x:v>50</x:v>
      </x:c>
      <x:c r="K242" s="20" t="n">
        <x:f>IF(=INDEX(Roster!$F$6:$F$108,MATCH(D242,Roster!$A$6:$A$108,0))="Yes",0,=INDEX(Inputs!$B$8:$D$8,1,MATCH(A242,Inputs!$B$6:$D$6,0))*IF(=INDEX(Roster!$B$6:$B$108,MATCH(D242,Roster!$A$6:$A$108,0))="Principal",INDEX(Inputs!$B$10:$D$10,1,MATCH(A242,Inputs!$B$6:$D$6,0)),IF(=INDEX(Roster!$B$6:$B$108,MATCH(D242,Roster!$A$6:$A$108,0))="Associate Principal",INDEX(Inputs!$B$11:$D$11,1,MATCH(A242,Inputs!$B$6:$D$6,0)),IF(=INDEX(Roster!$B$6:$B$108,MATCH(D242,Roster!$A$6:$A$108,0))="Assistant Principal",INDEX(Inputs!$B$12:$D$12,1,MATCH(A242,Inputs!$B$6:$D$6,0)),0))))</x:f>
        <x:v>0</x:v>
      </x:c>
      <x:c r="L242" s="20" t="n">
        <x:f>IF(INDEX(Roster!$D$6:$D$108,MATCH(D242,Roster!$A$6:$A$108,0))&gt;=25,INDEX(Inputs!$B$19:$D$19,1,MATCH(A242,Inputs!$B$6:$D$6,0)),IF(INDEX(Roster!$D$6:$D$108,MATCH(D242,Roster!$A$6:$A$108,0))&gt;=20,INDEX(Inputs!$B$18:$D$18,1,MATCH(A242,Inputs!$B$6:$D$6,0)),IF(INDEX(Roster!$D$6:$D$108,MATCH(D242,Roster!$A$6:$A$108,0))&gt;=15,INDEX(Inputs!$B$17:$D$17,1,MATCH(A242,Inputs!$B$6:$D$6,0)),IF(INDEX(Roster!$D$6:$D$108,MATCH(D242,Roster!$A$6:$A$108,0))&gt;=10,INDEX(Inputs!$B$16:$D$16,1,MATCH(A242,Inputs!$B$6:$D$6,0)),IF(INDEX(Roster!$D$6:$D$108,MATCH(D242,Roster!$A$6:$A$108,0))&gt;=5,INDEX(Inputs!$B$15:$D$15,1,MATCH(A242,Inputs!$B$6:$D$6,0)),0)))))</x:f>
        <x:v>90</x:v>
      </x:c>
      <x:c r="M242" s="20" t="n">
        <x:f>G242*I242</x:f>
        <x:v>31135</x:v>
      </x:c>
      <x:c r="N242" s="20" t="n">
        <x:f>G242*J242</x:f>
        <x:v>650</x:v>
      </x:c>
      <x:c r="O242" s="20" t="n">
        <x:f>G242*K242</x:f>
        <x:v>0</x:v>
      </x:c>
      <x:c r="P242" s="20" t="n">
        <x:f>G242*L242</x:f>
        <x:v>1170</x:v>
      </x:c>
      <x:c r="Q242" s="20" t="n">
        <x:f>H242*INDEX(Inputs!$B$13:$D$13,1,MATCH(A242,Inputs!$B$6:$D$6,0))</x:f>
        <x:v>390</x:v>
      </x:c>
      <x:c r="R242" s="20" t="n">
        <x:f>SUM(M242:Q242)</x:f>
        <x:v>33345</x:v>
      </x:c>
      <x:c r="S242" s="20" t="n">
        <x:f>IF(AND(A241=A242,D241=D242),S241+R242,R242)</x:f>
        <x:v>33345</x:v>
      </x:c>
      <x:c r="T242" s="20" t="n">
        <x:f>MIN(S242,INDEX(Inputs!$B$20:$D$20,1,MATCH(A242,Inputs!$B$6:$D$6,0)))*INDEX(Inputs!$B$22:$D$22,1,MATCH(A242,Inputs!$B$6:$D$6,0))+MAX(MIN(S242,INDEX(Inputs!$B$21:$D$21,1,MATCH(A242,Inputs!$B$6:$D$6,0)))-INDEX(Inputs!$B$20:$D$20,1,MATCH(A242,Inputs!$B$6:$D$6,0)),0)*INDEX(Inputs!$B$23:$D$23,1,MATCH(A242,Inputs!$B$6:$D$6,0))+MAX(S242-INDEX(Inputs!$B$21:$D$21,1,MATCH(A242,Inputs!$B$6:$D$6,0)),0)*INDEX(Inputs!$B$24:$D$24,1,MATCH(A242,Inputs!$B$6:$D$6,0))</x:f>
        <x:v>3040.8925</x:v>
      </x:c>
      <x:c r="U242" s="20" t="n">
        <x:f>IF(AND(A241=A242,D241=D242),T241,0)</x:f>
        <x:v>0</x:v>
      </x:c>
      <x:c r="V242" s="20" t="n">
        <x:f>T242-U242</x:f>
        <x:v>3040.8925</x:v>
      </x:c>
      <x:c r="W242" s="20" t="n">
        <x:f>R242+V242</x:f>
        <x:v>36385.8925</x:v>
      </x:c>
      <x:c r="X242" s="14" t="str">
        <x:f>IF(ABS(W242-SUM(M242:Q242)-V242)&lt;0.01,"OK","Check")</x:f>
        <x:v>OK</x:v>
      </x:c>
    </x:row>
    <x:row r="243">
      <x:c r="A243" s="14" t="n">
        <x:v>2026</x:v>
      </x:c>
      <x:c r="B243" s="14" t="str">
        <x:v>Q2</x:v>
      </x:c>
      <x:c r="C243" s="14" t="n">
        <x:v>2</x:v>
      </x:c>
      <x:c r="D243" s="14" t="n">
        <x:v>60</x:v>
      </x:c>
      <x:c r="E243" s="14" t="str">
        <x:f>INDEX(Roster!$B$6:$B$108,MATCH(D243,Roster!$A$6:$A$108,0))</x:f>
      </x:c>
      <x:c r="F243" s="14" t="str">
        <x:f>INDEX(Roster!$F$6:$F$108,MATCH(D243,Roster!$A$6:$A$108,0))</x:f>
        <x:v>No</x:v>
      </x:c>
      <x:c r="G243" s="14" t="n">
        <x:f>INDEX(Inputs!$B$7:$D$7,1,MATCH(A243,Inputs!$B$6:$D$6,0))</x:f>
        <x:v>13</x:v>
      </x:c>
      <x:c r="H243" s="14" t="n">
        <x:f>MIN(=INDEX(Inputs!$B$7:$D$7,1,MATCH(A243,Inputs!$B$6:$D$6,0)),MAX(0,INDEX(Inputs!$B$14:$D$14,1,MATCH(A243,Inputs!$B$6:$D$6,0))-(C243-1)*=INDEX(Inputs!$B$7:$D$7,1,MATCH(A243,Inputs!$B$6:$D$6,0))))</x:f>
        <x:v>13</x:v>
      </x:c>
      <x:c r="I243" s="20" t="n">
        <x:f>INDEX(Inputs!$B$8:$D$8,1,MATCH(A243,Inputs!$B$6:$D$6,0))</x:f>
        <x:v>2395</x:v>
      </x:c>
      <x:c r="J243" s="20" t="n">
        <x:f>INDEX(Roster!$C$6:$C$108,MATCH(D243,Roster!$A$6:$A$108,0))*(1+INDEX(Inputs!$B$9:$D$9,1,MATCH(A243,Inputs!$B$6:$D$6,0)))</x:f>
        <x:v>50</x:v>
      </x:c>
      <x:c r="K243" s="20" t="n">
        <x:f>IF(=INDEX(Roster!$F$6:$F$108,MATCH(D243,Roster!$A$6:$A$108,0))="Yes",0,=INDEX(Inputs!$B$8:$D$8,1,MATCH(A243,Inputs!$B$6:$D$6,0))*IF(=INDEX(Roster!$B$6:$B$108,MATCH(D243,Roster!$A$6:$A$108,0))="Principal",INDEX(Inputs!$B$10:$D$10,1,MATCH(A243,Inputs!$B$6:$D$6,0)),IF(=INDEX(Roster!$B$6:$B$108,MATCH(D243,Roster!$A$6:$A$108,0))="Associate Principal",INDEX(Inputs!$B$11:$D$11,1,MATCH(A243,Inputs!$B$6:$D$6,0)),IF(=INDEX(Roster!$B$6:$B$108,MATCH(D243,Roster!$A$6:$A$108,0))="Assistant Principal",INDEX(Inputs!$B$12:$D$12,1,MATCH(A243,Inputs!$B$6:$D$6,0)),0))))</x:f>
        <x:v>0</x:v>
      </x:c>
      <x:c r="L243" s="20" t="n">
        <x:f>IF(INDEX(Roster!$D$6:$D$108,MATCH(D243,Roster!$A$6:$A$108,0))&gt;=25,INDEX(Inputs!$B$19:$D$19,1,MATCH(A243,Inputs!$B$6:$D$6,0)),IF(INDEX(Roster!$D$6:$D$108,MATCH(D243,Roster!$A$6:$A$108,0))&gt;=20,INDEX(Inputs!$B$18:$D$18,1,MATCH(A243,Inputs!$B$6:$D$6,0)),IF(INDEX(Roster!$D$6:$D$108,MATCH(D243,Roster!$A$6:$A$108,0))&gt;=15,INDEX(Inputs!$B$17:$D$17,1,MATCH(A243,Inputs!$B$6:$D$6,0)),IF(INDEX(Roster!$D$6:$D$108,MATCH(D243,Roster!$A$6:$A$108,0))&gt;=10,INDEX(Inputs!$B$16:$D$16,1,MATCH(A243,Inputs!$B$6:$D$6,0)),IF(INDEX(Roster!$D$6:$D$108,MATCH(D243,Roster!$A$6:$A$108,0))&gt;=5,INDEX(Inputs!$B$15:$D$15,1,MATCH(A243,Inputs!$B$6:$D$6,0)),0)))))</x:f>
        <x:v>90</x:v>
      </x:c>
      <x:c r="M243" s="20" t="n">
        <x:f>G243*I243</x:f>
        <x:v>31135</x:v>
      </x:c>
      <x:c r="N243" s="20" t="n">
        <x:f>G243*J243</x:f>
        <x:v>650</x:v>
      </x:c>
      <x:c r="O243" s="20" t="n">
        <x:f>G243*K243</x:f>
        <x:v>0</x:v>
      </x:c>
      <x:c r="P243" s="20" t="n">
        <x:f>G243*L243</x:f>
        <x:v>1170</x:v>
      </x:c>
      <x:c r="Q243" s="20" t="n">
        <x:f>H243*INDEX(Inputs!$B$13:$D$13,1,MATCH(A243,Inputs!$B$6:$D$6,0))</x:f>
        <x:v>390</x:v>
      </x:c>
      <x:c r="R243" s="20" t="n">
        <x:f>SUM(M243:Q243)</x:f>
        <x:v>33345</x:v>
      </x:c>
      <x:c r="S243" s="20" t="n">
        <x:f>IF(AND(A242=A243,D242=D243),S242+R243,R243)</x:f>
        <x:v>66690</x:v>
      </x:c>
      <x:c r="T243" s="20" t="n">
        <x:f>MIN(S243,INDEX(Inputs!$B$20:$D$20,1,MATCH(A243,Inputs!$B$6:$D$6,0)))*INDEX(Inputs!$B$22:$D$22,1,MATCH(A243,Inputs!$B$6:$D$6,0))+MAX(MIN(S243,INDEX(Inputs!$B$21:$D$21,1,MATCH(A243,Inputs!$B$6:$D$6,0)))-INDEX(Inputs!$B$20:$D$20,1,MATCH(A243,Inputs!$B$6:$D$6,0)),0)*INDEX(Inputs!$B$23:$D$23,1,MATCH(A243,Inputs!$B$6:$D$6,0))+MAX(S243-INDEX(Inputs!$B$21:$D$21,1,MATCH(A243,Inputs!$B$6:$D$6,0)),0)*INDEX(Inputs!$B$24:$D$24,1,MATCH(A243,Inputs!$B$6:$D$6,0))</x:f>
        <x:v>5591.785</x:v>
      </x:c>
      <x:c r="U243" s="20" t="n">
        <x:f>IF(AND(A242=A243,D242=D243),T242,0)</x:f>
        <x:v>3040.8925</x:v>
      </x:c>
      <x:c r="V243" s="20" t="n">
        <x:f>T243-U243</x:f>
        <x:v>2550.8925</x:v>
      </x:c>
      <x:c r="W243" s="20" t="n">
        <x:f>R243+V243</x:f>
        <x:v>35895.8925</x:v>
      </x:c>
      <x:c r="X243" s="14" t="str">
        <x:f>IF(ABS(W243-SUM(M243:Q243)-V243)&lt;0.01,"OK","Check")</x:f>
        <x:v>OK</x:v>
      </x:c>
    </x:row>
    <x:row r="244">
      <x:c r="A244" s="14" t="n">
        <x:v>2026</x:v>
      </x:c>
      <x:c r="B244" s="14" t="str">
        <x:v>Q3</x:v>
      </x:c>
      <x:c r="C244" s="14" t="n">
        <x:v>3</x:v>
      </x:c>
      <x:c r="D244" s="14" t="n">
        <x:v>60</x:v>
      </x:c>
      <x:c r="E244" s="14" t="str">
        <x:f>INDEX(Roster!$B$6:$B$108,MATCH(D244,Roster!$A$6:$A$108,0))</x:f>
      </x:c>
      <x:c r="F244" s="14" t="str">
        <x:f>INDEX(Roster!$F$6:$F$108,MATCH(D244,Roster!$A$6:$A$108,0))</x:f>
        <x:v>No</x:v>
      </x:c>
      <x:c r="G244" s="14" t="n">
        <x:f>INDEX(Inputs!$B$7:$D$7,1,MATCH(A244,Inputs!$B$6:$D$6,0))</x:f>
        <x:v>13</x:v>
      </x:c>
      <x:c r="H244" s="14" t="n">
        <x:f>MIN(=INDEX(Inputs!$B$7:$D$7,1,MATCH(A244,Inputs!$B$6:$D$6,0)),MAX(0,INDEX(Inputs!$B$14:$D$14,1,MATCH(A244,Inputs!$B$6:$D$6,0))-(C244-1)*=INDEX(Inputs!$B$7:$D$7,1,MATCH(A244,Inputs!$B$6:$D$6,0))))</x:f>
        <x:v>13</x:v>
      </x:c>
      <x:c r="I244" s="20" t="n">
        <x:f>INDEX(Inputs!$B$8:$D$8,1,MATCH(A244,Inputs!$B$6:$D$6,0))</x:f>
        <x:v>2395</x:v>
      </x:c>
      <x:c r="J244" s="20" t="n">
        <x:f>INDEX(Roster!$C$6:$C$108,MATCH(D244,Roster!$A$6:$A$108,0))*(1+INDEX(Inputs!$B$9:$D$9,1,MATCH(A244,Inputs!$B$6:$D$6,0)))</x:f>
        <x:v>50</x:v>
      </x:c>
      <x:c r="K244" s="20" t="n">
        <x:f>IF(=INDEX(Roster!$F$6:$F$108,MATCH(D244,Roster!$A$6:$A$108,0))="Yes",0,=INDEX(Inputs!$B$8:$D$8,1,MATCH(A244,Inputs!$B$6:$D$6,0))*IF(=INDEX(Roster!$B$6:$B$108,MATCH(D244,Roster!$A$6:$A$108,0))="Principal",INDEX(Inputs!$B$10:$D$10,1,MATCH(A244,Inputs!$B$6:$D$6,0)),IF(=INDEX(Roster!$B$6:$B$108,MATCH(D244,Roster!$A$6:$A$108,0))="Associate Principal",INDEX(Inputs!$B$11:$D$11,1,MATCH(A244,Inputs!$B$6:$D$6,0)),IF(=INDEX(Roster!$B$6:$B$108,MATCH(D244,Roster!$A$6:$A$108,0))="Assistant Principal",INDEX(Inputs!$B$12:$D$12,1,MATCH(A244,Inputs!$B$6:$D$6,0)),0))))</x:f>
        <x:v>0</x:v>
      </x:c>
      <x:c r="L244" s="20" t="n">
        <x:f>IF(INDEX(Roster!$D$6:$D$108,MATCH(D244,Roster!$A$6:$A$108,0))&gt;=25,INDEX(Inputs!$B$19:$D$19,1,MATCH(A244,Inputs!$B$6:$D$6,0)),IF(INDEX(Roster!$D$6:$D$108,MATCH(D244,Roster!$A$6:$A$108,0))&gt;=20,INDEX(Inputs!$B$18:$D$18,1,MATCH(A244,Inputs!$B$6:$D$6,0)),IF(INDEX(Roster!$D$6:$D$108,MATCH(D244,Roster!$A$6:$A$108,0))&gt;=15,INDEX(Inputs!$B$17:$D$17,1,MATCH(A244,Inputs!$B$6:$D$6,0)),IF(INDEX(Roster!$D$6:$D$108,MATCH(D244,Roster!$A$6:$A$108,0))&gt;=10,INDEX(Inputs!$B$16:$D$16,1,MATCH(A244,Inputs!$B$6:$D$6,0)),IF(INDEX(Roster!$D$6:$D$108,MATCH(D244,Roster!$A$6:$A$108,0))&gt;=5,INDEX(Inputs!$B$15:$D$15,1,MATCH(A244,Inputs!$B$6:$D$6,0)),0)))))</x:f>
        <x:v>90</x:v>
      </x:c>
      <x:c r="M244" s="20" t="n">
        <x:f>G244*I244</x:f>
        <x:v>31135</x:v>
      </x:c>
      <x:c r="N244" s="20" t="n">
        <x:f>G244*J244</x:f>
        <x:v>650</x:v>
      </x:c>
      <x:c r="O244" s="20" t="n">
        <x:f>G244*K244</x:f>
        <x:v>0</x:v>
      </x:c>
      <x:c r="P244" s="20" t="n">
        <x:f>G244*L244</x:f>
        <x:v>1170</x:v>
      </x:c>
      <x:c r="Q244" s="20" t="n">
        <x:f>H244*INDEX(Inputs!$B$13:$D$13,1,MATCH(A244,Inputs!$B$6:$D$6,0))</x:f>
        <x:v>390</x:v>
      </x:c>
      <x:c r="R244" s="20" t="n">
        <x:f>SUM(M244:Q244)</x:f>
        <x:v>33345</x:v>
      </x:c>
      <x:c r="S244" s="20" t="n">
        <x:f>IF(AND(A243=A244,D243=D244),S243+R244,R244)</x:f>
        <x:v>100035</x:v>
      </x:c>
      <x:c r="T244" s="20" t="n">
        <x:f>MIN(S244,INDEX(Inputs!$B$20:$D$20,1,MATCH(A244,Inputs!$B$6:$D$6,0)))*INDEX(Inputs!$B$22:$D$22,1,MATCH(A244,Inputs!$B$6:$D$6,0))+MAX(MIN(S244,INDEX(Inputs!$B$21:$D$21,1,MATCH(A244,Inputs!$B$6:$D$6,0)))-INDEX(Inputs!$B$20:$D$20,1,MATCH(A244,Inputs!$B$6:$D$6,0)),0)*INDEX(Inputs!$B$23:$D$23,1,MATCH(A244,Inputs!$B$6:$D$6,0))+MAX(S244-INDEX(Inputs!$B$21:$D$21,1,MATCH(A244,Inputs!$B$6:$D$6,0)),0)*INDEX(Inputs!$B$24:$D$24,1,MATCH(A244,Inputs!$B$6:$D$6,0))</x:f>
        <x:v>8142.6775</x:v>
      </x:c>
      <x:c r="U244" s="20" t="n">
        <x:f>IF(AND(A243=A244,D243=D244),T243,0)</x:f>
        <x:v>5591.785</x:v>
      </x:c>
      <x:c r="V244" s="20" t="n">
        <x:f>T244-U244</x:f>
        <x:v>2550.8925</x:v>
      </x:c>
      <x:c r="W244" s="20" t="n">
        <x:f>R244+V244</x:f>
        <x:v>35895.8925</x:v>
      </x:c>
      <x:c r="X244" s="14" t="str">
        <x:f>IF(ABS(W244-SUM(M244:Q244)-V244)&lt;0.01,"OK","Check")</x:f>
        <x:v>OK</x:v>
      </x:c>
    </x:row>
    <x:row r="245">
      <x:c r="A245" s="14" t="n">
        <x:v>2026</x:v>
      </x:c>
      <x:c r="B245" s="14" t="str">
        <x:v>Q4</x:v>
      </x:c>
      <x:c r="C245" s="14" t="n">
        <x:v>4</x:v>
      </x:c>
      <x:c r="D245" s="14" t="n">
        <x:v>60</x:v>
      </x:c>
      <x:c r="E245" s="14" t="str">
        <x:f>INDEX(Roster!$B$6:$B$108,MATCH(D245,Roster!$A$6:$A$108,0))</x:f>
      </x:c>
      <x:c r="F245" s="14" t="str">
        <x:f>INDEX(Roster!$F$6:$F$108,MATCH(D245,Roster!$A$6:$A$108,0))</x:f>
        <x:v>No</x:v>
      </x:c>
      <x:c r="G245" s="14" t="n">
        <x:f>INDEX(Inputs!$B$7:$D$7,1,MATCH(A245,Inputs!$B$6:$D$6,0))</x:f>
        <x:v>13</x:v>
      </x:c>
      <x:c r="H245" s="14" t="n">
        <x:f>MIN(=INDEX(Inputs!$B$7:$D$7,1,MATCH(A245,Inputs!$B$6:$D$6,0)),MAX(0,INDEX(Inputs!$B$14:$D$14,1,MATCH(A245,Inputs!$B$6:$D$6,0))-(C245-1)*=INDEX(Inputs!$B$7:$D$7,1,MATCH(A245,Inputs!$B$6:$D$6,0))))</x:f>
        <x:v>0</x:v>
      </x:c>
      <x:c r="I245" s="20" t="n">
        <x:f>INDEX(Inputs!$B$8:$D$8,1,MATCH(A245,Inputs!$B$6:$D$6,0))</x:f>
        <x:v>2395</x:v>
      </x:c>
      <x:c r="J245" s="20" t="n">
        <x:f>INDEX(Roster!$C$6:$C$108,MATCH(D245,Roster!$A$6:$A$108,0))*(1+INDEX(Inputs!$B$9:$D$9,1,MATCH(A245,Inputs!$B$6:$D$6,0)))</x:f>
        <x:v>50</x:v>
      </x:c>
      <x:c r="K245" s="20" t="n">
        <x:f>IF(=INDEX(Roster!$F$6:$F$108,MATCH(D245,Roster!$A$6:$A$108,0))="Yes",0,=INDEX(Inputs!$B$8:$D$8,1,MATCH(A245,Inputs!$B$6:$D$6,0))*IF(=INDEX(Roster!$B$6:$B$108,MATCH(D245,Roster!$A$6:$A$108,0))="Principal",INDEX(Inputs!$B$10:$D$10,1,MATCH(A245,Inputs!$B$6:$D$6,0)),IF(=INDEX(Roster!$B$6:$B$108,MATCH(D245,Roster!$A$6:$A$108,0))="Associate Principal",INDEX(Inputs!$B$11:$D$11,1,MATCH(A245,Inputs!$B$6:$D$6,0)),IF(=INDEX(Roster!$B$6:$B$108,MATCH(D245,Roster!$A$6:$A$108,0))="Assistant Principal",INDEX(Inputs!$B$12:$D$12,1,MATCH(A245,Inputs!$B$6:$D$6,0)),0))))</x:f>
        <x:v>0</x:v>
      </x:c>
      <x:c r="L245" s="20" t="n">
        <x:f>IF(INDEX(Roster!$D$6:$D$108,MATCH(D245,Roster!$A$6:$A$108,0))&gt;=25,INDEX(Inputs!$B$19:$D$19,1,MATCH(A245,Inputs!$B$6:$D$6,0)),IF(INDEX(Roster!$D$6:$D$108,MATCH(D245,Roster!$A$6:$A$108,0))&gt;=20,INDEX(Inputs!$B$18:$D$18,1,MATCH(A245,Inputs!$B$6:$D$6,0)),IF(INDEX(Roster!$D$6:$D$108,MATCH(D245,Roster!$A$6:$A$108,0))&gt;=15,INDEX(Inputs!$B$17:$D$17,1,MATCH(A245,Inputs!$B$6:$D$6,0)),IF(INDEX(Roster!$D$6:$D$108,MATCH(D245,Roster!$A$6:$A$108,0))&gt;=10,INDEX(Inputs!$B$16:$D$16,1,MATCH(A245,Inputs!$B$6:$D$6,0)),IF(INDEX(Roster!$D$6:$D$108,MATCH(D245,Roster!$A$6:$A$108,0))&gt;=5,INDEX(Inputs!$B$15:$D$15,1,MATCH(A245,Inputs!$B$6:$D$6,0)),0)))))</x:f>
        <x:v>90</x:v>
      </x:c>
      <x:c r="M245" s="20" t="n">
        <x:f>G245*I245</x:f>
        <x:v>31135</x:v>
      </x:c>
      <x:c r="N245" s="20" t="n">
        <x:f>G245*J245</x:f>
        <x:v>650</x:v>
      </x:c>
      <x:c r="O245" s="20" t="n">
        <x:f>G245*K245</x:f>
        <x:v>0</x:v>
      </x:c>
      <x:c r="P245" s="20" t="n">
        <x:f>G245*L245</x:f>
        <x:v>1170</x:v>
      </x:c>
      <x:c r="Q245" s="20" t="n">
        <x:f>H245*INDEX(Inputs!$B$13:$D$13,1,MATCH(A245,Inputs!$B$6:$D$6,0))</x:f>
        <x:v>0</x:v>
      </x:c>
      <x:c r="R245" s="20" t="n">
        <x:f>SUM(M245:Q245)</x:f>
        <x:v>32955</x:v>
      </x:c>
      <x:c r="S245" s="20" t="n">
        <x:f>IF(AND(A244=A245,D244=D245),S244+R245,R245)</x:f>
        <x:v>132990</x:v>
      </x:c>
      <x:c r="T245" s="20" t="n">
        <x:f>MIN(S245,INDEX(Inputs!$B$20:$D$20,1,MATCH(A245,Inputs!$B$6:$D$6,0)))*INDEX(Inputs!$B$22:$D$22,1,MATCH(A245,Inputs!$B$6:$D$6,0))+MAX(MIN(S245,INDEX(Inputs!$B$21:$D$21,1,MATCH(A245,Inputs!$B$6:$D$6,0)))-INDEX(Inputs!$B$20:$D$20,1,MATCH(A245,Inputs!$B$6:$D$6,0)),0)*INDEX(Inputs!$B$23:$D$23,1,MATCH(A245,Inputs!$B$6:$D$6,0))+MAX(S245-INDEX(Inputs!$B$21:$D$21,1,MATCH(A245,Inputs!$B$6:$D$6,0)),0)*INDEX(Inputs!$B$24:$D$24,1,MATCH(A245,Inputs!$B$6:$D$6,0))</x:f>
        <x:v>9842.297</x:v>
      </x:c>
      <x:c r="U245" s="20" t="n">
        <x:f>IF(AND(A244=A245,D244=D245),T244,0)</x:f>
        <x:v>8142.6775</x:v>
      </x:c>
      <x:c r="V245" s="20" t="n">
        <x:f>T245-U245</x:f>
        <x:v>1699.6195000000007</x:v>
      </x:c>
      <x:c r="W245" s="20" t="n">
        <x:f>R245+V245</x:f>
        <x:v>34654.6195</x:v>
      </x:c>
      <x:c r="X245" s="14" t="str">
        <x:f>IF(ABS(W245-SUM(M245:Q245)-V245)&lt;0.01,"OK","Check")</x:f>
        <x:v>OK</x:v>
      </x:c>
    </x:row>
    <x:row r="246">
      <x:c r="A246" s="14" t="n">
        <x:v>2026</x:v>
      </x:c>
      <x:c r="B246" s="14" t="str">
        <x:v>Q1</x:v>
      </x:c>
      <x:c r="C246" s="14" t="n">
        <x:v>1</x:v>
      </x:c>
      <x:c r="D246" s="14" t="n">
        <x:v>61</x:v>
      </x:c>
      <x:c r="E246" s="14" t="str">
        <x:f>INDEX(Roster!$B$6:$B$108,MATCH(D246,Roster!$A$6:$A$108,0))</x:f>
        <x:v>Associate Principal</x:v>
      </x:c>
      <x:c r="F246" s="14" t="str">
        <x:f>INDEX(Roster!$F$6:$F$108,MATCH(D246,Roster!$A$6:$A$108,0))</x:f>
        <x:v>No</x:v>
      </x:c>
      <x:c r="G246" s="14" t="n">
        <x:f>INDEX(Inputs!$B$7:$D$7,1,MATCH(A246,Inputs!$B$6:$D$6,0))</x:f>
        <x:v>13</x:v>
      </x:c>
      <x:c r="H246" s="14" t="n">
        <x:f>MIN(=INDEX(Inputs!$B$7:$D$7,1,MATCH(A246,Inputs!$B$6:$D$6,0)),MAX(0,INDEX(Inputs!$B$14:$D$14,1,MATCH(A246,Inputs!$B$6:$D$6,0))-(C246-1)*=INDEX(Inputs!$B$7:$D$7,1,MATCH(A246,Inputs!$B$6:$D$6,0))))</x:f>
        <x:v>13</x:v>
      </x:c>
      <x:c r="I246" s="20" t="n">
        <x:f>INDEX(Inputs!$B$8:$D$8,1,MATCH(A246,Inputs!$B$6:$D$6,0))</x:f>
        <x:v>2395</x:v>
      </x:c>
      <x:c r="J246" s="20" t="n">
        <x:f>INDEX(Roster!$C$6:$C$108,MATCH(D246,Roster!$A$6:$A$108,0))*(1+INDEX(Inputs!$B$9:$D$9,1,MATCH(A246,Inputs!$B$6:$D$6,0)))</x:f>
        <x:v>450</x:v>
      </x:c>
      <x:c r="K246" s="20" t="n">
        <x:f>IF(=INDEX(Roster!$F$6:$F$108,MATCH(D246,Roster!$A$6:$A$108,0))="Yes",0,=INDEX(Inputs!$B$8:$D$8,1,MATCH(A246,Inputs!$B$6:$D$6,0))*IF(=INDEX(Roster!$B$6:$B$108,MATCH(D246,Roster!$A$6:$A$108,0))="Principal",INDEX(Inputs!$B$10:$D$10,1,MATCH(A246,Inputs!$B$6:$D$6,0)),IF(=INDEX(Roster!$B$6:$B$108,MATCH(D246,Roster!$A$6:$A$108,0))="Associate Principal",INDEX(Inputs!$B$11:$D$11,1,MATCH(A246,Inputs!$B$6:$D$6,0)),IF(=INDEX(Roster!$B$6:$B$108,MATCH(D246,Roster!$A$6:$A$108,0))="Assistant Principal",INDEX(Inputs!$B$12:$D$12,1,MATCH(A246,Inputs!$B$6:$D$6,0)),0))))</x:f>
        <x:v>239.5</x:v>
      </x:c>
      <x:c r="L246" s="20" t="n">
        <x:f>IF(INDEX(Roster!$D$6:$D$108,MATCH(D246,Roster!$A$6:$A$108,0))&gt;=25,INDEX(Inputs!$B$19:$D$19,1,MATCH(A246,Inputs!$B$6:$D$6,0)),IF(INDEX(Roster!$D$6:$D$108,MATCH(D246,Roster!$A$6:$A$108,0))&gt;=20,INDEX(Inputs!$B$18:$D$18,1,MATCH(A246,Inputs!$B$6:$D$6,0)),IF(INDEX(Roster!$D$6:$D$108,MATCH(D246,Roster!$A$6:$A$108,0))&gt;=15,INDEX(Inputs!$B$17:$D$17,1,MATCH(A246,Inputs!$B$6:$D$6,0)),IF(INDEX(Roster!$D$6:$D$108,MATCH(D246,Roster!$A$6:$A$108,0))&gt;=10,INDEX(Inputs!$B$16:$D$16,1,MATCH(A246,Inputs!$B$6:$D$6,0)),IF(INDEX(Roster!$D$6:$D$108,MATCH(D246,Roster!$A$6:$A$108,0))&gt;=5,INDEX(Inputs!$B$15:$D$15,1,MATCH(A246,Inputs!$B$6:$D$6,0)),0)))))</x:f>
        <x:v>90</x:v>
      </x:c>
      <x:c r="M246" s="20" t="n">
        <x:f>G246*I246</x:f>
        <x:v>31135</x:v>
      </x:c>
      <x:c r="N246" s="20" t="n">
        <x:f>G246*J246</x:f>
        <x:v>5850</x:v>
      </x:c>
      <x:c r="O246" s="20" t="n">
        <x:f>G246*K246</x:f>
        <x:v>3113.5</x:v>
      </x:c>
      <x:c r="P246" s="20" t="n">
        <x:f>G246*L246</x:f>
        <x:v>1170</x:v>
      </x:c>
      <x:c r="Q246" s="20" t="n">
        <x:f>H246*INDEX(Inputs!$B$13:$D$13,1,MATCH(A246,Inputs!$B$6:$D$6,0))</x:f>
        <x:v>390</x:v>
      </x:c>
      <x:c r="R246" s="20" t="n">
        <x:f>SUM(M246:Q246)</x:f>
        <x:v>41658.5</x:v>
      </x:c>
      <x:c r="S246" s="20" t="n">
        <x:f>IF(AND(A245=A246,D245=D246),S245+R246,R246)</x:f>
        <x:v>41658.5</x:v>
      </x:c>
      <x:c r="T246" s="20" t="n">
        <x:f>MIN(S246,INDEX(Inputs!$B$20:$D$20,1,MATCH(A246,Inputs!$B$6:$D$6,0)))*INDEX(Inputs!$B$22:$D$22,1,MATCH(A246,Inputs!$B$6:$D$6,0))+MAX(MIN(S246,INDEX(Inputs!$B$21:$D$21,1,MATCH(A246,Inputs!$B$6:$D$6,0)))-INDEX(Inputs!$B$20:$D$20,1,MATCH(A246,Inputs!$B$6:$D$6,0)),0)*INDEX(Inputs!$B$23:$D$23,1,MATCH(A246,Inputs!$B$6:$D$6,0))+MAX(S246-INDEX(Inputs!$B$21:$D$21,1,MATCH(A246,Inputs!$B$6:$D$6,0)),0)*INDEX(Inputs!$B$24:$D$24,1,MATCH(A246,Inputs!$B$6:$D$6,0))</x:f>
        <x:v>3676.87525</x:v>
      </x:c>
      <x:c r="U246" s="20" t="n">
        <x:f>IF(AND(A245=A246,D245=D246),T245,0)</x:f>
        <x:v>0</x:v>
      </x:c>
      <x:c r="V246" s="20" t="n">
        <x:f>T246-U246</x:f>
        <x:v>3676.87525</x:v>
      </x:c>
      <x:c r="W246" s="20" t="n">
        <x:f>R246+V246</x:f>
        <x:v>45335.37525</x:v>
      </x:c>
      <x:c r="X246" s="14" t="str">
        <x:f>IF(ABS(W246-SUM(M246:Q246)-V246)&lt;0.01,"OK","Check")</x:f>
        <x:v>OK</x:v>
      </x:c>
    </x:row>
    <x:row r="247">
      <x:c r="A247" s="14" t="n">
        <x:v>2026</x:v>
      </x:c>
      <x:c r="B247" s="14" t="str">
        <x:v>Q2</x:v>
      </x:c>
      <x:c r="C247" s="14" t="n">
        <x:v>2</x:v>
      </x:c>
      <x:c r="D247" s="14" t="n">
        <x:v>61</x:v>
      </x:c>
      <x:c r="E247" s="14" t="str">
        <x:f>INDEX(Roster!$B$6:$B$108,MATCH(D247,Roster!$A$6:$A$108,0))</x:f>
        <x:v>Associate Principal</x:v>
      </x:c>
      <x:c r="F247" s="14" t="str">
        <x:f>INDEX(Roster!$F$6:$F$108,MATCH(D247,Roster!$A$6:$A$108,0))</x:f>
        <x:v>No</x:v>
      </x:c>
      <x:c r="G247" s="14" t="n">
        <x:f>INDEX(Inputs!$B$7:$D$7,1,MATCH(A247,Inputs!$B$6:$D$6,0))</x:f>
        <x:v>13</x:v>
      </x:c>
      <x:c r="H247" s="14" t="n">
        <x:f>MIN(=INDEX(Inputs!$B$7:$D$7,1,MATCH(A247,Inputs!$B$6:$D$6,0)),MAX(0,INDEX(Inputs!$B$14:$D$14,1,MATCH(A247,Inputs!$B$6:$D$6,0))-(C247-1)*=INDEX(Inputs!$B$7:$D$7,1,MATCH(A247,Inputs!$B$6:$D$6,0))))</x:f>
        <x:v>13</x:v>
      </x:c>
      <x:c r="I247" s="20" t="n">
        <x:f>INDEX(Inputs!$B$8:$D$8,1,MATCH(A247,Inputs!$B$6:$D$6,0))</x:f>
        <x:v>2395</x:v>
      </x:c>
      <x:c r="J247" s="20" t="n">
        <x:f>INDEX(Roster!$C$6:$C$108,MATCH(D247,Roster!$A$6:$A$108,0))*(1+INDEX(Inputs!$B$9:$D$9,1,MATCH(A247,Inputs!$B$6:$D$6,0)))</x:f>
        <x:v>450</x:v>
      </x:c>
      <x:c r="K247" s="20" t="n">
        <x:f>IF(=INDEX(Roster!$F$6:$F$108,MATCH(D247,Roster!$A$6:$A$108,0))="Yes",0,=INDEX(Inputs!$B$8:$D$8,1,MATCH(A247,Inputs!$B$6:$D$6,0))*IF(=INDEX(Roster!$B$6:$B$108,MATCH(D247,Roster!$A$6:$A$108,0))="Principal",INDEX(Inputs!$B$10:$D$10,1,MATCH(A247,Inputs!$B$6:$D$6,0)),IF(=INDEX(Roster!$B$6:$B$108,MATCH(D247,Roster!$A$6:$A$108,0))="Associate Principal",INDEX(Inputs!$B$11:$D$11,1,MATCH(A247,Inputs!$B$6:$D$6,0)),IF(=INDEX(Roster!$B$6:$B$108,MATCH(D247,Roster!$A$6:$A$108,0))="Assistant Principal",INDEX(Inputs!$B$12:$D$12,1,MATCH(A247,Inputs!$B$6:$D$6,0)),0))))</x:f>
        <x:v>239.5</x:v>
      </x:c>
      <x:c r="L247" s="20" t="n">
        <x:f>IF(INDEX(Roster!$D$6:$D$108,MATCH(D247,Roster!$A$6:$A$108,0))&gt;=25,INDEX(Inputs!$B$19:$D$19,1,MATCH(A247,Inputs!$B$6:$D$6,0)),IF(INDEX(Roster!$D$6:$D$108,MATCH(D247,Roster!$A$6:$A$108,0))&gt;=20,INDEX(Inputs!$B$18:$D$18,1,MATCH(A247,Inputs!$B$6:$D$6,0)),IF(INDEX(Roster!$D$6:$D$108,MATCH(D247,Roster!$A$6:$A$108,0))&gt;=15,INDEX(Inputs!$B$17:$D$17,1,MATCH(A247,Inputs!$B$6:$D$6,0)),IF(INDEX(Roster!$D$6:$D$108,MATCH(D247,Roster!$A$6:$A$108,0))&gt;=10,INDEX(Inputs!$B$16:$D$16,1,MATCH(A247,Inputs!$B$6:$D$6,0)),IF(INDEX(Roster!$D$6:$D$108,MATCH(D247,Roster!$A$6:$A$108,0))&gt;=5,INDEX(Inputs!$B$15:$D$15,1,MATCH(A247,Inputs!$B$6:$D$6,0)),0)))))</x:f>
        <x:v>90</x:v>
      </x:c>
      <x:c r="M247" s="20" t="n">
        <x:f>G247*I247</x:f>
        <x:v>31135</x:v>
      </x:c>
      <x:c r="N247" s="20" t="n">
        <x:f>G247*J247</x:f>
        <x:v>5850</x:v>
      </x:c>
      <x:c r="O247" s="20" t="n">
        <x:f>G247*K247</x:f>
        <x:v>3113.5</x:v>
      </x:c>
      <x:c r="P247" s="20" t="n">
        <x:f>G247*L247</x:f>
        <x:v>1170</x:v>
      </x:c>
      <x:c r="Q247" s="20" t="n">
        <x:f>H247*INDEX(Inputs!$B$13:$D$13,1,MATCH(A247,Inputs!$B$6:$D$6,0))</x:f>
        <x:v>390</x:v>
      </x:c>
      <x:c r="R247" s="20" t="n">
        <x:f>SUM(M247:Q247)</x:f>
        <x:v>41658.5</x:v>
      </x:c>
      <x:c r="S247" s="20" t="n">
        <x:f>IF(AND(A246=A247,D246=D247),S246+R247,R247)</x:f>
        <x:v>83317</x:v>
      </x:c>
      <x:c r="T247" s="20" t="n">
        <x:f>MIN(S247,INDEX(Inputs!$B$20:$D$20,1,MATCH(A247,Inputs!$B$6:$D$6,0)))*INDEX(Inputs!$B$22:$D$22,1,MATCH(A247,Inputs!$B$6:$D$6,0))+MAX(MIN(S247,INDEX(Inputs!$B$21:$D$21,1,MATCH(A247,Inputs!$B$6:$D$6,0)))-INDEX(Inputs!$B$20:$D$20,1,MATCH(A247,Inputs!$B$6:$D$6,0)),0)*INDEX(Inputs!$B$23:$D$23,1,MATCH(A247,Inputs!$B$6:$D$6,0))+MAX(S247-INDEX(Inputs!$B$21:$D$21,1,MATCH(A247,Inputs!$B$6:$D$6,0)),0)*INDEX(Inputs!$B$24:$D$24,1,MATCH(A247,Inputs!$B$6:$D$6,0))</x:f>
        <x:v>6863.7505</x:v>
      </x:c>
      <x:c r="U247" s="20" t="n">
        <x:f>IF(AND(A246=A247,D246=D247),T246,0)</x:f>
        <x:v>3676.87525</x:v>
      </x:c>
      <x:c r="V247" s="20" t="n">
        <x:f>T247-U247</x:f>
        <x:v>3186.87525</x:v>
      </x:c>
      <x:c r="W247" s="20" t="n">
        <x:f>R247+V247</x:f>
        <x:v>44845.37525</x:v>
      </x:c>
      <x:c r="X247" s="14" t="str">
        <x:f>IF(ABS(W247-SUM(M247:Q247)-V247)&lt;0.01,"OK","Check")</x:f>
        <x:v>OK</x:v>
      </x:c>
    </x:row>
    <x:row r="248">
      <x:c r="A248" s="14" t="n">
        <x:v>2026</x:v>
      </x:c>
      <x:c r="B248" s="14" t="str">
        <x:v>Q3</x:v>
      </x:c>
      <x:c r="C248" s="14" t="n">
        <x:v>3</x:v>
      </x:c>
      <x:c r="D248" s="14" t="n">
        <x:v>61</x:v>
      </x:c>
      <x:c r="E248" s="14" t="str">
        <x:f>INDEX(Roster!$B$6:$B$108,MATCH(D248,Roster!$A$6:$A$108,0))</x:f>
        <x:v>Associate Principal</x:v>
      </x:c>
      <x:c r="F248" s="14" t="str">
        <x:f>INDEX(Roster!$F$6:$F$108,MATCH(D248,Roster!$A$6:$A$108,0))</x:f>
        <x:v>No</x:v>
      </x:c>
      <x:c r="G248" s="14" t="n">
        <x:f>INDEX(Inputs!$B$7:$D$7,1,MATCH(A248,Inputs!$B$6:$D$6,0))</x:f>
        <x:v>13</x:v>
      </x:c>
      <x:c r="H248" s="14" t="n">
        <x:f>MIN(=INDEX(Inputs!$B$7:$D$7,1,MATCH(A248,Inputs!$B$6:$D$6,0)),MAX(0,INDEX(Inputs!$B$14:$D$14,1,MATCH(A248,Inputs!$B$6:$D$6,0))-(C248-1)*=INDEX(Inputs!$B$7:$D$7,1,MATCH(A248,Inputs!$B$6:$D$6,0))))</x:f>
        <x:v>13</x:v>
      </x:c>
      <x:c r="I248" s="20" t="n">
        <x:f>INDEX(Inputs!$B$8:$D$8,1,MATCH(A248,Inputs!$B$6:$D$6,0))</x:f>
        <x:v>2395</x:v>
      </x:c>
      <x:c r="J248" s="20" t="n">
        <x:f>INDEX(Roster!$C$6:$C$108,MATCH(D248,Roster!$A$6:$A$108,0))*(1+INDEX(Inputs!$B$9:$D$9,1,MATCH(A248,Inputs!$B$6:$D$6,0)))</x:f>
        <x:v>450</x:v>
      </x:c>
      <x:c r="K248" s="20" t="n">
        <x:f>IF(=INDEX(Roster!$F$6:$F$108,MATCH(D248,Roster!$A$6:$A$108,0))="Yes",0,=INDEX(Inputs!$B$8:$D$8,1,MATCH(A248,Inputs!$B$6:$D$6,0))*IF(=INDEX(Roster!$B$6:$B$108,MATCH(D248,Roster!$A$6:$A$108,0))="Principal",INDEX(Inputs!$B$10:$D$10,1,MATCH(A248,Inputs!$B$6:$D$6,0)),IF(=INDEX(Roster!$B$6:$B$108,MATCH(D248,Roster!$A$6:$A$108,0))="Associate Principal",INDEX(Inputs!$B$11:$D$11,1,MATCH(A248,Inputs!$B$6:$D$6,0)),IF(=INDEX(Roster!$B$6:$B$108,MATCH(D248,Roster!$A$6:$A$108,0))="Assistant Principal",INDEX(Inputs!$B$12:$D$12,1,MATCH(A248,Inputs!$B$6:$D$6,0)),0))))</x:f>
        <x:v>239.5</x:v>
      </x:c>
      <x:c r="L248" s="20" t="n">
        <x:f>IF(INDEX(Roster!$D$6:$D$108,MATCH(D248,Roster!$A$6:$A$108,0))&gt;=25,INDEX(Inputs!$B$19:$D$19,1,MATCH(A248,Inputs!$B$6:$D$6,0)),IF(INDEX(Roster!$D$6:$D$108,MATCH(D248,Roster!$A$6:$A$108,0))&gt;=20,INDEX(Inputs!$B$18:$D$18,1,MATCH(A248,Inputs!$B$6:$D$6,0)),IF(INDEX(Roster!$D$6:$D$108,MATCH(D248,Roster!$A$6:$A$108,0))&gt;=15,INDEX(Inputs!$B$17:$D$17,1,MATCH(A248,Inputs!$B$6:$D$6,0)),IF(INDEX(Roster!$D$6:$D$108,MATCH(D248,Roster!$A$6:$A$108,0))&gt;=10,INDEX(Inputs!$B$16:$D$16,1,MATCH(A248,Inputs!$B$6:$D$6,0)),IF(INDEX(Roster!$D$6:$D$108,MATCH(D248,Roster!$A$6:$A$108,0))&gt;=5,INDEX(Inputs!$B$15:$D$15,1,MATCH(A248,Inputs!$B$6:$D$6,0)),0)))))</x:f>
        <x:v>90</x:v>
      </x:c>
      <x:c r="M248" s="20" t="n">
        <x:f>G248*I248</x:f>
        <x:v>31135</x:v>
      </x:c>
      <x:c r="N248" s="20" t="n">
        <x:f>G248*J248</x:f>
        <x:v>5850</x:v>
      </x:c>
      <x:c r="O248" s="20" t="n">
        <x:f>G248*K248</x:f>
        <x:v>3113.5</x:v>
      </x:c>
      <x:c r="P248" s="20" t="n">
        <x:f>G248*L248</x:f>
        <x:v>1170</x:v>
      </x:c>
      <x:c r="Q248" s="20" t="n">
        <x:f>H248*INDEX(Inputs!$B$13:$D$13,1,MATCH(A248,Inputs!$B$6:$D$6,0))</x:f>
        <x:v>390</x:v>
      </x:c>
      <x:c r="R248" s="20" t="n">
        <x:f>SUM(M248:Q248)</x:f>
        <x:v>41658.5</x:v>
      </x:c>
      <x:c r="S248" s="20" t="n">
        <x:f>IF(AND(A247=A248,D247=D248),S247+R248,R248)</x:f>
        <x:v>124975.5</x:v>
      </x:c>
      <x:c r="T248" s="20" t="n">
        <x:f>MIN(S248,INDEX(Inputs!$B$20:$D$20,1,MATCH(A248,Inputs!$B$6:$D$6,0)))*INDEX(Inputs!$B$22:$D$22,1,MATCH(A248,Inputs!$B$6:$D$6,0))+MAX(MIN(S248,INDEX(Inputs!$B$21:$D$21,1,MATCH(A248,Inputs!$B$6:$D$6,0)))-INDEX(Inputs!$B$20:$D$20,1,MATCH(A248,Inputs!$B$6:$D$6,0)),0)*INDEX(Inputs!$B$23:$D$23,1,MATCH(A248,Inputs!$B$6:$D$6,0))+MAX(S248-INDEX(Inputs!$B$21:$D$21,1,MATCH(A248,Inputs!$B$6:$D$6,0)),0)*INDEX(Inputs!$B$24:$D$24,1,MATCH(A248,Inputs!$B$6:$D$6,0))</x:f>
        <x:v>9726.08675</x:v>
      </x:c>
      <x:c r="U248" s="20" t="n">
        <x:f>IF(AND(A247=A248,D247=D248),T247,0)</x:f>
        <x:v>6863.7505</x:v>
      </x:c>
      <x:c r="V248" s="20" t="n">
        <x:f>T248-U248</x:f>
        <x:v>2862.3362500000003</x:v>
      </x:c>
      <x:c r="W248" s="20" t="n">
        <x:f>R248+V248</x:f>
        <x:v>44520.83625</x:v>
      </x:c>
      <x:c r="X248" s="14" t="str">
        <x:f>IF(ABS(W248-SUM(M248:Q248)-V248)&lt;0.01,"OK","Check")</x:f>
        <x:v>OK</x:v>
      </x:c>
    </x:row>
    <x:row r="249">
      <x:c r="A249" s="14" t="n">
        <x:v>2026</x:v>
      </x:c>
      <x:c r="B249" s="14" t="str">
        <x:v>Q4</x:v>
      </x:c>
      <x:c r="C249" s="14" t="n">
        <x:v>4</x:v>
      </x:c>
      <x:c r="D249" s="14" t="n">
        <x:v>61</x:v>
      </x:c>
      <x:c r="E249" s="14" t="str">
        <x:f>INDEX(Roster!$B$6:$B$108,MATCH(D249,Roster!$A$6:$A$108,0))</x:f>
        <x:v>Associate Principal</x:v>
      </x:c>
      <x:c r="F249" s="14" t="str">
        <x:f>INDEX(Roster!$F$6:$F$108,MATCH(D249,Roster!$A$6:$A$108,0))</x:f>
        <x:v>No</x:v>
      </x:c>
      <x:c r="G249" s="14" t="n">
        <x:f>INDEX(Inputs!$B$7:$D$7,1,MATCH(A249,Inputs!$B$6:$D$6,0))</x:f>
        <x:v>13</x:v>
      </x:c>
      <x:c r="H249" s="14" t="n">
        <x:f>MIN(=INDEX(Inputs!$B$7:$D$7,1,MATCH(A249,Inputs!$B$6:$D$6,0)),MAX(0,INDEX(Inputs!$B$14:$D$14,1,MATCH(A249,Inputs!$B$6:$D$6,0))-(C249-1)*=INDEX(Inputs!$B$7:$D$7,1,MATCH(A249,Inputs!$B$6:$D$6,0))))</x:f>
        <x:v>0</x:v>
      </x:c>
      <x:c r="I249" s="20" t="n">
        <x:f>INDEX(Inputs!$B$8:$D$8,1,MATCH(A249,Inputs!$B$6:$D$6,0))</x:f>
        <x:v>2395</x:v>
      </x:c>
      <x:c r="J249" s="20" t="n">
        <x:f>INDEX(Roster!$C$6:$C$108,MATCH(D249,Roster!$A$6:$A$108,0))*(1+INDEX(Inputs!$B$9:$D$9,1,MATCH(A249,Inputs!$B$6:$D$6,0)))</x:f>
        <x:v>450</x:v>
      </x:c>
      <x:c r="K249" s="20" t="n">
        <x:f>IF(=INDEX(Roster!$F$6:$F$108,MATCH(D249,Roster!$A$6:$A$108,0))="Yes",0,=INDEX(Inputs!$B$8:$D$8,1,MATCH(A249,Inputs!$B$6:$D$6,0))*IF(=INDEX(Roster!$B$6:$B$108,MATCH(D249,Roster!$A$6:$A$108,0))="Principal",INDEX(Inputs!$B$10:$D$10,1,MATCH(A249,Inputs!$B$6:$D$6,0)),IF(=INDEX(Roster!$B$6:$B$108,MATCH(D249,Roster!$A$6:$A$108,0))="Associate Principal",INDEX(Inputs!$B$11:$D$11,1,MATCH(A249,Inputs!$B$6:$D$6,0)),IF(=INDEX(Roster!$B$6:$B$108,MATCH(D249,Roster!$A$6:$A$108,0))="Assistant Principal",INDEX(Inputs!$B$12:$D$12,1,MATCH(A249,Inputs!$B$6:$D$6,0)),0))))</x:f>
        <x:v>239.5</x:v>
      </x:c>
      <x:c r="L249" s="20" t="n">
        <x:f>IF(INDEX(Roster!$D$6:$D$108,MATCH(D249,Roster!$A$6:$A$108,0))&gt;=25,INDEX(Inputs!$B$19:$D$19,1,MATCH(A249,Inputs!$B$6:$D$6,0)),IF(INDEX(Roster!$D$6:$D$108,MATCH(D249,Roster!$A$6:$A$108,0))&gt;=20,INDEX(Inputs!$B$18:$D$18,1,MATCH(A249,Inputs!$B$6:$D$6,0)),IF(INDEX(Roster!$D$6:$D$108,MATCH(D249,Roster!$A$6:$A$108,0))&gt;=15,INDEX(Inputs!$B$17:$D$17,1,MATCH(A249,Inputs!$B$6:$D$6,0)),IF(INDEX(Roster!$D$6:$D$108,MATCH(D249,Roster!$A$6:$A$108,0))&gt;=10,INDEX(Inputs!$B$16:$D$16,1,MATCH(A249,Inputs!$B$6:$D$6,0)),IF(INDEX(Roster!$D$6:$D$108,MATCH(D249,Roster!$A$6:$A$108,0))&gt;=5,INDEX(Inputs!$B$15:$D$15,1,MATCH(A249,Inputs!$B$6:$D$6,0)),0)))))</x:f>
        <x:v>90</x:v>
      </x:c>
      <x:c r="M249" s="20" t="n">
        <x:f>G249*I249</x:f>
        <x:v>31135</x:v>
      </x:c>
      <x:c r="N249" s="20" t="n">
        <x:f>G249*J249</x:f>
        <x:v>5850</x:v>
      </x:c>
      <x:c r="O249" s="20" t="n">
        <x:f>G249*K249</x:f>
        <x:v>3113.5</x:v>
      </x:c>
      <x:c r="P249" s="20" t="n">
        <x:f>G249*L249</x:f>
        <x:v>1170</x:v>
      </x:c>
      <x:c r="Q249" s="20" t="n">
        <x:f>H249*INDEX(Inputs!$B$13:$D$13,1,MATCH(A249,Inputs!$B$6:$D$6,0))</x:f>
        <x:v>0</x:v>
      </x:c>
      <x:c r="R249" s="20" t="n">
        <x:f>SUM(M249:Q249)</x:f>
        <x:v>41268.5</x:v>
      </x:c>
      <x:c r="S249" s="20" t="n">
        <x:f>IF(AND(A248=A249,D248=D249),S248+R249,R249)</x:f>
        <x:v>166244</x:v>
      </x:c>
      <x:c r="T249" s="20" t="n">
        <x:f>MIN(S249,INDEX(Inputs!$B$20:$D$20,1,MATCH(A249,Inputs!$B$6:$D$6,0)))*INDEX(Inputs!$B$22:$D$22,1,MATCH(A249,Inputs!$B$6:$D$6,0))+MAX(MIN(S249,INDEX(Inputs!$B$21:$D$21,1,MATCH(A249,Inputs!$B$6:$D$6,0)))-INDEX(Inputs!$B$20:$D$20,1,MATCH(A249,Inputs!$B$6:$D$6,0)),0)*INDEX(Inputs!$B$23:$D$23,1,MATCH(A249,Inputs!$B$6:$D$6,0))+MAX(S249-INDEX(Inputs!$B$21:$D$21,1,MATCH(A249,Inputs!$B$6:$D$6,0)),0)*INDEX(Inputs!$B$24:$D$24,1,MATCH(A249,Inputs!$B$6:$D$6,0))</x:f>
        <x:v>10324.48</x:v>
      </x:c>
      <x:c r="U249" s="20" t="n">
        <x:f>IF(AND(A248=A249,D248=D249),T248,0)</x:f>
        <x:v>9726.08675</x:v>
      </x:c>
      <x:c r="V249" s="20" t="n">
        <x:f>T249-U249</x:f>
        <x:v>598.3932499999992</x:v>
      </x:c>
      <x:c r="W249" s="20" t="n">
        <x:f>R249+V249</x:f>
        <x:v>41866.89325</x:v>
      </x:c>
      <x:c r="X249" s="14" t="str">
        <x:f>IF(ABS(W249-SUM(M249:Q249)-V249)&lt;0.01,"OK","Check")</x:f>
        <x:v>OK</x:v>
      </x:c>
    </x:row>
    <x:row r="250">
      <x:c r="A250" s="14" t="n">
        <x:v>2026</x:v>
      </x:c>
      <x:c r="B250" s="14" t="str">
        <x:v>Q1</x:v>
      </x:c>
      <x:c r="C250" s="14" t="n">
        <x:v>1</x:v>
      </x:c>
      <x:c r="D250" s="14" t="n">
        <x:v>62</x:v>
      </x:c>
      <x:c r="E250" s="14" t="str">
        <x:f>INDEX(Roster!$B$6:$B$108,MATCH(D250,Roster!$A$6:$A$108,0))</x:f>
      </x:c>
      <x:c r="F250" s="14" t="str">
        <x:f>INDEX(Roster!$F$6:$F$108,MATCH(D250,Roster!$A$6:$A$108,0))</x:f>
        <x:v>No</x:v>
      </x:c>
      <x:c r="G250" s="14" t="n">
        <x:f>INDEX(Inputs!$B$7:$D$7,1,MATCH(A250,Inputs!$B$6:$D$6,0))</x:f>
        <x:v>13</x:v>
      </x:c>
      <x:c r="H250" s="14" t="n">
        <x:f>MIN(=INDEX(Inputs!$B$7:$D$7,1,MATCH(A250,Inputs!$B$6:$D$6,0)),MAX(0,INDEX(Inputs!$B$14:$D$14,1,MATCH(A250,Inputs!$B$6:$D$6,0))-(C250-1)*=INDEX(Inputs!$B$7:$D$7,1,MATCH(A250,Inputs!$B$6:$D$6,0))))</x:f>
        <x:v>13</x:v>
      </x:c>
      <x:c r="I250" s="20" t="n">
        <x:f>INDEX(Inputs!$B$8:$D$8,1,MATCH(A250,Inputs!$B$6:$D$6,0))</x:f>
        <x:v>2395</x:v>
      </x:c>
      <x:c r="J250" s="20" t="n">
        <x:f>INDEX(Roster!$C$6:$C$108,MATCH(D250,Roster!$A$6:$A$108,0))*(1+INDEX(Inputs!$B$9:$D$9,1,MATCH(A250,Inputs!$B$6:$D$6,0)))</x:f>
        <x:v>50</x:v>
      </x:c>
      <x:c r="K250" s="20" t="n">
        <x:f>IF(=INDEX(Roster!$F$6:$F$108,MATCH(D250,Roster!$A$6:$A$108,0))="Yes",0,=INDEX(Inputs!$B$8:$D$8,1,MATCH(A250,Inputs!$B$6:$D$6,0))*IF(=INDEX(Roster!$B$6:$B$108,MATCH(D250,Roster!$A$6:$A$108,0))="Principal",INDEX(Inputs!$B$10:$D$10,1,MATCH(A250,Inputs!$B$6:$D$6,0)),IF(=INDEX(Roster!$B$6:$B$108,MATCH(D250,Roster!$A$6:$A$108,0))="Associate Principal",INDEX(Inputs!$B$11:$D$11,1,MATCH(A250,Inputs!$B$6:$D$6,0)),IF(=INDEX(Roster!$B$6:$B$108,MATCH(D250,Roster!$A$6:$A$108,0))="Assistant Principal",INDEX(Inputs!$B$12:$D$12,1,MATCH(A250,Inputs!$B$6:$D$6,0)),0))))</x:f>
        <x:v>0</x:v>
      </x:c>
      <x:c r="L250" s="20" t="n">
        <x:f>IF(INDEX(Roster!$D$6:$D$108,MATCH(D250,Roster!$A$6:$A$108,0))&gt;=25,INDEX(Inputs!$B$19:$D$19,1,MATCH(A250,Inputs!$B$6:$D$6,0)),IF(INDEX(Roster!$D$6:$D$108,MATCH(D250,Roster!$A$6:$A$108,0))&gt;=20,INDEX(Inputs!$B$18:$D$18,1,MATCH(A250,Inputs!$B$6:$D$6,0)),IF(INDEX(Roster!$D$6:$D$108,MATCH(D250,Roster!$A$6:$A$108,0))&gt;=15,INDEX(Inputs!$B$17:$D$17,1,MATCH(A250,Inputs!$B$6:$D$6,0)),IF(INDEX(Roster!$D$6:$D$108,MATCH(D250,Roster!$A$6:$A$108,0))&gt;=10,INDEX(Inputs!$B$16:$D$16,1,MATCH(A250,Inputs!$B$6:$D$6,0)),IF(INDEX(Roster!$D$6:$D$108,MATCH(D250,Roster!$A$6:$A$108,0))&gt;=5,INDEX(Inputs!$B$15:$D$15,1,MATCH(A250,Inputs!$B$6:$D$6,0)),0)))))</x:f>
        <x:v>90</x:v>
      </x:c>
      <x:c r="M250" s="20" t="n">
        <x:f>G250*I250</x:f>
        <x:v>31135</x:v>
      </x:c>
      <x:c r="N250" s="20" t="n">
        <x:f>G250*J250</x:f>
        <x:v>650</x:v>
      </x:c>
      <x:c r="O250" s="20" t="n">
        <x:f>G250*K250</x:f>
        <x:v>0</x:v>
      </x:c>
      <x:c r="P250" s="20" t="n">
        <x:f>G250*L250</x:f>
        <x:v>1170</x:v>
      </x:c>
      <x:c r="Q250" s="20" t="n">
        <x:f>H250*INDEX(Inputs!$B$13:$D$13,1,MATCH(A250,Inputs!$B$6:$D$6,0))</x:f>
        <x:v>390</x:v>
      </x:c>
      <x:c r="R250" s="20" t="n">
        <x:f>SUM(M250:Q250)</x:f>
        <x:v>33345</x:v>
      </x:c>
      <x:c r="S250" s="20" t="n">
        <x:f>IF(AND(A249=A250,D249=D250),S249+R250,R250)</x:f>
        <x:v>33345</x:v>
      </x:c>
      <x:c r="T250" s="20" t="n">
        <x:f>MIN(S250,INDEX(Inputs!$B$20:$D$20,1,MATCH(A250,Inputs!$B$6:$D$6,0)))*INDEX(Inputs!$B$22:$D$22,1,MATCH(A250,Inputs!$B$6:$D$6,0))+MAX(MIN(S250,INDEX(Inputs!$B$21:$D$21,1,MATCH(A250,Inputs!$B$6:$D$6,0)))-INDEX(Inputs!$B$20:$D$20,1,MATCH(A250,Inputs!$B$6:$D$6,0)),0)*INDEX(Inputs!$B$23:$D$23,1,MATCH(A250,Inputs!$B$6:$D$6,0))+MAX(S250-INDEX(Inputs!$B$21:$D$21,1,MATCH(A250,Inputs!$B$6:$D$6,0)),0)*INDEX(Inputs!$B$24:$D$24,1,MATCH(A250,Inputs!$B$6:$D$6,0))</x:f>
        <x:v>3040.8925</x:v>
      </x:c>
      <x:c r="U250" s="20" t="n">
        <x:f>IF(AND(A249=A250,D249=D250),T249,0)</x:f>
        <x:v>0</x:v>
      </x:c>
      <x:c r="V250" s="20" t="n">
        <x:f>T250-U250</x:f>
        <x:v>3040.8925</x:v>
      </x:c>
      <x:c r="W250" s="20" t="n">
        <x:f>R250+V250</x:f>
        <x:v>36385.8925</x:v>
      </x:c>
      <x:c r="X250" s="14" t="str">
        <x:f>IF(ABS(W250-SUM(M250:Q250)-V250)&lt;0.01,"OK","Check")</x:f>
        <x:v>OK</x:v>
      </x:c>
    </x:row>
    <x:row r="251">
      <x:c r="A251" s="14" t="n">
        <x:v>2026</x:v>
      </x:c>
      <x:c r="B251" s="14" t="str">
        <x:v>Q2</x:v>
      </x:c>
      <x:c r="C251" s="14" t="n">
        <x:v>2</x:v>
      </x:c>
      <x:c r="D251" s="14" t="n">
        <x:v>62</x:v>
      </x:c>
      <x:c r="E251" s="14" t="str">
        <x:f>INDEX(Roster!$B$6:$B$108,MATCH(D251,Roster!$A$6:$A$108,0))</x:f>
      </x:c>
      <x:c r="F251" s="14" t="str">
        <x:f>INDEX(Roster!$F$6:$F$108,MATCH(D251,Roster!$A$6:$A$108,0))</x:f>
        <x:v>No</x:v>
      </x:c>
      <x:c r="G251" s="14" t="n">
        <x:f>INDEX(Inputs!$B$7:$D$7,1,MATCH(A251,Inputs!$B$6:$D$6,0))</x:f>
        <x:v>13</x:v>
      </x:c>
      <x:c r="H251" s="14" t="n">
        <x:f>MIN(=INDEX(Inputs!$B$7:$D$7,1,MATCH(A251,Inputs!$B$6:$D$6,0)),MAX(0,INDEX(Inputs!$B$14:$D$14,1,MATCH(A251,Inputs!$B$6:$D$6,0))-(C251-1)*=INDEX(Inputs!$B$7:$D$7,1,MATCH(A251,Inputs!$B$6:$D$6,0))))</x:f>
        <x:v>13</x:v>
      </x:c>
      <x:c r="I251" s="20" t="n">
        <x:f>INDEX(Inputs!$B$8:$D$8,1,MATCH(A251,Inputs!$B$6:$D$6,0))</x:f>
        <x:v>2395</x:v>
      </x:c>
      <x:c r="J251" s="20" t="n">
        <x:f>INDEX(Roster!$C$6:$C$108,MATCH(D251,Roster!$A$6:$A$108,0))*(1+INDEX(Inputs!$B$9:$D$9,1,MATCH(A251,Inputs!$B$6:$D$6,0)))</x:f>
        <x:v>50</x:v>
      </x:c>
      <x:c r="K251" s="20" t="n">
        <x:f>IF(=INDEX(Roster!$F$6:$F$108,MATCH(D251,Roster!$A$6:$A$108,0))="Yes",0,=INDEX(Inputs!$B$8:$D$8,1,MATCH(A251,Inputs!$B$6:$D$6,0))*IF(=INDEX(Roster!$B$6:$B$108,MATCH(D251,Roster!$A$6:$A$108,0))="Principal",INDEX(Inputs!$B$10:$D$10,1,MATCH(A251,Inputs!$B$6:$D$6,0)),IF(=INDEX(Roster!$B$6:$B$108,MATCH(D251,Roster!$A$6:$A$108,0))="Associate Principal",INDEX(Inputs!$B$11:$D$11,1,MATCH(A251,Inputs!$B$6:$D$6,0)),IF(=INDEX(Roster!$B$6:$B$108,MATCH(D251,Roster!$A$6:$A$108,0))="Assistant Principal",INDEX(Inputs!$B$12:$D$12,1,MATCH(A251,Inputs!$B$6:$D$6,0)),0))))</x:f>
        <x:v>0</x:v>
      </x:c>
      <x:c r="L251" s="20" t="n">
        <x:f>IF(INDEX(Roster!$D$6:$D$108,MATCH(D251,Roster!$A$6:$A$108,0))&gt;=25,INDEX(Inputs!$B$19:$D$19,1,MATCH(A251,Inputs!$B$6:$D$6,0)),IF(INDEX(Roster!$D$6:$D$108,MATCH(D251,Roster!$A$6:$A$108,0))&gt;=20,INDEX(Inputs!$B$18:$D$18,1,MATCH(A251,Inputs!$B$6:$D$6,0)),IF(INDEX(Roster!$D$6:$D$108,MATCH(D251,Roster!$A$6:$A$108,0))&gt;=15,INDEX(Inputs!$B$17:$D$17,1,MATCH(A251,Inputs!$B$6:$D$6,0)),IF(INDEX(Roster!$D$6:$D$108,MATCH(D251,Roster!$A$6:$A$108,0))&gt;=10,INDEX(Inputs!$B$16:$D$16,1,MATCH(A251,Inputs!$B$6:$D$6,0)),IF(INDEX(Roster!$D$6:$D$108,MATCH(D251,Roster!$A$6:$A$108,0))&gt;=5,INDEX(Inputs!$B$15:$D$15,1,MATCH(A251,Inputs!$B$6:$D$6,0)),0)))))</x:f>
        <x:v>90</x:v>
      </x:c>
      <x:c r="M251" s="20" t="n">
        <x:f>G251*I251</x:f>
        <x:v>31135</x:v>
      </x:c>
      <x:c r="N251" s="20" t="n">
        <x:f>G251*J251</x:f>
        <x:v>650</x:v>
      </x:c>
      <x:c r="O251" s="20" t="n">
        <x:f>G251*K251</x:f>
        <x:v>0</x:v>
      </x:c>
      <x:c r="P251" s="20" t="n">
        <x:f>G251*L251</x:f>
        <x:v>1170</x:v>
      </x:c>
      <x:c r="Q251" s="20" t="n">
        <x:f>H251*INDEX(Inputs!$B$13:$D$13,1,MATCH(A251,Inputs!$B$6:$D$6,0))</x:f>
        <x:v>390</x:v>
      </x:c>
      <x:c r="R251" s="20" t="n">
        <x:f>SUM(M251:Q251)</x:f>
        <x:v>33345</x:v>
      </x:c>
      <x:c r="S251" s="20" t="n">
        <x:f>IF(AND(A250=A251,D250=D251),S250+R251,R251)</x:f>
        <x:v>66690</x:v>
      </x:c>
      <x:c r="T251" s="20" t="n">
        <x:f>MIN(S251,INDEX(Inputs!$B$20:$D$20,1,MATCH(A251,Inputs!$B$6:$D$6,0)))*INDEX(Inputs!$B$22:$D$22,1,MATCH(A251,Inputs!$B$6:$D$6,0))+MAX(MIN(S251,INDEX(Inputs!$B$21:$D$21,1,MATCH(A251,Inputs!$B$6:$D$6,0)))-INDEX(Inputs!$B$20:$D$20,1,MATCH(A251,Inputs!$B$6:$D$6,0)),0)*INDEX(Inputs!$B$23:$D$23,1,MATCH(A251,Inputs!$B$6:$D$6,0))+MAX(S251-INDEX(Inputs!$B$21:$D$21,1,MATCH(A251,Inputs!$B$6:$D$6,0)),0)*INDEX(Inputs!$B$24:$D$24,1,MATCH(A251,Inputs!$B$6:$D$6,0))</x:f>
        <x:v>5591.785</x:v>
      </x:c>
      <x:c r="U251" s="20" t="n">
        <x:f>IF(AND(A250=A251,D250=D251),T250,0)</x:f>
        <x:v>3040.8925</x:v>
      </x:c>
      <x:c r="V251" s="20" t="n">
        <x:f>T251-U251</x:f>
        <x:v>2550.8925</x:v>
      </x:c>
      <x:c r="W251" s="20" t="n">
        <x:f>R251+V251</x:f>
        <x:v>35895.8925</x:v>
      </x:c>
      <x:c r="X251" s="14" t="str">
        <x:f>IF(ABS(W251-SUM(M251:Q251)-V251)&lt;0.01,"OK","Check")</x:f>
        <x:v>OK</x:v>
      </x:c>
    </x:row>
    <x:row r="252">
      <x:c r="A252" s="14" t="n">
        <x:v>2026</x:v>
      </x:c>
      <x:c r="B252" s="14" t="str">
        <x:v>Q3</x:v>
      </x:c>
      <x:c r="C252" s="14" t="n">
        <x:v>3</x:v>
      </x:c>
      <x:c r="D252" s="14" t="n">
        <x:v>62</x:v>
      </x:c>
      <x:c r="E252" s="14" t="str">
        <x:f>INDEX(Roster!$B$6:$B$108,MATCH(D252,Roster!$A$6:$A$108,0))</x:f>
      </x:c>
      <x:c r="F252" s="14" t="str">
        <x:f>INDEX(Roster!$F$6:$F$108,MATCH(D252,Roster!$A$6:$A$108,0))</x:f>
        <x:v>No</x:v>
      </x:c>
      <x:c r="G252" s="14" t="n">
        <x:f>INDEX(Inputs!$B$7:$D$7,1,MATCH(A252,Inputs!$B$6:$D$6,0))</x:f>
        <x:v>13</x:v>
      </x:c>
      <x:c r="H252" s="14" t="n">
        <x:f>MIN(=INDEX(Inputs!$B$7:$D$7,1,MATCH(A252,Inputs!$B$6:$D$6,0)),MAX(0,INDEX(Inputs!$B$14:$D$14,1,MATCH(A252,Inputs!$B$6:$D$6,0))-(C252-1)*=INDEX(Inputs!$B$7:$D$7,1,MATCH(A252,Inputs!$B$6:$D$6,0))))</x:f>
        <x:v>13</x:v>
      </x:c>
      <x:c r="I252" s="20" t="n">
        <x:f>INDEX(Inputs!$B$8:$D$8,1,MATCH(A252,Inputs!$B$6:$D$6,0))</x:f>
        <x:v>2395</x:v>
      </x:c>
      <x:c r="J252" s="20" t="n">
        <x:f>INDEX(Roster!$C$6:$C$108,MATCH(D252,Roster!$A$6:$A$108,0))*(1+INDEX(Inputs!$B$9:$D$9,1,MATCH(A252,Inputs!$B$6:$D$6,0)))</x:f>
        <x:v>50</x:v>
      </x:c>
      <x:c r="K252" s="20" t="n">
        <x:f>IF(=INDEX(Roster!$F$6:$F$108,MATCH(D252,Roster!$A$6:$A$108,0))="Yes",0,=INDEX(Inputs!$B$8:$D$8,1,MATCH(A252,Inputs!$B$6:$D$6,0))*IF(=INDEX(Roster!$B$6:$B$108,MATCH(D252,Roster!$A$6:$A$108,0))="Principal",INDEX(Inputs!$B$10:$D$10,1,MATCH(A252,Inputs!$B$6:$D$6,0)),IF(=INDEX(Roster!$B$6:$B$108,MATCH(D252,Roster!$A$6:$A$108,0))="Associate Principal",INDEX(Inputs!$B$11:$D$11,1,MATCH(A252,Inputs!$B$6:$D$6,0)),IF(=INDEX(Roster!$B$6:$B$108,MATCH(D252,Roster!$A$6:$A$108,0))="Assistant Principal",INDEX(Inputs!$B$12:$D$12,1,MATCH(A252,Inputs!$B$6:$D$6,0)),0))))</x:f>
        <x:v>0</x:v>
      </x:c>
      <x:c r="L252" s="20" t="n">
        <x:f>IF(INDEX(Roster!$D$6:$D$108,MATCH(D252,Roster!$A$6:$A$108,0))&gt;=25,INDEX(Inputs!$B$19:$D$19,1,MATCH(A252,Inputs!$B$6:$D$6,0)),IF(INDEX(Roster!$D$6:$D$108,MATCH(D252,Roster!$A$6:$A$108,0))&gt;=20,INDEX(Inputs!$B$18:$D$18,1,MATCH(A252,Inputs!$B$6:$D$6,0)),IF(INDEX(Roster!$D$6:$D$108,MATCH(D252,Roster!$A$6:$A$108,0))&gt;=15,INDEX(Inputs!$B$17:$D$17,1,MATCH(A252,Inputs!$B$6:$D$6,0)),IF(INDEX(Roster!$D$6:$D$108,MATCH(D252,Roster!$A$6:$A$108,0))&gt;=10,INDEX(Inputs!$B$16:$D$16,1,MATCH(A252,Inputs!$B$6:$D$6,0)),IF(INDEX(Roster!$D$6:$D$108,MATCH(D252,Roster!$A$6:$A$108,0))&gt;=5,INDEX(Inputs!$B$15:$D$15,1,MATCH(A252,Inputs!$B$6:$D$6,0)),0)))))</x:f>
        <x:v>90</x:v>
      </x:c>
      <x:c r="M252" s="20" t="n">
        <x:f>G252*I252</x:f>
        <x:v>31135</x:v>
      </x:c>
      <x:c r="N252" s="20" t="n">
        <x:f>G252*J252</x:f>
        <x:v>650</x:v>
      </x:c>
      <x:c r="O252" s="20" t="n">
        <x:f>G252*K252</x:f>
        <x:v>0</x:v>
      </x:c>
      <x:c r="P252" s="20" t="n">
        <x:f>G252*L252</x:f>
        <x:v>1170</x:v>
      </x:c>
      <x:c r="Q252" s="20" t="n">
        <x:f>H252*INDEX(Inputs!$B$13:$D$13,1,MATCH(A252,Inputs!$B$6:$D$6,0))</x:f>
        <x:v>390</x:v>
      </x:c>
      <x:c r="R252" s="20" t="n">
        <x:f>SUM(M252:Q252)</x:f>
        <x:v>33345</x:v>
      </x:c>
      <x:c r="S252" s="20" t="n">
        <x:f>IF(AND(A251=A252,D251=D252),S251+R252,R252)</x:f>
        <x:v>100035</x:v>
      </x:c>
      <x:c r="T252" s="20" t="n">
        <x:f>MIN(S252,INDEX(Inputs!$B$20:$D$20,1,MATCH(A252,Inputs!$B$6:$D$6,0)))*INDEX(Inputs!$B$22:$D$22,1,MATCH(A252,Inputs!$B$6:$D$6,0))+MAX(MIN(S252,INDEX(Inputs!$B$21:$D$21,1,MATCH(A252,Inputs!$B$6:$D$6,0)))-INDEX(Inputs!$B$20:$D$20,1,MATCH(A252,Inputs!$B$6:$D$6,0)),0)*INDEX(Inputs!$B$23:$D$23,1,MATCH(A252,Inputs!$B$6:$D$6,0))+MAX(S252-INDEX(Inputs!$B$21:$D$21,1,MATCH(A252,Inputs!$B$6:$D$6,0)),0)*INDEX(Inputs!$B$24:$D$24,1,MATCH(A252,Inputs!$B$6:$D$6,0))</x:f>
        <x:v>8142.6775</x:v>
      </x:c>
      <x:c r="U252" s="20" t="n">
        <x:f>IF(AND(A251=A252,D251=D252),T251,0)</x:f>
        <x:v>5591.785</x:v>
      </x:c>
      <x:c r="V252" s="20" t="n">
        <x:f>T252-U252</x:f>
        <x:v>2550.8925</x:v>
      </x:c>
      <x:c r="W252" s="20" t="n">
        <x:f>R252+V252</x:f>
        <x:v>35895.8925</x:v>
      </x:c>
      <x:c r="X252" s="14" t="str">
        <x:f>IF(ABS(W252-SUM(M252:Q252)-V252)&lt;0.01,"OK","Check")</x:f>
        <x:v>OK</x:v>
      </x:c>
    </x:row>
    <x:row r="253">
      <x:c r="A253" s="14" t="n">
        <x:v>2026</x:v>
      </x:c>
      <x:c r="B253" s="14" t="str">
        <x:v>Q4</x:v>
      </x:c>
      <x:c r="C253" s="14" t="n">
        <x:v>4</x:v>
      </x:c>
      <x:c r="D253" s="14" t="n">
        <x:v>62</x:v>
      </x:c>
      <x:c r="E253" s="14" t="str">
        <x:f>INDEX(Roster!$B$6:$B$108,MATCH(D253,Roster!$A$6:$A$108,0))</x:f>
      </x:c>
      <x:c r="F253" s="14" t="str">
        <x:f>INDEX(Roster!$F$6:$F$108,MATCH(D253,Roster!$A$6:$A$108,0))</x:f>
        <x:v>No</x:v>
      </x:c>
      <x:c r="G253" s="14" t="n">
        <x:f>INDEX(Inputs!$B$7:$D$7,1,MATCH(A253,Inputs!$B$6:$D$6,0))</x:f>
        <x:v>13</x:v>
      </x:c>
      <x:c r="H253" s="14" t="n">
        <x:f>MIN(=INDEX(Inputs!$B$7:$D$7,1,MATCH(A253,Inputs!$B$6:$D$6,0)),MAX(0,INDEX(Inputs!$B$14:$D$14,1,MATCH(A253,Inputs!$B$6:$D$6,0))-(C253-1)*=INDEX(Inputs!$B$7:$D$7,1,MATCH(A253,Inputs!$B$6:$D$6,0))))</x:f>
        <x:v>0</x:v>
      </x:c>
      <x:c r="I253" s="20" t="n">
        <x:f>INDEX(Inputs!$B$8:$D$8,1,MATCH(A253,Inputs!$B$6:$D$6,0))</x:f>
        <x:v>2395</x:v>
      </x:c>
      <x:c r="J253" s="20" t="n">
        <x:f>INDEX(Roster!$C$6:$C$108,MATCH(D253,Roster!$A$6:$A$108,0))*(1+INDEX(Inputs!$B$9:$D$9,1,MATCH(A253,Inputs!$B$6:$D$6,0)))</x:f>
        <x:v>50</x:v>
      </x:c>
      <x:c r="K253" s="20" t="n">
        <x:f>IF(=INDEX(Roster!$F$6:$F$108,MATCH(D253,Roster!$A$6:$A$108,0))="Yes",0,=INDEX(Inputs!$B$8:$D$8,1,MATCH(A253,Inputs!$B$6:$D$6,0))*IF(=INDEX(Roster!$B$6:$B$108,MATCH(D253,Roster!$A$6:$A$108,0))="Principal",INDEX(Inputs!$B$10:$D$10,1,MATCH(A253,Inputs!$B$6:$D$6,0)),IF(=INDEX(Roster!$B$6:$B$108,MATCH(D253,Roster!$A$6:$A$108,0))="Associate Principal",INDEX(Inputs!$B$11:$D$11,1,MATCH(A253,Inputs!$B$6:$D$6,0)),IF(=INDEX(Roster!$B$6:$B$108,MATCH(D253,Roster!$A$6:$A$108,0))="Assistant Principal",INDEX(Inputs!$B$12:$D$12,1,MATCH(A253,Inputs!$B$6:$D$6,0)),0))))</x:f>
        <x:v>0</x:v>
      </x:c>
      <x:c r="L253" s="20" t="n">
        <x:f>IF(INDEX(Roster!$D$6:$D$108,MATCH(D253,Roster!$A$6:$A$108,0))&gt;=25,INDEX(Inputs!$B$19:$D$19,1,MATCH(A253,Inputs!$B$6:$D$6,0)),IF(INDEX(Roster!$D$6:$D$108,MATCH(D253,Roster!$A$6:$A$108,0))&gt;=20,INDEX(Inputs!$B$18:$D$18,1,MATCH(A253,Inputs!$B$6:$D$6,0)),IF(INDEX(Roster!$D$6:$D$108,MATCH(D253,Roster!$A$6:$A$108,0))&gt;=15,INDEX(Inputs!$B$17:$D$17,1,MATCH(A253,Inputs!$B$6:$D$6,0)),IF(INDEX(Roster!$D$6:$D$108,MATCH(D253,Roster!$A$6:$A$108,0))&gt;=10,INDEX(Inputs!$B$16:$D$16,1,MATCH(A253,Inputs!$B$6:$D$6,0)),IF(INDEX(Roster!$D$6:$D$108,MATCH(D253,Roster!$A$6:$A$108,0))&gt;=5,INDEX(Inputs!$B$15:$D$15,1,MATCH(A253,Inputs!$B$6:$D$6,0)),0)))))</x:f>
        <x:v>90</x:v>
      </x:c>
      <x:c r="M253" s="20" t="n">
        <x:f>G253*I253</x:f>
        <x:v>31135</x:v>
      </x:c>
      <x:c r="N253" s="20" t="n">
        <x:f>G253*J253</x:f>
        <x:v>650</x:v>
      </x:c>
      <x:c r="O253" s="20" t="n">
        <x:f>G253*K253</x:f>
        <x:v>0</x:v>
      </x:c>
      <x:c r="P253" s="20" t="n">
        <x:f>G253*L253</x:f>
        <x:v>1170</x:v>
      </x:c>
      <x:c r="Q253" s="20" t="n">
        <x:f>H253*INDEX(Inputs!$B$13:$D$13,1,MATCH(A253,Inputs!$B$6:$D$6,0))</x:f>
        <x:v>0</x:v>
      </x:c>
      <x:c r="R253" s="20" t="n">
        <x:f>SUM(M253:Q253)</x:f>
        <x:v>32955</x:v>
      </x:c>
      <x:c r="S253" s="20" t="n">
        <x:f>IF(AND(A252=A253,D252=D253),S252+R253,R253)</x:f>
        <x:v>132990</x:v>
      </x:c>
      <x:c r="T253" s="20" t="n">
        <x:f>MIN(S253,INDEX(Inputs!$B$20:$D$20,1,MATCH(A253,Inputs!$B$6:$D$6,0)))*INDEX(Inputs!$B$22:$D$22,1,MATCH(A253,Inputs!$B$6:$D$6,0))+MAX(MIN(S253,INDEX(Inputs!$B$21:$D$21,1,MATCH(A253,Inputs!$B$6:$D$6,0)))-INDEX(Inputs!$B$20:$D$20,1,MATCH(A253,Inputs!$B$6:$D$6,0)),0)*INDEX(Inputs!$B$23:$D$23,1,MATCH(A253,Inputs!$B$6:$D$6,0))+MAX(S253-INDEX(Inputs!$B$21:$D$21,1,MATCH(A253,Inputs!$B$6:$D$6,0)),0)*INDEX(Inputs!$B$24:$D$24,1,MATCH(A253,Inputs!$B$6:$D$6,0))</x:f>
        <x:v>9842.297</x:v>
      </x:c>
      <x:c r="U253" s="20" t="n">
        <x:f>IF(AND(A252=A253,D252=D253),T252,0)</x:f>
        <x:v>8142.6775</x:v>
      </x:c>
      <x:c r="V253" s="20" t="n">
        <x:f>T253-U253</x:f>
        <x:v>1699.6195000000007</x:v>
      </x:c>
      <x:c r="W253" s="20" t="n">
        <x:f>R253+V253</x:f>
        <x:v>34654.6195</x:v>
      </x:c>
      <x:c r="X253" s="14" t="str">
        <x:f>IF(ABS(W253-SUM(M253:Q253)-V253)&lt;0.01,"OK","Check")</x:f>
        <x:v>OK</x:v>
      </x:c>
    </x:row>
    <x:row r="254">
      <x:c r="A254" s="14" t="n">
        <x:v>2026</x:v>
      </x:c>
      <x:c r="B254" s="14" t="str">
        <x:v>Q1</x:v>
      </x:c>
      <x:c r="C254" s="14" t="n">
        <x:v>1</x:v>
      </x:c>
      <x:c r="D254" s="14" t="n">
        <x:v>63</x:v>
      </x:c>
      <x:c r="E254" s="14" t="str">
        <x:f>INDEX(Roster!$B$6:$B$108,MATCH(D254,Roster!$A$6:$A$108,0))</x:f>
      </x:c>
      <x:c r="F254" s="14" t="str">
        <x:f>INDEX(Roster!$F$6:$F$108,MATCH(D254,Roster!$A$6:$A$108,0))</x:f>
        <x:v>No</x:v>
      </x:c>
      <x:c r="G254" s="14" t="n">
        <x:f>INDEX(Inputs!$B$7:$D$7,1,MATCH(A254,Inputs!$B$6:$D$6,0))</x:f>
        <x:v>13</x:v>
      </x:c>
      <x:c r="H254" s="14" t="n">
        <x:f>MIN(=INDEX(Inputs!$B$7:$D$7,1,MATCH(A254,Inputs!$B$6:$D$6,0)),MAX(0,INDEX(Inputs!$B$14:$D$14,1,MATCH(A254,Inputs!$B$6:$D$6,0))-(C254-1)*=INDEX(Inputs!$B$7:$D$7,1,MATCH(A254,Inputs!$B$6:$D$6,0))))</x:f>
        <x:v>13</x:v>
      </x:c>
      <x:c r="I254" s="20" t="n">
        <x:f>INDEX(Inputs!$B$8:$D$8,1,MATCH(A254,Inputs!$B$6:$D$6,0))</x:f>
        <x:v>2395</x:v>
      </x:c>
      <x:c r="J254" s="20" t="n">
        <x:f>INDEX(Roster!$C$6:$C$108,MATCH(D254,Roster!$A$6:$A$108,0))*(1+INDEX(Inputs!$B$9:$D$9,1,MATCH(A254,Inputs!$B$6:$D$6,0)))</x:f>
        <x:v>80</x:v>
      </x:c>
      <x:c r="K254" s="20" t="n">
        <x:f>IF(=INDEX(Roster!$F$6:$F$108,MATCH(D254,Roster!$A$6:$A$108,0))="Yes",0,=INDEX(Inputs!$B$8:$D$8,1,MATCH(A254,Inputs!$B$6:$D$6,0))*IF(=INDEX(Roster!$B$6:$B$108,MATCH(D254,Roster!$A$6:$A$108,0))="Principal",INDEX(Inputs!$B$10:$D$10,1,MATCH(A254,Inputs!$B$6:$D$6,0)),IF(=INDEX(Roster!$B$6:$B$108,MATCH(D254,Roster!$A$6:$A$108,0))="Associate Principal",INDEX(Inputs!$B$11:$D$11,1,MATCH(A254,Inputs!$B$6:$D$6,0)),IF(=INDEX(Roster!$B$6:$B$108,MATCH(D254,Roster!$A$6:$A$108,0))="Assistant Principal",INDEX(Inputs!$B$12:$D$12,1,MATCH(A254,Inputs!$B$6:$D$6,0)),0))))</x:f>
        <x:v>0</x:v>
      </x:c>
      <x:c r="L254" s="20" t="n">
        <x:f>IF(INDEX(Roster!$D$6:$D$108,MATCH(D254,Roster!$A$6:$A$108,0))&gt;=25,INDEX(Inputs!$B$19:$D$19,1,MATCH(A254,Inputs!$B$6:$D$6,0)),IF(INDEX(Roster!$D$6:$D$108,MATCH(D254,Roster!$A$6:$A$108,0))&gt;=20,INDEX(Inputs!$B$18:$D$18,1,MATCH(A254,Inputs!$B$6:$D$6,0)),IF(INDEX(Roster!$D$6:$D$108,MATCH(D254,Roster!$A$6:$A$108,0))&gt;=15,INDEX(Inputs!$B$17:$D$17,1,MATCH(A254,Inputs!$B$6:$D$6,0)),IF(INDEX(Roster!$D$6:$D$108,MATCH(D254,Roster!$A$6:$A$108,0))&gt;=10,INDEX(Inputs!$B$16:$D$16,1,MATCH(A254,Inputs!$B$6:$D$6,0)),IF(INDEX(Roster!$D$6:$D$108,MATCH(D254,Roster!$A$6:$A$108,0))&gt;=5,INDEX(Inputs!$B$15:$D$15,1,MATCH(A254,Inputs!$B$6:$D$6,0)),0)))))</x:f>
        <x:v>90</x:v>
      </x:c>
      <x:c r="M254" s="20" t="n">
        <x:f>G254*I254</x:f>
        <x:v>31135</x:v>
      </x:c>
      <x:c r="N254" s="20" t="n">
        <x:f>G254*J254</x:f>
        <x:v>1040</x:v>
      </x:c>
      <x:c r="O254" s="20" t="n">
        <x:f>G254*K254</x:f>
        <x:v>0</x:v>
      </x:c>
      <x:c r="P254" s="20" t="n">
        <x:f>G254*L254</x:f>
        <x:v>1170</x:v>
      </x:c>
      <x:c r="Q254" s="20" t="n">
        <x:f>H254*INDEX(Inputs!$B$13:$D$13,1,MATCH(A254,Inputs!$B$6:$D$6,0))</x:f>
        <x:v>390</x:v>
      </x:c>
      <x:c r="R254" s="20" t="n">
        <x:f>SUM(M254:Q254)</x:f>
        <x:v>33735</x:v>
      </x:c>
      <x:c r="S254" s="20" t="n">
        <x:f>IF(AND(A253=A254,D253=D254),S253+R254,R254)</x:f>
        <x:v>33735</x:v>
      </x:c>
      <x:c r="T254" s="20" t="n">
        <x:f>MIN(S254,INDEX(Inputs!$B$20:$D$20,1,MATCH(A254,Inputs!$B$6:$D$6,0)))*INDEX(Inputs!$B$22:$D$22,1,MATCH(A254,Inputs!$B$6:$D$6,0))+MAX(MIN(S254,INDEX(Inputs!$B$21:$D$21,1,MATCH(A254,Inputs!$B$6:$D$6,0)))-INDEX(Inputs!$B$20:$D$20,1,MATCH(A254,Inputs!$B$6:$D$6,0)),0)*INDEX(Inputs!$B$23:$D$23,1,MATCH(A254,Inputs!$B$6:$D$6,0))+MAX(S254-INDEX(Inputs!$B$21:$D$21,1,MATCH(A254,Inputs!$B$6:$D$6,0)),0)*INDEX(Inputs!$B$24:$D$24,1,MATCH(A254,Inputs!$B$6:$D$6,0))</x:f>
        <x:v>3070.7275</x:v>
      </x:c>
      <x:c r="U254" s="20" t="n">
        <x:f>IF(AND(A253=A254,D253=D254),T253,0)</x:f>
        <x:v>0</x:v>
      </x:c>
      <x:c r="V254" s="20" t="n">
        <x:f>T254-U254</x:f>
        <x:v>3070.7275</x:v>
      </x:c>
      <x:c r="W254" s="20" t="n">
        <x:f>R254+V254</x:f>
        <x:v>36805.7275</x:v>
      </x:c>
      <x:c r="X254" s="14" t="str">
        <x:f>IF(ABS(W254-SUM(M254:Q254)-V254)&lt;0.01,"OK","Check")</x:f>
        <x:v>OK</x:v>
      </x:c>
    </x:row>
    <x:row r="255">
      <x:c r="A255" s="14" t="n">
        <x:v>2026</x:v>
      </x:c>
      <x:c r="B255" s="14" t="str">
        <x:v>Q2</x:v>
      </x:c>
      <x:c r="C255" s="14" t="n">
        <x:v>2</x:v>
      </x:c>
      <x:c r="D255" s="14" t="n">
        <x:v>63</x:v>
      </x:c>
      <x:c r="E255" s="14" t="str">
        <x:f>INDEX(Roster!$B$6:$B$108,MATCH(D255,Roster!$A$6:$A$108,0))</x:f>
      </x:c>
      <x:c r="F255" s="14" t="str">
        <x:f>INDEX(Roster!$F$6:$F$108,MATCH(D255,Roster!$A$6:$A$108,0))</x:f>
        <x:v>No</x:v>
      </x:c>
      <x:c r="G255" s="14" t="n">
        <x:f>INDEX(Inputs!$B$7:$D$7,1,MATCH(A255,Inputs!$B$6:$D$6,0))</x:f>
        <x:v>13</x:v>
      </x:c>
      <x:c r="H255" s="14" t="n">
        <x:f>MIN(=INDEX(Inputs!$B$7:$D$7,1,MATCH(A255,Inputs!$B$6:$D$6,0)),MAX(0,INDEX(Inputs!$B$14:$D$14,1,MATCH(A255,Inputs!$B$6:$D$6,0))-(C255-1)*=INDEX(Inputs!$B$7:$D$7,1,MATCH(A255,Inputs!$B$6:$D$6,0))))</x:f>
        <x:v>13</x:v>
      </x:c>
      <x:c r="I255" s="20" t="n">
        <x:f>INDEX(Inputs!$B$8:$D$8,1,MATCH(A255,Inputs!$B$6:$D$6,0))</x:f>
        <x:v>2395</x:v>
      </x:c>
      <x:c r="J255" s="20" t="n">
        <x:f>INDEX(Roster!$C$6:$C$108,MATCH(D255,Roster!$A$6:$A$108,0))*(1+INDEX(Inputs!$B$9:$D$9,1,MATCH(A255,Inputs!$B$6:$D$6,0)))</x:f>
        <x:v>80</x:v>
      </x:c>
      <x:c r="K255" s="20" t="n">
        <x:f>IF(=INDEX(Roster!$F$6:$F$108,MATCH(D255,Roster!$A$6:$A$108,0))="Yes",0,=INDEX(Inputs!$B$8:$D$8,1,MATCH(A255,Inputs!$B$6:$D$6,0))*IF(=INDEX(Roster!$B$6:$B$108,MATCH(D255,Roster!$A$6:$A$108,0))="Principal",INDEX(Inputs!$B$10:$D$10,1,MATCH(A255,Inputs!$B$6:$D$6,0)),IF(=INDEX(Roster!$B$6:$B$108,MATCH(D255,Roster!$A$6:$A$108,0))="Associate Principal",INDEX(Inputs!$B$11:$D$11,1,MATCH(A255,Inputs!$B$6:$D$6,0)),IF(=INDEX(Roster!$B$6:$B$108,MATCH(D255,Roster!$A$6:$A$108,0))="Assistant Principal",INDEX(Inputs!$B$12:$D$12,1,MATCH(A255,Inputs!$B$6:$D$6,0)),0))))</x:f>
        <x:v>0</x:v>
      </x:c>
      <x:c r="L255" s="20" t="n">
        <x:f>IF(INDEX(Roster!$D$6:$D$108,MATCH(D255,Roster!$A$6:$A$108,0))&gt;=25,INDEX(Inputs!$B$19:$D$19,1,MATCH(A255,Inputs!$B$6:$D$6,0)),IF(INDEX(Roster!$D$6:$D$108,MATCH(D255,Roster!$A$6:$A$108,0))&gt;=20,INDEX(Inputs!$B$18:$D$18,1,MATCH(A255,Inputs!$B$6:$D$6,0)),IF(INDEX(Roster!$D$6:$D$108,MATCH(D255,Roster!$A$6:$A$108,0))&gt;=15,INDEX(Inputs!$B$17:$D$17,1,MATCH(A255,Inputs!$B$6:$D$6,0)),IF(INDEX(Roster!$D$6:$D$108,MATCH(D255,Roster!$A$6:$A$108,0))&gt;=10,INDEX(Inputs!$B$16:$D$16,1,MATCH(A255,Inputs!$B$6:$D$6,0)),IF(INDEX(Roster!$D$6:$D$108,MATCH(D255,Roster!$A$6:$A$108,0))&gt;=5,INDEX(Inputs!$B$15:$D$15,1,MATCH(A255,Inputs!$B$6:$D$6,0)),0)))))</x:f>
        <x:v>90</x:v>
      </x:c>
      <x:c r="M255" s="20" t="n">
        <x:f>G255*I255</x:f>
        <x:v>31135</x:v>
      </x:c>
      <x:c r="N255" s="20" t="n">
        <x:f>G255*J255</x:f>
        <x:v>1040</x:v>
      </x:c>
      <x:c r="O255" s="20" t="n">
        <x:f>G255*K255</x:f>
        <x:v>0</x:v>
      </x:c>
      <x:c r="P255" s="20" t="n">
        <x:f>G255*L255</x:f>
        <x:v>1170</x:v>
      </x:c>
      <x:c r="Q255" s="20" t="n">
        <x:f>H255*INDEX(Inputs!$B$13:$D$13,1,MATCH(A255,Inputs!$B$6:$D$6,0))</x:f>
        <x:v>390</x:v>
      </x:c>
      <x:c r="R255" s="20" t="n">
        <x:f>SUM(M255:Q255)</x:f>
        <x:v>33735</x:v>
      </x:c>
      <x:c r="S255" s="20" t="n">
        <x:f>IF(AND(A254=A255,D254=D255),S254+R255,R255)</x:f>
        <x:v>67470</x:v>
      </x:c>
      <x:c r="T255" s="20" t="n">
        <x:f>MIN(S255,INDEX(Inputs!$B$20:$D$20,1,MATCH(A255,Inputs!$B$6:$D$6,0)))*INDEX(Inputs!$B$22:$D$22,1,MATCH(A255,Inputs!$B$6:$D$6,0))+MAX(MIN(S255,INDEX(Inputs!$B$21:$D$21,1,MATCH(A255,Inputs!$B$6:$D$6,0)))-INDEX(Inputs!$B$20:$D$20,1,MATCH(A255,Inputs!$B$6:$D$6,0)),0)*INDEX(Inputs!$B$23:$D$23,1,MATCH(A255,Inputs!$B$6:$D$6,0))+MAX(S255-INDEX(Inputs!$B$21:$D$21,1,MATCH(A255,Inputs!$B$6:$D$6,0)),0)*INDEX(Inputs!$B$24:$D$24,1,MATCH(A255,Inputs!$B$6:$D$6,0))</x:f>
        <x:v>5651.455</x:v>
      </x:c>
      <x:c r="U255" s="20" t="n">
        <x:f>IF(AND(A254=A255,D254=D255),T254,0)</x:f>
        <x:v>3070.7275</x:v>
      </x:c>
      <x:c r="V255" s="20" t="n">
        <x:f>T255-U255</x:f>
        <x:v>2580.7275</x:v>
      </x:c>
      <x:c r="W255" s="20" t="n">
        <x:f>R255+V255</x:f>
        <x:v>36315.7275</x:v>
      </x:c>
      <x:c r="X255" s="14" t="str">
        <x:f>IF(ABS(W255-SUM(M255:Q255)-V255)&lt;0.01,"OK","Check")</x:f>
        <x:v>OK</x:v>
      </x:c>
    </x:row>
    <x:row r="256">
      <x:c r="A256" s="14" t="n">
        <x:v>2026</x:v>
      </x:c>
      <x:c r="B256" s="14" t="str">
        <x:v>Q3</x:v>
      </x:c>
      <x:c r="C256" s="14" t="n">
        <x:v>3</x:v>
      </x:c>
      <x:c r="D256" s="14" t="n">
        <x:v>63</x:v>
      </x:c>
      <x:c r="E256" s="14" t="str">
        <x:f>INDEX(Roster!$B$6:$B$108,MATCH(D256,Roster!$A$6:$A$108,0))</x:f>
      </x:c>
      <x:c r="F256" s="14" t="str">
        <x:f>INDEX(Roster!$F$6:$F$108,MATCH(D256,Roster!$A$6:$A$108,0))</x:f>
        <x:v>No</x:v>
      </x:c>
      <x:c r="G256" s="14" t="n">
        <x:f>INDEX(Inputs!$B$7:$D$7,1,MATCH(A256,Inputs!$B$6:$D$6,0))</x:f>
        <x:v>13</x:v>
      </x:c>
      <x:c r="H256" s="14" t="n">
        <x:f>MIN(=INDEX(Inputs!$B$7:$D$7,1,MATCH(A256,Inputs!$B$6:$D$6,0)),MAX(0,INDEX(Inputs!$B$14:$D$14,1,MATCH(A256,Inputs!$B$6:$D$6,0))-(C256-1)*=INDEX(Inputs!$B$7:$D$7,1,MATCH(A256,Inputs!$B$6:$D$6,0))))</x:f>
        <x:v>13</x:v>
      </x:c>
      <x:c r="I256" s="20" t="n">
        <x:f>INDEX(Inputs!$B$8:$D$8,1,MATCH(A256,Inputs!$B$6:$D$6,0))</x:f>
        <x:v>2395</x:v>
      </x:c>
      <x:c r="J256" s="20" t="n">
        <x:f>INDEX(Roster!$C$6:$C$108,MATCH(D256,Roster!$A$6:$A$108,0))*(1+INDEX(Inputs!$B$9:$D$9,1,MATCH(A256,Inputs!$B$6:$D$6,0)))</x:f>
        <x:v>80</x:v>
      </x:c>
      <x:c r="K256" s="20" t="n">
        <x:f>IF(=INDEX(Roster!$F$6:$F$108,MATCH(D256,Roster!$A$6:$A$108,0))="Yes",0,=INDEX(Inputs!$B$8:$D$8,1,MATCH(A256,Inputs!$B$6:$D$6,0))*IF(=INDEX(Roster!$B$6:$B$108,MATCH(D256,Roster!$A$6:$A$108,0))="Principal",INDEX(Inputs!$B$10:$D$10,1,MATCH(A256,Inputs!$B$6:$D$6,0)),IF(=INDEX(Roster!$B$6:$B$108,MATCH(D256,Roster!$A$6:$A$108,0))="Associate Principal",INDEX(Inputs!$B$11:$D$11,1,MATCH(A256,Inputs!$B$6:$D$6,0)),IF(=INDEX(Roster!$B$6:$B$108,MATCH(D256,Roster!$A$6:$A$108,0))="Assistant Principal",INDEX(Inputs!$B$12:$D$12,1,MATCH(A256,Inputs!$B$6:$D$6,0)),0))))</x:f>
        <x:v>0</x:v>
      </x:c>
      <x:c r="L256" s="20" t="n">
        <x:f>IF(INDEX(Roster!$D$6:$D$108,MATCH(D256,Roster!$A$6:$A$108,0))&gt;=25,INDEX(Inputs!$B$19:$D$19,1,MATCH(A256,Inputs!$B$6:$D$6,0)),IF(INDEX(Roster!$D$6:$D$108,MATCH(D256,Roster!$A$6:$A$108,0))&gt;=20,INDEX(Inputs!$B$18:$D$18,1,MATCH(A256,Inputs!$B$6:$D$6,0)),IF(INDEX(Roster!$D$6:$D$108,MATCH(D256,Roster!$A$6:$A$108,0))&gt;=15,INDEX(Inputs!$B$17:$D$17,1,MATCH(A256,Inputs!$B$6:$D$6,0)),IF(INDEX(Roster!$D$6:$D$108,MATCH(D256,Roster!$A$6:$A$108,0))&gt;=10,INDEX(Inputs!$B$16:$D$16,1,MATCH(A256,Inputs!$B$6:$D$6,0)),IF(INDEX(Roster!$D$6:$D$108,MATCH(D256,Roster!$A$6:$A$108,0))&gt;=5,INDEX(Inputs!$B$15:$D$15,1,MATCH(A256,Inputs!$B$6:$D$6,0)),0)))))</x:f>
        <x:v>90</x:v>
      </x:c>
      <x:c r="M256" s="20" t="n">
        <x:f>G256*I256</x:f>
        <x:v>31135</x:v>
      </x:c>
      <x:c r="N256" s="20" t="n">
        <x:f>G256*J256</x:f>
        <x:v>1040</x:v>
      </x:c>
      <x:c r="O256" s="20" t="n">
        <x:f>G256*K256</x:f>
        <x:v>0</x:v>
      </x:c>
      <x:c r="P256" s="20" t="n">
        <x:f>G256*L256</x:f>
        <x:v>1170</x:v>
      </x:c>
      <x:c r="Q256" s="20" t="n">
        <x:f>H256*INDEX(Inputs!$B$13:$D$13,1,MATCH(A256,Inputs!$B$6:$D$6,0))</x:f>
        <x:v>390</x:v>
      </x:c>
      <x:c r="R256" s="20" t="n">
        <x:f>SUM(M256:Q256)</x:f>
        <x:v>33735</x:v>
      </x:c>
      <x:c r="S256" s="20" t="n">
        <x:f>IF(AND(A255=A256,D255=D256),S255+R256,R256)</x:f>
        <x:v>101205</x:v>
      </x:c>
      <x:c r="T256" s="20" t="n">
        <x:f>MIN(S256,INDEX(Inputs!$B$20:$D$20,1,MATCH(A256,Inputs!$B$6:$D$6,0)))*INDEX(Inputs!$B$22:$D$22,1,MATCH(A256,Inputs!$B$6:$D$6,0))+MAX(MIN(S256,INDEX(Inputs!$B$21:$D$21,1,MATCH(A256,Inputs!$B$6:$D$6,0)))-INDEX(Inputs!$B$20:$D$20,1,MATCH(A256,Inputs!$B$6:$D$6,0)),0)*INDEX(Inputs!$B$23:$D$23,1,MATCH(A256,Inputs!$B$6:$D$6,0))+MAX(S256-INDEX(Inputs!$B$21:$D$21,1,MATCH(A256,Inputs!$B$6:$D$6,0)),0)*INDEX(Inputs!$B$24:$D$24,1,MATCH(A256,Inputs!$B$6:$D$6,0))</x:f>
        <x:v>8232.182499999999</x:v>
      </x:c>
      <x:c r="U256" s="20" t="n">
        <x:f>IF(AND(A255=A256,D255=D256),T255,0)</x:f>
        <x:v>5651.455</x:v>
      </x:c>
      <x:c r="V256" s="20" t="n">
        <x:f>T256-U256</x:f>
        <x:v>2580.727499999999</x:v>
      </x:c>
      <x:c r="W256" s="20" t="n">
        <x:f>R256+V256</x:f>
        <x:v>36315.7275</x:v>
      </x:c>
      <x:c r="X256" s="14" t="str">
        <x:f>IF(ABS(W256-SUM(M256:Q256)-V256)&lt;0.01,"OK","Check")</x:f>
        <x:v>OK</x:v>
      </x:c>
    </x:row>
    <x:row r="257">
      <x:c r="A257" s="14" t="n">
        <x:v>2026</x:v>
      </x:c>
      <x:c r="B257" s="14" t="str">
        <x:v>Q4</x:v>
      </x:c>
      <x:c r="C257" s="14" t="n">
        <x:v>4</x:v>
      </x:c>
      <x:c r="D257" s="14" t="n">
        <x:v>63</x:v>
      </x:c>
      <x:c r="E257" s="14" t="str">
        <x:f>INDEX(Roster!$B$6:$B$108,MATCH(D257,Roster!$A$6:$A$108,0))</x:f>
      </x:c>
      <x:c r="F257" s="14" t="str">
        <x:f>INDEX(Roster!$F$6:$F$108,MATCH(D257,Roster!$A$6:$A$108,0))</x:f>
        <x:v>No</x:v>
      </x:c>
      <x:c r="G257" s="14" t="n">
        <x:f>INDEX(Inputs!$B$7:$D$7,1,MATCH(A257,Inputs!$B$6:$D$6,0))</x:f>
        <x:v>13</x:v>
      </x:c>
      <x:c r="H257" s="14" t="n">
        <x:f>MIN(=INDEX(Inputs!$B$7:$D$7,1,MATCH(A257,Inputs!$B$6:$D$6,0)),MAX(0,INDEX(Inputs!$B$14:$D$14,1,MATCH(A257,Inputs!$B$6:$D$6,0))-(C257-1)*=INDEX(Inputs!$B$7:$D$7,1,MATCH(A257,Inputs!$B$6:$D$6,0))))</x:f>
        <x:v>0</x:v>
      </x:c>
      <x:c r="I257" s="20" t="n">
        <x:f>INDEX(Inputs!$B$8:$D$8,1,MATCH(A257,Inputs!$B$6:$D$6,0))</x:f>
        <x:v>2395</x:v>
      </x:c>
      <x:c r="J257" s="20" t="n">
        <x:f>INDEX(Roster!$C$6:$C$108,MATCH(D257,Roster!$A$6:$A$108,0))*(1+INDEX(Inputs!$B$9:$D$9,1,MATCH(A257,Inputs!$B$6:$D$6,0)))</x:f>
        <x:v>80</x:v>
      </x:c>
      <x:c r="K257" s="20" t="n">
        <x:f>IF(=INDEX(Roster!$F$6:$F$108,MATCH(D257,Roster!$A$6:$A$108,0))="Yes",0,=INDEX(Inputs!$B$8:$D$8,1,MATCH(A257,Inputs!$B$6:$D$6,0))*IF(=INDEX(Roster!$B$6:$B$108,MATCH(D257,Roster!$A$6:$A$108,0))="Principal",INDEX(Inputs!$B$10:$D$10,1,MATCH(A257,Inputs!$B$6:$D$6,0)),IF(=INDEX(Roster!$B$6:$B$108,MATCH(D257,Roster!$A$6:$A$108,0))="Associate Principal",INDEX(Inputs!$B$11:$D$11,1,MATCH(A257,Inputs!$B$6:$D$6,0)),IF(=INDEX(Roster!$B$6:$B$108,MATCH(D257,Roster!$A$6:$A$108,0))="Assistant Principal",INDEX(Inputs!$B$12:$D$12,1,MATCH(A257,Inputs!$B$6:$D$6,0)),0))))</x:f>
        <x:v>0</x:v>
      </x:c>
      <x:c r="L257" s="20" t="n">
        <x:f>IF(INDEX(Roster!$D$6:$D$108,MATCH(D257,Roster!$A$6:$A$108,0))&gt;=25,INDEX(Inputs!$B$19:$D$19,1,MATCH(A257,Inputs!$B$6:$D$6,0)),IF(INDEX(Roster!$D$6:$D$108,MATCH(D257,Roster!$A$6:$A$108,0))&gt;=20,INDEX(Inputs!$B$18:$D$18,1,MATCH(A257,Inputs!$B$6:$D$6,0)),IF(INDEX(Roster!$D$6:$D$108,MATCH(D257,Roster!$A$6:$A$108,0))&gt;=15,INDEX(Inputs!$B$17:$D$17,1,MATCH(A257,Inputs!$B$6:$D$6,0)),IF(INDEX(Roster!$D$6:$D$108,MATCH(D257,Roster!$A$6:$A$108,0))&gt;=10,INDEX(Inputs!$B$16:$D$16,1,MATCH(A257,Inputs!$B$6:$D$6,0)),IF(INDEX(Roster!$D$6:$D$108,MATCH(D257,Roster!$A$6:$A$108,0))&gt;=5,INDEX(Inputs!$B$15:$D$15,1,MATCH(A257,Inputs!$B$6:$D$6,0)),0)))))</x:f>
        <x:v>90</x:v>
      </x:c>
      <x:c r="M257" s="20" t="n">
        <x:f>G257*I257</x:f>
        <x:v>31135</x:v>
      </x:c>
      <x:c r="N257" s="20" t="n">
        <x:f>G257*J257</x:f>
        <x:v>1040</x:v>
      </x:c>
      <x:c r="O257" s="20" t="n">
        <x:f>G257*K257</x:f>
        <x:v>0</x:v>
      </x:c>
      <x:c r="P257" s="20" t="n">
        <x:f>G257*L257</x:f>
        <x:v>1170</x:v>
      </x:c>
      <x:c r="Q257" s="20" t="n">
        <x:f>H257*INDEX(Inputs!$B$13:$D$13,1,MATCH(A257,Inputs!$B$6:$D$6,0))</x:f>
        <x:v>0</x:v>
      </x:c>
      <x:c r="R257" s="20" t="n">
        <x:f>SUM(M257:Q257)</x:f>
        <x:v>33345</x:v>
      </x:c>
      <x:c r="S257" s="20" t="n">
        <x:f>IF(AND(A256=A257,D256=D257),S256+R257,R257)</x:f>
        <x:v>134550</x:v>
      </x:c>
      <x:c r="T257" s="20" t="n">
        <x:f>MIN(S257,INDEX(Inputs!$B$20:$D$20,1,MATCH(A257,Inputs!$B$6:$D$6,0)))*INDEX(Inputs!$B$22:$D$22,1,MATCH(A257,Inputs!$B$6:$D$6,0))+MAX(MIN(S257,INDEX(Inputs!$B$21:$D$21,1,MATCH(A257,Inputs!$B$6:$D$6,0)))-INDEX(Inputs!$B$20:$D$20,1,MATCH(A257,Inputs!$B$6:$D$6,0)),0)*INDEX(Inputs!$B$23:$D$23,1,MATCH(A257,Inputs!$B$6:$D$6,0))+MAX(S257-INDEX(Inputs!$B$21:$D$21,1,MATCH(A257,Inputs!$B$6:$D$6,0)),0)*INDEX(Inputs!$B$24:$D$24,1,MATCH(A257,Inputs!$B$6:$D$6,0))</x:f>
        <x:v>9864.917</x:v>
      </x:c>
      <x:c r="U257" s="20" t="n">
        <x:f>IF(AND(A256=A257,D256=D257),T256,0)</x:f>
        <x:v>8232.182499999999</x:v>
      </x:c>
      <x:c r="V257" s="20" t="n">
        <x:f>T257-U257</x:f>
        <x:v>1632.7345000000005</x:v>
      </x:c>
      <x:c r="W257" s="20" t="n">
        <x:f>R257+V257</x:f>
        <x:v>34977.7345</x:v>
      </x:c>
      <x:c r="X257" s="14" t="str">
        <x:f>IF(ABS(W257-SUM(M257:Q257)-V257)&lt;0.01,"OK","Check")</x:f>
        <x:v>OK</x:v>
      </x:c>
    </x:row>
    <x:row r="258">
      <x:c r="A258" s="14" t="n">
        <x:v>2026</x:v>
      </x:c>
      <x:c r="B258" s="14" t="str">
        <x:v>Q1</x:v>
      </x:c>
      <x:c r="C258" s="14" t="n">
        <x:v>1</x:v>
      </x:c>
      <x:c r="D258" s="14" t="n">
        <x:v>64</x:v>
      </x:c>
      <x:c r="E258" s="14" t="str">
        <x:f>INDEX(Roster!$B$6:$B$108,MATCH(D258,Roster!$A$6:$A$108,0))</x:f>
      </x:c>
      <x:c r="F258" s="14" t="str">
        <x:f>INDEX(Roster!$F$6:$F$108,MATCH(D258,Roster!$A$6:$A$108,0))</x:f>
        <x:v>No</x:v>
      </x:c>
      <x:c r="G258" s="14" t="n">
        <x:f>INDEX(Inputs!$B$7:$D$7,1,MATCH(A258,Inputs!$B$6:$D$6,0))</x:f>
        <x:v>13</x:v>
      </x:c>
      <x:c r="H258" s="14" t="n">
        <x:f>MIN(=INDEX(Inputs!$B$7:$D$7,1,MATCH(A258,Inputs!$B$6:$D$6,0)),MAX(0,INDEX(Inputs!$B$14:$D$14,1,MATCH(A258,Inputs!$B$6:$D$6,0))-(C258-1)*=INDEX(Inputs!$B$7:$D$7,1,MATCH(A258,Inputs!$B$6:$D$6,0))))</x:f>
        <x:v>13</x:v>
      </x:c>
      <x:c r="I258" s="20" t="n">
        <x:f>INDEX(Inputs!$B$8:$D$8,1,MATCH(A258,Inputs!$B$6:$D$6,0))</x:f>
        <x:v>2395</x:v>
      </x:c>
      <x:c r="J258" s="20" t="n">
        <x:f>INDEX(Roster!$C$6:$C$108,MATCH(D258,Roster!$A$6:$A$108,0))*(1+INDEX(Inputs!$B$9:$D$9,1,MATCH(A258,Inputs!$B$6:$D$6,0)))</x:f>
        <x:v>50</x:v>
      </x:c>
      <x:c r="K258" s="20" t="n">
        <x:f>IF(=INDEX(Roster!$F$6:$F$108,MATCH(D258,Roster!$A$6:$A$108,0))="Yes",0,=INDEX(Inputs!$B$8:$D$8,1,MATCH(A258,Inputs!$B$6:$D$6,0))*IF(=INDEX(Roster!$B$6:$B$108,MATCH(D258,Roster!$A$6:$A$108,0))="Principal",INDEX(Inputs!$B$10:$D$10,1,MATCH(A258,Inputs!$B$6:$D$6,0)),IF(=INDEX(Roster!$B$6:$B$108,MATCH(D258,Roster!$A$6:$A$108,0))="Associate Principal",INDEX(Inputs!$B$11:$D$11,1,MATCH(A258,Inputs!$B$6:$D$6,0)),IF(=INDEX(Roster!$B$6:$B$108,MATCH(D258,Roster!$A$6:$A$108,0))="Assistant Principal",INDEX(Inputs!$B$12:$D$12,1,MATCH(A258,Inputs!$B$6:$D$6,0)),0))))</x:f>
        <x:v>0</x:v>
      </x:c>
      <x:c r="L258" s="20" t="n">
        <x:f>IF(INDEX(Roster!$D$6:$D$108,MATCH(D258,Roster!$A$6:$A$108,0))&gt;=25,INDEX(Inputs!$B$19:$D$19,1,MATCH(A258,Inputs!$B$6:$D$6,0)),IF(INDEX(Roster!$D$6:$D$108,MATCH(D258,Roster!$A$6:$A$108,0))&gt;=20,INDEX(Inputs!$B$18:$D$18,1,MATCH(A258,Inputs!$B$6:$D$6,0)),IF(INDEX(Roster!$D$6:$D$108,MATCH(D258,Roster!$A$6:$A$108,0))&gt;=15,INDEX(Inputs!$B$17:$D$17,1,MATCH(A258,Inputs!$B$6:$D$6,0)),IF(INDEX(Roster!$D$6:$D$108,MATCH(D258,Roster!$A$6:$A$108,0))&gt;=10,INDEX(Inputs!$B$16:$D$16,1,MATCH(A258,Inputs!$B$6:$D$6,0)),IF(INDEX(Roster!$D$6:$D$108,MATCH(D258,Roster!$A$6:$A$108,0))&gt;=5,INDEX(Inputs!$B$15:$D$15,1,MATCH(A258,Inputs!$B$6:$D$6,0)),0)))))</x:f>
        <x:v>90</x:v>
      </x:c>
      <x:c r="M258" s="20" t="n">
        <x:f>G258*I258</x:f>
        <x:v>31135</x:v>
      </x:c>
      <x:c r="N258" s="20" t="n">
        <x:f>G258*J258</x:f>
        <x:v>650</x:v>
      </x:c>
      <x:c r="O258" s="20" t="n">
        <x:f>G258*K258</x:f>
        <x:v>0</x:v>
      </x:c>
      <x:c r="P258" s="20" t="n">
        <x:f>G258*L258</x:f>
        <x:v>1170</x:v>
      </x:c>
      <x:c r="Q258" s="20" t="n">
        <x:f>H258*INDEX(Inputs!$B$13:$D$13,1,MATCH(A258,Inputs!$B$6:$D$6,0))</x:f>
        <x:v>390</x:v>
      </x:c>
      <x:c r="R258" s="20" t="n">
        <x:f>SUM(M258:Q258)</x:f>
        <x:v>33345</x:v>
      </x:c>
      <x:c r="S258" s="20" t="n">
        <x:f>IF(AND(A257=A258,D257=D258),S257+R258,R258)</x:f>
        <x:v>33345</x:v>
      </x:c>
      <x:c r="T258" s="20" t="n">
        <x:f>MIN(S258,INDEX(Inputs!$B$20:$D$20,1,MATCH(A258,Inputs!$B$6:$D$6,0)))*INDEX(Inputs!$B$22:$D$22,1,MATCH(A258,Inputs!$B$6:$D$6,0))+MAX(MIN(S258,INDEX(Inputs!$B$21:$D$21,1,MATCH(A258,Inputs!$B$6:$D$6,0)))-INDEX(Inputs!$B$20:$D$20,1,MATCH(A258,Inputs!$B$6:$D$6,0)),0)*INDEX(Inputs!$B$23:$D$23,1,MATCH(A258,Inputs!$B$6:$D$6,0))+MAX(S258-INDEX(Inputs!$B$21:$D$21,1,MATCH(A258,Inputs!$B$6:$D$6,0)),0)*INDEX(Inputs!$B$24:$D$24,1,MATCH(A258,Inputs!$B$6:$D$6,0))</x:f>
        <x:v>3040.8925</x:v>
      </x:c>
      <x:c r="U258" s="20" t="n">
        <x:f>IF(AND(A257=A258,D257=D258),T257,0)</x:f>
        <x:v>0</x:v>
      </x:c>
      <x:c r="V258" s="20" t="n">
        <x:f>T258-U258</x:f>
        <x:v>3040.8925</x:v>
      </x:c>
      <x:c r="W258" s="20" t="n">
        <x:f>R258+V258</x:f>
        <x:v>36385.8925</x:v>
      </x:c>
      <x:c r="X258" s="14" t="str">
        <x:f>IF(ABS(W258-SUM(M258:Q258)-V258)&lt;0.01,"OK","Check")</x:f>
        <x:v>OK</x:v>
      </x:c>
    </x:row>
    <x:row r="259">
      <x:c r="A259" s="14" t="n">
        <x:v>2026</x:v>
      </x:c>
      <x:c r="B259" s="14" t="str">
        <x:v>Q2</x:v>
      </x:c>
      <x:c r="C259" s="14" t="n">
        <x:v>2</x:v>
      </x:c>
      <x:c r="D259" s="14" t="n">
        <x:v>64</x:v>
      </x:c>
      <x:c r="E259" s="14" t="str">
        <x:f>INDEX(Roster!$B$6:$B$108,MATCH(D259,Roster!$A$6:$A$108,0))</x:f>
      </x:c>
      <x:c r="F259" s="14" t="str">
        <x:f>INDEX(Roster!$F$6:$F$108,MATCH(D259,Roster!$A$6:$A$108,0))</x:f>
        <x:v>No</x:v>
      </x:c>
      <x:c r="G259" s="14" t="n">
        <x:f>INDEX(Inputs!$B$7:$D$7,1,MATCH(A259,Inputs!$B$6:$D$6,0))</x:f>
        <x:v>13</x:v>
      </x:c>
      <x:c r="H259" s="14" t="n">
        <x:f>MIN(=INDEX(Inputs!$B$7:$D$7,1,MATCH(A259,Inputs!$B$6:$D$6,0)),MAX(0,INDEX(Inputs!$B$14:$D$14,1,MATCH(A259,Inputs!$B$6:$D$6,0))-(C259-1)*=INDEX(Inputs!$B$7:$D$7,1,MATCH(A259,Inputs!$B$6:$D$6,0))))</x:f>
        <x:v>13</x:v>
      </x:c>
      <x:c r="I259" s="20" t="n">
        <x:f>INDEX(Inputs!$B$8:$D$8,1,MATCH(A259,Inputs!$B$6:$D$6,0))</x:f>
        <x:v>2395</x:v>
      </x:c>
      <x:c r="J259" s="20" t="n">
        <x:f>INDEX(Roster!$C$6:$C$108,MATCH(D259,Roster!$A$6:$A$108,0))*(1+INDEX(Inputs!$B$9:$D$9,1,MATCH(A259,Inputs!$B$6:$D$6,0)))</x:f>
        <x:v>50</x:v>
      </x:c>
      <x:c r="K259" s="20" t="n">
        <x:f>IF(=INDEX(Roster!$F$6:$F$108,MATCH(D259,Roster!$A$6:$A$108,0))="Yes",0,=INDEX(Inputs!$B$8:$D$8,1,MATCH(A259,Inputs!$B$6:$D$6,0))*IF(=INDEX(Roster!$B$6:$B$108,MATCH(D259,Roster!$A$6:$A$108,0))="Principal",INDEX(Inputs!$B$10:$D$10,1,MATCH(A259,Inputs!$B$6:$D$6,0)),IF(=INDEX(Roster!$B$6:$B$108,MATCH(D259,Roster!$A$6:$A$108,0))="Associate Principal",INDEX(Inputs!$B$11:$D$11,1,MATCH(A259,Inputs!$B$6:$D$6,0)),IF(=INDEX(Roster!$B$6:$B$108,MATCH(D259,Roster!$A$6:$A$108,0))="Assistant Principal",INDEX(Inputs!$B$12:$D$12,1,MATCH(A259,Inputs!$B$6:$D$6,0)),0))))</x:f>
        <x:v>0</x:v>
      </x:c>
      <x:c r="L259" s="20" t="n">
        <x:f>IF(INDEX(Roster!$D$6:$D$108,MATCH(D259,Roster!$A$6:$A$108,0))&gt;=25,INDEX(Inputs!$B$19:$D$19,1,MATCH(A259,Inputs!$B$6:$D$6,0)),IF(INDEX(Roster!$D$6:$D$108,MATCH(D259,Roster!$A$6:$A$108,0))&gt;=20,INDEX(Inputs!$B$18:$D$18,1,MATCH(A259,Inputs!$B$6:$D$6,0)),IF(INDEX(Roster!$D$6:$D$108,MATCH(D259,Roster!$A$6:$A$108,0))&gt;=15,INDEX(Inputs!$B$17:$D$17,1,MATCH(A259,Inputs!$B$6:$D$6,0)),IF(INDEX(Roster!$D$6:$D$108,MATCH(D259,Roster!$A$6:$A$108,0))&gt;=10,INDEX(Inputs!$B$16:$D$16,1,MATCH(A259,Inputs!$B$6:$D$6,0)),IF(INDEX(Roster!$D$6:$D$108,MATCH(D259,Roster!$A$6:$A$108,0))&gt;=5,INDEX(Inputs!$B$15:$D$15,1,MATCH(A259,Inputs!$B$6:$D$6,0)),0)))))</x:f>
        <x:v>90</x:v>
      </x:c>
      <x:c r="M259" s="20" t="n">
        <x:f>G259*I259</x:f>
        <x:v>31135</x:v>
      </x:c>
      <x:c r="N259" s="20" t="n">
        <x:f>G259*J259</x:f>
        <x:v>650</x:v>
      </x:c>
      <x:c r="O259" s="20" t="n">
        <x:f>G259*K259</x:f>
        <x:v>0</x:v>
      </x:c>
      <x:c r="P259" s="20" t="n">
        <x:f>G259*L259</x:f>
        <x:v>1170</x:v>
      </x:c>
      <x:c r="Q259" s="20" t="n">
        <x:f>H259*INDEX(Inputs!$B$13:$D$13,1,MATCH(A259,Inputs!$B$6:$D$6,0))</x:f>
        <x:v>390</x:v>
      </x:c>
      <x:c r="R259" s="20" t="n">
        <x:f>SUM(M259:Q259)</x:f>
        <x:v>33345</x:v>
      </x:c>
      <x:c r="S259" s="20" t="n">
        <x:f>IF(AND(A258=A259,D258=D259),S258+R259,R259)</x:f>
        <x:v>66690</x:v>
      </x:c>
      <x:c r="T259" s="20" t="n">
        <x:f>MIN(S259,INDEX(Inputs!$B$20:$D$20,1,MATCH(A259,Inputs!$B$6:$D$6,0)))*INDEX(Inputs!$B$22:$D$22,1,MATCH(A259,Inputs!$B$6:$D$6,0))+MAX(MIN(S259,INDEX(Inputs!$B$21:$D$21,1,MATCH(A259,Inputs!$B$6:$D$6,0)))-INDEX(Inputs!$B$20:$D$20,1,MATCH(A259,Inputs!$B$6:$D$6,0)),0)*INDEX(Inputs!$B$23:$D$23,1,MATCH(A259,Inputs!$B$6:$D$6,0))+MAX(S259-INDEX(Inputs!$B$21:$D$21,1,MATCH(A259,Inputs!$B$6:$D$6,0)),0)*INDEX(Inputs!$B$24:$D$24,1,MATCH(A259,Inputs!$B$6:$D$6,0))</x:f>
        <x:v>5591.785</x:v>
      </x:c>
      <x:c r="U259" s="20" t="n">
        <x:f>IF(AND(A258=A259,D258=D259),T258,0)</x:f>
        <x:v>3040.8925</x:v>
      </x:c>
      <x:c r="V259" s="20" t="n">
        <x:f>T259-U259</x:f>
        <x:v>2550.8925</x:v>
      </x:c>
      <x:c r="W259" s="20" t="n">
        <x:f>R259+V259</x:f>
        <x:v>35895.8925</x:v>
      </x:c>
      <x:c r="X259" s="14" t="str">
        <x:f>IF(ABS(W259-SUM(M259:Q259)-V259)&lt;0.01,"OK","Check")</x:f>
        <x:v>OK</x:v>
      </x:c>
    </x:row>
    <x:row r="260">
      <x:c r="A260" s="14" t="n">
        <x:v>2026</x:v>
      </x:c>
      <x:c r="B260" s="14" t="str">
        <x:v>Q3</x:v>
      </x:c>
      <x:c r="C260" s="14" t="n">
        <x:v>3</x:v>
      </x:c>
      <x:c r="D260" s="14" t="n">
        <x:v>64</x:v>
      </x:c>
      <x:c r="E260" s="14" t="str">
        <x:f>INDEX(Roster!$B$6:$B$108,MATCH(D260,Roster!$A$6:$A$108,0))</x:f>
      </x:c>
      <x:c r="F260" s="14" t="str">
        <x:f>INDEX(Roster!$F$6:$F$108,MATCH(D260,Roster!$A$6:$A$108,0))</x:f>
        <x:v>No</x:v>
      </x:c>
      <x:c r="G260" s="14" t="n">
        <x:f>INDEX(Inputs!$B$7:$D$7,1,MATCH(A260,Inputs!$B$6:$D$6,0))</x:f>
        <x:v>13</x:v>
      </x:c>
      <x:c r="H260" s="14" t="n">
        <x:f>MIN(=INDEX(Inputs!$B$7:$D$7,1,MATCH(A260,Inputs!$B$6:$D$6,0)),MAX(0,INDEX(Inputs!$B$14:$D$14,1,MATCH(A260,Inputs!$B$6:$D$6,0))-(C260-1)*=INDEX(Inputs!$B$7:$D$7,1,MATCH(A260,Inputs!$B$6:$D$6,0))))</x:f>
        <x:v>13</x:v>
      </x:c>
      <x:c r="I260" s="20" t="n">
        <x:f>INDEX(Inputs!$B$8:$D$8,1,MATCH(A260,Inputs!$B$6:$D$6,0))</x:f>
        <x:v>2395</x:v>
      </x:c>
      <x:c r="J260" s="20" t="n">
        <x:f>INDEX(Roster!$C$6:$C$108,MATCH(D260,Roster!$A$6:$A$108,0))*(1+INDEX(Inputs!$B$9:$D$9,1,MATCH(A260,Inputs!$B$6:$D$6,0)))</x:f>
        <x:v>50</x:v>
      </x:c>
      <x:c r="K260" s="20" t="n">
        <x:f>IF(=INDEX(Roster!$F$6:$F$108,MATCH(D260,Roster!$A$6:$A$108,0))="Yes",0,=INDEX(Inputs!$B$8:$D$8,1,MATCH(A260,Inputs!$B$6:$D$6,0))*IF(=INDEX(Roster!$B$6:$B$108,MATCH(D260,Roster!$A$6:$A$108,0))="Principal",INDEX(Inputs!$B$10:$D$10,1,MATCH(A260,Inputs!$B$6:$D$6,0)),IF(=INDEX(Roster!$B$6:$B$108,MATCH(D260,Roster!$A$6:$A$108,0))="Associate Principal",INDEX(Inputs!$B$11:$D$11,1,MATCH(A260,Inputs!$B$6:$D$6,0)),IF(=INDEX(Roster!$B$6:$B$108,MATCH(D260,Roster!$A$6:$A$108,0))="Assistant Principal",INDEX(Inputs!$B$12:$D$12,1,MATCH(A260,Inputs!$B$6:$D$6,0)),0))))</x:f>
        <x:v>0</x:v>
      </x:c>
      <x:c r="L260" s="20" t="n">
        <x:f>IF(INDEX(Roster!$D$6:$D$108,MATCH(D260,Roster!$A$6:$A$108,0))&gt;=25,INDEX(Inputs!$B$19:$D$19,1,MATCH(A260,Inputs!$B$6:$D$6,0)),IF(INDEX(Roster!$D$6:$D$108,MATCH(D260,Roster!$A$6:$A$108,0))&gt;=20,INDEX(Inputs!$B$18:$D$18,1,MATCH(A260,Inputs!$B$6:$D$6,0)),IF(INDEX(Roster!$D$6:$D$108,MATCH(D260,Roster!$A$6:$A$108,0))&gt;=15,INDEX(Inputs!$B$17:$D$17,1,MATCH(A260,Inputs!$B$6:$D$6,0)),IF(INDEX(Roster!$D$6:$D$108,MATCH(D260,Roster!$A$6:$A$108,0))&gt;=10,INDEX(Inputs!$B$16:$D$16,1,MATCH(A260,Inputs!$B$6:$D$6,0)),IF(INDEX(Roster!$D$6:$D$108,MATCH(D260,Roster!$A$6:$A$108,0))&gt;=5,INDEX(Inputs!$B$15:$D$15,1,MATCH(A260,Inputs!$B$6:$D$6,0)),0)))))</x:f>
        <x:v>90</x:v>
      </x:c>
      <x:c r="M260" s="20" t="n">
        <x:f>G260*I260</x:f>
        <x:v>31135</x:v>
      </x:c>
      <x:c r="N260" s="20" t="n">
        <x:f>G260*J260</x:f>
        <x:v>650</x:v>
      </x:c>
      <x:c r="O260" s="20" t="n">
        <x:f>G260*K260</x:f>
        <x:v>0</x:v>
      </x:c>
      <x:c r="P260" s="20" t="n">
        <x:f>G260*L260</x:f>
        <x:v>1170</x:v>
      </x:c>
      <x:c r="Q260" s="20" t="n">
        <x:f>H260*INDEX(Inputs!$B$13:$D$13,1,MATCH(A260,Inputs!$B$6:$D$6,0))</x:f>
        <x:v>390</x:v>
      </x:c>
      <x:c r="R260" s="20" t="n">
        <x:f>SUM(M260:Q260)</x:f>
        <x:v>33345</x:v>
      </x:c>
      <x:c r="S260" s="20" t="n">
        <x:f>IF(AND(A259=A260,D259=D260),S259+R260,R260)</x:f>
        <x:v>100035</x:v>
      </x:c>
      <x:c r="T260" s="20" t="n">
        <x:f>MIN(S260,INDEX(Inputs!$B$20:$D$20,1,MATCH(A260,Inputs!$B$6:$D$6,0)))*INDEX(Inputs!$B$22:$D$22,1,MATCH(A260,Inputs!$B$6:$D$6,0))+MAX(MIN(S260,INDEX(Inputs!$B$21:$D$21,1,MATCH(A260,Inputs!$B$6:$D$6,0)))-INDEX(Inputs!$B$20:$D$20,1,MATCH(A260,Inputs!$B$6:$D$6,0)),0)*INDEX(Inputs!$B$23:$D$23,1,MATCH(A260,Inputs!$B$6:$D$6,0))+MAX(S260-INDEX(Inputs!$B$21:$D$21,1,MATCH(A260,Inputs!$B$6:$D$6,0)),0)*INDEX(Inputs!$B$24:$D$24,1,MATCH(A260,Inputs!$B$6:$D$6,0))</x:f>
        <x:v>8142.6775</x:v>
      </x:c>
      <x:c r="U260" s="20" t="n">
        <x:f>IF(AND(A259=A260,D259=D260),T259,0)</x:f>
        <x:v>5591.785</x:v>
      </x:c>
      <x:c r="V260" s="20" t="n">
        <x:f>T260-U260</x:f>
        <x:v>2550.8925</x:v>
      </x:c>
      <x:c r="W260" s="20" t="n">
        <x:f>R260+V260</x:f>
        <x:v>35895.8925</x:v>
      </x:c>
      <x:c r="X260" s="14" t="str">
        <x:f>IF(ABS(W260-SUM(M260:Q260)-V260)&lt;0.01,"OK","Check")</x:f>
        <x:v>OK</x:v>
      </x:c>
    </x:row>
    <x:row r="261">
      <x:c r="A261" s="14" t="n">
        <x:v>2026</x:v>
      </x:c>
      <x:c r="B261" s="14" t="str">
        <x:v>Q4</x:v>
      </x:c>
      <x:c r="C261" s="14" t="n">
        <x:v>4</x:v>
      </x:c>
      <x:c r="D261" s="14" t="n">
        <x:v>64</x:v>
      </x:c>
      <x:c r="E261" s="14" t="str">
        <x:f>INDEX(Roster!$B$6:$B$108,MATCH(D261,Roster!$A$6:$A$108,0))</x:f>
      </x:c>
      <x:c r="F261" s="14" t="str">
        <x:f>INDEX(Roster!$F$6:$F$108,MATCH(D261,Roster!$A$6:$A$108,0))</x:f>
        <x:v>No</x:v>
      </x:c>
      <x:c r="G261" s="14" t="n">
        <x:f>INDEX(Inputs!$B$7:$D$7,1,MATCH(A261,Inputs!$B$6:$D$6,0))</x:f>
        <x:v>13</x:v>
      </x:c>
      <x:c r="H261" s="14" t="n">
        <x:f>MIN(=INDEX(Inputs!$B$7:$D$7,1,MATCH(A261,Inputs!$B$6:$D$6,0)),MAX(0,INDEX(Inputs!$B$14:$D$14,1,MATCH(A261,Inputs!$B$6:$D$6,0))-(C261-1)*=INDEX(Inputs!$B$7:$D$7,1,MATCH(A261,Inputs!$B$6:$D$6,0))))</x:f>
        <x:v>0</x:v>
      </x:c>
      <x:c r="I261" s="20" t="n">
        <x:f>INDEX(Inputs!$B$8:$D$8,1,MATCH(A261,Inputs!$B$6:$D$6,0))</x:f>
        <x:v>2395</x:v>
      </x:c>
      <x:c r="J261" s="20" t="n">
        <x:f>INDEX(Roster!$C$6:$C$108,MATCH(D261,Roster!$A$6:$A$108,0))*(1+INDEX(Inputs!$B$9:$D$9,1,MATCH(A261,Inputs!$B$6:$D$6,0)))</x:f>
        <x:v>50</x:v>
      </x:c>
      <x:c r="K261" s="20" t="n">
        <x:f>IF(=INDEX(Roster!$F$6:$F$108,MATCH(D261,Roster!$A$6:$A$108,0))="Yes",0,=INDEX(Inputs!$B$8:$D$8,1,MATCH(A261,Inputs!$B$6:$D$6,0))*IF(=INDEX(Roster!$B$6:$B$108,MATCH(D261,Roster!$A$6:$A$108,0))="Principal",INDEX(Inputs!$B$10:$D$10,1,MATCH(A261,Inputs!$B$6:$D$6,0)),IF(=INDEX(Roster!$B$6:$B$108,MATCH(D261,Roster!$A$6:$A$108,0))="Associate Principal",INDEX(Inputs!$B$11:$D$11,1,MATCH(A261,Inputs!$B$6:$D$6,0)),IF(=INDEX(Roster!$B$6:$B$108,MATCH(D261,Roster!$A$6:$A$108,0))="Assistant Principal",INDEX(Inputs!$B$12:$D$12,1,MATCH(A261,Inputs!$B$6:$D$6,0)),0))))</x:f>
        <x:v>0</x:v>
      </x:c>
      <x:c r="L261" s="20" t="n">
        <x:f>IF(INDEX(Roster!$D$6:$D$108,MATCH(D261,Roster!$A$6:$A$108,0))&gt;=25,INDEX(Inputs!$B$19:$D$19,1,MATCH(A261,Inputs!$B$6:$D$6,0)),IF(INDEX(Roster!$D$6:$D$108,MATCH(D261,Roster!$A$6:$A$108,0))&gt;=20,INDEX(Inputs!$B$18:$D$18,1,MATCH(A261,Inputs!$B$6:$D$6,0)),IF(INDEX(Roster!$D$6:$D$108,MATCH(D261,Roster!$A$6:$A$108,0))&gt;=15,INDEX(Inputs!$B$17:$D$17,1,MATCH(A261,Inputs!$B$6:$D$6,0)),IF(INDEX(Roster!$D$6:$D$108,MATCH(D261,Roster!$A$6:$A$108,0))&gt;=10,INDEX(Inputs!$B$16:$D$16,1,MATCH(A261,Inputs!$B$6:$D$6,0)),IF(INDEX(Roster!$D$6:$D$108,MATCH(D261,Roster!$A$6:$A$108,0))&gt;=5,INDEX(Inputs!$B$15:$D$15,1,MATCH(A261,Inputs!$B$6:$D$6,0)),0)))))</x:f>
        <x:v>90</x:v>
      </x:c>
      <x:c r="M261" s="20" t="n">
        <x:f>G261*I261</x:f>
        <x:v>31135</x:v>
      </x:c>
      <x:c r="N261" s="20" t="n">
        <x:f>G261*J261</x:f>
        <x:v>650</x:v>
      </x:c>
      <x:c r="O261" s="20" t="n">
        <x:f>G261*K261</x:f>
        <x:v>0</x:v>
      </x:c>
      <x:c r="P261" s="20" t="n">
        <x:f>G261*L261</x:f>
        <x:v>1170</x:v>
      </x:c>
      <x:c r="Q261" s="20" t="n">
        <x:f>H261*INDEX(Inputs!$B$13:$D$13,1,MATCH(A261,Inputs!$B$6:$D$6,0))</x:f>
        <x:v>0</x:v>
      </x:c>
      <x:c r="R261" s="20" t="n">
        <x:f>SUM(M261:Q261)</x:f>
        <x:v>32955</x:v>
      </x:c>
      <x:c r="S261" s="20" t="n">
        <x:f>IF(AND(A260=A261,D260=D261),S260+R261,R261)</x:f>
        <x:v>132990</x:v>
      </x:c>
      <x:c r="T261" s="20" t="n">
        <x:f>MIN(S261,INDEX(Inputs!$B$20:$D$20,1,MATCH(A261,Inputs!$B$6:$D$6,0)))*INDEX(Inputs!$B$22:$D$22,1,MATCH(A261,Inputs!$B$6:$D$6,0))+MAX(MIN(S261,INDEX(Inputs!$B$21:$D$21,1,MATCH(A261,Inputs!$B$6:$D$6,0)))-INDEX(Inputs!$B$20:$D$20,1,MATCH(A261,Inputs!$B$6:$D$6,0)),0)*INDEX(Inputs!$B$23:$D$23,1,MATCH(A261,Inputs!$B$6:$D$6,0))+MAX(S261-INDEX(Inputs!$B$21:$D$21,1,MATCH(A261,Inputs!$B$6:$D$6,0)),0)*INDEX(Inputs!$B$24:$D$24,1,MATCH(A261,Inputs!$B$6:$D$6,0))</x:f>
        <x:v>9842.297</x:v>
      </x:c>
      <x:c r="U261" s="20" t="n">
        <x:f>IF(AND(A260=A261,D260=D261),T260,0)</x:f>
        <x:v>8142.6775</x:v>
      </x:c>
      <x:c r="V261" s="20" t="n">
        <x:f>T261-U261</x:f>
        <x:v>1699.6195000000007</x:v>
      </x:c>
      <x:c r="W261" s="20" t="n">
        <x:f>R261+V261</x:f>
        <x:v>34654.6195</x:v>
      </x:c>
      <x:c r="X261" s="14" t="str">
        <x:f>IF(ABS(W261-SUM(M261:Q261)-V261)&lt;0.01,"OK","Check")</x:f>
        <x:v>OK</x:v>
      </x:c>
    </x:row>
    <x:row r="262">
      <x:c r="A262" s="14" t="n">
        <x:v>2026</x:v>
      </x:c>
      <x:c r="B262" s="14" t="str">
        <x:v>Q1</x:v>
      </x:c>
      <x:c r="C262" s="14" t="n">
        <x:v>1</x:v>
      </x:c>
      <x:c r="D262" s="14" t="n">
        <x:v>65</x:v>
      </x:c>
      <x:c r="E262" s="14" t="str">
        <x:f>INDEX(Roster!$B$6:$B$108,MATCH(D262,Roster!$A$6:$A$108,0))</x:f>
      </x:c>
      <x:c r="F262" s="14" t="str">
        <x:f>INDEX(Roster!$F$6:$F$108,MATCH(D262,Roster!$A$6:$A$108,0))</x:f>
        <x:v>No</x:v>
      </x:c>
      <x:c r="G262" s="14" t="n">
        <x:f>INDEX(Inputs!$B$7:$D$7,1,MATCH(A262,Inputs!$B$6:$D$6,0))</x:f>
        <x:v>13</x:v>
      </x:c>
      <x:c r="H262" s="14" t="n">
        <x:f>MIN(=INDEX(Inputs!$B$7:$D$7,1,MATCH(A262,Inputs!$B$6:$D$6,0)),MAX(0,INDEX(Inputs!$B$14:$D$14,1,MATCH(A262,Inputs!$B$6:$D$6,0))-(C262-1)*=INDEX(Inputs!$B$7:$D$7,1,MATCH(A262,Inputs!$B$6:$D$6,0))))</x:f>
        <x:v>13</x:v>
      </x:c>
      <x:c r="I262" s="20" t="n">
        <x:f>INDEX(Inputs!$B$8:$D$8,1,MATCH(A262,Inputs!$B$6:$D$6,0))</x:f>
        <x:v>2395</x:v>
      </x:c>
      <x:c r="J262" s="20" t="n">
        <x:f>INDEX(Roster!$C$6:$C$108,MATCH(D262,Roster!$A$6:$A$108,0))*(1+INDEX(Inputs!$B$9:$D$9,1,MATCH(A262,Inputs!$B$6:$D$6,0)))</x:f>
        <x:v>0</x:v>
      </x:c>
      <x:c r="K262" s="20" t="n">
        <x:f>IF(=INDEX(Roster!$F$6:$F$108,MATCH(D262,Roster!$A$6:$A$108,0))="Yes",0,=INDEX(Inputs!$B$8:$D$8,1,MATCH(A262,Inputs!$B$6:$D$6,0))*IF(=INDEX(Roster!$B$6:$B$108,MATCH(D262,Roster!$A$6:$A$108,0))="Principal",INDEX(Inputs!$B$10:$D$10,1,MATCH(A262,Inputs!$B$6:$D$6,0)),IF(=INDEX(Roster!$B$6:$B$108,MATCH(D262,Roster!$A$6:$A$108,0))="Associate Principal",INDEX(Inputs!$B$11:$D$11,1,MATCH(A262,Inputs!$B$6:$D$6,0)),IF(=INDEX(Roster!$B$6:$B$108,MATCH(D262,Roster!$A$6:$A$108,0))="Assistant Principal",INDEX(Inputs!$B$12:$D$12,1,MATCH(A262,Inputs!$B$6:$D$6,0)),0))))</x:f>
        <x:v>0</x:v>
      </x:c>
      <x:c r="L262" s="20" t="n">
        <x:f>IF(INDEX(Roster!$D$6:$D$108,MATCH(D262,Roster!$A$6:$A$108,0))&gt;=25,INDEX(Inputs!$B$19:$D$19,1,MATCH(A262,Inputs!$B$6:$D$6,0)),IF(INDEX(Roster!$D$6:$D$108,MATCH(D262,Roster!$A$6:$A$108,0))&gt;=20,INDEX(Inputs!$B$18:$D$18,1,MATCH(A262,Inputs!$B$6:$D$6,0)),IF(INDEX(Roster!$D$6:$D$108,MATCH(D262,Roster!$A$6:$A$108,0))&gt;=15,INDEX(Inputs!$B$17:$D$17,1,MATCH(A262,Inputs!$B$6:$D$6,0)),IF(INDEX(Roster!$D$6:$D$108,MATCH(D262,Roster!$A$6:$A$108,0))&gt;=10,INDEX(Inputs!$B$16:$D$16,1,MATCH(A262,Inputs!$B$6:$D$6,0)),IF(INDEX(Roster!$D$6:$D$108,MATCH(D262,Roster!$A$6:$A$108,0))&gt;=5,INDEX(Inputs!$B$15:$D$15,1,MATCH(A262,Inputs!$B$6:$D$6,0)),0)))))</x:f>
        <x:v>0</x:v>
      </x:c>
      <x:c r="M262" s="20" t="n">
        <x:f>G262*I262</x:f>
        <x:v>31135</x:v>
      </x:c>
      <x:c r="N262" s="20" t="n">
        <x:f>G262*J262</x:f>
        <x:v>0</x:v>
      </x:c>
      <x:c r="O262" s="20" t="n">
        <x:f>G262*K262</x:f>
        <x:v>0</x:v>
      </x:c>
      <x:c r="P262" s="20" t="n">
        <x:f>G262*L262</x:f>
        <x:v>0</x:v>
      </x:c>
      <x:c r="Q262" s="20" t="n">
        <x:f>H262*INDEX(Inputs!$B$13:$D$13,1,MATCH(A262,Inputs!$B$6:$D$6,0))</x:f>
        <x:v>390</x:v>
      </x:c>
      <x:c r="R262" s="20" t="n">
        <x:f>SUM(M262:Q262)</x:f>
        <x:v>31525</x:v>
      </x:c>
      <x:c r="S262" s="20" t="n">
        <x:f>IF(AND(A261=A262,D261=D262),S261+R262,R262)</x:f>
        <x:v>31525</x:v>
      </x:c>
      <x:c r="T262" s="20" t="n">
        <x:f>MIN(S262,INDEX(Inputs!$B$20:$D$20,1,MATCH(A262,Inputs!$B$6:$D$6,0)))*INDEX(Inputs!$B$22:$D$22,1,MATCH(A262,Inputs!$B$6:$D$6,0))+MAX(MIN(S262,INDEX(Inputs!$B$21:$D$21,1,MATCH(A262,Inputs!$B$6:$D$6,0)))-INDEX(Inputs!$B$20:$D$20,1,MATCH(A262,Inputs!$B$6:$D$6,0)),0)*INDEX(Inputs!$B$23:$D$23,1,MATCH(A262,Inputs!$B$6:$D$6,0))+MAX(S262-INDEX(Inputs!$B$21:$D$21,1,MATCH(A262,Inputs!$B$6:$D$6,0)),0)*INDEX(Inputs!$B$24:$D$24,1,MATCH(A262,Inputs!$B$6:$D$6,0))</x:f>
        <x:v>2901.6625</x:v>
      </x:c>
      <x:c r="U262" s="20" t="n">
        <x:f>IF(AND(A261=A262,D261=D262),T261,0)</x:f>
        <x:v>0</x:v>
      </x:c>
      <x:c r="V262" s="20" t="n">
        <x:f>T262-U262</x:f>
        <x:v>2901.6625</x:v>
      </x:c>
      <x:c r="W262" s="20" t="n">
        <x:f>R262+V262</x:f>
        <x:v>34426.6625</x:v>
      </x:c>
      <x:c r="X262" s="14" t="str">
        <x:f>IF(ABS(W262-SUM(M262:Q262)-V262)&lt;0.01,"OK","Check")</x:f>
        <x:v>OK</x:v>
      </x:c>
    </x:row>
    <x:row r="263">
      <x:c r="A263" s="14" t="n">
        <x:v>2026</x:v>
      </x:c>
      <x:c r="B263" s="14" t="str">
        <x:v>Q2</x:v>
      </x:c>
      <x:c r="C263" s="14" t="n">
        <x:v>2</x:v>
      </x:c>
      <x:c r="D263" s="14" t="n">
        <x:v>65</x:v>
      </x:c>
      <x:c r="E263" s="14" t="str">
        <x:f>INDEX(Roster!$B$6:$B$108,MATCH(D263,Roster!$A$6:$A$108,0))</x:f>
      </x:c>
      <x:c r="F263" s="14" t="str">
        <x:f>INDEX(Roster!$F$6:$F$108,MATCH(D263,Roster!$A$6:$A$108,0))</x:f>
        <x:v>No</x:v>
      </x:c>
      <x:c r="G263" s="14" t="n">
        <x:f>INDEX(Inputs!$B$7:$D$7,1,MATCH(A263,Inputs!$B$6:$D$6,0))</x:f>
        <x:v>13</x:v>
      </x:c>
      <x:c r="H263" s="14" t="n">
        <x:f>MIN(=INDEX(Inputs!$B$7:$D$7,1,MATCH(A263,Inputs!$B$6:$D$6,0)),MAX(0,INDEX(Inputs!$B$14:$D$14,1,MATCH(A263,Inputs!$B$6:$D$6,0))-(C263-1)*=INDEX(Inputs!$B$7:$D$7,1,MATCH(A263,Inputs!$B$6:$D$6,0))))</x:f>
        <x:v>13</x:v>
      </x:c>
      <x:c r="I263" s="20" t="n">
        <x:f>INDEX(Inputs!$B$8:$D$8,1,MATCH(A263,Inputs!$B$6:$D$6,0))</x:f>
        <x:v>2395</x:v>
      </x:c>
      <x:c r="J263" s="20" t="n">
        <x:f>INDEX(Roster!$C$6:$C$108,MATCH(D263,Roster!$A$6:$A$108,0))*(1+INDEX(Inputs!$B$9:$D$9,1,MATCH(A263,Inputs!$B$6:$D$6,0)))</x:f>
        <x:v>0</x:v>
      </x:c>
      <x:c r="K263" s="20" t="n">
        <x:f>IF(=INDEX(Roster!$F$6:$F$108,MATCH(D263,Roster!$A$6:$A$108,0))="Yes",0,=INDEX(Inputs!$B$8:$D$8,1,MATCH(A263,Inputs!$B$6:$D$6,0))*IF(=INDEX(Roster!$B$6:$B$108,MATCH(D263,Roster!$A$6:$A$108,0))="Principal",INDEX(Inputs!$B$10:$D$10,1,MATCH(A263,Inputs!$B$6:$D$6,0)),IF(=INDEX(Roster!$B$6:$B$108,MATCH(D263,Roster!$A$6:$A$108,0))="Associate Principal",INDEX(Inputs!$B$11:$D$11,1,MATCH(A263,Inputs!$B$6:$D$6,0)),IF(=INDEX(Roster!$B$6:$B$108,MATCH(D263,Roster!$A$6:$A$108,0))="Assistant Principal",INDEX(Inputs!$B$12:$D$12,1,MATCH(A263,Inputs!$B$6:$D$6,0)),0))))</x:f>
        <x:v>0</x:v>
      </x:c>
      <x:c r="L263" s="20" t="n">
        <x:f>IF(INDEX(Roster!$D$6:$D$108,MATCH(D263,Roster!$A$6:$A$108,0))&gt;=25,INDEX(Inputs!$B$19:$D$19,1,MATCH(A263,Inputs!$B$6:$D$6,0)),IF(INDEX(Roster!$D$6:$D$108,MATCH(D263,Roster!$A$6:$A$108,0))&gt;=20,INDEX(Inputs!$B$18:$D$18,1,MATCH(A263,Inputs!$B$6:$D$6,0)),IF(INDEX(Roster!$D$6:$D$108,MATCH(D263,Roster!$A$6:$A$108,0))&gt;=15,INDEX(Inputs!$B$17:$D$17,1,MATCH(A263,Inputs!$B$6:$D$6,0)),IF(INDEX(Roster!$D$6:$D$108,MATCH(D263,Roster!$A$6:$A$108,0))&gt;=10,INDEX(Inputs!$B$16:$D$16,1,MATCH(A263,Inputs!$B$6:$D$6,0)),IF(INDEX(Roster!$D$6:$D$108,MATCH(D263,Roster!$A$6:$A$108,0))&gt;=5,INDEX(Inputs!$B$15:$D$15,1,MATCH(A263,Inputs!$B$6:$D$6,0)),0)))))</x:f>
        <x:v>0</x:v>
      </x:c>
      <x:c r="M263" s="20" t="n">
        <x:f>G263*I263</x:f>
        <x:v>31135</x:v>
      </x:c>
      <x:c r="N263" s="20" t="n">
        <x:f>G263*J263</x:f>
        <x:v>0</x:v>
      </x:c>
      <x:c r="O263" s="20" t="n">
        <x:f>G263*K263</x:f>
        <x:v>0</x:v>
      </x:c>
      <x:c r="P263" s="20" t="n">
        <x:f>G263*L263</x:f>
        <x:v>0</x:v>
      </x:c>
      <x:c r="Q263" s="20" t="n">
        <x:f>H263*INDEX(Inputs!$B$13:$D$13,1,MATCH(A263,Inputs!$B$6:$D$6,0))</x:f>
        <x:v>390</x:v>
      </x:c>
      <x:c r="R263" s="20" t="n">
        <x:f>SUM(M263:Q263)</x:f>
        <x:v>31525</x:v>
      </x:c>
      <x:c r="S263" s="20" t="n">
        <x:f>IF(AND(A262=A263,D262=D263),S262+R263,R263)</x:f>
        <x:v>63050</x:v>
      </x:c>
      <x:c r="T263" s="20" t="n">
        <x:f>MIN(S263,INDEX(Inputs!$B$20:$D$20,1,MATCH(A263,Inputs!$B$6:$D$6,0)))*INDEX(Inputs!$B$22:$D$22,1,MATCH(A263,Inputs!$B$6:$D$6,0))+MAX(MIN(S263,INDEX(Inputs!$B$21:$D$21,1,MATCH(A263,Inputs!$B$6:$D$6,0)))-INDEX(Inputs!$B$20:$D$20,1,MATCH(A263,Inputs!$B$6:$D$6,0)),0)*INDEX(Inputs!$B$23:$D$23,1,MATCH(A263,Inputs!$B$6:$D$6,0))+MAX(S263-INDEX(Inputs!$B$21:$D$21,1,MATCH(A263,Inputs!$B$6:$D$6,0)),0)*INDEX(Inputs!$B$24:$D$24,1,MATCH(A263,Inputs!$B$6:$D$6,0))</x:f>
        <x:v>5313.325</x:v>
      </x:c>
      <x:c r="U263" s="20" t="n">
        <x:f>IF(AND(A262=A263,D262=D263),T262,0)</x:f>
        <x:v>2901.6625</x:v>
      </x:c>
      <x:c r="V263" s="20" t="n">
        <x:f>T263-U263</x:f>
        <x:v>2411.6625</x:v>
      </x:c>
      <x:c r="W263" s="20" t="n">
        <x:f>R263+V263</x:f>
        <x:v>33936.6625</x:v>
      </x:c>
      <x:c r="X263" s="14" t="str">
        <x:f>IF(ABS(W263-SUM(M263:Q263)-V263)&lt;0.01,"OK","Check")</x:f>
        <x:v>OK</x:v>
      </x:c>
    </x:row>
    <x:row r="264">
      <x:c r="A264" s="14" t="n">
        <x:v>2026</x:v>
      </x:c>
      <x:c r="B264" s="14" t="str">
        <x:v>Q3</x:v>
      </x:c>
      <x:c r="C264" s="14" t="n">
        <x:v>3</x:v>
      </x:c>
      <x:c r="D264" s="14" t="n">
        <x:v>65</x:v>
      </x:c>
      <x:c r="E264" s="14" t="str">
        <x:f>INDEX(Roster!$B$6:$B$108,MATCH(D264,Roster!$A$6:$A$108,0))</x:f>
      </x:c>
      <x:c r="F264" s="14" t="str">
        <x:f>INDEX(Roster!$F$6:$F$108,MATCH(D264,Roster!$A$6:$A$108,0))</x:f>
        <x:v>No</x:v>
      </x:c>
      <x:c r="G264" s="14" t="n">
        <x:f>INDEX(Inputs!$B$7:$D$7,1,MATCH(A264,Inputs!$B$6:$D$6,0))</x:f>
        <x:v>13</x:v>
      </x:c>
      <x:c r="H264" s="14" t="n">
        <x:f>MIN(=INDEX(Inputs!$B$7:$D$7,1,MATCH(A264,Inputs!$B$6:$D$6,0)),MAX(0,INDEX(Inputs!$B$14:$D$14,1,MATCH(A264,Inputs!$B$6:$D$6,0))-(C264-1)*=INDEX(Inputs!$B$7:$D$7,1,MATCH(A264,Inputs!$B$6:$D$6,0))))</x:f>
        <x:v>13</x:v>
      </x:c>
      <x:c r="I264" s="20" t="n">
        <x:f>INDEX(Inputs!$B$8:$D$8,1,MATCH(A264,Inputs!$B$6:$D$6,0))</x:f>
        <x:v>2395</x:v>
      </x:c>
      <x:c r="J264" s="20" t="n">
        <x:f>INDEX(Roster!$C$6:$C$108,MATCH(D264,Roster!$A$6:$A$108,0))*(1+INDEX(Inputs!$B$9:$D$9,1,MATCH(A264,Inputs!$B$6:$D$6,0)))</x:f>
        <x:v>0</x:v>
      </x:c>
      <x:c r="K264" s="20" t="n">
        <x:f>IF(=INDEX(Roster!$F$6:$F$108,MATCH(D264,Roster!$A$6:$A$108,0))="Yes",0,=INDEX(Inputs!$B$8:$D$8,1,MATCH(A264,Inputs!$B$6:$D$6,0))*IF(=INDEX(Roster!$B$6:$B$108,MATCH(D264,Roster!$A$6:$A$108,0))="Principal",INDEX(Inputs!$B$10:$D$10,1,MATCH(A264,Inputs!$B$6:$D$6,0)),IF(=INDEX(Roster!$B$6:$B$108,MATCH(D264,Roster!$A$6:$A$108,0))="Associate Principal",INDEX(Inputs!$B$11:$D$11,1,MATCH(A264,Inputs!$B$6:$D$6,0)),IF(=INDEX(Roster!$B$6:$B$108,MATCH(D264,Roster!$A$6:$A$108,0))="Assistant Principal",INDEX(Inputs!$B$12:$D$12,1,MATCH(A264,Inputs!$B$6:$D$6,0)),0))))</x:f>
        <x:v>0</x:v>
      </x:c>
      <x:c r="L264" s="20" t="n">
        <x:f>IF(INDEX(Roster!$D$6:$D$108,MATCH(D264,Roster!$A$6:$A$108,0))&gt;=25,INDEX(Inputs!$B$19:$D$19,1,MATCH(A264,Inputs!$B$6:$D$6,0)),IF(INDEX(Roster!$D$6:$D$108,MATCH(D264,Roster!$A$6:$A$108,0))&gt;=20,INDEX(Inputs!$B$18:$D$18,1,MATCH(A264,Inputs!$B$6:$D$6,0)),IF(INDEX(Roster!$D$6:$D$108,MATCH(D264,Roster!$A$6:$A$108,0))&gt;=15,INDEX(Inputs!$B$17:$D$17,1,MATCH(A264,Inputs!$B$6:$D$6,0)),IF(INDEX(Roster!$D$6:$D$108,MATCH(D264,Roster!$A$6:$A$108,0))&gt;=10,INDEX(Inputs!$B$16:$D$16,1,MATCH(A264,Inputs!$B$6:$D$6,0)),IF(INDEX(Roster!$D$6:$D$108,MATCH(D264,Roster!$A$6:$A$108,0))&gt;=5,INDEX(Inputs!$B$15:$D$15,1,MATCH(A264,Inputs!$B$6:$D$6,0)),0)))))</x:f>
        <x:v>0</x:v>
      </x:c>
      <x:c r="M264" s="20" t="n">
        <x:f>G264*I264</x:f>
        <x:v>31135</x:v>
      </x:c>
      <x:c r="N264" s="20" t="n">
        <x:f>G264*J264</x:f>
        <x:v>0</x:v>
      </x:c>
      <x:c r="O264" s="20" t="n">
        <x:f>G264*K264</x:f>
        <x:v>0</x:v>
      </x:c>
      <x:c r="P264" s="20" t="n">
        <x:f>G264*L264</x:f>
        <x:v>0</x:v>
      </x:c>
      <x:c r="Q264" s="20" t="n">
        <x:f>H264*INDEX(Inputs!$B$13:$D$13,1,MATCH(A264,Inputs!$B$6:$D$6,0))</x:f>
        <x:v>390</x:v>
      </x:c>
      <x:c r="R264" s="20" t="n">
        <x:f>SUM(M264:Q264)</x:f>
        <x:v>31525</x:v>
      </x:c>
      <x:c r="S264" s="20" t="n">
        <x:f>IF(AND(A263=A264,D263=D264),S263+R264,R264)</x:f>
        <x:v>94575</x:v>
      </x:c>
      <x:c r="T264" s="20" t="n">
        <x:f>MIN(S264,INDEX(Inputs!$B$20:$D$20,1,MATCH(A264,Inputs!$B$6:$D$6,0)))*INDEX(Inputs!$B$22:$D$22,1,MATCH(A264,Inputs!$B$6:$D$6,0))+MAX(MIN(S264,INDEX(Inputs!$B$21:$D$21,1,MATCH(A264,Inputs!$B$6:$D$6,0)))-INDEX(Inputs!$B$20:$D$20,1,MATCH(A264,Inputs!$B$6:$D$6,0)),0)*INDEX(Inputs!$B$23:$D$23,1,MATCH(A264,Inputs!$B$6:$D$6,0))+MAX(S264-INDEX(Inputs!$B$21:$D$21,1,MATCH(A264,Inputs!$B$6:$D$6,0)),0)*INDEX(Inputs!$B$24:$D$24,1,MATCH(A264,Inputs!$B$6:$D$6,0))</x:f>
        <x:v>7724.9875</x:v>
      </x:c>
      <x:c r="U264" s="20" t="n">
        <x:f>IF(AND(A263=A264,D263=D264),T263,0)</x:f>
        <x:v>5313.325</x:v>
      </x:c>
      <x:c r="V264" s="20" t="n">
        <x:f>T264-U264</x:f>
        <x:v>2411.6625000000004</x:v>
      </x:c>
      <x:c r="W264" s="20" t="n">
        <x:f>R264+V264</x:f>
        <x:v>33936.6625</x:v>
      </x:c>
      <x:c r="X264" s="14" t="str">
        <x:f>IF(ABS(W264-SUM(M264:Q264)-V264)&lt;0.01,"OK","Check")</x:f>
        <x:v>OK</x:v>
      </x:c>
    </x:row>
    <x:row r="265">
      <x:c r="A265" s="14" t="n">
        <x:v>2026</x:v>
      </x:c>
      <x:c r="B265" s="14" t="str">
        <x:v>Q4</x:v>
      </x:c>
      <x:c r="C265" s="14" t="n">
        <x:v>4</x:v>
      </x:c>
      <x:c r="D265" s="14" t="n">
        <x:v>65</x:v>
      </x:c>
      <x:c r="E265" s="14" t="str">
        <x:f>INDEX(Roster!$B$6:$B$108,MATCH(D265,Roster!$A$6:$A$108,0))</x:f>
      </x:c>
      <x:c r="F265" s="14" t="str">
        <x:f>INDEX(Roster!$F$6:$F$108,MATCH(D265,Roster!$A$6:$A$108,0))</x:f>
        <x:v>No</x:v>
      </x:c>
      <x:c r="G265" s="14" t="n">
        <x:f>INDEX(Inputs!$B$7:$D$7,1,MATCH(A265,Inputs!$B$6:$D$6,0))</x:f>
        <x:v>13</x:v>
      </x:c>
      <x:c r="H265" s="14" t="n">
        <x:f>MIN(=INDEX(Inputs!$B$7:$D$7,1,MATCH(A265,Inputs!$B$6:$D$6,0)),MAX(0,INDEX(Inputs!$B$14:$D$14,1,MATCH(A265,Inputs!$B$6:$D$6,0))-(C265-1)*=INDEX(Inputs!$B$7:$D$7,1,MATCH(A265,Inputs!$B$6:$D$6,0))))</x:f>
        <x:v>0</x:v>
      </x:c>
      <x:c r="I265" s="20" t="n">
        <x:f>INDEX(Inputs!$B$8:$D$8,1,MATCH(A265,Inputs!$B$6:$D$6,0))</x:f>
        <x:v>2395</x:v>
      </x:c>
      <x:c r="J265" s="20" t="n">
        <x:f>INDEX(Roster!$C$6:$C$108,MATCH(D265,Roster!$A$6:$A$108,0))*(1+INDEX(Inputs!$B$9:$D$9,1,MATCH(A265,Inputs!$B$6:$D$6,0)))</x:f>
        <x:v>0</x:v>
      </x:c>
      <x:c r="K265" s="20" t="n">
        <x:f>IF(=INDEX(Roster!$F$6:$F$108,MATCH(D265,Roster!$A$6:$A$108,0))="Yes",0,=INDEX(Inputs!$B$8:$D$8,1,MATCH(A265,Inputs!$B$6:$D$6,0))*IF(=INDEX(Roster!$B$6:$B$108,MATCH(D265,Roster!$A$6:$A$108,0))="Principal",INDEX(Inputs!$B$10:$D$10,1,MATCH(A265,Inputs!$B$6:$D$6,0)),IF(=INDEX(Roster!$B$6:$B$108,MATCH(D265,Roster!$A$6:$A$108,0))="Associate Principal",INDEX(Inputs!$B$11:$D$11,1,MATCH(A265,Inputs!$B$6:$D$6,0)),IF(=INDEX(Roster!$B$6:$B$108,MATCH(D265,Roster!$A$6:$A$108,0))="Assistant Principal",INDEX(Inputs!$B$12:$D$12,1,MATCH(A265,Inputs!$B$6:$D$6,0)),0))))</x:f>
        <x:v>0</x:v>
      </x:c>
      <x:c r="L265" s="20" t="n">
        <x:f>IF(INDEX(Roster!$D$6:$D$108,MATCH(D265,Roster!$A$6:$A$108,0))&gt;=25,INDEX(Inputs!$B$19:$D$19,1,MATCH(A265,Inputs!$B$6:$D$6,0)),IF(INDEX(Roster!$D$6:$D$108,MATCH(D265,Roster!$A$6:$A$108,0))&gt;=20,INDEX(Inputs!$B$18:$D$18,1,MATCH(A265,Inputs!$B$6:$D$6,0)),IF(INDEX(Roster!$D$6:$D$108,MATCH(D265,Roster!$A$6:$A$108,0))&gt;=15,INDEX(Inputs!$B$17:$D$17,1,MATCH(A265,Inputs!$B$6:$D$6,0)),IF(INDEX(Roster!$D$6:$D$108,MATCH(D265,Roster!$A$6:$A$108,0))&gt;=10,INDEX(Inputs!$B$16:$D$16,1,MATCH(A265,Inputs!$B$6:$D$6,0)),IF(INDEX(Roster!$D$6:$D$108,MATCH(D265,Roster!$A$6:$A$108,0))&gt;=5,INDEX(Inputs!$B$15:$D$15,1,MATCH(A265,Inputs!$B$6:$D$6,0)),0)))))</x:f>
        <x:v>0</x:v>
      </x:c>
      <x:c r="M265" s="20" t="n">
        <x:f>G265*I265</x:f>
        <x:v>31135</x:v>
      </x:c>
      <x:c r="N265" s="20" t="n">
        <x:f>G265*J265</x:f>
        <x:v>0</x:v>
      </x:c>
      <x:c r="O265" s="20" t="n">
        <x:f>G265*K265</x:f>
        <x:v>0</x:v>
      </x:c>
      <x:c r="P265" s="20" t="n">
        <x:f>G265*L265</x:f>
        <x:v>0</x:v>
      </x:c>
      <x:c r="Q265" s="20" t="n">
        <x:f>H265*INDEX(Inputs!$B$13:$D$13,1,MATCH(A265,Inputs!$B$6:$D$6,0))</x:f>
        <x:v>0</x:v>
      </x:c>
      <x:c r="R265" s="20" t="n">
        <x:f>SUM(M265:Q265)</x:f>
        <x:v>31135</x:v>
      </x:c>
      <x:c r="S265" s="20" t="n">
        <x:f>IF(AND(A264=A265,D264=D265),S264+R265,R265)</x:f>
        <x:v>125710</x:v>
      </x:c>
      <x:c r="T265" s="20" t="n">
        <x:f>MIN(S265,INDEX(Inputs!$B$20:$D$20,1,MATCH(A265,Inputs!$B$6:$D$6,0)))*INDEX(Inputs!$B$22:$D$22,1,MATCH(A265,Inputs!$B$6:$D$6,0))+MAX(MIN(S265,INDEX(Inputs!$B$21:$D$21,1,MATCH(A265,Inputs!$B$6:$D$6,0)))-INDEX(Inputs!$B$20:$D$20,1,MATCH(A265,Inputs!$B$6:$D$6,0)),0)*INDEX(Inputs!$B$23:$D$23,1,MATCH(A265,Inputs!$B$6:$D$6,0))+MAX(S265-INDEX(Inputs!$B$21:$D$21,1,MATCH(A265,Inputs!$B$6:$D$6,0)),0)*INDEX(Inputs!$B$24:$D$24,1,MATCH(A265,Inputs!$B$6:$D$6,0))</x:f>
        <x:v>9736.737</x:v>
      </x:c>
      <x:c r="U265" s="20" t="n">
        <x:f>IF(AND(A264=A265,D264=D265),T264,0)</x:f>
        <x:v>7724.9875</x:v>
      </x:c>
      <x:c r="V265" s="20" t="n">
        <x:f>T265-U265</x:f>
        <x:v>2011.749499999999</x:v>
      </x:c>
      <x:c r="W265" s="20" t="n">
        <x:f>R265+V265</x:f>
        <x:v>33146.7495</x:v>
      </x:c>
      <x:c r="X265" s="14" t="str">
        <x:f>IF(ABS(W265-SUM(M265:Q265)-V265)&lt;0.01,"OK","Check")</x:f>
        <x:v>OK</x:v>
      </x:c>
    </x:row>
    <x:row r="266">
      <x:c r="A266" s="14" t="n">
        <x:v>2026</x:v>
      </x:c>
      <x:c r="B266" s="14" t="str">
        <x:v>Q1</x:v>
      </x:c>
      <x:c r="C266" s="14" t="n">
        <x:v>1</x:v>
      </x:c>
      <x:c r="D266" s="14" t="n">
        <x:v>66</x:v>
      </x:c>
      <x:c r="E266" s="14" t="str">
        <x:f>INDEX(Roster!$B$6:$B$108,MATCH(D266,Roster!$A$6:$A$108,0))</x:f>
      </x:c>
      <x:c r="F266" s="14" t="str">
        <x:f>INDEX(Roster!$F$6:$F$108,MATCH(D266,Roster!$A$6:$A$108,0))</x:f>
        <x:v>No</x:v>
      </x:c>
      <x:c r="G266" s="14" t="n">
        <x:f>INDEX(Inputs!$B$7:$D$7,1,MATCH(A266,Inputs!$B$6:$D$6,0))</x:f>
        <x:v>13</x:v>
      </x:c>
      <x:c r="H266" s="14" t="n">
        <x:f>MIN(=INDEX(Inputs!$B$7:$D$7,1,MATCH(A266,Inputs!$B$6:$D$6,0)),MAX(0,INDEX(Inputs!$B$14:$D$14,1,MATCH(A266,Inputs!$B$6:$D$6,0))-(C266-1)*=INDEX(Inputs!$B$7:$D$7,1,MATCH(A266,Inputs!$B$6:$D$6,0))))</x:f>
        <x:v>13</x:v>
      </x:c>
      <x:c r="I266" s="20" t="n">
        <x:f>INDEX(Inputs!$B$8:$D$8,1,MATCH(A266,Inputs!$B$6:$D$6,0))</x:f>
        <x:v>2395</x:v>
      </x:c>
      <x:c r="J266" s="20" t="n">
        <x:f>INDEX(Roster!$C$6:$C$108,MATCH(D266,Roster!$A$6:$A$108,0))*(1+INDEX(Inputs!$B$9:$D$9,1,MATCH(A266,Inputs!$B$6:$D$6,0)))</x:f>
        <x:v>65</x:v>
      </x:c>
      <x:c r="K266" s="20" t="n">
        <x:f>IF(=INDEX(Roster!$F$6:$F$108,MATCH(D266,Roster!$A$6:$A$108,0))="Yes",0,=INDEX(Inputs!$B$8:$D$8,1,MATCH(A266,Inputs!$B$6:$D$6,0))*IF(=INDEX(Roster!$B$6:$B$108,MATCH(D266,Roster!$A$6:$A$108,0))="Principal",INDEX(Inputs!$B$10:$D$10,1,MATCH(A266,Inputs!$B$6:$D$6,0)),IF(=INDEX(Roster!$B$6:$B$108,MATCH(D266,Roster!$A$6:$A$108,0))="Associate Principal",INDEX(Inputs!$B$11:$D$11,1,MATCH(A266,Inputs!$B$6:$D$6,0)),IF(=INDEX(Roster!$B$6:$B$108,MATCH(D266,Roster!$A$6:$A$108,0))="Assistant Principal",INDEX(Inputs!$B$12:$D$12,1,MATCH(A266,Inputs!$B$6:$D$6,0)),0))))</x:f>
        <x:v>0</x:v>
      </x:c>
      <x:c r="L266" s="20" t="n">
        <x:f>IF(INDEX(Roster!$D$6:$D$108,MATCH(D266,Roster!$A$6:$A$108,0))&gt;=25,INDEX(Inputs!$B$19:$D$19,1,MATCH(A266,Inputs!$B$6:$D$6,0)),IF(INDEX(Roster!$D$6:$D$108,MATCH(D266,Roster!$A$6:$A$108,0))&gt;=20,INDEX(Inputs!$B$18:$D$18,1,MATCH(A266,Inputs!$B$6:$D$6,0)),IF(INDEX(Roster!$D$6:$D$108,MATCH(D266,Roster!$A$6:$A$108,0))&gt;=15,INDEX(Inputs!$B$17:$D$17,1,MATCH(A266,Inputs!$B$6:$D$6,0)),IF(INDEX(Roster!$D$6:$D$108,MATCH(D266,Roster!$A$6:$A$108,0))&gt;=10,INDEX(Inputs!$B$16:$D$16,1,MATCH(A266,Inputs!$B$6:$D$6,0)),IF(INDEX(Roster!$D$6:$D$108,MATCH(D266,Roster!$A$6:$A$108,0))&gt;=5,INDEX(Inputs!$B$15:$D$15,1,MATCH(A266,Inputs!$B$6:$D$6,0)),0)))))</x:f>
        <x:v>70</x:v>
      </x:c>
      <x:c r="M266" s="20" t="n">
        <x:f>G266*I266</x:f>
        <x:v>31135</x:v>
      </x:c>
      <x:c r="N266" s="20" t="n">
        <x:f>G266*J266</x:f>
        <x:v>845</x:v>
      </x:c>
      <x:c r="O266" s="20" t="n">
        <x:f>G266*K266</x:f>
        <x:v>0</x:v>
      </x:c>
      <x:c r="P266" s="20" t="n">
        <x:f>G266*L266</x:f>
        <x:v>910</x:v>
      </x:c>
      <x:c r="Q266" s="20" t="n">
        <x:f>H266*INDEX(Inputs!$B$13:$D$13,1,MATCH(A266,Inputs!$B$6:$D$6,0))</x:f>
        <x:v>390</x:v>
      </x:c>
      <x:c r="R266" s="20" t="n">
        <x:f>SUM(M266:Q266)</x:f>
        <x:v>33280</x:v>
      </x:c>
      <x:c r="S266" s="20" t="n">
        <x:f>IF(AND(A265=A266,D265=D266),S265+R266,R266)</x:f>
        <x:v>33280</x:v>
      </x:c>
      <x:c r="T266" s="20" t="n">
        <x:f>MIN(S266,INDEX(Inputs!$B$20:$D$20,1,MATCH(A266,Inputs!$B$6:$D$6,0)))*INDEX(Inputs!$B$22:$D$22,1,MATCH(A266,Inputs!$B$6:$D$6,0))+MAX(MIN(S266,INDEX(Inputs!$B$21:$D$21,1,MATCH(A266,Inputs!$B$6:$D$6,0)))-INDEX(Inputs!$B$20:$D$20,1,MATCH(A266,Inputs!$B$6:$D$6,0)),0)*INDEX(Inputs!$B$23:$D$23,1,MATCH(A266,Inputs!$B$6:$D$6,0))+MAX(S266-INDEX(Inputs!$B$21:$D$21,1,MATCH(A266,Inputs!$B$6:$D$6,0)),0)*INDEX(Inputs!$B$24:$D$24,1,MATCH(A266,Inputs!$B$6:$D$6,0))</x:f>
        <x:v>3035.92</x:v>
      </x:c>
      <x:c r="U266" s="20" t="n">
        <x:f>IF(AND(A265=A266,D265=D266),T265,0)</x:f>
        <x:v>0</x:v>
      </x:c>
      <x:c r="V266" s="20" t="n">
        <x:f>T266-U266</x:f>
        <x:v>3035.92</x:v>
      </x:c>
      <x:c r="W266" s="20" t="n">
        <x:f>R266+V266</x:f>
        <x:v>36315.92</x:v>
      </x:c>
      <x:c r="X266" s="14" t="str">
        <x:f>IF(ABS(W266-SUM(M266:Q266)-V266)&lt;0.01,"OK","Check")</x:f>
        <x:v>OK</x:v>
      </x:c>
    </x:row>
    <x:row r="267">
      <x:c r="A267" s="14" t="n">
        <x:v>2026</x:v>
      </x:c>
      <x:c r="B267" s="14" t="str">
        <x:v>Q2</x:v>
      </x:c>
      <x:c r="C267" s="14" t="n">
        <x:v>2</x:v>
      </x:c>
      <x:c r="D267" s="14" t="n">
        <x:v>66</x:v>
      </x:c>
      <x:c r="E267" s="14" t="str">
        <x:f>INDEX(Roster!$B$6:$B$108,MATCH(D267,Roster!$A$6:$A$108,0))</x:f>
      </x:c>
      <x:c r="F267" s="14" t="str">
        <x:f>INDEX(Roster!$F$6:$F$108,MATCH(D267,Roster!$A$6:$A$108,0))</x:f>
        <x:v>No</x:v>
      </x:c>
      <x:c r="G267" s="14" t="n">
        <x:f>INDEX(Inputs!$B$7:$D$7,1,MATCH(A267,Inputs!$B$6:$D$6,0))</x:f>
        <x:v>13</x:v>
      </x:c>
      <x:c r="H267" s="14" t="n">
        <x:f>MIN(=INDEX(Inputs!$B$7:$D$7,1,MATCH(A267,Inputs!$B$6:$D$6,0)),MAX(0,INDEX(Inputs!$B$14:$D$14,1,MATCH(A267,Inputs!$B$6:$D$6,0))-(C267-1)*=INDEX(Inputs!$B$7:$D$7,1,MATCH(A267,Inputs!$B$6:$D$6,0))))</x:f>
        <x:v>13</x:v>
      </x:c>
      <x:c r="I267" s="20" t="n">
        <x:f>INDEX(Inputs!$B$8:$D$8,1,MATCH(A267,Inputs!$B$6:$D$6,0))</x:f>
        <x:v>2395</x:v>
      </x:c>
      <x:c r="J267" s="20" t="n">
        <x:f>INDEX(Roster!$C$6:$C$108,MATCH(D267,Roster!$A$6:$A$108,0))*(1+INDEX(Inputs!$B$9:$D$9,1,MATCH(A267,Inputs!$B$6:$D$6,0)))</x:f>
        <x:v>65</x:v>
      </x:c>
      <x:c r="K267" s="20" t="n">
        <x:f>IF(=INDEX(Roster!$F$6:$F$108,MATCH(D267,Roster!$A$6:$A$108,0))="Yes",0,=INDEX(Inputs!$B$8:$D$8,1,MATCH(A267,Inputs!$B$6:$D$6,0))*IF(=INDEX(Roster!$B$6:$B$108,MATCH(D267,Roster!$A$6:$A$108,0))="Principal",INDEX(Inputs!$B$10:$D$10,1,MATCH(A267,Inputs!$B$6:$D$6,0)),IF(=INDEX(Roster!$B$6:$B$108,MATCH(D267,Roster!$A$6:$A$108,0))="Associate Principal",INDEX(Inputs!$B$11:$D$11,1,MATCH(A267,Inputs!$B$6:$D$6,0)),IF(=INDEX(Roster!$B$6:$B$108,MATCH(D267,Roster!$A$6:$A$108,0))="Assistant Principal",INDEX(Inputs!$B$12:$D$12,1,MATCH(A267,Inputs!$B$6:$D$6,0)),0))))</x:f>
        <x:v>0</x:v>
      </x:c>
      <x:c r="L267" s="20" t="n">
        <x:f>IF(INDEX(Roster!$D$6:$D$108,MATCH(D267,Roster!$A$6:$A$108,0))&gt;=25,INDEX(Inputs!$B$19:$D$19,1,MATCH(A267,Inputs!$B$6:$D$6,0)),IF(INDEX(Roster!$D$6:$D$108,MATCH(D267,Roster!$A$6:$A$108,0))&gt;=20,INDEX(Inputs!$B$18:$D$18,1,MATCH(A267,Inputs!$B$6:$D$6,0)),IF(INDEX(Roster!$D$6:$D$108,MATCH(D267,Roster!$A$6:$A$108,0))&gt;=15,INDEX(Inputs!$B$17:$D$17,1,MATCH(A267,Inputs!$B$6:$D$6,0)),IF(INDEX(Roster!$D$6:$D$108,MATCH(D267,Roster!$A$6:$A$108,0))&gt;=10,INDEX(Inputs!$B$16:$D$16,1,MATCH(A267,Inputs!$B$6:$D$6,0)),IF(INDEX(Roster!$D$6:$D$108,MATCH(D267,Roster!$A$6:$A$108,0))&gt;=5,INDEX(Inputs!$B$15:$D$15,1,MATCH(A267,Inputs!$B$6:$D$6,0)),0)))))</x:f>
        <x:v>70</x:v>
      </x:c>
      <x:c r="M267" s="20" t="n">
        <x:f>G267*I267</x:f>
        <x:v>31135</x:v>
      </x:c>
      <x:c r="N267" s="20" t="n">
        <x:f>G267*J267</x:f>
        <x:v>845</x:v>
      </x:c>
      <x:c r="O267" s="20" t="n">
        <x:f>G267*K267</x:f>
        <x:v>0</x:v>
      </x:c>
      <x:c r="P267" s="20" t="n">
        <x:f>G267*L267</x:f>
        <x:v>910</x:v>
      </x:c>
      <x:c r="Q267" s="20" t="n">
        <x:f>H267*INDEX(Inputs!$B$13:$D$13,1,MATCH(A267,Inputs!$B$6:$D$6,0))</x:f>
        <x:v>390</x:v>
      </x:c>
      <x:c r="R267" s="20" t="n">
        <x:f>SUM(M267:Q267)</x:f>
        <x:v>33280</x:v>
      </x:c>
      <x:c r="S267" s="20" t="n">
        <x:f>IF(AND(A266=A267,D266=D267),S266+R267,R267)</x:f>
        <x:v>66560</x:v>
      </x:c>
      <x:c r="T267" s="20" t="n">
        <x:f>MIN(S267,INDEX(Inputs!$B$20:$D$20,1,MATCH(A267,Inputs!$B$6:$D$6,0)))*INDEX(Inputs!$B$22:$D$22,1,MATCH(A267,Inputs!$B$6:$D$6,0))+MAX(MIN(S267,INDEX(Inputs!$B$21:$D$21,1,MATCH(A267,Inputs!$B$6:$D$6,0)))-INDEX(Inputs!$B$20:$D$20,1,MATCH(A267,Inputs!$B$6:$D$6,0)),0)*INDEX(Inputs!$B$23:$D$23,1,MATCH(A267,Inputs!$B$6:$D$6,0))+MAX(S267-INDEX(Inputs!$B$21:$D$21,1,MATCH(A267,Inputs!$B$6:$D$6,0)),0)*INDEX(Inputs!$B$24:$D$24,1,MATCH(A267,Inputs!$B$6:$D$6,0))</x:f>
        <x:v>5581.84</x:v>
      </x:c>
      <x:c r="U267" s="20" t="n">
        <x:f>IF(AND(A266=A267,D266=D267),T266,0)</x:f>
        <x:v>3035.92</x:v>
      </x:c>
      <x:c r="V267" s="20" t="n">
        <x:f>T267-U267</x:f>
        <x:v>2545.92</x:v>
      </x:c>
      <x:c r="W267" s="20" t="n">
        <x:f>R267+V267</x:f>
        <x:v>35825.92</x:v>
      </x:c>
      <x:c r="X267" s="14" t="str">
        <x:f>IF(ABS(W267-SUM(M267:Q267)-V267)&lt;0.01,"OK","Check")</x:f>
        <x:v>OK</x:v>
      </x:c>
    </x:row>
    <x:row r="268">
      <x:c r="A268" s="14" t="n">
        <x:v>2026</x:v>
      </x:c>
      <x:c r="B268" s="14" t="str">
        <x:v>Q3</x:v>
      </x:c>
      <x:c r="C268" s="14" t="n">
        <x:v>3</x:v>
      </x:c>
      <x:c r="D268" s="14" t="n">
        <x:v>66</x:v>
      </x:c>
      <x:c r="E268" s="14" t="str">
        <x:f>INDEX(Roster!$B$6:$B$108,MATCH(D268,Roster!$A$6:$A$108,0))</x:f>
      </x:c>
      <x:c r="F268" s="14" t="str">
        <x:f>INDEX(Roster!$F$6:$F$108,MATCH(D268,Roster!$A$6:$A$108,0))</x:f>
        <x:v>No</x:v>
      </x:c>
      <x:c r="G268" s="14" t="n">
        <x:f>INDEX(Inputs!$B$7:$D$7,1,MATCH(A268,Inputs!$B$6:$D$6,0))</x:f>
        <x:v>13</x:v>
      </x:c>
      <x:c r="H268" s="14" t="n">
        <x:f>MIN(=INDEX(Inputs!$B$7:$D$7,1,MATCH(A268,Inputs!$B$6:$D$6,0)),MAX(0,INDEX(Inputs!$B$14:$D$14,1,MATCH(A268,Inputs!$B$6:$D$6,0))-(C268-1)*=INDEX(Inputs!$B$7:$D$7,1,MATCH(A268,Inputs!$B$6:$D$6,0))))</x:f>
        <x:v>13</x:v>
      </x:c>
      <x:c r="I268" s="20" t="n">
        <x:f>INDEX(Inputs!$B$8:$D$8,1,MATCH(A268,Inputs!$B$6:$D$6,0))</x:f>
        <x:v>2395</x:v>
      </x:c>
      <x:c r="J268" s="20" t="n">
        <x:f>INDEX(Roster!$C$6:$C$108,MATCH(D268,Roster!$A$6:$A$108,0))*(1+INDEX(Inputs!$B$9:$D$9,1,MATCH(A268,Inputs!$B$6:$D$6,0)))</x:f>
        <x:v>65</x:v>
      </x:c>
      <x:c r="K268" s="20" t="n">
        <x:f>IF(=INDEX(Roster!$F$6:$F$108,MATCH(D268,Roster!$A$6:$A$108,0))="Yes",0,=INDEX(Inputs!$B$8:$D$8,1,MATCH(A268,Inputs!$B$6:$D$6,0))*IF(=INDEX(Roster!$B$6:$B$108,MATCH(D268,Roster!$A$6:$A$108,0))="Principal",INDEX(Inputs!$B$10:$D$10,1,MATCH(A268,Inputs!$B$6:$D$6,0)),IF(=INDEX(Roster!$B$6:$B$108,MATCH(D268,Roster!$A$6:$A$108,0))="Associate Principal",INDEX(Inputs!$B$11:$D$11,1,MATCH(A268,Inputs!$B$6:$D$6,0)),IF(=INDEX(Roster!$B$6:$B$108,MATCH(D268,Roster!$A$6:$A$108,0))="Assistant Principal",INDEX(Inputs!$B$12:$D$12,1,MATCH(A268,Inputs!$B$6:$D$6,0)),0))))</x:f>
        <x:v>0</x:v>
      </x:c>
      <x:c r="L268" s="20" t="n">
        <x:f>IF(INDEX(Roster!$D$6:$D$108,MATCH(D268,Roster!$A$6:$A$108,0))&gt;=25,INDEX(Inputs!$B$19:$D$19,1,MATCH(A268,Inputs!$B$6:$D$6,0)),IF(INDEX(Roster!$D$6:$D$108,MATCH(D268,Roster!$A$6:$A$108,0))&gt;=20,INDEX(Inputs!$B$18:$D$18,1,MATCH(A268,Inputs!$B$6:$D$6,0)),IF(INDEX(Roster!$D$6:$D$108,MATCH(D268,Roster!$A$6:$A$108,0))&gt;=15,INDEX(Inputs!$B$17:$D$17,1,MATCH(A268,Inputs!$B$6:$D$6,0)),IF(INDEX(Roster!$D$6:$D$108,MATCH(D268,Roster!$A$6:$A$108,0))&gt;=10,INDEX(Inputs!$B$16:$D$16,1,MATCH(A268,Inputs!$B$6:$D$6,0)),IF(INDEX(Roster!$D$6:$D$108,MATCH(D268,Roster!$A$6:$A$108,0))&gt;=5,INDEX(Inputs!$B$15:$D$15,1,MATCH(A268,Inputs!$B$6:$D$6,0)),0)))))</x:f>
        <x:v>70</x:v>
      </x:c>
      <x:c r="M268" s="20" t="n">
        <x:f>G268*I268</x:f>
        <x:v>31135</x:v>
      </x:c>
      <x:c r="N268" s="20" t="n">
        <x:f>G268*J268</x:f>
        <x:v>845</x:v>
      </x:c>
      <x:c r="O268" s="20" t="n">
        <x:f>G268*K268</x:f>
        <x:v>0</x:v>
      </x:c>
      <x:c r="P268" s="20" t="n">
        <x:f>G268*L268</x:f>
        <x:v>910</x:v>
      </x:c>
      <x:c r="Q268" s="20" t="n">
        <x:f>H268*INDEX(Inputs!$B$13:$D$13,1,MATCH(A268,Inputs!$B$6:$D$6,0))</x:f>
        <x:v>390</x:v>
      </x:c>
      <x:c r="R268" s="20" t="n">
        <x:f>SUM(M268:Q268)</x:f>
        <x:v>33280</x:v>
      </x:c>
      <x:c r="S268" s="20" t="n">
        <x:f>IF(AND(A267=A268,D267=D268),S267+R268,R268)</x:f>
        <x:v>99840</x:v>
      </x:c>
      <x:c r="T268" s="20" t="n">
        <x:f>MIN(S268,INDEX(Inputs!$B$20:$D$20,1,MATCH(A268,Inputs!$B$6:$D$6,0)))*INDEX(Inputs!$B$22:$D$22,1,MATCH(A268,Inputs!$B$6:$D$6,0))+MAX(MIN(S268,INDEX(Inputs!$B$21:$D$21,1,MATCH(A268,Inputs!$B$6:$D$6,0)))-INDEX(Inputs!$B$20:$D$20,1,MATCH(A268,Inputs!$B$6:$D$6,0)),0)*INDEX(Inputs!$B$23:$D$23,1,MATCH(A268,Inputs!$B$6:$D$6,0))+MAX(S268-INDEX(Inputs!$B$21:$D$21,1,MATCH(A268,Inputs!$B$6:$D$6,0)),0)*INDEX(Inputs!$B$24:$D$24,1,MATCH(A268,Inputs!$B$6:$D$6,0))</x:f>
        <x:v>8127.76</x:v>
      </x:c>
      <x:c r="U268" s="20" t="n">
        <x:f>IF(AND(A267=A268,D267=D268),T267,0)</x:f>
        <x:v>5581.84</x:v>
      </x:c>
      <x:c r="V268" s="20" t="n">
        <x:f>T268-U268</x:f>
        <x:v>2545.92</x:v>
      </x:c>
      <x:c r="W268" s="20" t="n">
        <x:f>R268+V268</x:f>
        <x:v>35825.92</x:v>
      </x:c>
      <x:c r="X268" s="14" t="str">
        <x:f>IF(ABS(W268-SUM(M268:Q268)-V268)&lt;0.01,"OK","Check")</x:f>
        <x:v>OK</x:v>
      </x:c>
    </x:row>
    <x:row r="269">
      <x:c r="A269" s="14" t="n">
        <x:v>2026</x:v>
      </x:c>
      <x:c r="B269" s="14" t="str">
        <x:v>Q4</x:v>
      </x:c>
      <x:c r="C269" s="14" t="n">
        <x:v>4</x:v>
      </x:c>
      <x:c r="D269" s="14" t="n">
        <x:v>66</x:v>
      </x:c>
      <x:c r="E269" s="14" t="str">
        <x:f>INDEX(Roster!$B$6:$B$108,MATCH(D269,Roster!$A$6:$A$108,0))</x:f>
      </x:c>
      <x:c r="F269" s="14" t="str">
        <x:f>INDEX(Roster!$F$6:$F$108,MATCH(D269,Roster!$A$6:$A$108,0))</x:f>
        <x:v>No</x:v>
      </x:c>
      <x:c r="G269" s="14" t="n">
        <x:f>INDEX(Inputs!$B$7:$D$7,1,MATCH(A269,Inputs!$B$6:$D$6,0))</x:f>
        <x:v>13</x:v>
      </x:c>
      <x:c r="H269" s="14" t="n">
        <x:f>MIN(=INDEX(Inputs!$B$7:$D$7,1,MATCH(A269,Inputs!$B$6:$D$6,0)),MAX(0,INDEX(Inputs!$B$14:$D$14,1,MATCH(A269,Inputs!$B$6:$D$6,0))-(C269-1)*=INDEX(Inputs!$B$7:$D$7,1,MATCH(A269,Inputs!$B$6:$D$6,0))))</x:f>
        <x:v>0</x:v>
      </x:c>
      <x:c r="I269" s="20" t="n">
        <x:f>INDEX(Inputs!$B$8:$D$8,1,MATCH(A269,Inputs!$B$6:$D$6,0))</x:f>
        <x:v>2395</x:v>
      </x:c>
      <x:c r="J269" s="20" t="n">
        <x:f>INDEX(Roster!$C$6:$C$108,MATCH(D269,Roster!$A$6:$A$108,0))*(1+INDEX(Inputs!$B$9:$D$9,1,MATCH(A269,Inputs!$B$6:$D$6,0)))</x:f>
        <x:v>65</x:v>
      </x:c>
      <x:c r="K269" s="20" t="n">
        <x:f>IF(=INDEX(Roster!$F$6:$F$108,MATCH(D269,Roster!$A$6:$A$108,0))="Yes",0,=INDEX(Inputs!$B$8:$D$8,1,MATCH(A269,Inputs!$B$6:$D$6,0))*IF(=INDEX(Roster!$B$6:$B$108,MATCH(D269,Roster!$A$6:$A$108,0))="Principal",INDEX(Inputs!$B$10:$D$10,1,MATCH(A269,Inputs!$B$6:$D$6,0)),IF(=INDEX(Roster!$B$6:$B$108,MATCH(D269,Roster!$A$6:$A$108,0))="Associate Principal",INDEX(Inputs!$B$11:$D$11,1,MATCH(A269,Inputs!$B$6:$D$6,0)),IF(=INDEX(Roster!$B$6:$B$108,MATCH(D269,Roster!$A$6:$A$108,0))="Assistant Principal",INDEX(Inputs!$B$12:$D$12,1,MATCH(A269,Inputs!$B$6:$D$6,0)),0))))</x:f>
        <x:v>0</x:v>
      </x:c>
      <x:c r="L269" s="20" t="n">
        <x:f>IF(INDEX(Roster!$D$6:$D$108,MATCH(D269,Roster!$A$6:$A$108,0))&gt;=25,INDEX(Inputs!$B$19:$D$19,1,MATCH(A269,Inputs!$B$6:$D$6,0)),IF(INDEX(Roster!$D$6:$D$108,MATCH(D269,Roster!$A$6:$A$108,0))&gt;=20,INDEX(Inputs!$B$18:$D$18,1,MATCH(A269,Inputs!$B$6:$D$6,0)),IF(INDEX(Roster!$D$6:$D$108,MATCH(D269,Roster!$A$6:$A$108,0))&gt;=15,INDEX(Inputs!$B$17:$D$17,1,MATCH(A269,Inputs!$B$6:$D$6,0)),IF(INDEX(Roster!$D$6:$D$108,MATCH(D269,Roster!$A$6:$A$108,0))&gt;=10,INDEX(Inputs!$B$16:$D$16,1,MATCH(A269,Inputs!$B$6:$D$6,0)),IF(INDEX(Roster!$D$6:$D$108,MATCH(D269,Roster!$A$6:$A$108,0))&gt;=5,INDEX(Inputs!$B$15:$D$15,1,MATCH(A269,Inputs!$B$6:$D$6,0)),0)))))</x:f>
        <x:v>70</x:v>
      </x:c>
      <x:c r="M269" s="20" t="n">
        <x:f>G269*I269</x:f>
        <x:v>31135</x:v>
      </x:c>
      <x:c r="N269" s="20" t="n">
        <x:f>G269*J269</x:f>
        <x:v>845</x:v>
      </x:c>
      <x:c r="O269" s="20" t="n">
        <x:f>G269*K269</x:f>
        <x:v>0</x:v>
      </x:c>
      <x:c r="P269" s="20" t="n">
        <x:f>G269*L269</x:f>
        <x:v>910</x:v>
      </x:c>
      <x:c r="Q269" s="20" t="n">
        <x:f>H269*INDEX(Inputs!$B$13:$D$13,1,MATCH(A269,Inputs!$B$6:$D$6,0))</x:f>
        <x:v>0</x:v>
      </x:c>
      <x:c r="R269" s="20" t="n">
        <x:f>SUM(M269:Q269)</x:f>
        <x:v>32890</x:v>
      </x:c>
      <x:c r="S269" s="20" t="n">
        <x:f>IF(AND(A268=A269,D268=D269),S268+R269,R269)</x:f>
        <x:v>132730</x:v>
      </x:c>
      <x:c r="T269" s="20" t="n">
        <x:f>MIN(S269,INDEX(Inputs!$B$20:$D$20,1,MATCH(A269,Inputs!$B$6:$D$6,0)))*INDEX(Inputs!$B$22:$D$22,1,MATCH(A269,Inputs!$B$6:$D$6,0))+MAX(MIN(S269,INDEX(Inputs!$B$21:$D$21,1,MATCH(A269,Inputs!$B$6:$D$6,0)))-INDEX(Inputs!$B$20:$D$20,1,MATCH(A269,Inputs!$B$6:$D$6,0)),0)*INDEX(Inputs!$B$23:$D$23,1,MATCH(A269,Inputs!$B$6:$D$6,0))+MAX(S269-INDEX(Inputs!$B$21:$D$21,1,MATCH(A269,Inputs!$B$6:$D$6,0)),0)*INDEX(Inputs!$B$24:$D$24,1,MATCH(A269,Inputs!$B$6:$D$6,0))</x:f>
        <x:v>9838.527</x:v>
      </x:c>
      <x:c r="U269" s="20" t="n">
        <x:f>IF(AND(A268=A269,D268=D269),T268,0)</x:f>
        <x:v>8127.76</x:v>
      </x:c>
      <x:c r="V269" s="20" t="n">
        <x:f>T269-U269</x:f>
        <x:v>1710.7669999999998</x:v>
      </x:c>
      <x:c r="W269" s="20" t="n">
        <x:f>R269+V269</x:f>
        <x:v>34600.767</x:v>
      </x:c>
      <x:c r="X269" s="14" t="str">
        <x:f>IF(ABS(W269-SUM(M269:Q269)-V269)&lt;0.01,"OK","Check")</x:f>
        <x:v>OK</x:v>
      </x:c>
    </x:row>
    <x:row r="270">
      <x:c r="A270" s="14" t="n">
        <x:v>2026</x:v>
      </x:c>
      <x:c r="B270" s="14" t="str">
        <x:v>Q1</x:v>
      </x:c>
      <x:c r="C270" s="14" t="n">
        <x:v>1</x:v>
      </x:c>
      <x:c r="D270" s="14" t="n">
        <x:v>67</x:v>
      </x:c>
      <x:c r="E270" s="14" t="str">
        <x:f>INDEX(Roster!$B$6:$B$108,MATCH(D270,Roster!$A$6:$A$108,0))</x:f>
      </x:c>
      <x:c r="F270" s="14" t="str">
        <x:f>INDEX(Roster!$F$6:$F$108,MATCH(D270,Roster!$A$6:$A$108,0))</x:f>
        <x:v>No</x:v>
      </x:c>
      <x:c r="G270" s="14" t="n">
        <x:f>INDEX(Inputs!$B$7:$D$7,1,MATCH(A270,Inputs!$B$6:$D$6,0))</x:f>
        <x:v>13</x:v>
      </x:c>
      <x:c r="H270" s="14" t="n">
        <x:f>MIN(=INDEX(Inputs!$B$7:$D$7,1,MATCH(A270,Inputs!$B$6:$D$6,0)),MAX(0,INDEX(Inputs!$B$14:$D$14,1,MATCH(A270,Inputs!$B$6:$D$6,0))-(C270-1)*=INDEX(Inputs!$B$7:$D$7,1,MATCH(A270,Inputs!$B$6:$D$6,0))))</x:f>
        <x:v>13</x:v>
      </x:c>
      <x:c r="I270" s="20" t="n">
        <x:f>INDEX(Inputs!$B$8:$D$8,1,MATCH(A270,Inputs!$B$6:$D$6,0))</x:f>
        <x:v>2395</x:v>
      </x:c>
      <x:c r="J270" s="20" t="n">
        <x:f>INDEX(Roster!$C$6:$C$108,MATCH(D270,Roster!$A$6:$A$108,0))*(1+INDEX(Inputs!$B$9:$D$9,1,MATCH(A270,Inputs!$B$6:$D$6,0)))</x:f>
        <x:v>20</x:v>
      </x:c>
      <x:c r="K270" s="20" t="n">
        <x:f>IF(=INDEX(Roster!$F$6:$F$108,MATCH(D270,Roster!$A$6:$A$108,0))="Yes",0,=INDEX(Inputs!$B$8:$D$8,1,MATCH(A270,Inputs!$B$6:$D$6,0))*IF(=INDEX(Roster!$B$6:$B$108,MATCH(D270,Roster!$A$6:$A$108,0))="Principal",INDEX(Inputs!$B$10:$D$10,1,MATCH(A270,Inputs!$B$6:$D$6,0)),IF(=INDEX(Roster!$B$6:$B$108,MATCH(D270,Roster!$A$6:$A$108,0))="Associate Principal",INDEX(Inputs!$B$11:$D$11,1,MATCH(A270,Inputs!$B$6:$D$6,0)),IF(=INDEX(Roster!$B$6:$B$108,MATCH(D270,Roster!$A$6:$A$108,0))="Assistant Principal",INDEX(Inputs!$B$12:$D$12,1,MATCH(A270,Inputs!$B$6:$D$6,0)),0))))</x:f>
        <x:v>0</x:v>
      </x:c>
      <x:c r="L270" s="20" t="n">
        <x:f>IF(INDEX(Roster!$D$6:$D$108,MATCH(D270,Roster!$A$6:$A$108,0))&gt;=25,INDEX(Inputs!$B$19:$D$19,1,MATCH(A270,Inputs!$B$6:$D$6,0)),IF(INDEX(Roster!$D$6:$D$108,MATCH(D270,Roster!$A$6:$A$108,0))&gt;=20,INDEX(Inputs!$B$18:$D$18,1,MATCH(A270,Inputs!$B$6:$D$6,0)),IF(INDEX(Roster!$D$6:$D$108,MATCH(D270,Roster!$A$6:$A$108,0))&gt;=15,INDEX(Inputs!$B$17:$D$17,1,MATCH(A270,Inputs!$B$6:$D$6,0)),IF(INDEX(Roster!$D$6:$D$108,MATCH(D270,Roster!$A$6:$A$108,0))&gt;=10,INDEX(Inputs!$B$16:$D$16,1,MATCH(A270,Inputs!$B$6:$D$6,0)),IF(INDEX(Roster!$D$6:$D$108,MATCH(D270,Roster!$A$6:$A$108,0))&gt;=5,INDEX(Inputs!$B$15:$D$15,1,MATCH(A270,Inputs!$B$6:$D$6,0)),0)))))</x:f>
        <x:v>70</x:v>
      </x:c>
      <x:c r="M270" s="20" t="n">
        <x:f>G270*I270</x:f>
        <x:v>31135</x:v>
      </x:c>
      <x:c r="N270" s="20" t="n">
        <x:f>G270*J270</x:f>
        <x:v>260</x:v>
      </x:c>
      <x:c r="O270" s="20" t="n">
        <x:f>G270*K270</x:f>
        <x:v>0</x:v>
      </x:c>
      <x:c r="P270" s="20" t="n">
        <x:f>G270*L270</x:f>
        <x:v>910</x:v>
      </x:c>
      <x:c r="Q270" s="20" t="n">
        <x:f>H270*INDEX(Inputs!$B$13:$D$13,1,MATCH(A270,Inputs!$B$6:$D$6,0))</x:f>
        <x:v>390</x:v>
      </x:c>
      <x:c r="R270" s="20" t="n">
        <x:f>SUM(M270:Q270)</x:f>
        <x:v>32695</x:v>
      </x:c>
      <x:c r="S270" s="20" t="n">
        <x:f>IF(AND(A269=A270,D269=D270),S269+R270,R270)</x:f>
        <x:v>32695</x:v>
      </x:c>
      <x:c r="T270" s="20" t="n">
        <x:f>MIN(S270,INDEX(Inputs!$B$20:$D$20,1,MATCH(A270,Inputs!$B$6:$D$6,0)))*INDEX(Inputs!$B$22:$D$22,1,MATCH(A270,Inputs!$B$6:$D$6,0))+MAX(MIN(S270,INDEX(Inputs!$B$21:$D$21,1,MATCH(A270,Inputs!$B$6:$D$6,0)))-INDEX(Inputs!$B$20:$D$20,1,MATCH(A270,Inputs!$B$6:$D$6,0)),0)*INDEX(Inputs!$B$23:$D$23,1,MATCH(A270,Inputs!$B$6:$D$6,0))+MAX(S270-INDEX(Inputs!$B$21:$D$21,1,MATCH(A270,Inputs!$B$6:$D$6,0)),0)*INDEX(Inputs!$B$24:$D$24,1,MATCH(A270,Inputs!$B$6:$D$6,0))</x:f>
        <x:v>2991.1675</x:v>
      </x:c>
      <x:c r="U270" s="20" t="n">
        <x:f>IF(AND(A269=A270,D269=D270),T269,0)</x:f>
        <x:v>0</x:v>
      </x:c>
      <x:c r="V270" s="20" t="n">
        <x:f>T270-U270</x:f>
        <x:v>2991.1675</x:v>
      </x:c>
      <x:c r="W270" s="20" t="n">
        <x:f>R270+V270</x:f>
        <x:v>35686.1675</x:v>
      </x:c>
      <x:c r="X270" s="14" t="str">
        <x:f>IF(ABS(W270-SUM(M270:Q270)-V270)&lt;0.01,"OK","Check")</x:f>
        <x:v>OK</x:v>
      </x:c>
    </x:row>
    <x:row r="271">
      <x:c r="A271" s="14" t="n">
        <x:v>2026</x:v>
      </x:c>
      <x:c r="B271" s="14" t="str">
        <x:v>Q2</x:v>
      </x:c>
      <x:c r="C271" s="14" t="n">
        <x:v>2</x:v>
      </x:c>
      <x:c r="D271" s="14" t="n">
        <x:v>67</x:v>
      </x:c>
      <x:c r="E271" s="14" t="str">
        <x:f>INDEX(Roster!$B$6:$B$108,MATCH(D271,Roster!$A$6:$A$108,0))</x:f>
      </x:c>
      <x:c r="F271" s="14" t="str">
        <x:f>INDEX(Roster!$F$6:$F$108,MATCH(D271,Roster!$A$6:$A$108,0))</x:f>
        <x:v>No</x:v>
      </x:c>
      <x:c r="G271" s="14" t="n">
        <x:f>INDEX(Inputs!$B$7:$D$7,1,MATCH(A271,Inputs!$B$6:$D$6,0))</x:f>
        <x:v>13</x:v>
      </x:c>
      <x:c r="H271" s="14" t="n">
        <x:f>MIN(=INDEX(Inputs!$B$7:$D$7,1,MATCH(A271,Inputs!$B$6:$D$6,0)),MAX(0,INDEX(Inputs!$B$14:$D$14,1,MATCH(A271,Inputs!$B$6:$D$6,0))-(C271-1)*=INDEX(Inputs!$B$7:$D$7,1,MATCH(A271,Inputs!$B$6:$D$6,0))))</x:f>
        <x:v>13</x:v>
      </x:c>
      <x:c r="I271" s="20" t="n">
        <x:f>INDEX(Inputs!$B$8:$D$8,1,MATCH(A271,Inputs!$B$6:$D$6,0))</x:f>
        <x:v>2395</x:v>
      </x:c>
      <x:c r="J271" s="20" t="n">
        <x:f>INDEX(Roster!$C$6:$C$108,MATCH(D271,Roster!$A$6:$A$108,0))*(1+INDEX(Inputs!$B$9:$D$9,1,MATCH(A271,Inputs!$B$6:$D$6,0)))</x:f>
        <x:v>20</x:v>
      </x:c>
      <x:c r="K271" s="20" t="n">
        <x:f>IF(=INDEX(Roster!$F$6:$F$108,MATCH(D271,Roster!$A$6:$A$108,0))="Yes",0,=INDEX(Inputs!$B$8:$D$8,1,MATCH(A271,Inputs!$B$6:$D$6,0))*IF(=INDEX(Roster!$B$6:$B$108,MATCH(D271,Roster!$A$6:$A$108,0))="Principal",INDEX(Inputs!$B$10:$D$10,1,MATCH(A271,Inputs!$B$6:$D$6,0)),IF(=INDEX(Roster!$B$6:$B$108,MATCH(D271,Roster!$A$6:$A$108,0))="Associate Principal",INDEX(Inputs!$B$11:$D$11,1,MATCH(A271,Inputs!$B$6:$D$6,0)),IF(=INDEX(Roster!$B$6:$B$108,MATCH(D271,Roster!$A$6:$A$108,0))="Assistant Principal",INDEX(Inputs!$B$12:$D$12,1,MATCH(A271,Inputs!$B$6:$D$6,0)),0))))</x:f>
        <x:v>0</x:v>
      </x:c>
      <x:c r="L271" s="20" t="n">
        <x:f>IF(INDEX(Roster!$D$6:$D$108,MATCH(D271,Roster!$A$6:$A$108,0))&gt;=25,INDEX(Inputs!$B$19:$D$19,1,MATCH(A271,Inputs!$B$6:$D$6,0)),IF(INDEX(Roster!$D$6:$D$108,MATCH(D271,Roster!$A$6:$A$108,0))&gt;=20,INDEX(Inputs!$B$18:$D$18,1,MATCH(A271,Inputs!$B$6:$D$6,0)),IF(INDEX(Roster!$D$6:$D$108,MATCH(D271,Roster!$A$6:$A$108,0))&gt;=15,INDEX(Inputs!$B$17:$D$17,1,MATCH(A271,Inputs!$B$6:$D$6,0)),IF(INDEX(Roster!$D$6:$D$108,MATCH(D271,Roster!$A$6:$A$108,0))&gt;=10,INDEX(Inputs!$B$16:$D$16,1,MATCH(A271,Inputs!$B$6:$D$6,0)),IF(INDEX(Roster!$D$6:$D$108,MATCH(D271,Roster!$A$6:$A$108,0))&gt;=5,INDEX(Inputs!$B$15:$D$15,1,MATCH(A271,Inputs!$B$6:$D$6,0)),0)))))</x:f>
        <x:v>70</x:v>
      </x:c>
      <x:c r="M271" s="20" t="n">
        <x:f>G271*I271</x:f>
        <x:v>31135</x:v>
      </x:c>
      <x:c r="N271" s="20" t="n">
        <x:f>G271*J271</x:f>
        <x:v>260</x:v>
      </x:c>
      <x:c r="O271" s="20" t="n">
        <x:f>G271*K271</x:f>
        <x:v>0</x:v>
      </x:c>
      <x:c r="P271" s="20" t="n">
        <x:f>G271*L271</x:f>
        <x:v>910</x:v>
      </x:c>
      <x:c r="Q271" s="20" t="n">
        <x:f>H271*INDEX(Inputs!$B$13:$D$13,1,MATCH(A271,Inputs!$B$6:$D$6,0))</x:f>
        <x:v>390</x:v>
      </x:c>
      <x:c r="R271" s="20" t="n">
        <x:f>SUM(M271:Q271)</x:f>
        <x:v>32695</x:v>
      </x:c>
      <x:c r="S271" s="20" t="n">
        <x:f>IF(AND(A270=A271,D270=D271),S270+R271,R271)</x:f>
        <x:v>65390</x:v>
      </x:c>
      <x:c r="T271" s="20" t="n">
        <x:f>MIN(S271,INDEX(Inputs!$B$20:$D$20,1,MATCH(A271,Inputs!$B$6:$D$6,0)))*INDEX(Inputs!$B$22:$D$22,1,MATCH(A271,Inputs!$B$6:$D$6,0))+MAX(MIN(S271,INDEX(Inputs!$B$21:$D$21,1,MATCH(A271,Inputs!$B$6:$D$6,0)))-INDEX(Inputs!$B$20:$D$20,1,MATCH(A271,Inputs!$B$6:$D$6,0)),0)*INDEX(Inputs!$B$23:$D$23,1,MATCH(A271,Inputs!$B$6:$D$6,0))+MAX(S271-INDEX(Inputs!$B$21:$D$21,1,MATCH(A271,Inputs!$B$6:$D$6,0)),0)*INDEX(Inputs!$B$24:$D$24,1,MATCH(A271,Inputs!$B$6:$D$6,0))</x:f>
        <x:v>5492.335</x:v>
      </x:c>
      <x:c r="U271" s="20" t="n">
        <x:f>IF(AND(A270=A271,D270=D271),T270,0)</x:f>
        <x:v>2991.1675</x:v>
      </x:c>
      <x:c r="V271" s="20" t="n">
        <x:f>T271-U271</x:f>
        <x:v>2501.1675</x:v>
      </x:c>
      <x:c r="W271" s="20" t="n">
        <x:f>R271+V271</x:f>
        <x:v>35196.1675</x:v>
      </x:c>
      <x:c r="X271" s="14" t="str">
        <x:f>IF(ABS(W271-SUM(M271:Q271)-V271)&lt;0.01,"OK","Check")</x:f>
        <x:v>OK</x:v>
      </x:c>
    </x:row>
    <x:row r="272">
      <x:c r="A272" s="14" t="n">
        <x:v>2026</x:v>
      </x:c>
      <x:c r="B272" s="14" t="str">
        <x:v>Q3</x:v>
      </x:c>
      <x:c r="C272" s="14" t="n">
        <x:v>3</x:v>
      </x:c>
      <x:c r="D272" s="14" t="n">
        <x:v>67</x:v>
      </x:c>
      <x:c r="E272" s="14" t="str">
        <x:f>INDEX(Roster!$B$6:$B$108,MATCH(D272,Roster!$A$6:$A$108,0))</x:f>
      </x:c>
      <x:c r="F272" s="14" t="str">
        <x:f>INDEX(Roster!$F$6:$F$108,MATCH(D272,Roster!$A$6:$A$108,0))</x:f>
        <x:v>No</x:v>
      </x:c>
      <x:c r="G272" s="14" t="n">
        <x:f>INDEX(Inputs!$B$7:$D$7,1,MATCH(A272,Inputs!$B$6:$D$6,0))</x:f>
        <x:v>13</x:v>
      </x:c>
      <x:c r="H272" s="14" t="n">
        <x:f>MIN(=INDEX(Inputs!$B$7:$D$7,1,MATCH(A272,Inputs!$B$6:$D$6,0)),MAX(0,INDEX(Inputs!$B$14:$D$14,1,MATCH(A272,Inputs!$B$6:$D$6,0))-(C272-1)*=INDEX(Inputs!$B$7:$D$7,1,MATCH(A272,Inputs!$B$6:$D$6,0))))</x:f>
        <x:v>13</x:v>
      </x:c>
      <x:c r="I272" s="20" t="n">
        <x:f>INDEX(Inputs!$B$8:$D$8,1,MATCH(A272,Inputs!$B$6:$D$6,0))</x:f>
        <x:v>2395</x:v>
      </x:c>
      <x:c r="J272" s="20" t="n">
        <x:f>INDEX(Roster!$C$6:$C$108,MATCH(D272,Roster!$A$6:$A$108,0))*(1+INDEX(Inputs!$B$9:$D$9,1,MATCH(A272,Inputs!$B$6:$D$6,0)))</x:f>
        <x:v>20</x:v>
      </x:c>
      <x:c r="K272" s="20" t="n">
        <x:f>IF(=INDEX(Roster!$F$6:$F$108,MATCH(D272,Roster!$A$6:$A$108,0))="Yes",0,=INDEX(Inputs!$B$8:$D$8,1,MATCH(A272,Inputs!$B$6:$D$6,0))*IF(=INDEX(Roster!$B$6:$B$108,MATCH(D272,Roster!$A$6:$A$108,0))="Principal",INDEX(Inputs!$B$10:$D$10,1,MATCH(A272,Inputs!$B$6:$D$6,0)),IF(=INDEX(Roster!$B$6:$B$108,MATCH(D272,Roster!$A$6:$A$108,0))="Associate Principal",INDEX(Inputs!$B$11:$D$11,1,MATCH(A272,Inputs!$B$6:$D$6,0)),IF(=INDEX(Roster!$B$6:$B$108,MATCH(D272,Roster!$A$6:$A$108,0))="Assistant Principal",INDEX(Inputs!$B$12:$D$12,1,MATCH(A272,Inputs!$B$6:$D$6,0)),0))))</x:f>
        <x:v>0</x:v>
      </x:c>
      <x:c r="L272" s="20" t="n">
        <x:f>IF(INDEX(Roster!$D$6:$D$108,MATCH(D272,Roster!$A$6:$A$108,0))&gt;=25,INDEX(Inputs!$B$19:$D$19,1,MATCH(A272,Inputs!$B$6:$D$6,0)),IF(INDEX(Roster!$D$6:$D$108,MATCH(D272,Roster!$A$6:$A$108,0))&gt;=20,INDEX(Inputs!$B$18:$D$18,1,MATCH(A272,Inputs!$B$6:$D$6,0)),IF(INDEX(Roster!$D$6:$D$108,MATCH(D272,Roster!$A$6:$A$108,0))&gt;=15,INDEX(Inputs!$B$17:$D$17,1,MATCH(A272,Inputs!$B$6:$D$6,0)),IF(INDEX(Roster!$D$6:$D$108,MATCH(D272,Roster!$A$6:$A$108,0))&gt;=10,INDEX(Inputs!$B$16:$D$16,1,MATCH(A272,Inputs!$B$6:$D$6,0)),IF(INDEX(Roster!$D$6:$D$108,MATCH(D272,Roster!$A$6:$A$108,0))&gt;=5,INDEX(Inputs!$B$15:$D$15,1,MATCH(A272,Inputs!$B$6:$D$6,0)),0)))))</x:f>
        <x:v>70</x:v>
      </x:c>
      <x:c r="M272" s="20" t="n">
        <x:f>G272*I272</x:f>
        <x:v>31135</x:v>
      </x:c>
      <x:c r="N272" s="20" t="n">
        <x:f>G272*J272</x:f>
        <x:v>260</x:v>
      </x:c>
      <x:c r="O272" s="20" t="n">
        <x:f>G272*K272</x:f>
        <x:v>0</x:v>
      </x:c>
      <x:c r="P272" s="20" t="n">
        <x:f>G272*L272</x:f>
        <x:v>910</x:v>
      </x:c>
      <x:c r="Q272" s="20" t="n">
        <x:f>H272*INDEX(Inputs!$B$13:$D$13,1,MATCH(A272,Inputs!$B$6:$D$6,0))</x:f>
        <x:v>390</x:v>
      </x:c>
      <x:c r="R272" s="20" t="n">
        <x:f>SUM(M272:Q272)</x:f>
        <x:v>32695</x:v>
      </x:c>
      <x:c r="S272" s="20" t="n">
        <x:f>IF(AND(A271=A272,D271=D272),S271+R272,R272)</x:f>
        <x:v>98085</x:v>
      </x:c>
      <x:c r="T272" s="20" t="n">
        <x:f>MIN(S272,INDEX(Inputs!$B$20:$D$20,1,MATCH(A272,Inputs!$B$6:$D$6,0)))*INDEX(Inputs!$B$22:$D$22,1,MATCH(A272,Inputs!$B$6:$D$6,0))+MAX(MIN(S272,INDEX(Inputs!$B$21:$D$21,1,MATCH(A272,Inputs!$B$6:$D$6,0)))-INDEX(Inputs!$B$20:$D$20,1,MATCH(A272,Inputs!$B$6:$D$6,0)),0)*INDEX(Inputs!$B$23:$D$23,1,MATCH(A272,Inputs!$B$6:$D$6,0))+MAX(S272-INDEX(Inputs!$B$21:$D$21,1,MATCH(A272,Inputs!$B$6:$D$6,0)),0)*INDEX(Inputs!$B$24:$D$24,1,MATCH(A272,Inputs!$B$6:$D$6,0))</x:f>
        <x:v>7993.5025</x:v>
      </x:c>
      <x:c r="U272" s="20" t="n">
        <x:f>IF(AND(A271=A272,D271=D272),T271,0)</x:f>
        <x:v>5492.335</x:v>
      </x:c>
      <x:c r="V272" s="20" t="n">
        <x:f>T272-U272</x:f>
        <x:v>2501.1674999999996</x:v>
      </x:c>
      <x:c r="W272" s="20" t="n">
        <x:f>R272+V272</x:f>
        <x:v>35196.167499999996</x:v>
      </x:c>
      <x:c r="X272" s="14" t="str">
        <x:f>IF(ABS(W272-SUM(M272:Q272)-V272)&lt;0.01,"OK","Check")</x:f>
        <x:v>OK</x:v>
      </x:c>
    </x:row>
    <x:row r="273">
      <x:c r="A273" s="14" t="n">
        <x:v>2026</x:v>
      </x:c>
      <x:c r="B273" s="14" t="str">
        <x:v>Q4</x:v>
      </x:c>
      <x:c r="C273" s="14" t="n">
        <x:v>4</x:v>
      </x:c>
      <x:c r="D273" s="14" t="n">
        <x:v>67</x:v>
      </x:c>
      <x:c r="E273" s="14" t="str">
        <x:f>INDEX(Roster!$B$6:$B$108,MATCH(D273,Roster!$A$6:$A$108,0))</x:f>
      </x:c>
      <x:c r="F273" s="14" t="str">
        <x:f>INDEX(Roster!$F$6:$F$108,MATCH(D273,Roster!$A$6:$A$108,0))</x:f>
        <x:v>No</x:v>
      </x:c>
      <x:c r="G273" s="14" t="n">
        <x:f>INDEX(Inputs!$B$7:$D$7,1,MATCH(A273,Inputs!$B$6:$D$6,0))</x:f>
        <x:v>13</x:v>
      </x:c>
      <x:c r="H273" s="14" t="n">
        <x:f>MIN(=INDEX(Inputs!$B$7:$D$7,1,MATCH(A273,Inputs!$B$6:$D$6,0)),MAX(0,INDEX(Inputs!$B$14:$D$14,1,MATCH(A273,Inputs!$B$6:$D$6,0))-(C273-1)*=INDEX(Inputs!$B$7:$D$7,1,MATCH(A273,Inputs!$B$6:$D$6,0))))</x:f>
        <x:v>0</x:v>
      </x:c>
      <x:c r="I273" s="20" t="n">
        <x:f>INDEX(Inputs!$B$8:$D$8,1,MATCH(A273,Inputs!$B$6:$D$6,0))</x:f>
        <x:v>2395</x:v>
      </x:c>
      <x:c r="J273" s="20" t="n">
        <x:f>INDEX(Roster!$C$6:$C$108,MATCH(D273,Roster!$A$6:$A$108,0))*(1+INDEX(Inputs!$B$9:$D$9,1,MATCH(A273,Inputs!$B$6:$D$6,0)))</x:f>
        <x:v>20</x:v>
      </x:c>
      <x:c r="K273" s="20" t="n">
        <x:f>IF(=INDEX(Roster!$F$6:$F$108,MATCH(D273,Roster!$A$6:$A$108,0))="Yes",0,=INDEX(Inputs!$B$8:$D$8,1,MATCH(A273,Inputs!$B$6:$D$6,0))*IF(=INDEX(Roster!$B$6:$B$108,MATCH(D273,Roster!$A$6:$A$108,0))="Principal",INDEX(Inputs!$B$10:$D$10,1,MATCH(A273,Inputs!$B$6:$D$6,0)),IF(=INDEX(Roster!$B$6:$B$108,MATCH(D273,Roster!$A$6:$A$108,0))="Associate Principal",INDEX(Inputs!$B$11:$D$11,1,MATCH(A273,Inputs!$B$6:$D$6,0)),IF(=INDEX(Roster!$B$6:$B$108,MATCH(D273,Roster!$A$6:$A$108,0))="Assistant Principal",INDEX(Inputs!$B$12:$D$12,1,MATCH(A273,Inputs!$B$6:$D$6,0)),0))))</x:f>
        <x:v>0</x:v>
      </x:c>
      <x:c r="L273" s="20" t="n">
        <x:f>IF(INDEX(Roster!$D$6:$D$108,MATCH(D273,Roster!$A$6:$A$108,0))&gt;=25,INDEX(Inputs!$B$19:$D$19,1,MATCH(A273,Inputs!$B$6:$D$6,0)),IF(INDEX(Roster!$D$6:$D$108,MATCH(D273,Roster!$A$6:$A$108,0))&gt;=20,INDEX(Inputs!$B$18:$D$18,1,MATCH(A273,Inputs!$B$6:$D$6,0)),IF(INDEX(Roster!$D$6:$D$108,MATCH(D273,Roster!$A$6:$A$108,0))&gt;=15,INDEX(Inputs!$B$17:$D$17,1,MATCH(A273,Inputs!$B$6:$D$6,0)),IF(INDEX(Roster!$D$6:$D$108,MATCH(D273,Roster!$A$6:$A$108,0))&gt;=10,INDEX(Inputs!$B$16:$D$16,1,MATCH(A273,Inputs!$B$6:$D$6,0)),IF(INDEX(Roster!$D$6:$D$108,MATCH(D273,Roster!$A$6:$A$108,0))&gt;=5,INDEX(Inputs!$B$15:$D$15,1,MATCH(A273,Inputs!$B$6:$D$6,0)),0)))))</x:f>
        <x:v>70</x:v>
      </x:c>
      <x:c r="M273" s="20" t="n">
        <x:f>G273*I273</x:f>
        <x:v>31135</x:v>
      </x:c>
      <x:c r="N273" s="20" t="n">
        <x:f>G273*J273</x:f>
        <x:v>260</x:v>
      </x:c>
      <x:c r="O273" s="20" t="n">
        <x:f>G273*K273</x:f>
        <x:v>0</x:v>
      </x:c>
      <x:c r="P273" s="20" t="n">
        <x:f>G273*L273</x:f>
        <x:v>910</x:v>
      </x:c>
      <x:c r="Q273" s="20" t="n">
        <x:f>H273*INDEX(Inputs!$B$13:$D$13,1,MATCH(A273,Inputs!$B$6:$D$6,0))</x:f>
        <x:v>0</x:v>
      </x:c>
      <x:c r="R273" s="20" t="n">
        <x:f>SUM(M273:Q273)</x:f>
        <x:v>32305</x:v>
      </x:c>
      <x:c r="S273" s="20" t="n">
        <x:f>IF(AND(A272=A273,D272=D273),S272+R273,R273)</x:f>
        <x:v>130390</x:v>
      </x:c>
      <x:c r="T273" s="20" t="n">
        <x:f>MIN(S273,INDEX(Inputs!$B$20:$D$20,1,MATCH(A273,Inputs!$B$6:$D$6,0)))*INDEX(Inputs!$B$22:$D$22,1,MATCH(A273,Inputs!$B$6:$D$6,0))+MAX(MIN(S273,INDEX(Inputs!$B$21:$D$21,1,MATCH(A273,Inputs!$B$6:$D$6,0)))-INDEX(Inputs!$B$20:$D$20,1,MATCH(A273,Inputs!$B$6:$D$6,0)),0)*INDEX(Inputs!$B$23:$D$23,1,MATCH(A273,Inputs!$B$6:$D$6,0))+MAX(S273-INDEX(Inputs!$B$21:$D$21,1,MATCH(A273,Inputs!$B$6:$D$6,0)),0)*INDEX(Inputs!$B$24:$D$24,1,MATCH(A273,Inputs!$B$6:$D$6,0))</x:f>
        <x:v>9804.597</x:v>
      </x:c>
      <x:c r="U273" s="20" t="n">
        <x:f>IF(AND(A272=A273,D272=D273),T272,0)</x:f>
        <x:v>7993.5025</x:v>
      </x:c>
      <x:c r="V273" s="20" t="n">
        <x:f>T273-U273</x:f>
        <x:v>1811.0945000000002</x:v>
      </x:c>
      <x:c r="W273" s="20" t="n">
        <x:f>R273+V273</x:f>
        <x:v>34116.0945</x:v>
      </x:c>
      <x:c r="X273" s="14" t="str">
        <x:f>IF(ABS(W273-SUM(M273:Q273)-V273)&lt;0.01,"OK","Check")</x:f>
        <x:v>OK</x:v>
      </x:c>
    </x:row>
    <x:row r="274">
      <x:c r="A274" s="14" t="n">
        <x:v>2026</x:v>
      </x:c>
      <x:c r="B274" s="14" t="str">
        <x:v>Q1</x:v>
      </x:c>
      <x:c r="C274" s="14" t="n">
        <x:v>1</x:v>
      </x:c>
      <x:c r="D274" s="14" t="n">
        <x:v>68</x:v>
      </x:c>
      <x:c r="E274" s="14" t="str">
        <x:f>INDEX(Roster!$B$6:$B$108,MATCH(D274,Roster!$A$6:$A$108,0))</x:f>
        <x:v>Principal</x:v>
      </x:c>
      <x:c r="F274" s="14" t="str">
        <x:f>INDEX(Roster!$F$6:$F$108,MATCH(D274,Roster!$A$6:$A$108,0))</x:f>
        <x:v>Yes</x:v>
      </x:c>
      <x:c r="G274" s="14" t="n">
        <x:f>INDEX(Inputs!$B$7:$D$7,1,MATCH(A274,Inputs!$B$6:$D$6,0))</x:f>
        <x:v>13</x:v>
      </x:c>
      <x:c r="H274" s="14" t="n">
        <x:f>MIN(=INDEX(Inputs!$B$7:$D$7,1,MATCH(A274,Inputs!$B$6:$D$6,0)),MAX(0,INDEX(Inputs!$B$14:$D$14,1,MATCH(A274,Inputs!$B$6:$D$6,0))-(C274-1)*=INDEX(Inputs!$B$7:$D$7,1,MATCH(A274,Inputs!$B$6:$D$6,0))))</x:f>
        <x:v>13</x:v>
      </x:c>
      <x:c r="I274" s="20" t="n">
        <x:f>INDEX(Inputs!$B$8:$D$8,1,MATCH(A274,Inputs!$B$6:$D$6,0))</x:f>
        <x:v>2395</x:v>
      </x:c>
      <x:c r="J274" s="20" t="n">
        <x:f>INDEX(Roster!$C$6:$C$108,MATCH(D274,Roster!$A$6:$A$108,0))*(1+INDEX(Inputs!$B$9:$D$9,1,MATCH(A274,Inputs!$B$6:$D$6,0)))</x:f>
        <x:v>1400</x:v>
      </x:c>
      <x:c r="K274" s="20" t="n">
        <x:f>IF(=INDEX(Roster!$F$6:$F$108,MATCH(D274,Roster!$A$6:$A$108,0))="Yes",0,=INDEX(Inputs!$B$8:$D$8,1,MATCH(A274,Inputs!$B$6:$D$6,0))*IF(=INDEX(Roster!$B$6:$B$108,MATCH(D274,Roster!$A$6:$A$108,0))="Principal",INDEX(Inputs!$B$10:$D$10,1,MATCH(A274,Inputs!$B$6:$D$6,0)),IF(=INDEX(Roster!$B$6:$B$108,MATCH(D274,Roster!$A$6:$A$108,0))="Associate Principal",INDEX(Inputs!$B$11:$D$11,1,MATCH(A274,Inputs!$B$6:$D$6,0)),IF(=INDEX(Roster!$B$6:$B$108,MATCH(D274,Roster!$A$6:$A$108,0))="Assistant Principal",INDEX(Inputs!$B$12:$D$12,1,MATCH(A274,Inputs!$B$6:$D$6,0)),0))))</x:f>
        <x:v>0</x:v>
      </x:c>
      <x:c r="L274" s="20" t="n">
        <x:f>IF(INDEX(Roster!$D$6:$D$108,MATCH(D274,Roster!$A$6:$A$108,0))&gt;=25,INDEX(Inputs!$B$19:$D$19,1,MATCH(A274,Inputs!$B$6:$D$6,0)),IF(INDEX(Roster!$D$6:$D$108,MATCH(D274,Roster!$A$6:$A$108,0))&gt;=20,INDEX(Inputs!$B$18:$D$18,1,MATCH(A274,Inputs!$B$6:$D$6,0)),IF(INDEX(Roster!$D$6:$D$108,MATCH(D274,Roster!$A$6:$A$108,0))&gt;=15,INDEX(Inputs!$B$17:$D$17,1,MATCH(A274,Inputs!$B$6:$D$6,0)),IF(INDEX(Roster!$D$6:$D$108,MATCH(D274,Roster!$A$6:$A$108,0))&gt;=10,INDEX(Inputs!$B$16:$D$16,1,MATCH(A274,Inputs!$B$6:$D$6,0)),IF(INDEX(Roster!$D$6:$D$108,MATCH(D274,Roster!$A$6:$A$108,0))&gt;=5,INDEX(Inputs!$B$15:$D$15,1,MATCH(A274,Inputs!$B$6:$D$6,0)),0)))))</x:f>
        <x:v>90</x:v>
      </x:c>
      <x:c r="M274" s="20" t="n">
        <x:f>G274*I274</x:f>
        <x:v>31135</x:v>
      </x:c>
      <x:c r="N274" s="20" t="n">
        <x:f>G274*J274</x:f>
        <x:v>18200</x:v>
      </x:c>
      <x:c r="O274" s="20" t="n">
        <x:f>G274*K274</x:f>
        <x:v>0</x:v>
      </x:c>
      <x:c r="P274" s="20" t="n">
        <x:f>G274*L274</x:f>
        <x:v>1170</x:v>
      </x:c>
      <x:c r="Q274" s="20" t="n">
        <x:f>H274*INDEX(Inputs!$B$13:$D$13,1,MATCH(A274,Inputs!$B$6:$D$6,0))</x:f>
        <x:v>390</x:v>
      </x:c>
      <x:c r="R274" s="20" t="n">
        <x:f>SUM(M274:Q274)</x:f>
        <x:v>50895</x:v>
      </x:c>
      <x:c r="S274" s="20" t="n">
        <x:f>IF(AND(A273=A274,D273=D274),S273+R274,R274)</x:f>
        <x:v>50895</x:v>
      </x:c>
      <x:c r="T274" s="20" t="n">
        <x:f>MIN(S274,INDEX(Inputs!$B$20:$D$20,1,MATCH(A274,Inputs!$B$6:$D$6,0)))*INDEX(Inputs!$B$22:$D$22,1,MATCH(A274,Inputs!$B$6:$D$6,0))+MAX(MIN(S274,INDEX(Inputs!$B$21:$D$21,1,MATCH(A274,Inputs!$B$6:$D$6,0)))-INDEX(Inputs!$B$20:$D$20,1,MATCH(A274,Inputs!$B$6:$D$6,0)),0)*INDEX(Inputs!$B$23:$D$23,1,MATCH(A274,Inputs!$B$6:$D$6,0))+MAX(S274-INDEX(Inputs!$B$21:$D$21,1,MATCH(A274,Inputs!$B$6:$D$6,0)),0)*INDEX(Inputs!$B$24:$D$24,1,MATCH(A274,Inputs!$B$6:$D$6,0))</x:f>
        <x:v>4383.4675</x:v>
      </x:c>
      <x:c r="U274" s="20" t="n">
        <x:f>IF(AND(A273=A274,D273=D274),T273,0)</x:f>
        <x:v>0</x:v>
      </x:c>
      <x:c r="V274" s="20" t="n">
        <x:f>T274-U274</x:f>
        <x:v>4383.4675</x:v>
      </x:c>
      <x:c r="W274" s="20" t="n">
        <x:f>R274+V274</x:f>
        <x:v>55278.4675</x:v>
      </x:c>
      <x:c r="X274" s="14" t="str">
        <x:f>IF(ABS(W274-SUM(M274:Q274)-V274)&lt;0.01,"OK","Check")</x:f>
        <x:v>OK</x:v>
      </x:c>
    </x:row>
    <x:row r="275">
      <x:c r="A275" s="14" t="n">
        <x:v>2026</x:v>
      </x:c>
      <x:c r="B275" s="14" t="str">
        <x:v>Q2</x:v>
      </x:c>
      <x:c r="C275" s="14" t="n">
        <x:v>2</x:v>
      </x:c>
      <x:c r="D275" s="14" t="n">
        <x:v>68</x:v>
      </x:c>
      <x:c r="E275" s="14" t="str">
        <x:f>INDEX(Roster!$B$6:$B$108,MATCH(D275,Roster!$A$6:$A$108,0))</x:f>
        <x:v>Principal</x:v>
      </x:c>
      <x:c r="F275" s="14" t="str">
        <x:f>INDEX(Roster!$F$6:$F$108,MATCH(D275,Roster!$A$6:$A$108,0))</x:f>
        <x:v>Yes</x:v>
      </x:c>
      <x:c r="G275" s="14" t="n">
        <x:f>INDEX(Inputs!$B$7:$D$7,1,MATCH(A275,Inputs!$B$6:$D$6,0))</x:f>
        <x:v>13</x:v>
      </x:c>
      <x:c r="H275" s="14" t="n">
        <x:f>MIN(=INDEX(Inputs!$B$7:$D$7,1,MATCH(A275,Inputs!$B$6:$D$6,0)),MAX(0,INDEX(Inputs!$B$14:$D$14,1,MATCH(A275,Inputs!$B$6:$D$6,0))-(C275-1)*=INDEX(Inputs!$B$7:$D$7,1,MATCH(A275,Inputs!$B$6:$D$6,0))))</x:f>
        <x:v>13</x:v>
      </x:c>
      <x:c r="I275" s="20" t="n">
        <x:f>INDEX(Inputs!$B$8:$D$8,1,MATCH(A275,Inputs!$B$6:$D$6,0))</x:f>
        <x:v>2395</x:v>
      </x:c>
      <x:c r="J275" s="20" t="n">
        <x:f>INDEX(Roster!$C$6:$C$108,MATCH(D275,Roster!$A$6:$A$108,0))*(1+INDEX(Inputs!$B$9:$D$9,1,MATCH(A275,Inputs!$B$6:$D$6,0)))</x:f>
        <x:v>1400</x:v>
      </x:c>
      <x:c r="K275" s="20" t="n">
        <x:f>IF(=INDEX(Roster!$F$6:$F$108,MATCH(D275,Roster!$A$6:$A$108,0))="Yes",0,=INDEX(Inputs!$B$8:$D$8,1,MATCH(A275,Inputs!$B$6:$D$6,0))*IF(=INDEX(Roster!$B$6:$B$108,MATCH(D275,Roster!$A$6:$A$108,0))="Principal",INDEX(Inputs!$B$10:$D$10,1,MATCH(A275,Inputs!$B$6:$D$6,0)),IF(=INDEX(Roster!$B$6:$B$108,MATCH(D275,Roster!$A$6:$A$108,0))="Associate Principal",INDEX(Inputs!$B$11:$D$11,1,MATCH(A275,Inputs!$B$6:$D$6,0)),IF(=INDEX(Roster!$B$6:$B$108,MATCH(D275,Roster!$A$6:$A$108,0))="Assistant Principal",INDEX(Inputs!$B$12:$D$12,1,MATCH(A275,Inputs!$B$6:$D$6,0)),0))))</x:f>
        <x:v>0</x:v>
      </x:c>
      <x:c r="L275" s="20" t="n">
        <x:f>IF(INDEX(Roster!$D$6:$D$108,MATCH(D275,Roster!$A$6:$A$108,0))&gt;=25,INDEX(Inputs!$B$19:$D$19,1,MATCH(A275,Inputs!$B$6:$D$6,0)),IF(INDEX(Roster!$D$6:$D$108,MATCH(D275,Roster!$A$6:$A$108,0))&gt;=20,INDEX(Inputs!$B$18:$D$18,1,MATCH(A275,Inputs!$B$6:$D$6,0)),IF(INDEX(Roster!$D$6:$D$108,MATCH(D275,Roster!$A$6:$A$108,0))&gt;=15,INDEX(Inputs!$B$17:$D$17,1,MATCH(A275,Inputs!$B$6:$D$6,0)),IF(INDEX(Roster!$D$6:$D$108,MATCH(D275,Roster!$A$6:$A$108,0))&gt;=10,INDEX(Inputs!$B$16:$D$16,1,MATCH(A275,Inputs!$B$6:$D$6,0)),IF(INDEX(Roster!$D$6:$D$108,MATCH(D275,Roster!$A$6:$A$108,0))&gt;=5,INDEX(Inputs!$B$15:$D$15,1,MATCH(A275,Inputs!$B$6:$D$6,0)),0)))))</x:f>
        <x:v>90</x:v>
      </x:c>
      <x:c r="M275" s="20" t="n">
        <x:f>G275*I275</x:f>
        <x:v>31135</x:v>
      </x:c>
      <x:c r="N275" s="20" t="n">
        <x:f>G275*J275</x:f>
        <x:v>18200</x:v>
      </x:c>
      <x:c r="O275" s="20" t="n">
        <x:f>G275*K275</x:f>
        <x:v>0</x:v>
      </x:c>
      <x:c r="P275" s="20" t="n">
        <x:f>G275*L275</x:f>
        <x:v>1170</x:v>
      </x:c>
      <x:c r="Q275" s="20" t="n">
        <x:f>H275*INDEX(Inputs!$B$13:$D$13,1,MATCH(A275,Inputs!$B$6:$D$6,0))</x:f>
        <x:v>390</x:v>
      </x:c>
      <x:c r="R275" s="20" t="n">
        <x:f>SUM(M275:Q275)</x:f>
        <x:v>50895</x:v>
      </x:c>
      <x:c r="S275" s="20" t="n">
        <x:f>IF(AND(A274=A275,D274=D275),S274+R275,R275)</x:f>
        <x:v>101790</x:v>
      </x:c>
      <x:c r="T275" s="20" t="n">
        <x:f>MIN(S275,INDEX(Inputs!$B$20:$D$20,1,MATCH(A275,Inputs!$B$6:$D$6,0)))*INDEX(Inputs!$B$22:$D$22,1,MATCH(A275,Inputs!$B$6:$D$6,0))+MAX(MIN(S275,INDEX(Inputs!$B$21:$D$21,1,MATCH(A275,Inputs!$B$6:$D$6,0)))-INDEX(Inputs!$B$20:$D$20,1,MATCH(A275,Inputs!$B$6:$D$6,0)),0)*INDEX(Inputs!$B$23:$D$23,1,MATCH(A275,Inputs!$B$6:$D$6,0))+MAX(S275-INDEX(Inputs!$B$21:$D$21,1,MATCH(A275,Inputs!$B$6:$D$6,0)),0)*INDEX(Inputs!$B$24:$D$24,1,MATCH(A275,Inputs!$B$6:$D$6,0))</x:f>
        <x:v>8276.935</x:v>
      </x:c>
      <x:c r="U275" s="20" t="n">
        <x:f>IF(AND(A274=A275,D274=D275),T274,0)</x:f>
        <x:v>4383.4675</x:v>
      </x:c>
      <x:c r="V275" s="20" t="n">
        <x:f>T275-U275</x:f>
        <x:v>3893.4674999999997</x:v>
      </x:c>
      <x:c r="W275" s="20" t="n">
        <x:f>R275+V275</x:f>
        <x:v>54788.4675</x:v>
      </x:c>
      <x:c r="X275" s="14" t="str">
        <x:f>IF(ABS(W275-SUM(M275:Q275)-V275)&lt;0.01,"OK","Check")</x:f>
        <x:v>OK</x:v>
      </x:c>
    </x:row>
    <x:row r="276">
      <x:c r="A276" s="14" t="n">
        <x:v>2026</x:v>
      </x:c>
      <x:c r="B276" s="14" t="str">
        <x:v>Q3</x:v>
      </x:c>
      <x:c r="C276" s="14" t="n">
        <x:v>3</x:v>
      </x:c>
      <x:c r="D276" s="14" t="n">
        <x:v>68</x:v>
      </x:c>
      <x:c r="E276" s="14" t="str">
        <x:f>INDEX(Roster!$B$6:$B$108,MATCH(D276,Roster!$A$6:$A$108,0))</x:f>
        <x:v>Principal</x:v>
      </x:c>
      <x:c r="F276" s="14" t="str">
        <x:f>INDEX(Roster!$F$6:$F$108,MATCH(D276,Roster!$A$6:$A$108,0))</x:f>
        <x:v>Yes</x:v>
      </x:c>
      <x:c r="G276" s="14" t="n">
        <x:f>INDEX(Inputs!$B$7:$D$7,1,MATCH(A276,Inputs!$B$6:$D$6,0))</x:f>
        <x:v>13</x:v>
      </x:c>
      <x:c r="H276" s="14" t="n">
        <x:f>MIN(=INDEX(Inputs!$B$7:$D$7,1,MATCH(A276,Inputs!$B$6:$D$6,0)),MAX(0,INDEX(Inputs!$B$14:$D$14,1,MATCH(A276,Inputs!$B$6:$D$6,0))-(C276-1)*=INDEX(Inputs!$B$7:$D$7,1,MATCH(A276,Inputs!$B$6:$D$6,0))))</x:f>
        <x:v>13</x:v>
      </x:c>
      <x:c r="I276" s="20" t="n">
        <x:f>INDEX(Inputs!$B$8:$D$8,1,MATCH(A276,Inputs!$B$6:$D$6,0))</x:f>
        <x:v>2395</x:v>
      </x:c>
      <x:c r="J276" s="20" t="n">
        <x:f>INDEX(Roster!$C$6:$C$108,MATCH(D276,Roster!$A$6:$A$108,0))*(1+INDEX(Inputs!$B$9:$D$9,1,MATCH(A276,Inputs!$B$6:$D$6,0)))</x:f>
        <x:v>1400</x:v>
      </x:c>
      <x:c r="K276" s="20" t="n">
        <x:f>IF(=INDEX(Roster!$F$6:$F$108,MATCH(D276,Roster!$A$6:$A$108,0))="Yes",0,=INDEX(Inputs!$B$8:$D$8,1,MATCH(A276,Inputs!$B$6:$D$6,0))*IF(=INDEX(Roster!$B$6:$B$108,MATCH(D276,Roster!$A$6:$A$108,0))="Principal",INDEX(Inputs!$B$10:$D$10,1,MATCH(A276,Inputs!$B$6:$D$6,0)),IF(=INDEX(Roster!$B$6:$B$108,MATCH(D276,Roster!$A$6:$A$108,0))="Associate Principal",INDEX(Inputs!$B$11:$D$11,1,MATCH(A276,Inputs!$B$6:$D$6,0)),IF(=INDEX(Roster!$B$6:$B$108,MATCH(D276,Roster!$A$6:$A$108,0))="Assistant Principal",INDEX(Inputs!$B$12:$D$12,1,MATCH(A276,Inputs!$B$6:$D$6,0)),0))))</x:f>
        <x:v>0</x:v>
      </x:c>
      <x:c r="L276" s="20" t="n">
        <x:f>IF(INDEX(Roster!$D$6:$D$108,MATCH(D276,Roster!$A$6:$A$108,0))&gt;=25,INDEX(Inputs!$B$19:$D$19,1,MATCH(A276,Inputs!$B$6:$D$6,0)),IF(INDEX(Roster!$D$6:$D$108,MATCH(D276,Roster!$A$6:$A$108,0))&gt;=20,INDEX(Inputs!$B$18:$D$18,1,MATCH(A276,Inputs!$B$6:$D$6,0)),IF(INDEX(Roster!$D$6:$D$108,MATCH(D276,Roster!$A$6:$A$108,0))&gt;=15,INDEX(Inputs!$B$17:$D$17,1,MATCH(A276,Inputs!$B$6:$D$6,0)),IF(INDEX(Roster!$D$6:$D$108,MATCH(D276,Roster!$A$6:$A$108,0))&gt;=10,INDEX(Inputs!$B$16:$D$16,1,MATCH(A276,Inputs!$B$6:$D$6,0)),IF(INDEX(Roster!$D$6:$D$108,MATCH(D276,Roster!$A$6:$A$108,0))&gt;=5,INDEX(Inputs!$B$15:$D$15,1,MATCH(A276,Inputs!$B$6:$D$6,0)),0)))))</x:f>
        <x:v>90</x:v>
      </x:c>
      <x:c r="M276" s="20" t="n">
        <x:f>G276*I276</x:f>
        <x:v>31135</x:v>
      </x:c>
      <x:c r="N276" s="20" t="n">
        <x:f>G276*J276</x:f>
        <x:v>18200</x:v>
      </x:c>
      <x:c r="O276" s="20" t="n">
        <x:f>G276*K276</x:f>
        <x:v>0</x:v>
      </x:c>
      <x:c r="P276" s="20" t="n">
        <x:f>G276*L276</x:f>
        <x:v>1170</x:v>
      </x:c>
      <x:c r="Q276" s="20" t="n">
        <x:f>H276*INDEX(Inputs!$B$13:$D$13,1,MATCH(A276,Inputs!$B$6:$D$6,0))</x:f>
        <x:v>390</x:v>
      </x:c>
      <x:c r="R276" s="20" t="n">
        <x:f>SUM(M276:Q276)</x:f>
        <x:v>50895</x:v>
      </x:c>
      <x:c r="S276" s="20" t="n">
        <x:f>IF(AND(A275=A276,D275=D276),S275+R276,R276)</x:f>
        <x:v>152685</x:v>
      </x:c>
      <x:c r="T276" s="20" t="n">
        <x:f>MIN(S276,INDEX(Inputs!$B$20:$D$20,1,MATCH(A276,Inputs!$B$6:$D$6,0)))*INDEX(Inputs!$B$22:$D$22,1,MATCH(A276,Inputs!$B$6:$D$6,0))+MAX(MIN(S276,INDEX(Inputs!$B$21:$D$21,1,MATCH(A276,Inputs!$B$6:$D$6,0)))-INDEX(Inputs!$B$20:$D$20,1,MATCH(A276,Inputs!$B$6:$D$6,0)),0)*INDEX(Inputs!$B$23:$D$23,1,MATCH(A276,Inputs!$B$6:$D$6,0))+MAX(S276-INDEX(Inputs!$B$21:$D$21,1,MATCH(A276,Inputs!$B$6:$D$6,0)),0)*INDEX(Inputs!$B$24:$D$24,1,MATCH(A276,Inputs!$B$6:$D$6,0))</x:f>
        <x:v>10127.8745</x:v>
      </x:c>
      <x:c r="U276" s="20" t="n">
        <x:f>IF(AND(A275=A276,D275=D276),T275,0)</x:f>
        <x:v>8276.935</x:v>
      </x:c>
      <x:c r="V276" s="20" t="n">
        <x:f>T276-U276</x:f>
        <x:v>1850.9395000000004</x:v>
      </x:c>
      <x:c r="W276" s="20" t="n">
        <x:f>R276+V276</x:f>
        <x:v>52745.9395</x:v>
      </x:c>
      <x:c r="X276" s="14" t="str">
        <x:f>IF(ABS(W276-SUM(M276:Q276)-V276)&lt;0.01,"OK","Check")</x:f>
        <x:v>OK</x:v>
      </x:c>
    </x:row>
    <x:row r="277">
      <x:c r="A277" s="14" t="n">
        <x:v>2026</x:v>
      </x:c>
      <x:c r="B277" s="14" t="str">
        <x:v>Q4</x:v>
      </x:c>
      <x:c r="C277" s="14" t="n">
        <x:v>4</x:v>
      </x:c>
      <x:c r="D277" s="14" t="n">
        <x:v>68</x:v>
      </x:c>
      <x:c r="E277" s="14" t="str">
        <x:f>INDEX(Roster!$B$6:$B$108,MATCH(D277,Roster!$A$6:$A$108,0))</x:f>
        <x:v>Principal</x:v>
      </x:c>
      <x:c r="F277" s="14" t="str">
        <x:f>INDEX(Roster!$F$6:$F$108,MATCH(D277,Roster!$A$6:$A$108,0))</x:f>
        <x:v>Yes</x:v>
      </x:c>
      <x:c r="G277" s="14" t="n">
        <x:f>INDEX(Inputs!$B$7:$D$7,1,MATCH(A277,Inputs!$B$6:$D$6,0))</x:f>
        <x:v>13</x:v>
      </x:c>
      <x:c r="H277" s="14" t="n">
        <x:f>MIN(=INDEX(Inputs!$B$7:$D$7,1,MATCH(A277,Inputs!$B$6:$D$6,0)),MAX(0,INDEX(Inputs!$B$14:$D$14,1,MATCH(A277,Inputs!$B$6:$D$6,0))-(C277-1)*=INDEX(Inputs!$B$7:$D$7,1,MATCH(A277,Inputs!$B$6:$D$6,0))))</x:f>
        <x:v>0</x:v>
      </x:c>
      <x:c r="I277" s="20" t="n">
        <x:f>INDEX(Inputs!$B$8:$D$8,1,MATCH(A277,Inputs!$B$6:$D$6,0))</x:f>
        <x:v>2395</x:v>
      </x:c>
      <x:c r="J277" s="20" t="n">
        <x:f>INDEX(Roster!$C$6:$C$108,MATCH(D277,Roster!$A$6:$A$108,0))*(1+INDEX(Inputs!$B$9:$D$9,1,MATCH(A277,Inputs!$B$6:$D$6,0)))</x:f>
        <x:v>1400</x:v>
      </x:c>
      <x:c r="K277" s="20" t="n">
        <x:f>IF(=INDEX(Roster!$F$6:$F$108,MATCH(D277,Roster!$A$6:$A$108,0))="Yes",0,=INDEX(Inputs!$B$8:$D$8,1,MATCH(A277,Inputs!$B$6:$D$6,0))*IF(=INDEX(Roster!$B$6:$B$108,MATCH(D277,Roster!$A$6:$A$108,0))="Principal",INDEX(Inputs!$B$10:$D$10,1,MATCH(A277,Inputs!$B$6:$D$6,0)),IF(=INDEX(Roster!$B$6:$B$108,MATCH(D277,Roster!$A$6:$A$108,0))="Associate Principal",INDEX(Inputs!$B$11:$D$11,1,MATCH(A277,Inputs!$B$6:$D$6,0)),IF(=INDEX(Roster!$B$6:$B$108,MATCH(D277,Roster!$A$6:$A$108,0))="Assistant Principal",INDEX(Inputs!$B$12:$D$12,1,MATCH(A277,Inputs!$B$6:$D$6,0)),0))))</x:f>
        <x:v>0</x:v>
      </x:c>
      <x:c r="L277" s="20" t="n">
        <x:f>IF(INDEX(Roster!$D$6:$D$108,MATCH(D277,Roster!$A$6:$A$108,0))&gt;=25,INDEX(Inputs!$B$19:$D$19,1,MATCH(A277,Inputs!$B$6:$D$6,0)),IF(INDEX(Roster!$D$6:$D$108,MATCH(D277,Roster!$A$6:$A$108,0))&gt;=20,INDEX(Inputs!$B$18:$D$18,1,MATCH(A277,Inputs!$B$6:$D$6,0)),IF(INDEX(Roster!$D$6:$D$108,MATCH(D277,Roster!$A$6:$A$108,0))&gt;=15,INDEX(Inputs!$B$17:$D$17,1,MATCH(A277,Inputs!$B$6:$D$6,0)),IF(INDEX(Roster!$D$6:$D$108,MATCH(D277,Roster!$A$6:$A$108,0))&gt;=10,INDEX(Inputs!$B$16:$D$16,1,MATCH(A277,Inputs!$B$6:$D$6,0)),IF(INDEX(Roster!$D$6:$D$108,MATCH(D277,Roster!$A$6:$A$108,0))&gt;=5,INDEX(Inputs!$B$15:$D$15,1,MATCH(A277,Inputs!$B$6:$D$6,0)),0)))))</x:f>
        <x:v>90</x:v>
      </x:c>
      <x:c r="M277" s="20" t="n">
        <x:f>G277*I277</x:f>
        <x:v>31135</x:v>
      </x:c>
      <x:c r="N277" s="20" t="n">
        <x:f>G277*J277</x:f>
        <x:v>18200</x:v>
      </x:c>
      <x:c r="O277" s="20" t="n">
        <x:f>G277*K277</x:f>
        <x:v>0</x:v>
      </x:c>
      <x:c r="P277" s="20" t="n">
        <x:f>G277*L277</x:f>
        <x:v>1170</x:v>
      </x:c>
      <x:c r="Q277" s="20" t="n">
        <x:f>H277*INDEX(Inputs!$B$13:$D$13,1,MATCH(A277,Inputs!$B$6:$D$6,0))</x:f>
        <x:v>0</x:v>
      </x:c>
      <x:c r="R277" s="20" t="n">
        <x:f>SUM(M277:Q277)</x:f>
        <x:v>50505</x:v>
      </x:c>
      <x:c r="S277" s="20" t="n">
        <x:f>IF(AND(A276=A277,D276=D277),S276+R277,R277)</x:f>
        <x:v>203190</x:v>
      </x:c>
      <x:c r="T277" s="20" t="n">
        <x:f>MIN(S277,INDEX(Inputs!$B$20:$D$20,1,MATCH(A277,Inputs!$B$6:$D$6,0)))*INDEX(Inputs!$B$22:$D$22,1,MATCH(A277,Inputs!$B$6:$D$6,0))+MAX(MIN(S277,INDEX(Inputs!$B$21:$D$21,1,MATCH(A277,Inputs!$B$6:$D$6,0)))-INDEX(Inputs!$B$20:$D$20,1,MATCH(A277,Inputs!$B$6:$D$6,0)),0)*INDEX(Inputs!$B$23:$D$23,1,MATCH(A277,Inputs!$B$6:$D$6,0))+MAX(S277-INDEX(Inputs!$B$21:$D$21,1,MATCH(A277,Inputs!$B$6:$D$6,0)),0)*INDEX(Inputs!$B$24:$D$24,1,MATCH(A277,Inputs!$B$6:$D$6,0))</x:f>
        <x:v>10860.197</x:v>
      </x:c>
      <x:c r="U277" s="20" t="n">
        <x:f>IF(AND(A276=A277,D276=D277),T276,0)</x:f>
        <x:v>10127.8745</x:v>
      </x:c>
      <x:c r="V277" s="20" t="n">
        <x:f>T277-U277</x:f>
        <x:v>732.3225000000002</x:v>
      </x:c>
      <x:c r="W277" s="20" t="n">
        <x:f>R277+V277</x:f>
        <x:v>51237.3225</x:v>
      </x:c>
      <x:c r="X277" s="14" t="str">
        <x:f>IF(ABS(W277-SUM(M277:Q277)-V277)&lt;0.01,"OK","Check")</x:f>
        <x:v>OK</x:v>
      </x:c>
    </x:row>
    <x:row r="278">
      <x:c r="A278" s="14" t="n">
        <x:v>2026</x:v>
      </x:c>
      <x:c r="B278" s="14" t="str">
        <x:v>Q1</x:v>
      </x:c>
      <x:c r="C278" s="14" t="n">
        <x:v>1</x:v>
      </x:c>
      <x:c r="D278" s="14" t="n">
        <x:v>69</x:v>
      </x:c>
      <x:c r="E278" s="14" t="str">
        <x:f>INDEX(Roster!$B$6:$B$108,MATCH(D278,Roster!$A$6:$A$108,0))</x:f>
      </x:c>
      <x:c r="F278" s="14" t="str">
        <x:f>INDEX(Roster!$F$6:$F$108,MATCH(D278,Roster!$A$6:$A$108,0))</x:f>
        <x:v>No</x:v>
      </x:c>
      <x:c r="G278" s="14" t="n">
        <x:f>INDEX(Inputs!$B$7:$D$7,1,MATCH(A278,Inputs!$B$6:$D$6,0))</x:f>
        <x:v>13</x:v>
      </x:c>
      <x:c r="H278" s="14" t="n">
        <x:f>MIN(=INDEX(Inputs!$B$7:$D$7,1,MATCH(A278,Inputs!$B$6:$D$6,0)),MAX(0,INDEX(Inputs!$B$14:$D$14,1,MATCH(A278,Inputs!$B$6:$D$6,0))-(C278-1)*=INDEX(Inputs!$B$7:$D$7,1,MATCH(A278,Inputs!$B$6:$D$6,0))))</x:f>
        <x:v>13</x:v>
      </x:c>
      <x:c r="I278" s="20" t="n">
        <x:f>INDEX(Inputs!$B$8:$D$8,1,MATCH(A278,Inputs!$B$6:$D$6,0))</x:f>
        <x:v>2395</x:v>
      </x:c>
      <x:c r="J278" s="20" t="n">
        <x:f>INDEX(Roster!$C$6:$C$108,MATCH(D278,Roster!$A$6:$A$108,0))*(1+INDEX(Inputs!$B$9:$D$9,1,MATCH(A278,Inputs!$B$6:$D$6,0)))</x:f>
        <x:v>550</x:v>
      </x:c>
      <x:c r="K278" s="20" t="n">
        <x:f>IF(=INDEX(Roster!$F$6:$F$108,MATCH(D278,Roster!$A$6:$A$108,0))="Yes",0,=INDEX(Inputs!$B$8:$D$8,1,MATCH(A278,Inputs!$B$6:$D$6,0))*IF(=INDEX(Roster!$B$6:$B$108,MATCH(D278,Roster!$A$6:$A$108,0))="Principal",INDEX(Inputs!$B$10:$D$10,1,MATCH(A278,Inputs!$B$6:$D$6,0)),IF(=INDEX(Roster!$B$6:$B$108,MATCH(D278,Roster!$A$6:$A$108,0))="Associate Principal",INDEX(Inputs!$B$11:$D$11,1,MATCH(A278,Inputs!$B$6:$D$6,0)),IF(=INDEX(Roster!$B$6:$B$108,MATCH(D278,Roster!$A$6:$A$108,0))="Assistant Principal",INDEX(Inputs!$B$12:$D$12,1,MATCH(A278,Inputs!$B$6:$D$6,0)),0))))</x:f>
        <x:v>0</x:v>
      </x:c>
      <x:c r="L278" s="20" t="n">
        <x:f>IF(INDEX(Roster!$D$6:$D$108,MATCH(D278,Roster!$A$6:$A$108,0))&gt;=25,INDEX(Inputs!$B$19:$D$19,1,MATCH(A278,Inputs!$B$6:$D$6,0)),IF(INDEX(Roster!$D$6:$D$108,MATCH(D278,Roster!$A$6:$A$108,0))&gt;=20,INDEX(Inputs!$B$18:$D$18,1,MATCH(A278,Inputs!$B$6:$D$6,0)),IF(INDEX(Roster!$D$6:$D$108,MATCH(D278,Roster!$A$6:$A$108,0))&gt;=15,INDEX(Inputs!$B$17:$D$17,1,MATCH(A278,Inputs!$B$6:$D$6,0)),IF(INDEX(Roster!$D$6:$D$108,MATCH(D278,Roster!$A$6:$A$108,0))&gt;=10,INDEX(Inputs!$B$16:$D$16,1,MATCH(A278,Inputs!$B$6:$D$6,0)),IF(INDEX(Roster!$D$6:$D$108,MATCH(D278,Roster!$A$6:$A$108,0))&gt;=5,INDEX(Inputs!$B$15:$D$15,1,MATCH(A278,Inputs!$B$6:$D$6,0)),0)))))</x:f>
        <x:v>70</x:v>
      </x:c>
      <x:c r="M278" s="20" t="n">
        <x:f>G278*I278</x:f>
        <x:v>31135</x:v>
      </x:c>
      <x:c r="N278" s="20" t="n">
        <x:f>G278*J278</x:f>
        <x:v>7150</x:v>
      </x:c>
      <x:c r="O278" s="20" t="n">
        <x:f>G278*K278</x:f>
        <x:v>0</x:v>
      </x:c>
      <x:c r="P278" s="20" t="n">
        <x:f>G278*L278</x:f>
        <x:v>910</x:v>
      </x:c>
      <x:c r="Q278" s="20" t="n">
        <x:f>H278*INDEX(Inputs!$B$13:$D$13,1,MATCH(A278,Inputs!$B$6:$D$6,0))</x:f>
        <x:v>390</x:v>
      </x:c>
      <x:c r="R278" s="20" t="n">
        <x:f>SUM(M278:Q278)</x:f>
        <x:v>39585</x:v>
      </x:c>
      <x:c r="S278" s="20" t="n">
        <x:f>IF(AND(A277=A278,D277=D278),S277+R278,R278)</x:f>
        <x:v>39585</x:v>
      </x:c>
      <x:c r="T278" s="20" t="n">
        <x:f>MIN(S278,INDEX(Inputs!$B$20:$D$20,1,MATCH(A278,Inputs!$B$6:$D$6,0)))*INDEX(Inputs!$B$22:$D$22,1,MATCH(A278,Inputs!$B$6:$D$6,0))+MAX(MIN(S278,INDEX(Inputs!$B$21:$D$21,1,MATCH(A278,Inputs!$B$6:$D$6,0)))-INDEX(Inputs!$B$20:$D$20,1,MATCH(A278,Inputs!$B$6:$D$6,0)),0)*INDEX(Inputs!$B$23:$D$23,1,MATCH(A278,Inputs!$B$6:$D$6,0))+MAX(S278-INDEX(Inputs!$B$21:$D$21,1,MATCH(A278,Inputs!$B$6:$D$6,0)),0)*INDEX(Inputs!$B$24:$D$24,1,MATCH(A278,Inputs!$B$6:$D$6,0))</x:f>
        <x:v>3518.2525</x:v>
      </x:c>
      <x:c r="U278" s="20" t="n">
        <x:f>IF(AND(A277=A278,D277=D278),T277,0)</x:f>
        <x:v>0</x:v>
      </x:c>
      <x:c r="V278" s="20" t="n">
        <x:f>T278-U278</x:f>
        <x:v>3518.2525</x:v>
      </x:c>
      <x:c r="W278" s="20" t="n">
        <x:f>R278+V278</x:f>
        <x:v>43103.2525</x:v>
      </x:c>
      <x:c r="X278" s="14" t="str">
        <x:f>IF(ABS(W278-SUM(M278:Q278)-V278)&lt;0.01,"OK","Check")</x:f>
        <x:v>OK</x:v>
      </x:c>
    </x:row>
    <x:row r="279">
      <x:c r="A279" s="14" t="n">
        <x:v>2026</x:v>
      </x:c>
      <x:c r="B279" s="14" t="str">
        <x:v>Q2</x:v>
      </x:c>
      <x:c r="C279" s="14" t="n">
        <x:v>2</x:v>
      </x:c>
      <x:c r="D279" s="14" t="n">
        <x:v>69</x:v>
      </x:c>
      <x:c r="E279" s="14" t="str">
        <x:f>INDEX(Roster!$B$6:$B$108,MATCH(D279,Roster!$A$6:$A$108,0))</x:f>
      </x:c>
      <x:c r="F279" s="14" t="str">
        <x:f>INDEX(Roster!$F$6:$F$108,MATCH(D279,Roster!$A$6:$A$108,0))</x:f>
        <x:v>No</x:v>
      </x:c>
      <x:c r="G279" s="14" t="n">
        <x:f>INDEX(Inputs!$B$7:$D$7,1,MATCH(A279,Inputs!$B$6:$D$6,0))</x:f>
        <x:v>13</x:v>
      </x:c>
      <x:c r="H279" s="14" t="n">
        <x:f>MIN(=INDEX(Inputs!$B$7:$D$7,1,MATCH(A279,Inputs!$B$6:$D$6,0)),MAX(0,INDEX(Inputs!$B$14:$D$14,1,MATCH(A279,Inputs!$B$6:$D$6,0))-(C279-1)*=INDEX(Inputs!$B$7:$D$7,1,MATCH(A279,Inputs!$B$6:$D$6,0))))</x:f>
        <x:v>13</x:v>
      </x:c>
      <x:c r="I279" s="20" t="n">
        <x:f>INDEX(Inputs!$B$8:$D$8,1,MATCH(A279,Inputs!$B$6:$D$6,0))</x:f>
        <x:v>2395</x:v>
      </x:c>
      <x:c r="J279" s="20" t="n">
        <x:f>INDEX(Roster!$C$6:$C$108,MATCH(D279,Roster!$A$6:$A$108,0))*(1+INDEX(Inputs!$B$9:$D$9,1,MATCH(A279,Inputs!$B$6:$D$6,0)))</x:f>
        <x:v>550</x:v>
      </x:c>
      <x:c r="K279" s="20" t="n">
        <x:f>IF(=INDEX(Roster!$F$6:$F$108,MATCH(D279,Roster!$A$6:$A$108,0))="Yes",0,=INDEX(Inputs!$B$8:$D$8,1,MATCH(A279,Inputs!$B$6:$D$6,0))*IF(=INDEX(Roster!$B$6:$B$108,MATCH(D279,Roster!$A$6:$A$108,0))="Principal",INDEX(Inputs!$B$10:$D$10,1,MATCH(A279,Inputs!$B$6:$D$6,0)),IF(=INDEX(Roster!$B$6:$B$108,MATCH(D279,Roster!$A$6:$A$108,0))="Associate Principal",INDEX(Inputs!$B$11:$D$11,1,MATCH(A279,Inputs!$B$6:$D$6,0)),IF(=INDEX(Roster!$B$6:$B$108,MATCH(D279,Roster!$A$6:$A$108,0))="Assistant Principal",INDEX(Inputs!$B$12:$D$12,1,MATCH(A279,Inputs!$B$6:$D$6,0)),0))))</x:f>
        <x:v>0</x:v>
      </x:c>
      <x:c r="L279" s="20" t="n">
        <x:f>IF(INDEX(Roster!$D$6:$D$108,MATCH(D279,Roster!$A$6:$A$108,0))&gt;=25,INDEX(Inputs!$B$19:$D$19,1,MATCH(A279,Inputs!$B$6:$D$6,0)),IF(INDEX(Roster!$D$6:$D$108,MATCH(D279,Roster!$A$6:$A$108,0))&gt;=20,INDEX(Inputs!$B$18:$D$18,1,MATCH(A279,Inputs!$B$6:$D$6,0)),IF(INDEX(Roster!$D$6:$D$108,MATCH(D279,Roster!$A$6:$A$108,0))&gt;=15,INDEX(Inputs!$B$17:$D$17,1,MATCH(A279,Inputs!$B$6:$D$6,0)),IF(INDEX(Roster!$D$6:$D$108,MATCH(D279,Roster!$A$6:$A$108,0))&gt;=10,INDEX(Inputs!$B$16:$D$16,1,MATCH(A279,Inputs!$B$6:$D$6,0)),IF(INDEX(Roster!$D$6:$D$108,MATCH(D279,Roster!$A$6:$A$108,0))&gt;=5,INDEX(Inputs!$B$15:$D$15,1,MATCH(A279,Inputs!$B$6:$D$6,0)),0)))))</x:f>
        <x:v>70</x:v>
      </x:c>
      <x:c r="M279" s="20" t="n">
        <x:f>G279*I279</x:f>
        <x:v>31135</x:v>
      </x:c>
      <x:c r="N279" s="20" t="n">
        <x:f>G279*J279</x:f>
        <x:v>7150</x:v>
      </x:c>
      <x:c r="O279" s="20" t="n">
        <x:f>G279*K279</x:f>
        <x:v>0</x:v>
      </x:c>
      <x:c r="P279" s="20" t="n">
        <x:f>G279*L279</x:f>
        <x:v>910</x:v>
      </x:c>
      <x:c r="Q279" s="20" t="n">
        <x:f>H279*INDEX(Inputs!$B$13:$D$13,1,MATCH(A279,Inputs!$B$6:$D$6,0))</x:f>
        <x:v>390</x:v>
      </x:c>
      <x:c r="R279" s="20" t="n">
        <x:f>SUM(M279:Q279)</x:f>
        <x:v>39585</x:v>
      </x:c>
      <x:c r="S279" s="20" t="n">
        <x:f>IF(AND(A278=A279,D278=D279),S278+R279,R279)</x:f>
        <x:v>79170</x:v>
      </x:c>
      <x:c r="T279" s="20" t="n">
        <x:f>MIN(S279,INDEX(Inputs!$B$20:$D$20,1,MATCH(A279,Inputs!$B$6:$D$6,0)))*INDEX(Inputs!$B$22:$D$22,1,MATCH(A279,Inputs!$B$6:$D$6,0))+MAX(MIN(S279,INDEX(Inputs!$B$21:$D$21,1,MATCH(A279,Inputs!$B$6:$D$6,0)))-INDEX(Inputs!$B$20:$D$20,1,MATCH(A279,Inputs!$B$6:$D$6,0)),0)*INDEX(Inputs!$B$23:$D$23,1,MATCH(A279,Inputs!$B$6:$D$6,0))+MAX(S279-INDEX(Inputs!$B$21:$D$21,1,MATCH(A279,Inputs!$B$6:$D$6,0)),0)*INDEX(Inputs!$B$24:$D$24,1,MATCH(A279,Inputs!$B$6:$D$6,0))</x:f>
        <x:v>6546.505</x:v>
      </x:c>
      <x:c r="U279" s="20" t="n">
        <x:f>IF(AND(A278=A279,D278=D279),T278,0)</x:f>
        <x:v>3518.2525</x:v>
      </x:c>
      <x:c r="V279" s="20" t="n">
        <x:f>T279-U279</x:f>
        <x:v>3028.2525</x:v>
      </x:c>
      <x:c r="W279" s="20" t="n">
        <x:f>R279+V279</x:f>
        <x:v>42613.2525</x:v>
      </x:c>
      <x:c r="X279" s="14" t="str">
        <x:f>IF(ABS(W279-SUM(M279:Q279)-V279)&lt;0.01,"OK","Check")</x:f>
        <x:v>OK</x:v>
      </x:c>
    </x:row>
    <x:row r="280">
      <x:c r="A280" s="14" t="n">
        <x:v>2026</x:v>
      </x:c>
      <x:c r="B280" s="14" t="str">
        <x:v>Q3</x:v>
      </x:c>
      <x:c r="C280" s="14" t="n">
        <x:v>3</x:v>
      </x:c>
      <x:c r="D280" s="14" t="n">
        <x:v>69</x:v>
      </x:c>
      <x:c r="E280" s="14" t="str">
        <x:f>INDEX(Roster!$B$6:$B$108,MATCH(D280,Roster!$A$6:$A$108,0))</x:f>
      </x:c>
      <x:c r="F280" s="14" t="str">
        <x:f>INDEX(Roster!$F$6:$F$108,MATCH(D280,Roster!$A$6:$A$108,0))</x:f>
        <x:v>No</x:v>
      </x:c>
      <x:c r="G280" s="14" t="n">
        <x:f>INDEX(Inputs!$B$7:$D$7,1,MATCH(A280,Inputs!$B$6:$D$6,0))</x:f>
        <x:v>13</x:v>
      </x:c>
      <x:c r="H280" s="14" t="n">
        <x:f>MIN(=INDEX(Inputs!$B$7:$D$7,1,MATCH(A280,Inputs!$B$6:$D$6,0)),MAX(0,INDEX(Inputs!$B$14:$D$14,1,MATCH(A280,Inputs!$B$6:$D$6,0))-(C280-1)*=INDEX(Inputs!$B$7:$D$7,1,MATCH(A280,Inputs!$B$6:$D$6,0))))</x:f>
        <x:v>13</x:v>
      </x:c>
      <x:c r="I280" s="20" t="n">
        <x:f>INDEX(Inputs!$B$8:$D$8,1,MATCH(A280,Inputs!$B$6:$D$6,0))</x:f>
        <x:v>2395</x:v>
      </x:c>
      <x:c r="J280" s="20" t="n">
        <x:f>INDEX(Roster!$C$6:$C$108,MATCH(D280,Roster!$A$6:$A$108,0))*(1+INDEX(Inputs!$B$9:$D$9,1,MATCH(A280,Inputs!$B$6:$D$6,0)))</x:f>
        <x:v>550</x:v>
      </x:c>
      <x:c r="K280" s="20" t="n">
        <x:f>IF(=INDEX(Roster!$F$6:$F$108,MATCH(D280,Roster!$A$6:$A$108,0))="Yes",0,=INDEX(Inputs!$B$8:$D$8,1,MATCH(A280,Inputs!$B$6:$D$6,0))*IF(=INDEX(Roster!$B$6:$B$108,MATCH(D280,Roster!$A$6:$A$108,0))="Principal",INDEX(Inputs!$B$10:$D$10,1,MATCH(A280,Inputs!$B$6:$D$6,0)),IF(=INDEX(Roster!$B$6:$B$108,MATCH(D280,Roster!$A$6:$A$108,0))="Associate Principal",INDEX(Inputs!$B$11:$D$11,1,MATCH(A280,Inputs!$B$6:$D$6,0)),IF(=INDEX(Roster!$B$6:$B$108,MATCH(D280,Roster!$A$6:$A$108,0))="Assistant Principal",INDEX(Inputs!$B$12:$D$12,1,MATCH(A280,Inputs!$B$6:$D$6,0)),0))))</x:f>
        <x:v>0</x:v>
      </x:c>
      <x:c r="L280" s="20" t="n">
        <x:f>IF(INDEX(Roster!$D$6:$D$108,MATCH(D280,Roster!$A$6:$A$108,0))&gt;=25,INDEX(Inputs!$B$19:$D$19,1,MATCH(A280,Inputs!$B$6:$D$6,0)),IF(INDEX(Roster!$D$6:$D$108,MATCH(D280,Roster!$A$6:$A$108,0))&gt;=20,INDEX(Inputs!$B$18:$D$18,1,MATCH(A280,Inputs!$B$6:$D$6,0)),IF(INDEX(Roster!$D$6:$D$108,MATCH(D280,Roster!$A$6:$A$108,0))&gt;=15,INDEX(Inputs!$B$17:$D$17,1,MATCH(A280,Inputs!$B$6:$D$6,0)),IF(INDEX(Roster!$D$6:$D$108,MATCH(D280,Roster!$A$6:$A$108,0))&gt;=10,INDEX(Inputs!$B$16:$D$16,1,MATCH(A280,Inputs!$B$6:$D$6,0)),IF(INDEX(Roster!$D$6:$D$108,MATCH(D280,Roster!$A$6:$A$108,0))&gt;=5,INDEX(Inputs!$B$15:$D$15,1,MATCH(A280,Inputs!$B$6:$D$6,0)),0)))))</x:f>
        <x:v>70</x:v>
      </x:c>
      <x:c r="M280" s="20" t="n">
        <x:f>G280*I280</x:f>
        <x:v>31135</x:v>
      </x:c>
      <x:c r="N280" s="20" t="n">
        <x:f>G280*J280</x:f>
        <x:v>7150</x:v>
      </x:c>
      <x:c r="O280" s="20" t="n">
        <x:f>G280*K280</x:f>
        <x:v>0</x:v>
      </x:c>
      <x:c r="P280" s="20" t="n">
        <x:f>G280*L280</x:f>
        <x:v>910</x:v>
      </x:c>
      <x:c r="Q280" s="20" t="n">
        <x:f>H280*INDEX(Inputs!$B$13:$D$13,1,MATCH(A280,Inputs!$B$6:$D$6,0))</x:f>
        <x:v>390</x:v>
      </x:c>
      <x:c r="R280" s="20" t="n">
        <x:f>SUM(M280:Q280)</x:f>
        <x:v>39585</x:v>
      </x:c>
      <x:c r="S280" s="20" t="n">
        <x:f>IF(AND(A279=A280,D279=D280),S279+R280,R280)</x:f>
        <x:v>118755</x:v>
      </x:c>
      <x:c r="T280" s="20" t="n">
        <x:f>MIN(S280,INDEX(Inputs!$B$20:$D$20,1,MATCH(A280,Inputs!$B$6:$D$6,0)))*INDEX(Inputs!$B$22:$D$22,1,MATCH(A280,Inputs!$B$6:$D$6,0))+MAX(MIN(S280,INDEX(Inputs!$B$21:$D$21,1,MATCH(A280,Inputs!$B$6:$D$6,0)))-INDEX(Inputs!$B$20:$D$20,1,MATCH(A280,Inputs!$B$6:$D$6,0)),0)*INDEX(Inputs!$B$23:$D$23,1,MATCH(A280,Inputs!$B$6:$D$6,0))+MAX(S280-INDEX(Inputs!$B$21:$D$21,1,MATCH(A280,Inputs!$B$6:$D$6,0)),0)*INDEX(Inputs!$B$24:$D$24,1,MATCH(A280,Inputs!$B$6:$D$6,0))</x:f>
        <x:v>9574.7575</x:v>
      </x:c>
      <x:c r="U280" s="20" t="n">
        <x:f>IF(AND(A279=A280,D279=D280),T279,0)</x:f>
        <x:v>6546.505</x:v>
      </x:c>
      <x:c r="V280" s="20" t="n">
        <x:f>T280-U280</x:f>
        <x:v>3028.2524999999996</x:v>
      </x:c>
      <x:c r="W280" s="20" t="n">
        <x:f>R280+V280</x:f>
        <x:v>42613.2525</x:v>
      </x:c>
      <x:c r="X280" s="14" t="str">
        <x:f>IF(ABS(W280-SUM(M280:Q280)-V280)&lt;0.01,"OK","Check")</x:f>
        <x:v>OK</x:v>
      </x:c>
    </x:row>
    <x:row r="281">
      <x:c r="A281" s="14" t="n">
        <x:v>2026</x:v>
      </x:c>
      <x:c r="B281" s="14" t="str">
        <x:v>Q4</x:v>
      </x:c>
      <x:c r="C281" s="14" t="n">
        <x:v>4</x:v>
      </x:c>
      <x:c r="D281" s="14" t="n">
        <x:v>69</x:v>
      </x:c>
      <x:c r="E281" s="14" t="str">
        <x:f>INDEX(Roster!$B$6:$B$108,MATCH(D281,Roster!$A$6:$A$108,0))</x:f>
      </x:c>
      <x:c r="F281" s="14" t="str">
        <x:f>INDEX(Roster!$F$6:$F$108,MATCH(D281,Roster!$A$6:$A$108,0))</x:f>
        <x:v>No</x:v>
      </x:c>
      <x:c r="G281" s="14" t="n">
        <x:f>INDEX(Inputs!$B$7:$D$7,1,MATCH(A281,Inputs!$B$6:$D$6,0))</x:f>
        <x:v>13</x:v>
      </x:c>
      <x:c r="H281" s="14" t="n">
        <x:f>MIN(=INDEX(Inputs!$B$7:$D$7,1,MATCH(A281,Inputs!$B$6:$D$6,0)),MAX(0,INDEX(Inputs!$B$14:$D$14,1,MATCH(A281,Inputs!$B$6:$D$6,0))-(C281-1)*=INDEX(Inputs!$B$7:$D$7,1,MATCH(A281,Inputs!$B$6:$D$6,0))))</x:f>
        <x:v>0</x:v>
      </x:c>
      <x:c r="I281" s="20" t="n">
        <x:f>INDEX(Inputs!$B$8:$D$8,1,MATCH(A281,Inputs!$B$6:$D$6,0))</x:f>
        <x:v>2395</x:v>
      </x:c>
      <x:c r="J281" s="20" t="n">
        <x:f>INDEX(Roster!$C$6:$C$108,MATCH(D281,Roster!$A$6:$A$108,0))*(1+INDEX(Inputs!$B$9:$D$9,1,MATCH(A281,Inputs!$B$6:$D$6,0)))</x:f>
        <x:v>550</x:v>
      </x:c>
      <x:c r="K281" s="20" t="n">
        <x:f>IF(=INDEX(Roster!$F$6:$F$108,MATCH(D281,Roster!$A$6:$A$108,0))="Yes",0,=INDEX(Inputs!$B$8:$D$8,1,MATCH(A281,Inputs!$B$6:$D$6,0))*IF(=INDEX(Roster!$B$6:$B$108,MATCH(D281,Roster!$A$6:$A$108,0))="Principal",INDEX(Inputs!$B$10:$D$10,1,MATCH(A281,Inputs!$B$6:$D$6,0)),IF(=INDEX(Roster!$B$6:$B$108,MATCH(D281,Roster!$A$6:$A$108,0))="Associate Principal",INDEX(Inputs!$B$11:$D$11,1,MATCH(A281,Inputs!$B$6:$D$6,0)),IF(=INDEX(Roster!$B$6:$B$108,MATCH(D281,Roster!$A$6:$A$108,0))="Assistant Principal",INDEX(Inputs!$B$12:$D$12,1,MATCH(A281,Inputs!$B$6:$D$6,0)),0))))</x:f>
        <x:v>0</x:v>
      </x:c>
      <x:c r="L281" s="20" t="n">
        <x:f>IF(INDEX(Roster!$D$6:$D$108,MATCH(D281,Roster!$A$6:$A$108,0))&gt;=25,INDEX(Inputs!$B$19:$D$19,1,MATCH(A281,Inputs!$B$6:$D$6,0)),IF(INDEX(Roster!$D$6:$D$108,MATCH(D281,Roster!$A$6:$A$108,0))&gt;=20,INDEX(Inputs!$B$18:$D$18,1,MATCH(A281,Inputs!$B$6:$D$6,0)),IF(INDEX(Roster!$D$6:$D$108,MATCH(D281,Roster!$A$6:$A$108,0))&gt;=15,INDEX(Inputs!$B$17:$D$17,1,MATCH(A281,Inputs!$B$6:$D$6,0)),IF(INDEX(Roster!$D$6:$D$108,MATCH(D281,Roster!$A$6:$A$108,0))&gt;=10,INDEX(Inputs!$B$16:$D$16,1,MATCH(A281,Inputs!$B$6:$D$6,0)),IF(INDEX(Roster!$D$6:$D$108,MATCH(D281,Roster!$A$6:$A$108,0))&gt;=5,INDEX(Inputs!$B$15:$D$15,1,MATCH(A281,Inputs!$B$6:$D$6,0)),0)))))</x:f>
        <x:v>70</x:v>
      </x:c>
      <x:c r="M281" s="20" t="n">
        <x:f>G281*I281</x:f>
        <x:v>31135</x:v>
      </x:c>
      <x:c r="N281" s="20" t="n">
        <x:f>G281*J281</x:f>
        <x:v>7150</x:v>
      </x:c>
      <x:c r="O281" s="20" t="n">
        <x:f>G281*K281</x:f>
        <x:v>0</x:v>
      </x:c>
      <x:c r="P281" s="20" t="n">
        <x:f>G281*L281</x:f>
        <x:v>910</x:v>
      </x:c>
      <x:c r="Q281" s="20" t="n">
        <x:f>H281*INDEX(Inputs!$B$13:$D$13,1,MATCH(A281,Inputs!$B$6:$D$6,0))</x:f>
        <x:v>0</x:v>
      </x:c>
      <x:c r="R281" s="20" t="n">
        <x:f>SUM(M281:Q281)</x:f>
        <x:v>39195</x:v>
      </x:c>
      <x:c r="S281" s="20" t="n">
        <x:f>IF(AND(A280=A281,D280=D281),S280+R281,R281)</x:f>
        <x:v>157950</x:v>
      </x:c>
      <x:c r="T281" s="20" t="n">
        <x:f>MIN(S281,INDEX(Inputs!$B$20:$D$20,1,MATCH(A281,Inputs!$B$6:$D$6,0)))*INDEX(Inputs!$B$22:$D$22,1,MATCH(A281,Inputs!$B$6:$D$6,0))+MAX(MIN(S281,INDEX(Inputs!$B$21:$D$21,1,MATCH(A281,Inputs!$B$6:$D$6,0)))-INDEX(Inputs!$B$20:$D$20,1,MATCH(A281,Inputs!$B$6:$D$6,0)),0)*INDEX(Inputs!$B$23:$D$23,1,MATCH(A281,Inputs!$B$6:$D$6,0))+MAX(S281-INDEX(Inputs!$B$21:$D$21,1,MATCH(A281,Inputs!$B$6:$D$6,0)),0)*INDEX(Inputs!$B$24:$D$24,1,MATCH(A281,Inputs!$B$6:$D$6,0))</x:f>
        <x:v>10204.217</x:v>
      </x:c>
      <x:c r="U281" s="20" t="n">
        <x:f>IF(AND(A280=A281,D280=D281),T280,0)</x:f>
        <x:v>9574.7575</x:v>
      </x:c>
      <x:c r="V281" s="20" t="n">
        <x:f>T281-U281</x:f>
        <x:v>629.4595000000008</x:v>
      </x:c>
      <x:c r="W281" s="20" t="n">
        <x:f>R281+V281</x:f>
        <x:v>39824.4595</x:v>
      </x:c>
      <x:c r="X281" s="14" t="str">
        <x:f>IF(ABS(W281-SUM(M281:Q281)-V281)&lt;0.01,"OK","Check")</x:f>
        <x:v>OK</x:v>
      </x:c>
    </x:row>
    <x:row r="282">
      <x:c r="A282" s="14" t="n">
        <x:v>2026</x:v>
      </x:c>
      <x:c r="B282" s="14" t="str">
        <x:v>Q1</x:v>
      </x:c>
      <x:c r="C282" s="14" t="n">
        <x:v>1</x:v>
      </x:c>
      <x:c r="D282" s="14" t="n">
        <x:v>70</x:v>
      </x:c>
      <x:c r="E282" s="14" t="str">
        <x:f>INDEX(Roster!$B$6:$B$108,MATCH(D282,Roster!$A$6:$A$108,0))</x:f>
        <x:v>Principal</x:v>
      </x:c>
      <x:c r="F282" s="14" t="str">
        <x:f>INDEX(Roster!$F$6:$F$108,MATCH(D282,Roster!$A$6:$A$108,0))</x:f>
        <x:v>Yes</x:v>
      </x:c>
      <x:c r="G282" s="14" t="n">
        <x:f>INDEX(Inputs!$B$7:$D$7,1,MATCH(A282,Inputs!$B$6:$D$6,0))</x:f>
        <x:v>13</x:v>
      </x:c>
      <x:c r="H282" s="14" t="n">
        <x:f>MIN(=INDEX(Inputs!$B$7:$D$7,1,MATCH(A282,Inputs!$B$6:$D$6,0)),MAX(0,INDEX(Inputs!$B$14:$D$14,1,MATCH(A282,Inputs!$B$6:$D$6,0))-(C282-1)*=INDEX(Inputs!$B$7:$D$7,1,MATCH(A282,Inputs!$B$6:$D$6,0))))</x:f>
        <x:v>13</x:v>
      </x:c>
      <x:c r="I282" s="20" t="n">
        <x:f>INDEX(Inputs!$B$8:$D$8,1,MATCH(A282,Inputs!$B$6:$D$6,0))</x:f>
        <x:v>2395</x:v>
      </x:c>
      <x:c r="J282" s="20" t="n">
        <x:f>INDEX(Roster!$C$6:$C$108,MATCH(D282,Roster!$A$6:$A$108,0))*(1+INDEX(Inputs!$B$9:$D$9,1,MATCH(A282,Inputs!$B$6:$D$6,0)))</x:f>
        <x:v>1300</x:v>
      </x:c>
      <x:c r="K282" s="20" t="n">
        <x:f>IF(=INDEX(Roster!$F$6:$F$108,MATCH(D282,Roster!$A$6:$A$108,0))="Yes",0,=INDEX(Inputs!$B$8:$D$8,1,MATCH(A282,Inputs!$B$6:$D$6,0))*IF(=INDEX(Roster!$B$6:$B$108,MATCH(D282,Roster!$A$6:$A$108,0))="Principal",INDEX(Inputs!$B$10:$D$10,1,MATCH(A282,Inputs!$B$6:$D$6,0)),IF(=INDEX(Roster!$B$6:$B$108,MATCH(D282,Roster!$A$6:$A$108,0))="Associate Principal",INDEX(Inputs!$B$11:$D$11,1,MATCH(A282,Inputs!$B$6:$D$6,0)),IF(=INDEX(Roster!$B$6:$B$108,MATCH(D282,Roster!$A$6:$A$108,0))="Assistant Principal",INDEX(Inputs!$B$12:$D$12,1,MATCH(A282,Inputs!$B$6:$D$6,0)),0))))</x:f>
        <x:v>0</x:v>
      </x:c>
      <x:c r="L282" s="20" t="n">
        <x:f>IF(INDEX(Roster!$D$6:$D$108,MATCH(D282,Roster!$A$6:$A$108,0))&gt;=25,INDEX(Inputs!$B$19:$D$19,1,MATCH(A282,Inputs!$B$6:$D$6,0)),IF(INDEX(Roster!$D$6:$D$108,MATCH(D282,Roster!$A$6:$A$108,0))&gt;=20,INDEX(Inputs!$B$18:$D$18,1,MATCH(A282,Inputs!$B$6:$D$6,0)),IF(INDEX(Roster!$D$6:$D$108,MATCH(D282,Roster!$A$6:$A$108,0))&gt;=15,INDEX(Inputs!$B$17:$D$17,1,MATCH(A282,Inputs!$B$6:$D$6,0)),IF(INDEX(Roster!$D$6:$D$108,MATCH(D282,Roster!$A$6:$A$108,0))&gt;=10,INDEX(Inputs!$B$16:$D$16,1,MATCH(A282,Inputs!$B$6:$D$6,0)),IF(INDEX(Roster!$D$6:$D$108,MATCH(D282,Roster!$A$6:$A$108,0))&gt;=5,INDEX(Inputs!$B$15:$D$15,1,MATCH(A282,Inputs!$B$6:$D$6,0)),0)))))</x:f>
        <x:v>60</x:v>
      </x:c>
      <x:c r="M282" s="20" t="n">
        <x:f>G282*I282</x:f>
        <x:v>31135</x:v>
      </x:c>
      <x:c r="N282" s="20" t="n">
        <x:f>G282*J282</x:f>
        <x:v>16900</x:v>
      </x:c>
      <x:c r="O282" s="20" t="n">
        <x:f>G282*K282</x:f>
        <x:v>0</x:v>
      </x:c>
      <x:c r="P282" s="20" t="n">
        <x:f>G282*L282</x:f>
        <x:v>780</x:v>
      </x:c>
      <x:c r="Q282" s="20" t="n">
        <x:f>H282*INDEX(Inputs!$B$13:$D$13,1,MATCH(A282,Inputs!$B$6:$D$6,0))</x:f>
        <x:v>390</x:v>
      </x:c>
      <x:c r="R282" s="20" t="n">
        <x:f>SUM(M282:Q282)</x:f>
        <x:v>49205</x:v>
      </x:c>
      <x:c r="S282" s="20" t="n">
        <x:f>IF(AND(A281=A282,D281=D282),S281+R282,R282)</x:f>
        <x:v>49205</x:v>
      </x:c>
      <x:c r="T282" s="20" t="n">
        <x:f>MIN(S282,INDEX(Inputs!$B$20:$D$20,1,MATCH(A282,Inputs!$B$6:$D$6,0)))*INDEX(Inputs!$B$22:$D$22,1,MATCH(A282,Inputs!$B$6:$D$6,0))+MAX(MIN(S282,INDEX(Inputs!$B$21:$D$21,1,MATCH(A282,Inputs!$B$6:$D$6,0)))-INDEX(Inputs!$B$20:$D$20,1,MATCH(A282,Inputs!$B$6:$D$6,0)),0)*INDEX(Inputs!$B$23:$D$23,1,MATCH(A282,Inputs!$B$6:$D$6,0))+MAX(S282-INDEX(Inputs!$B$21:$D$21,1,MATCH(A282,Inputs!$B$6:$D$6,0)),0)*INDEX(Inputs!$B$24:$D$24,1,MATCH(A282,Inputs!$B$6:$D$6,0))</x:f>
        <x:v>4254.1825</x:v>
      </x:c>
      <x:c r="U282" s="20" t="n">
        <x:f>IF(AND(A281=A282,D281=D282),T281,0)</x:f>
        <x:v>0</x:v>
      </x:c>
      <x:c r="V282" s="20" t="n">
        <x:f>T282-U282</x:f>
        <x:v>4254.1825</x:v>
      </x:c>
      <x:c r="W282" s="20" t="n">
        <x:f>R282+V282</x:f>
        <x:v>53459.1825</x:v>
      </x:c>
      <x:c r="X282" s="14" t="str">
        <x:f>IF(ABS(W282-SUM(M282:Q282)-V282)&lt;0.01,"OK","Check")</x:f>
        <x:v>OK</x:v>
      </x:c>
    </x:row>
    <x:row r="283">
      <x:c r="A283" s="14" t="n">
        <x:v>2026</x:v>
      </x:c>
      <x:c r="B283" s="14" t="str">
        <x:v>Q2</x:v>
      </x:c>
      <x:c r="C283" s="14" t="n">
        <x:v>2</x:v>
      </x:c>
      <x:c r="D283" s="14" t="n">
        <x:v>70</x:v>
      </x:c>
      <x:c r="E283" s="14" t="str">
        <x:f>INDEX(Roster!$B$6:$B$108,MATCH(D283,Roster!$A$6:$A$108,0))</x:f>
        <x:v>Principal</x:v>
      </x:c>
      <x:c r="F283" s="14" t="str">
        <x:f>INDEX(Roster!$F$6:$F$108,MATCH(D283,Roster!$A$6:$A$108,0))</x:f>
        <x:v>Yes</x:v>
      </x:c>
      <x:c r="G283" s="14" t="n">
        <x:f>INDEX(Inputs!$B$7:$D$7,1,MATCH(A283,Inputs!$B$6:$D$6,0))</x:f>
        <x:v>13</x:v>
      </x:c>
      <x:c r="H283" s="14" t="n">
        <x:f>MIN(=INDEX(Inputs!$B$7:$D$7,1,MATCH(A283,Inputs!$B$6:$D$6,0)),MAX(0,INDEX(Inputs!$B$14:$D$14,1,MATCH(A283,Inputs!$B$6:$D$6,0))-(C283-1)*=INDEX(Inputs!$B$7:$D$7,1,MATCH(A283,Inputs!$B$6:$D$6,0))))</x:f>
        <x:v>13</x:v>
      </x:c>
      <x:c r="I283" s="20" t="n">
        <x:f>INDEX(Inputs!$B$8:$D$8,1,MATCH(A283,Inputs!$B$6:$D$6,0))</x:f>
        <x:v>2395</x:v>
      </x:c>
      <x:c r="J283" s="20" t="n">
        <x:f>INDEX(Roster!$C$6:$C$108,MATCH(D283,Roster!$A$6:$A$108,0))*(1+INDEX(Inputs!$B$9:$D$9,1,MATCH(A283,Inputs!$B$6:$D$6,0)))</x:f>
        <x:v>1300</x:v>
      </x:c>
      <x:c r="K283" s="20" t="n">
        <x:f>IF(=INDEX(Roster!$F$6:$F$108,MATCH(D283,Roster!$A$6:$A$108,0))="Yes",0,=INDEX(Inputs!$B$8:$D$8,1,MATCH(A283,Inputs!$B$6:$D$6,0))*IF(=INDEX(Roster!$B$6:$B$108,MATCH(D283,Roster!$A$6:$A$108,0))="Principal",INDEX(Inputs!$B$10:$D$10,1,MATCH(A283,Inputs!$B$6:$D$6,0)),IF(=INDEX(Roster!$B$6:$B$108,MATCH(D283,Roster!$A$6:$A$108,0))="Associate Principal",INDEX(Inputs!$B$11:$D$11,1,MATCH(A283,Inputs!$B$6:$D$6,0)),IF(=INDEX(Roster!$B$6:$B$108,MATCH(D283,Roster!$A$6:$A$108,0))="Assistant Principal",INDEX(Inputs!$B$12:$D$12,1,MATCH(A283,Inputs!$B$6:$D$6,0)),0))))</x:f>
        <x:v>0</x:v>
      </x:c>
      <x:c r="L283" s="20" t="n">
        <x:f>IF(INDEX(Roster!$D$6:$D$108,MATCH(D283,Roster!$A$6:$A$108,0))&gt;=25,INDEX(Inputs!$B$19:$D$19,1,MATCH(A283,Inputs!$B$6:$D$6,0)),IF(INDEX(Roster!$D$6:$D$108,MATCH(D283,Roster!$A$6:$A$108,0))&gt;=20,INDEX(Inputs!$B$18:$D$18,1,MATCH(A283,Inputs!$B$6:$D$6,0)),IF(INDEX(Roster!$D$6:$D$108,MATCH(D283,Roster!$A$6:$A$108,0))&gt;=15,INDEX(Inputs!$B$17:$D$17,1,MATCH(A283,Inputs!$B$6:$D$6,0)),IF(INDEX(Roster!$D$6:$D$108,MATCH(D283,Roster!$A$6:$A$108,0))&gt;=10,INDEX(Inputs!$B$16:$D$16,1,MATCH(A283,Inputs!$B$6:$D$6,0)),IF(INDEX(Roster!$D$6:$D$108,MATCH(D283,Roster!$A$6:$A$108,0))&gt;=5,INDEX(Inputs!$B$15:$D$15,1,MATCH(A283,Inputs!$B$6:$D$6,0)),0)))))</x:f>
        <x:v>60</x:v>
      </x:c>
      <x:c r="M283" s="20" t="n">
        <x:f>G283*I283</x:f>
        <x:v>31135</x:v>
      </x:c>
      <x:c r="N283" s="20" t="n">
        <x:f>G283*J283</x:f>
        <x:v>16900</x:v>
      </x:c>
      <x:c r="O283" s="20" t="n">
        <x:f>G283*K283</x:f>
        <x:v>0</x:v>
      </x:c>
      <x:c r="P283" s="20" t="n">
        <x:f>G283*L283</x:f>
        <x:v>780</x:v>
      </x:c>
      <x:c r="Q283" s="20" t="n">
        <x:f>H283*INDEX(Inputs!$B$13:$D$13,1,MATCH(A283,Inputs!$B$6:$D$6,0))</x:f>
        <x:v>390</x:v>
      </x:c>
      <x:c r="R283" s="20" t="n">
        <x:f>SUM(M283:Q283)</x:f>
        <x:v>49205</x:v>
      </x:c>
      <x:c r="S283" s="20" t="n">
        <x:f>IF(AND(A282=A283,D282=D283),S282+R283,R283)</x:f>
        <x:v>98410</x:v>
      </x:c>
      <x:c r="T283" s="20" t="n">
        <x:f>MIN(S283,INDEX(Inputs!$B$20:$D$20,1,MATCH(A283,Inputs!$B$6:$D$6,0)))*INDEX(Inputs!$B$22:$D$22,1,MATCH(A283,Inputs!$B$6:$D$6,0))+MAX(MIN(S283,INDEX(Inputs!$B$21:$D$21,1,MATCH(A283,Inputs!$B$6:$D$6,0)))-INDEX(Inputs!$B$20:$D$20,1,MATCH(A283,Inputs!$B$6:$D$6,0)),0)*INDEX(Inputs!$B$23:$D$23,1,MATCH(A283,Inputs!$B$6:$D$6,0))+MAX(S283-INDEX(Inputs!$B$21:$D$21,1,MATCH(A283,Inputs!$B$6:$D$6,0)),0)*INDEX(Inputs!$B$24:$D$24,1,MATCH(A283,Inputs!$B$6:$D$6,0))</x:f>
        <x:v>8018.365</x:v>
      </x:c>
      <x:c r="U283" s="20" t="n">
        <x:f>IF(AND(A282=A283,D282=D283),T282,0)</x:f>
        <x:v>4254.1825</x:v>
      </x:c>
      <x:c r="V283" s="20" t="n">
        <x:f>T283-U283</x:f>
        <x:v>3764.1825</x:v>
      </x:c>
      <x:c r="W283" s="20" t="n">
        <x:f>R283+V283</x:f>
        <x:v>52969.1825</x:v>
      </x:c>
      <x:c r="X283" s="14" t="str">
        <x:f>IF(ABS(W283-SUM(M283:Q283)-V283)&lt;0.01,"OK","Check")</x:f>
        <x:v>OK</x:v>
      </x:c>
    </x:row>
    <x:row r="284">
      <x:c r="A284" s="14" t="n">
        <x:v>2026</x:v>
      </x:c>
      <x:c r="B284" s="14" t="str">
        <x:v>Q3</x:v>
      </x:c>
      <x:c r="C284" s="14" t="n">
        <x:v>3</x:v>
      </x:c>
      <x:c r="D284" s="14" t="n">
        <x:v>70</x:v>
      </x:c>
      <x:c r="E284" s="14" t="str">
        <x:f>INDEX(Roster!$B$6:$B$108,MATCH(D284,Roster!$A$6:$A$108,0))</x:f>
        <x:v>Principal</x:v>
      </x:c>
      <x:c r="F284" s="14" t="str">
        <x:f>INDEX(Roster!$F$6:$F$108,MATCH(D284,Roster!$A$6:$A$108,0))</x:f>
        <x:v>Yes</x:v>
      </x:c>
      <x:c r="G284" s="14" t="n">
        <x:f>INDEX(Inputs!$B$7:$D$7,1,MATCH(A284,Inputs!$B$6:$D$6,0))</x:f>
        <x:v>13</x:v>
      </x:c>
      <x:c r="H284" s="14" t="n">
        <x:f>MIN(=INDEX(Inputs!$B$7:$D$7,1,MATCH(A284,Inputs!$B$6:$D$6,0)),MAX(0,INDEX(Inputs!$B$14:$D$14,1,MATCH(A284,Inputs!$B$6:$D$6,0))-(C284-1)*=INDEX(Inputs!$B$7:$D$7,1,MATCH(A284,Inputs!$B$6:$D$6,0))))</x:f>
        <x:v>13</x:v>
      </x:c>
      <x:c r="I284" s="20" t="n">
        <x:f>INDEX(Inputs!$B$8:$D$8,1,MATCH(A284,Inputs!$B$6:$D$6,0))</x:f>
        <x:v>2395</x:v>
      </x:c>
      <x:c r="J284" s="20" t="n">
        <x:f>INDEX(Roster!$C$6:$C$108,MATCH(D284,Roster!$A$6:$A$108,0))*(1+INDEX(Inputs!$B$9:$D$9,1,MATCH(A284,Inputs!$B$6:$D$6,0)))</x:f>
        <x:v>1300</x:v>
      </x:c>
      <x:c r="K284" s="20" t="n">
        <x:f>IF(=INDEX(Roster!$F$6:$F$108,MATCH(D284,Roster!$A$6:$A$108,0))="Yes",0,=INDEX(Inputs!$B$8:$D$8,1,MATCH(A284,Inputs!$B$6:$D$6,0))*IF(=INDEX(Roster!$B$6:$B$108,MATCH(D284,Roster!$A$6:$A$108,0))="Principal",INDEX(Inputs!$B$10:$D$10,1,MATCH(A284,Inputs!$B$6:$D$6,0)),IF(=INDEX(Roster!$B$6:$B$108,MATCH(D284,Roster!$A$6:$A$108,0))="Associate Principal",INDEX(Inputs!$B$11:$D$11,1,MATCH(A284,Inputs!$B$6:$D$6,0)),IF(=INDEX(Roster!$B$6:$B$108,MATCH(D284,Roster!$A$6:$A$108,0))="Assistant Principal",INDEX(Inputs!$B$12:$D$12,1,MATCH(A284,Inputs!$B$6:$D$6,0)),0))))</x:f>
        <x:v>0</x:v>
      </x:c>
      <x:c r="L284" s="20" t="n">
        <x:f>IF(INDEX(Roster!$D$6:$D$108,MATCH(D284,Roster!$A$6:$A$108,0))&gt;=25,INDEX(Inputs!$B$19:$D$19,1,MATCH(A284,Inputs!$B$6:$D$6,0)),IF(INDEX(Roster!$D$6:$D$108,MATCH(D284,Roster!$A$6:$A$108,0))&gt;=20,INDEX(Inputs!$B$18:$D$18,1,MATCH(A284,Inputs!$B$6:$D$6,0)),IF(INDEX(Roster!$D$6:$D$108,MATCH(D284,Roster!$A$6:$A$108,0))&gt;=15,INDEX(Inputs!$B$17:$D$17,1,MATCH(A284,Inputs!$B$6:$D$6,0)),IF(INDEX(Roster!$D$6:$D$108,MATCH(D284,Roster!$A$6:$A$108,0))&gt;=10,INDEX(Inputs!$B$16:$D$16,1,MATCH(A284,Inputs!$B$6:$D$6,0)),IF(INDEX(Roster!$D$6:$D$108,MATCH(D284,Roster!$A$6:$A$108,0))&gt;=5,INDEX(Inputs!$B$15:$D$15,1,MATCH(A284,Inputs!$B$6:$D$6,0)),0)))))</x:f>
        <x:v>60</x:v>
      </x:c>
      <x:c r="M284" s="20" t="n">
        <x:f>G284*I284</x:f>
        <x:v>31135</x:v>
      </x:c>
      <x:c r="N284" s="20" t="n">
        <x:f>G284*J284</x:f>
        <x:v>16900</x:v>
      </x:c>
      <x:c r="O284" s="20" t="n">
        <x:f>G284*K284</x:f>
        <x:v>0</x:v>
      </x:c>
      <x:c r="P284" s="20" t="n">
        <x:f>G284*L284</x:f>
        <x:v>780</x:v>
      </x:c>
      <x:c r="Q284" s="20" t="n">
        <x:f>H284*INDEX(Inputs!$B$13:$D$13,1,MATCH(A284,Inputs!$B$6:$D$6,0))</x:f>
        <x:v>390</x:v>
      </x:c>
      <x:c r="R284" s="20" t="n">
        <x:f>SUM(M284:Q284)</x:f>
        <x:v>49205</x:v>
      </x:c>
      <x:c r="S284" s="20" t="n">
        <x:f>IF(AND(A283=A284,D283=D284),S283+R284,R284)</x:f>
        <x:v>147615</x:v>
      </x:c>
      <x:c r="T284" s="20" t="n">
        <x:f>MIN(S284,INDEX(Inputs!$B$20:$D$20,1,MATCH(A284,Inputs!$B$6:$D$6,0)))*INDEX(Inputs!$B$22:$D$22,1,MATCH(A284,Inputs!$B$6:$D$6,0))+MAX(MIN(S284,INDEX(Inputs!$B$21:$D$21,1,MATCH(A284,Inputs!$B$6:$D$6,0)))-INDEX(Inputs!$B$20:$D$20,1,MATCH(A284,Inputs!$B$6:$D$6,0)),0)*INDEX(Inputs!$B$23:$D$23,1,MATCH(A284,Inputs!$B$6:$D$6,0))+MAX(S284-INDEX(Inputs!$B$21:$D$21,1,MATCH(A284,Inputs!$B$6:$D$6,0)),0)*INDEX(Inputs!$B$24:$D$24,1,MATCH(A284,Inputs!$B$6:$D$6,0))</x:f>
        <x:v>10054.3595</x:v>
      </x:c>
      <x:c r="U284" s="20" t="n">
        <x:f>IF(AND(A283=A284,D283=D284),T283,0)</x:f>
        <x:v>8018.365</x:v>
      </x:c>
      <x:c r="V284" s="20" t="n">
        <x:f>T284-U284</x:f>
        <x:v>2035.9945000000007</x:v>
      </x:c>
      <x:c r="W284" s="20" t="n">
        <x:f>R284+V284</x:f>
        <x:v>51240.9945</x:v>
      </x:c>
      <x:c r="X284" s="14" t="str">
        <x:f>IF(ABS(W284-SUM(M284:Q284)-V284)&lt;0.01,"OK","Check")</x:f>
        <x:v>OK</x:v>
      </x:c>
    </x:row>
    <x:row r="285">
      <x:c r="A285" s="14" t="n">
        <x:v>2026</x:v>
      </x:c>
      <x:c r="B285" s="14" t="str">
        <x:v>Q4</x:v>
      </x:c>
      <x:c r="C285" s="14" t="n">
        <x:v>4</x:v>
      </x:c>
      <x:c r="D285" s="14" t="n">
        <x:v>70</x:v>
      </x:c>
      <x:c r="E285" s="14" t="str">
        <x:f>INDEX(Roster!$B$6:$B$108,MATCH(D285,Roster!$A$6:$A$108,0))</x:f>
        <x:v>Principal</x:v>
      </x:c>
      <x:c r="F285" s="14" t="str">
        <x:f>INDEX(Roster!$F$6:$F$108,MATCH(D285,Roster!$A$6:$A$108,0))</x:f>
        <x:v>Yes</x:v>
      </x:c>
      <x:c r="G285" s="14" t="n">
        <x:f>INDEX(Inputs!$B$7:$D$7,1,MATCH(A285,Inputs!$B$6:$D$6,0))</x:f>
        <x:v>13</x:v>
      </x:c>
      <x:c r="H285" s="14" t="n">
        <x:f>MIN(=INDEX(Inputs!$B$7:$D$7,1,MATCH(A285,Inputs!$B$6:$D$6,0)),MAX(0,INDEX(Inputs!$B$14:$D$14,1,MATCH(A285,Inputs!$B$6:$D$6,0))-(C285-1)*=INDEX(Inputs!$B$7:$D$7,1,MATCH(A285,Inputs!$B$6:$D$6,0))))</x:f>
        <x:v>0</x:v>
      </x:c>
      <x:c r="I285" s="20" t="n">
        <x:f>INDEX(Inputs!$B$8:$D$8,1,MATCH(A285,Inputs!$B$6:$D$6,0))</x:f>
        <x:v>2395</x:v>
      </x:c>
      <x:c r="J285" s="20" t="n">
        <x:f>INDEX(Roster!$C$6:$C$108,MATCH(D285,Roster!$A$6:$A$108,0))*(1+INDEX(Inputs!$B$9:$D$9,1,MATCH(A285,Inputs!$B$6:$D$6,0)))</x:f>
        <x:v>1300</x:v>
      </x:c>
      <x:c r="K285" s="20" t="n">
        <x:f>IF(=INDEX(Roster!$F$6:$F$108,MATCH(D285,Roster!$A$6:$A$108,0))="Yes",0,=INDEX(Inputs!$B$8:$D$8,1,MATCH(A285,Inputs!$B$6:$D$6,0))*IF(=INDEX(Roster!$B$6:$B$108,MATCH(D285,Roster!$A$6:$A$108,0))="Principal",INDEX(Inputs!$B$10:$D$10,1,MATCH(A285,Inputs!$B$6:$D$6,0)),IF(=INDEX(Roster!$B$6:$B$108,MATCH(D285,Roster!$A$6:$A$108,0))="Associate Principal",INDEX(Inputs!$B$11:$D$11,1,MATCH(A285,Inputs!$B$6:$D$6,0)),IF(=INDEX(Roster!$B$6:$B$108,MATCH(D285,Roster!$A$6:$A$108,0))="Assistant Principal",INDEX(Inputs!$B$12:$D$12,1,MATCH(A285,Inputs!$B$6:$D$6,0)),0))))</x:f>
        <x:v>0</x:v>
      </x:c>
      <x:c r="L285" s="20" t="n">
        <x:f>IF(INDEX(Roster!$D$6:$D$108,MATCH(D285,Roster!$A$6:$A$108,0))&gt;=25,INDEX(Inputs!$B$19:$D$19,1,MATCH(A285,Inputs!$B$6:$D$6,0)),IF(INDEX(Roster!$D$6:$D$108,MATCH(D285,Roster!$A$6:$A$108,0))&gt;=20,INDEX(Inputs!$B$18:$D$18,1,MATCH(A285,Inputs!$B$6:$D$6,0)),IF(INDEX(Roster!$D$6:$D$108,MATCH(D285,Roster!$A$6:$A$108,0))&gt;=15,INDEX(Inputs!$B$17:$D$17,1,MATCH(A285,Inputs!$B$6:$D$6,0)),IF(INDEX(Roster!$D$6:$D$108,MATCH(D285,Roster!$A$6:$A$108,0))&gt;=10,INDEX(Inputs!$B$16:$D$16,1,MATCH(A285,Inputs!$B$6:$D$6,0)),IF(INDEX(Roster!$D$6:$D$108,MATCH(D285,Roster!$A$6:$A$108,0))&gt;=5,INDEX(Inputs!$B$15:$D$15,1,MATCH(A285,Inputs!$B$6:$D$6,0)),0)))))</x:f>
        <x:v>60</x:v>
      </x:c>
      <x:c r="M285" s="20" t="n">
        <x:f>G285*I285</x:f>
        <x:v>31135</x:v>
      </x:c>
      <x:c r="N285" s="20" t="n">
        <x:f>G285*J285</x:f>
        <x:v>16900</x:v>
      </x:c>
      <x:c r="O285" s="20" t="n">
        <x:f>G285*K285</x:f>
        <x:v>0</x:v>
      </x:c>
      <x:c r="P285" s="20" t="n">
        <x:f>G285*L285</x:f>
        <x:v>780</x:v>
      </x:c>
      <x:c r="Q285" s="20" t="n">
        <x:f>H285*INDEX(Inputs!$B$13:$D$13,1,MATCH(A285,Inputs!$B$6:$D$6,0))</x:f>
        <x:v>0</x:v>
      </x:c>
      <x:c r="R285" s="20" t="n">
        <x:f>SUM(M285:Q285)</x:f>
        <x:v>48815</x:v>
      </x:c>
      <x:c r="S285" s="20" t="n">
        <x:f>IF(AND(A284=A285,D284=D285),S284+R285,R285)</x:f>
        <x:v>196430</x:v>
      </x:c>
      <x:c r="T285" s="20" t="n">
        <x:f>MIN(S285,INDEX(Inputs!$B$20:$D$20,1,MATCH(A285,Inputs!$B$6:$D$6,0)))*INDEX(Inputs!$B$22:$D$22,1,MATCH(A285,Inputs!$B$6:$D$6,0))+MAX(MIN(S285,INDEX(Inputs!$B$21:$D$21,1,MATCH(A285,Inputs!$B$6:$D$6,0)))-INDEX(Inputs!$B$20:$D$20,1,MATCH(A285,Inputs!$B$6:$D$6,0)),0)*INDEX(Inputs!$B$23:$D$23,1,MATCH(A285,Inputs!$B$6:$D$6,0))+MAX(S285-INDEX(Inputs!$B$21:$D$21,1,MATCH(A285,Inputs!$B$6:$D$6,0)),0)*INDEX(Inputs!$B$24:$D$24,1,MATCH(A285,Inputs!$B$6:$D$6,0))</x:f>
        <x:v>10762.177</x:v>
      </x:c>
      <x:c r="U285" s="20" t="n">
        <x:f>IF(AND(A284=A285,D284=D285),T284,0)</x:f>
        <x:v>10054.3595</x:v>
      </x:c>
      <x:c r="V285" s="20" t="n">
        <x:f>T285-U285</x:f>
        <x:v>707.8174999999992</x:v>
      </x:c>
      <x:c r="W285" s="20" t="n">
        <x:f>R285+V285</x:f>
        <x:v>49522.8175</x:v>
      </x:c>
      <x:c r="X285" s="14" t="str">
        <x:f>IF(ABS(W285-SUM(M285:Q285)-V285)&lt;0.01,"OK","Check")</x:f>
        <x:v>OK</x:v>
      </x:c>
    </x:row>
    <x:row r="286">
      <x:c r="A286" s="14" t="n">
        <x:v>2026</x:v>
      </x:c>
      <x:c r="B286" s="14" t="str">
        <x:v>Q1</x:v>
      </x:c>
      <x:c r="C286" s="14" t="n">
        <x:v>1</x:v>
      </x:c>
      <x:c r="D286" s="14" t="n">
        <x:v>71</x:v>
      </x:c>
      <x:c r="E286" s="14" t="str">
        <x:f>INDEX(Roster!$B$6:$B$108,MATCH(D286,Roster!$A$6:$A$108,0))</x:f>
      </x:c>
      <x:c r="F286" s="14" t="str">
        <x:f>INDEX(Roster!$F$6:$F$108,MATCH(D286,Roster!$A$6:$A$108,0))</x:f>
        <x:v>No</x:v>
      </x:c>
      <x:c r="G286" s="14" t="n">
        <x:f>INDEX(Inputs!$B$7:$D$7,1,MATCH(A286,Inputs!$B$6:$D$6,0))</x:f>
        <x:v>13</x:v>
      </x:c>
      <x:c r="H286" s="14" t="n">
        <x:f>MIN(=INDEX(Inputs!$B$7:$D$7,1,MATCH(A286,Inputs!$B$6:$D$6,0)),MAX(0,INDEX(Inputs!$B$14:$D$14,1,MATCH(A286,Inputs!$B$6:$D$6,0))-(C286-1)*=INDEX(Inputs!$B$7:$D$7,1,MATCH(A286,Inputs!$B$6:$D$6,0))))</x:f>
        <x:v>13</x:v>
      </x:c>
      <x:c r="I286" s="20" t="n">
        <x:f>INDEX(Inputs!$B$8:$D$8,1,MATCH(A286,Inputs!$B$6:$D$6,0))</x:f>
        <x:v>2395</x:v>
      </x:c>
      <x:c r="J286" s="20" t="n">
        <x:f>INDEX(Roster!$C$6:$C$108,MATCH(D286,Roster!$A$6:$A$108,0))*(1+INDEX(Inputs!$B$9:$D$9,1,MATCH(A286,Inputs!$B$6:$D$6,0)))</x:f>
        <x:v>50</x:v>
      </x:c>
      <x:c r="K286" s="20" t="n">
        <x:f>IF(=INDEX(Roster!$F$6:$F$108,MATCH(D286,Roster!$A$6:$A$108,0))="Yes",0,=INDEX(Inputs!$B$8:$D$8,1,MATCH(A286,Inputs!$B$6:$D$6,0))*IF(=INDEX(Roster!$B$6:$B$108,MATCH(D286,Roster!$A$6:$A$108,0))="Principal",INDEX(Inputs!$B$10:$D$10,1,MATCH(A286,Inputs!$B$6:$D$6,0)),IF(=INDEX(Roster!$B$6:$B$108,MATCH(D286,Roster!$A$6:$A$108,0))="Associate Principal",INDEX(Inputs!$B$11:$D$11,1,MATCH(A286,Inputs!$B$6:$D$6,0)),IF(=INDEX(Roster!$B$6:$B$108,MATCH(D286,Roster!$A$6:$A$108,0))="Assistant Principal",INDEX(Inputs!$B$12:$D$12,1,MATCH(A286,Inputs!$B$6:$D$6,0)),0))))</x:f>
        <x:v>0</x:v>
      </x:c>
      <x:c r="L286" s="20" t="n">
        <x:f>IF(INDEX(Roster!$D$6:$D$108,MATCH(D286,Roster!$A$6:$A$108,0))&gt;=25,INDEX(Inputs!$B$19:$D$19,1,MATCH(A286,Inputs!$B$6:$D$6,0)),IF(INDEX(Roster!$D$6:$D$108,MATCH(D286,Roster!$A$6:$A$108,0))&gt;=20,INDEX(Inputs!$B$18:$D$18,1,MATCH(A286,Inputs!$B$6:$D$6,0)),IF(INDEX(Roster!$D$6:$D$108,MATCH(D286,Roster!$A$6:$A$108,0))&gt;=15,INDEX(Inputs!$B$17:$D$17,1,MATCH(A286,Inputs!$B$6:$D$6,0)),IF(INDEX(Roster!$D$6:$D$108,MATCH(D286,Roster!$A$6:$A$108,0))&gt;=10,INDEX(Inputs!$B$16:$D$16,1,MATCH(A286,Inputs!$B$6:$D$6,0)),IF(INDEX(Roster!$D$6:$D$108,MATCH(D286,Roster!$A$6:$A$108,0))&gt;=5,INDEX(Inputs!$B$15:$D$15,1,MATCH(A286,Inputs!$B$6:$D$6,0)),0)))))</x:f>
        <x:v>90</x:v>
      </x:c>
      <x:c r="M286" s="20" t="n">
        <x:f>G286*I286</x:f>
        <x:v>31135</x:v>
      </x:c>
      <x:c r="N286" s="20" t="n">
        <x:f>G286*J286</x:f>
        <x:v>650</x:v>
      </x:c>
      <x:c r="O286" s="20" t="n">
        <x:f>G286*K286</x:f>
        <x:v>0</x:v>
      </x:c>
      <x:c r="P286" s="20" t="n">
        <x:f>G286*L286</x:f>
        <x:v>1170</x:v>
      </x:c>
      <x:c r="Q286" s="20" t="n">
        <x:f>H286*INDEX(Inputs!$B$13:$D$13,1,MATCH(A286,Inputs!$B$6:$D$6,0))</x:f>
        <x:v>390</x:v>
      </x:c>
      <x:c r="R286" s="20" t="n">
        <x:f>SUM(M286:Q286)</x:f>
        <x:v>33345</x:v>
      </x:c>
      <x:c r="S286" s="20" t="n">
        <x:f>IF(AND(A285=A286,D285=D286),S285+R286,R286)</x:f>
        <x:v>33345</x:v>
      </x:c>
      <x:c r="T286" s="20" t="n">
        <x:f>MIN(S286,INDEX(Inputs!$B$20:$D$20,1,MATCH(A286,Inputs!$B$6:$D$6,0)))*INDEX(Inputs!$B$22:$D$22,1,MATCH(A286,Inputs!$B$6:$D$6,0))+MAX(MIN(S286,INDEX(Inputs!$B$21:$D$21,1,MATCH(A286,Inputs!$B$6:$D$6,0)))-INDEX(Inputs!$B$20:$D$20,1,MATCH(A286,Inputs!$B$6:$D$6,0)),0)*INDEX(Inputs!$B$23:$D$23,1,MATCH(A286,Inputs!$B$6:$D$6,0))+MAX(S286-INDEX(Inputs!$B$21:$D$21,1,MATCH(A286,Inputs!$B$6:$D$6,0)),0)*INDEX(Inputs!$B$24:$D$24,1,MATCH(A286,Inputs!$B$6:$D$6,0))</x:f>
        <x:v>3040.8925</x:v>
      </x:c>
      <x:c r="U286" s="20" t="n">
        <x:f>IF(AND(A285=A286,D285=D286),T285,0)</x:f>
        <x:v>0</x:v>
      </x:c>
      <x:c r="V286" s="20" t="n">
        <x:f>T286-U286</x:f>
        <x:v>3040.8925</x:v>
      </x:c>
      <x:c r="W286" s="20" t="n">
        <x:f>R286+V286</x:f>
        <x:v>36385.8925</x:v>
      </x:c>
      <x:c r="X286" s="14" t="str">
        <x:f>IF(ABS(W286-SUM(M286:Q286)-V286)&lt;0.01,"OK","Check")</x:f>
        <x:v>OK</x:v>
      </x:c>
    </x:row>
    <x:row r="287">
      <x:c r="A287" s="14" t="n">
        <x:v>2026</x:v>
      </x:c>
      <x:c r="B287" s="14" t="str">
        <x:v>Q2</x:v>
      </x:c>
      <x:c r="C287" s="14" t="n">
        <x:v>2</x:v>
      </x:c>
      <x:c r="D287" s="14" t="n">
        <x:v>71</x:v>
      </x:c>
      <x:c r="E287" s="14" t="str">
        <x:f>INDEX(Roster!$B$6:$B$108,MATCH(D287,Roster!$A$6:$A$108,0))</x:f>
      </x:c>
      <x:c r="F287" s="14" t="str">
        <x:f>INDEX(Roster!$F$6:$F$108,MATCH(D287,Roster!$A$6:$A$108,0))</x:f>
        <x:v>No</x:v>
      </x:c>
      <x:c r="G287" s="14" t="n">
        <x:f>INDEX(Inputs!$B$7:$D$7,1,MATCH(A287,Inputs!$B$6:$D$6,0))</x:f>
        <x:v>13</x:v>
      </x:c>
      <x:c r="H287" s="14" t="n">
        <x:f>MIN(=INDEX(Inputs!$B$7:$D$7,1,MATCH(A287,Inputs!$B$6:$D$6,0)),MAX(0,INDEX(Inputs!$B$14:$D$14,1,MATCH(A287,Inputs!$B$6:$D$6,0))-(C287-1)*=INDEX(Inputs!$B$7:$D$7,1,MATCH(A287,Inputs!$B$6:$D$6,0))))</x:f>
        <x:v>13</x:v>
      </x:c>
      <x:c r="I287" s="20" t="n">
        <x:f>INDEX(Inputs!$B$8:$D$8,1,MATCH(A287,Inputs!$B$6:$D$6,0))</x:f>
        <x:v>2395</x:v>
      </x:c>
      <x:c r="J287" s="20" t="n">
        <x:f>INDEX(Roster!$C$6:$C$108,MATCH(D287,Roster!$A$6:$A$108,0))*(1+INDEX(Inputs!$B$9:$D$9,1,MATCH(A287,Inputs!$B$6:$D$6,0)))</x:f>
        <x:v>50</x:v>
      </x:c>
      <x:c r="K287" s="20" t="n">
        <x:f>IF(=INDEX(Roster!$F$6:$F$108,MATCH(D287,Roster!$A$6:$A$108,0))="Yes",0,=INDEX(Inputs!$B$8:$D$8,1,MATCH(A287,Inputs!$B$6:$D$6,0))*IF(=INDEX(Roster!$B$6:$B$108,MATCH(D287,Roster!$A$6:$A$108,0))="Principal",INDEX(Inputs!$B$10:$D$10,1,MATCH(A287,Inputs!$B$6:$D$6,0)),IF(=INDEX(Roster!$B$6:$B$108,MATCH(D287,Roster!$A$6:$A$108,0))="Associate Principal",INDEX(Inputs!$B$11:$D$11,1,MATCH(A287,Inputs!$B$6:$D$6,0)),IF(=INDEX(Roster!$B$6:$B$108,MATCH(D287,Roster!$A$6:$A$108,0))="Assistant Principal",INDEX(Inputs!$B$12:$D$12,1,MATCH(A287,Inputs!$B$6:$D$6,0)),0))))</x:f>
        <x:v>0</x:v>
      </x:c>
      <x:c r="L287" s="20" t="n">
        <x:f>IF(INDEX(Roster!$D$6:$D$108,MATCH(D287,Roster!$A$6:$A$108,0))&gt;=25,INDEX(Inputs!$B$19:$D$19,1,MATCH(A287,Inputs!$B$6:$D$6,0)),IF(INDEX(Roster!$D$6:$D$108,MATCH(D287,Roster!$A$6:$A$108,0))&gt;=20,INDEX(Inputs!$B$18:$D$18,1,MATCH(A287,Inputs!$B$6:$D$6,0)),IF(INDEX(Roster!$D$6:$D$108,MATCH(D287,Roster!$A$6:$A$108,0))&gt;=15,INDEX(Inputs!$B$17:$D$17,1,MATCH(A287,Inputs!$B$6:$D$6,0)),IF(INDEX(Roster!$D$6:$D$108,MATCH(D287,Roster!$A$6:$A$108,0))&gt;=10,INDEX(Inputs!$B$16:$D$16,1,MATCH(A287,Inputs!$B$6:$D$6,0)),IF(INDEX(Roster!$D$6:$D$108,MATCH(D287,Roster!$A$6:$A$108,0))&gt;=5,INDEX(Inputs!$B$15:$D$15,1,MATCH(A287,Inputs!$B$6:$D$6,0)),0)))))</x:f>
        <x:v>90</x:v>
      </x:c>
      <x:c r="M287" s="20" t="n">
        <x:f>G287*I287</x:f>
        <x:v>31135</x:v>
      </x:c>
      <x:c r="N287" s="20" t="n">
        <x:f>G287*J287</x:f>
        <x:v>650</x:v>
      </x:c>
      <x:c r="O287" s="20" t="n">
        <x:f>G287*K287</x:f>
        <x:v>0</x:v>
      </x:c>
      <x:c r="P287" s="20" t="n">
        <x:f>G287*L287</x:f>
        <x:v>1170</x:v>
      </x:c>
      <x:c r="Q287" s="20" t="n">
        <x:f>H287*INDEX(Inputs!$B$13:$D$13,1,MATCH(A287,Inputs!$B$6:$D$6,0))</x:f>
        <x:v>390</x:v>
      </x:c>
      <x:c r="R287" s="20" t="n">
        <x:f>SUM(M287:Q287)</x:f>
        <x:v>33345</x:v>
      </x:c>
      <x:c r="S287" s="20" t="n">
        <x:f>IF(AND(A286=A287,D286=D287),S286+R287,R287)</x:f>
        <x:v>66690</x:v>
      </x:c>
      <x:c r="T287" s="20" t="n">
        <x:f>MIN(S287,INDEX(Inputs!$B$20:$D$20,1,MATCH(A287,Inputs!$B$6:$D$6,0)))*INDEX(Inputs!$B$22:$D$22,1,MATCH(A287,Inputs!$B$6:$D$6,0))+MAX(MIN(S287,INDEX(Inputs!$B$21:$D$21,1,MATCH(A287,Inputs!$B$6:$D$6,0)))-INDEX(Inputs!$B$20:$D$20,1,MATCH(A287,Inputs!$B$6:$D$6,0)),0)*INDEX(Inputs!$B$23:$D$23,1,MATCH(A287,Inputs!$B$6:$D$6,0))+MAX(S287-INDEX(Inputs!$B$21:$D$21,1,MATCH(A287,Inputs!$B$6:$D$6,0)),0)*INDEX(Inputs!$B$24:$D$24,1,MATCH(A287,Inputs!$B$6:$D$6,0))</x:f>
        <x:v>5591.785</x:v>
      </x:c>
      <x:c r="U287" s="20" t="n">
        <x:f>IF(AND(A286=A287,D286=D287),T286,0)</x:f>
        <x:v>3040.8925</x:v>
      </x:c>
      <x:c r="V287" s="20" t="n">
        <x:f>T287-U287</x:f>
        <x:v>2550.8925</x:v>
      </x:c>
      <x:c r="W287" s="20" t="n">
        <x:f>R287+V287</x:f>
        <x:v>35895.8925</x:v>
      </x:c>
      <x:c r="X287" s="14" t="str">
        <x:f>IF(ABS(W287-SUM(M287:Q287)-V287)&lt;0.01,"OK","Check")</x:f>
        <x:v>OK</x:v>
      </x:c>
    </x:row>
    <x:row r="288">
      <x:c r="A288" s="14" t="n">
        <x:v>2026</x:v>
      </x:c>
      <x:c r="B288" s="14" t="str">
        <x:v>Q3</x:v>
      </x:c>
      <x:c r="C288" s="14" t="n">
        <x:v>3</x:v>
      </x:c>
      <x:c r="D288" s="14" t="n">
        <x:v>71</x:v>
      </x:c>
      <x:c r="E288" s="14" t="str">
        <x:f>INDEX(Roster!$B$6:$B$108,MATCH(D288,Roster!$A$6:$A$108,0))</x:f>
      </x:c>
      <x:c r="F288" s="14" t="str">
        <x:f>INDEX(Roster!$F$6:$F$108,MATCH(D288,Roster!$A$6:$A$108,0))</x:f>
        <x:v>No</x:v>
      </x:c>
      <x:c r="G288" s="14" t="n">
        <x:f>INDEX(Inputs!$B$7:$D$7,1,MATCH(A288,Inputs!$B$6:$D$6,0))</x:f>
        <x:v>13</x:v>
      </x:c>
      <x:c r="H288" s="14" t="n">
        <x:f>MIN(=INDEX(Inputs!$B$7:$D$7,1,MATCH(A288,Inputs!$B$6:$D$6,0)),MAX(0,INDEX(Inputs!$B$14:$D$14,1,MATCH(A288,Inputs!$B$6:$D$6,0))-(C288-1)*=INDEX(Inputs!$B$7:$D$7,1,MATCH(A288,Inputs!$B$6:$D$6,0))))</x:f>
        <x:v>13</x:v>
      </x:c>
      <x:c r="I288" s="20" t="n">
        <x:f>INDEX(Inputs!$B$8:$D$8,1,MATCH(A288,Inputs!$B$6:$D$6,0))</x:f>
        <x:v>2395</x:v>
      </x:c>
      <x:c r="J288" s="20" t="n">
        <x:f>INDEX(Roster!$C$6:$C$108,MATCH(D288,Roster!$A$6:$A$108,0))*(1+INDEX(Inputs!$B$9:$D$9,1,MATCH(A288,Inputs!$B$6:$D$6,0)))</x:f>
        <x:v>50</x:v>
      </x:c>
      <x:c r="K288" s="20" t="n">
        <x:f>IF(=INDEX(Roster!$F$6:$F$108,MATCH(D288,Roster!$A$6:$A$108,0))="Yes",0,=INDEX(Inputs!$B$8:$D$8,1,MATCH(A288,Inputs!$B$6:$D$6,0))*IF(=INDEX(Roster!$B$6:$B$108,MATCH(D288,Roster!$A$6:$A$108,0))="Principal",INDEX(Inputs!$B$10:$D$10,1,MATCH(A288,Inputs!$B$6:$D$6,0)),IF(=INDEX(Roster!$B$6:$B$108,MATCH(D288,Roster!$A$6:$A$108,0))="Associate Principal",INDEX(Inputs!$B$11:$D$11,1,MATCH(A288,Inputs!$B$6:$D$6,0)),IF(=INDEX(Roster!$B$6:$B$108,MATCH(D288,Roster!$A$6:$A$108,0))="Assistant Principal",INDEX(Inputs!$B$12:$D$12,1,MATCH(A288,Inputs!$B$6:$D$6,0)),0))))</x:f>
        <x:v>0</x:v>
      </x:c>
      <x:c r="L288" s="20" t="n">
        <x:f>IF(INDEX(Roster!$D$6:$D$108,MATCH(D288,Roster!$A$6:$A$108,0))&gt;=25,INDEX(Inputs!$B$19:$D$19,1,MATCH(A288,Inputs!$B$6:$D$6,0)),IF(INDEX(Roster!$D$6:$D$108,MATCH(D288,Roster!$A$6:$A$108,0))&gt;=20,INDEX(Inputs!$B$18:$D$18,1,MATCH(A288,Inputs!$B$6:$D$6,0)),IF(INDEX(Roster!$D$6:$D$108,MATCH(D288,Roster!$A$6:$A$108,0))&gt;=15,INDEX(Inputs!$B$17:$D$17,1,MATCH(A288,Inputs!$B$6:$D$6,0)),IF(INDEX(Roster!$D$6:$D$108,MATCH(D288,Roster!$A$6:$A$108,0))&gt;=10,INDEX(Inputs!$B$16:$D$16,1,MATCH(A288,Inputs!$B$6:$D$6,0)),IF(INDEX(Roster!$D$6:$D$108,MATCH(D288,Roster!$A$6:$A$108,0))&gt;=5,INDEX(Inputs!$B$15:$D$15,1,MATCH(A288,Inputs!$B$6:$D$6,0)),0)))))</x:f>
        <x:v>90</x:v>
      </x:c>
      <x:c r="M288" s="20" t="n">
        <x:f>G288*I288</x:f>
        <x:v>31135</x:v>
      </x:c>
      <x:c r="N288" s="20" t="n">
        <x:f>G288*J288</x:f>
        <x:v>650</x:v>
      </x:c>
      <x:c r="O288" s="20" t="n">
        <x:f>G288*K288</x:f>
        <x:v>0</x:v>
      </x:c>
      <x:c r="P288" s="20" t="n">
        <x:f>G288*L288</x:f>
        <x:v>1170</x:v>
      </x:c>
      <x:c r="Q288" s="20" t="n">
        <x:f>H288*INDEX(Inputs!$B$13:$D$13,1,MATCH(A288,Inputs!$B$6:$D$6,0))</x:f>
        <x:v>390</x:v>
      </x:c>
      <x:c r="R288" s="20" t="n">
        <x:f>SUM(M288:Q288)</x:f>
        <x:v>33345</x:v>
      </x:c>
      <x:c r="S288" s="20" t="n">
        <x:f>IF(AND(A287=A288,D287=D288),S287+R288,R288)</x:f>
        <x:v>100035</x:v>
      </x:c>
      <x:c r="T288" s="20" t="n">
        <x:f>MIN(S288,INDEX(Inputs!$B$20:$D$20,1,MATCH(A288,Inputs!$B$6:$D$6,0)))*INDEX(Inputs!$B$22:$D$22,1,MATCH(A288,Inputs!$B$6:$D$6,0))+MAX(MIN(S288,INDEX(Inputs!$B$21:$D$21,1,MATCH(A288,Inputs!$B$6:$D$6,0)))-INDEX(Inputs!$B$20:$D$20,1,MATCH(A288,Inputs!$B$6:$D$6,0)),0)*INDEX(Inputs!$B$23:$D$23,1,MATCH(A288,Inputs!$B$6:$D$6,0))+MAX(S288-INDEX(Inputs!$B$21:$D$21,1,MATCH(A288,Inputs!$B$6:$D$6,0)),0)*INDEX(Inputs!$B$24:$D$24,1,MATCH(A288,Inputs!$B$6:$D$6,0))</x:f>
        <x:v>8142.6775</x:v>
      </x:c>
      <x:c r="U288" s="20" t="n">
        <x:f>IF(AND(A287=A288,D287=D288),T287,0)</x:f>
        <x:v>5591.785</x:v>
      </x:c>
      <x:c r="V288" s="20" t="n">
        <x:f>T288-U288</x:f>
        <x:v>2550.8925</x:v>
      </x:c>
      <x:c r="W288" s="20" t="n">
        <x:f>R288+V288</x:f>
        <x:v>35895.8925</x:v>
      </x:c>
      <x:c r="X288" s="14" t="str">
        <x:f>IF(ABS(W288-SUM(M288:Q288)-V288)&lt;0.01,"OK","Check")</x:f>
        <x:v>OK</x:v>
      </x:c>
    </x:row>
    <x:row r="289">
      <x:c r="A289" s="14" t="n">
        <x:v>2026</x:v>
      </x:c>
      <x:c r="B289" s="14" t="str">
        <x:v>Q4</x:v>
      </x:c>
      <x:c r="C289" s="14" t="n">
        <x:v>4</x:v>
      </x:c>
      <x:c r="D289" s="14" t="n">
        <x:v>71</x:v>
      </x:c>
      <x:c r="E289" s="14" t="str">
        <x:f>INDEX(Roster!$B$6:$B$108,MATCH(D289,Roster!$A$6:$A$108,0))</x:f>
      </x:c>
      <x:c r="F289" s="14" t="str">
        <x:f>INDEX(Roster!$F$6:$F$108,MATCH(D289,Roster!$A$6:$A$108,0))</x:f>
        <x:v>No</x:v>
      </x:c>
      <x:c r="G289" s="14" t="n">
        <x:f>INDEX(Inputs!$B$7:$D$7,1,MATCH(A289,Inputs!$B$6:$D$6,0))</x:f>
        <x:v>13</x:v>
      </x:c>
      <x:c r="H289" s="14" t="n">
        <x:f>MIN(=INDEX(Inputs!$B$7:$D$7,1,MATCH(A289,Inputs!$B$6:$D$6,0)),MAX(0,INDEX(Inputs!$B$14:$D$14,1,MATCH(A289,Inputs!$B$6:$D$6,0))-(C289-1)*=INDEX(Inputs!$B$7:$D$7,1,MATCH(A289,Inputs!$B$6:$D$6,0))))</x:f>
        <x:v>0</x:v>
      </x:c>
      <x:c r="I289" s="20" t="n">
        <x:f>INDEX(Inputs!$B$8:$D$8,1,MATCH(A289,Inputs!$B$6:$D$6,0))</x:f>
        <x:v>2395</x:v>
      </x:c>
      <x:c r="J289" s="20" t="n">
        <x:f>INDEX(Roster!$C$6:$C$108,MATCH(D289,Roster!$A$6:$A$108,0))*(1+INDEX(Inputs!$B$9:$D$9,1,MATCH(A289,Inputs!$B$6:$D$6,0)))</x:f>
        <x:v>50</x:v>
      </x:c>
      <x:c r="K289" s="20" t="n">
        <x:f>IF(=INDEX(Roster!$F$6:$F$108,MATCH(D289,Roster!$A$6:$A$108,0))="Yes",0,=INDEX(Inputs!$B$8:$D$8,1,MATCH(A289,Inputs!$B$6:$D$6,0))*IF(=INDEX(Roster!$B$6:$B$108,MATCH(D289,Roster!$A$6:$A$108,0))="Principal",INDEX(Inputs!$B$10:$D$10,1,MATCH(A289,Inputs!$B$6:$D$6,0)),IF(=INDEX(Roster!$B$6:$B$108,MATCH(D289,Roster!$A$6:$A$108,0))="Associate Principal",INDEX(Inputs!$B$11:$D$11,1,MATCH(A289,Inputs!$B$6:$D$6,0)),IF(=INDEX(Roster!$B$6:$B$108,MATCH(D289,Roster!$A$6:$A$108,0))="Assistant Principal",INDEX(Inputs!$B$12:$D$12,1,MATCH(A289,Inputs!$B$6:$D$6,0)),0))))</x:f>
        <x:v>0</x:v>
      </x:c>
      <x:c r="L289" s="20" t="n">
        <x:f>IF(INDEX(Roster!$D$6:$D$108,MATCH(D289,Roster!$A$6:$A$108,0))&gt;=25,INDEX(Inputs!$B$19:$D$19,1,MATCH(A289,Inputs!$B$6:$D$6,0)),IF(INDEX(Roster!$D$6:$D$108,MATCH(D289,Roster!$A$6:$A$108,0))&gt;=20,INDEX(Inputs!$B$18:$D$18,1,MATCH(A289,Inputs!$B$6:$D$6,0)),IF(INDEX(Roster!$D$6:$D$108,MATCH(D289,Roster!$A$6:$A$108,0))&gt;=15,INDEX(Inputs!$B$17:$D$17,1,MATCH(A289,Inputs!$B$6:$D$6,0)),IF(INDEX(Roster!$D$6:$D$108,MATCH(D289,Roster!$A$6:$A$108,0))&gt;=10,INDEX(Inputs!$B$16:$D$16,1,MATCH(A289,Inputs!$B$6:$D$6,0)),IF(INDEX(Roster!$D$6:$D$108,MATCH(D289,Roster!$A$6:$A$108,0))&gt;=5,INDEX(Inputs!$B$15:$D$15,1,MATCH(A289,Inputs!$B$6:$D$6,0)),0)))))</x:f>
        <x:v>90</x:v>
      </x:c>
      <x:c r="M289" s="20" t="n">
        <x:f>G289*I289</x:f>
        <x:v>31135</x:v>
      </x:c>
      <x:c r="N289" s="20" t="n">
        <x:f>G289*J289</x:f>
        <x:v>650</x:v>
      </x:c>
      <x:c r="O289" s="20" t="n">
        <x:f>G289*K289</x:f>
        <x:v>0</x:v>
      </x:c>
      <x:c r="P289" s="20" t="n">
        <x:f>G289*L289</x:f>
        <x:v>1170</x:v>
      </x:c>
      <x:c r="Q289" s="20" t="n">
        <x:f>H289*INDEX(Inputs!$B$13:$D$13,1,MATCH(A289,Inputs!$B$6:$D$6,0))</x:f>
        <x:v>0</x:v>
      </x:c>
      <x:c r="R289" s="20" t="n">
        <x:f>SUM(M289:Q289)</x:f>
        <x:v>32955</x:v>
      </x:c>
      <x:c r="S289" s="20" t="n">
        <x:f>IF(AND(A288=A289,D288=D289),S288+R289,R289)</x:f>
        <x:v>132990</x:v>
      </x:c>
      <x:c r="T289" s="20" t="n">
        <x:f>MIN(S289,INDEX(Inputs!$B$20:$D$20,1,MATCH(A289,Inputs!$B$6:$D$6,0)))*INDEX(Inputs!$B$22:$D$22,1,MATCH(A289,Inputs!$B$6:$D$6,0))+MAX(MIN(S289,INDEX(Inputs!$B$21:$D$21,1,MATCH(A289,Inputs!$B$6:$D$6,0)))-INDEX(Inputs!$B$20:$D$20,1,MATCH(A289,Inputs!$B$6:$D$6,0)),0)*INDEX(Inputs!$B$23:$D$23,1,MATCH(A289,Inputs!$B$6:$D$6,0))+MAX(S289-INDEX(Inputs!$B$21:$D$21,1,MATCH(A289,Inputs!$B$6:$D$6,0)),0)*INDEX(Inputs!$B$24:$D$24,1,MATCH(A289,Inputs!$B$6:$D$6,0))</x:f>
        <x:v>9842.297</x:v>
      </x:c>
      <x:c r="U289" s="20" t="n">
        <x:f>IF(AND(A288=A289,D288=D289),T288,0)</x:f>
        <x:v>8142.6775</x:v>
      </x:c>
      <x:c r="V289" s="20" t="n">
        <x:f>T289-U289</x:f>
        <x:v>1699.6195000000007</x:v>
      </x:c>
      <x:c r="W289" s="20" t="n">
        <x:f>R289+V289</x:f>
        <x:v>34654.6195</x:v>
      </x:c>
      <x:c r="X289" s="14" t="str">
        <x:f>IF(ABS(W289-SUM(M289:Q289)-V289)&lt;0.01,"OK","Check")</x:f>
        <x:v>OK</x:v>
      </x:c>
    </x:row>
    <x:row r="290">
      <x:c r="A290" s="14" t="n">
        <x:v>2026</x:v>
      </x:c>
      <x:c r="B290" s="14" t="str">
        <x:v>Q1</x:v>
      </x:c>
      <x:c r="C290" s="14" t="n">
        <x:v>1</x:v>
      </x:c>
      <x:c r="D290" s="14" t="n">
        <x:v>72</x:v>
      </x:c>
      <x:c r="E290" s="14" t="str">
        <x:f>INDEX(Roster!$B$6:$B$108,MATCH(D290,Roster!$A$6:$A$108,0))</x:f>
      </x:c>
      <x:c r="F290" s="14" t="str">
        <x:f>INDEX(Roster!$F$6:$F$108,MATCH(D290,Roster!$A$6:$A$108,0))</x:f>
        <x:v>No</x:v>
      </x:c>
      <x:c r="G290" s="14" t="n">
        <x:f>INDEX(Inputs!$B$7:$D$7,1,MATCH(A290,Inputs!$B$6:$D$6,0))</x:f>
        <x:v>13</x:v>
      </x:c>
      <x:c r="H290" s="14" t="n">
        <x:f>MIN(=INDEX(Inputs!$B$7:$D$7,1,MATCH(A290,Inputs!$B$6:$D$6,0)),MAX(0,INDEX(Inputs!$B$14:$D$14,1,MATCH(A290,Inputs!$B$6:$D$6,0))-(C290-1)*=INDEX(Inputs!$B$7:$D$7,1,MATCH(A290,Inputs!$B$6:$D$6,0))))</x:f>
        <x:v>13</x:v>
      </x:c>
      <x:c r="I290" s="20" t="n">
        <x:f>INDEX(Inputs!$B$8:$D$8,1,MATCH(A290,Inputs!$B$6:$D$6,0))</x:f>
        <x:v>2395</x:v>
      </x:c>
      <x:c r="J290" s="20" t="n">
        <x:f>INDEX(Roster!$C$6:$C$108,MATCH(D290,Roster!$A$6:$A$108,0))*(1+INDEX(Inputs!$B$9:$D$9,1,MATCH(A290,Inputs!$B$6:$D$6,0)))</x:f>
        <x:v>150</x:v>
      </x:c>
      <x:c r="K290" s="20" t="n">
        <x:f>IF(=INDEX(Roster!$F$6:$F$108,MATCH(D290,Roster!$A$6:$A$108,0))="Yes",0,=INDEX(Inputs!$B$8:$D$8,1,MATCH(A290,Inputs!$B$6:$D$6,0))*IF(=INDEX(Roster!$B$6:$B$108,MATCH(D290,Roster!$A$6:$A$108,0))="Principal",INDEX(Inputs!$B$10:$D$10,1,MATCH(A290,Inputs!$B$6:$D$6,0)),IF(=INDEX(Roster!$B$6:$B$108,MATCH(D290,Roster!$A$6:$A$108,0))="Associate Principal",INDEX(Inputs!$B$11:$D$11,1,MATCH(A290,Inputs!$B$6:$D$6,0)),IF(=INDEX(Roster!$B$6:$B$108,MATCH(D290,Roster!$A$6:$A$108,0))="Assistant Principal",INDEX(Inputs!$B$12:$D$12,1,MATCH(A290,Inputs!$B$6:$D$6,0)),0))))</x:f>
        <x:v>0</x:v>
      </x:c>
      <x:c r="L290" s="20" t="n">
        <x:f>IF(INDEX(Roster!$D$6:$D$108,MATCH(D290,Roster!$A$6:$A$108,0))&gt;=25,INDEX(Inputs!$B$19:$D$19,1,MATCH(A290,Inputs!$B$6:$D$6,0)),IF(INDEX(Roster!$D$6:$D$108,MATCH(D290,Roster!$A$6:$A$108,0))&gt;=20,INDEX(Inputs!$B$18:$D$18,1,MATCH(A290,Inputs!$B$6:$D$6,0)),IF(INDEX(Roster!$D$6:$D$108,MATCH(D290,Roster!$A$6:$A$108,0))&gt;=15,INDEX(Inputs!$B$17:$D$17,1,MATCH(A290,Inputs!$B$6:$D$6,0)),IF(INDEX(Roster!$D$6:$D$108,MATCH(D290,Roster!$A$6:$A$108,0))&gt;=10,INDEX(Inputs!$B$16:$D$16,1,MATCH(A290,Inputs!$B$6:$D$6,0)),IF(INDEX(Roster!$D$6:$D$108,MATCH(D290,Roster!$A$6:$A$108,0))&gt;=5,INDEX(Inputs!$B$15:$D$15,1,MATCH(A290,Inputs!$B$6:$D$6,0)),0)))))</x:f>
        <x:v>80</x:v>
      </x:c>
      <x:c r="M290" s="20" t="n">
        <x:f>G290*I290</x:f>
        <x:v>31135</x:v>
      </x:c>
      <x:c r="N290" s="20" t="n">
        <x:f>G290*J290</x:f>
        <x:v>1950</x:v>
      </x:c>
      <x:c r="O290" s="20" t="n">
        <x:f>G290*K290</x:f>
        <x:v>0</x:v>
      </x:c>
      <x:c r="P290" s="20" t="n">
        <x:f>G290*L290</x:f>
        <x:v>1040</x:v>
      </x:c>
      <x:c r="Q290" s="20" t="n">
        <x:f>H290*INDEX(Inputs!$B$13:$D$13,1,MATCH(A290,Inputs!$B$6:$D$6,0))</x:f>
        <x:v>390</x:v>
      </x:c>
      <x:c r="R290" s="20" t="n">
        <x:f>SUM(M290:Q290)</x:f>
        <x:v>34515</x:v>
      </x:c>
      <x:c r="S290" s="20" t="n">
        <x:f>IF(AND(A289=A290,D289=D290),S289+R290,R290)</x:f>
        <x:v>34515</x:v>
      </x:c>
      <x:c r="T290" s="20" t="n">
        <x:f>MIN(S290,INDEX(Inputs!$B$20:$D$20,1,MATCH(A290,Inputs!$B$6:$D$6,0)))*INDEX(Inputs!$B$22:$D$22,1,MATCH(A290,Inputs!$B$6:$D$6,0))+MAX(MIN(S290,INDEX(Inputs!$B$21:$D$21,1,MATCH(A290,Inputs!$B$6:$D$6,0)))-INDEX(Inputs!$B$20:$D$20,1,MATCH(A290,Inputs!$B$6:$D$6,0)),0)*INDEX(Inputs!$B$23:$D$23,1,MATCH(A290,Inputs!$B$6:$D$6,0))+MAX(S290-INDEX(Inputs!$B$21:$D$21,1,MATCH(A290,Inputs!$B$6:$D$6,0)),0)*INDEX(Inputs!$B$24:$D$24,1,MATCH(A290,Inputs!$B$6:$D$6,0))</x:f>
        <x:v>3130.3975</x:v>
      </x:c>
      <x:c r="U290" s="20" t="n">
        <x:f>IF(AND(A289=A290,D289=D290),T289,0)</x:f>
        <x:v>0</x:v>
      </x:c>
      <x:c r="V290" s="20" t="n">
        <x:f>T290-U290</x:f>
        <x:v>3130.3975</x:v>
      </x:c>
      <x:c r="W290" s="20" t="n">
        <x:f>R290+V290</x:f>
        <x:v>37645.3975</x:v>
      </x:c>
      <x:c r="X290" s="14" t="str">
        <x:f>IF(ABS(W290-SUM(M290:Q290)-V290)&lt;0.01,"OK","Check")</x:f>
        <x:v>OK</x:v>
      </x:c>
    </x:row>
    <x:row r="291">
      <x:c r="A291" s="14" t="n">
        <x:v>2026</x:v>
      </x:c>
      <x:c r="B291" s="14" t="str">
        <x:v>Q2</x:v>
      </x:c>
      <x:c r="C291" s="14" t="n">
        <x:v>2</x:v>
      </x:c>
      <x:c r="D291" s="14" t="n">
        <x:v>72</x:v>
      </x:c>
      <x:c r="E291" s="14" t="str">
        <x:f>INDEX(Roster!$B$6:$B$108,MATCH(D291,Roster!$A$6:$A$108,0))</x:f>
      </x:c>
      <x:c r="F291" s="14" t="str">
        <x:f>INDEX(Roster!$F$6:$F$108,MATCH(D291,Roster!$A$6:$A$108,0))</x:f>
        <x:v>No</x:v>
      </x:c>
      <x:c r="G291" s="14" t="n">
        <x:f>INDEX(Inputs!$B$7:$D$7,1,MATCH(A291,Inputs!$B$6:$D$6,0))</x:f>
        <x:v>13</x:v>
      </x:c>
      <x:c r="H291" s="14" t="n">
        <x:f>MIN(=INDEX(Inputs!$B$7:$D$7,1,MATCH(A291,Inputs!$B$6:$D$6,0)),MAX(0,INDEX(Inputs!$B$14:$D$14,1,MATCH(A291,Inputs!$B$6:$D$6,0))-(C291-1)*=INDEX(Inputs!$B$7:$D$7,1,MATCH(A291,Inputs!$B$6:$D$6,0))))</x:f>
        <x:v>13</x:v>
      </x:c>
      <x:c r="I291" s="20" t="n">
        <x:f>INDEX(Inputs!$B$8:$D$8,1,MATCH(A291,Inputs!$B$6:$D$6,0))</x:f>
        <x:v>2395</x:v>
      </x:c>
      <x:c r="J291" s="20" t="n">
        <x:f>INDEX(Roster!$C$6:$C$108,MATCH(D291,Roster!$A$6:$A$108,0))*(1+INDEX(Inputs!$B$9:$D$9,1,MATCH(A291,Inputs!$B$6:$D$6,0)))</x:f>
        <x:v>150</x:v>
      </x:c>
      <x:c r="K291" s="20" t="n">
        <x:f>IF(=INDEX(Roster!$F$6:$F$108,MATCH(D291,Roster!$A$6:$A$108,0))="Yes",0,=INDEX(Inputs!$B$8:$D$8,1,MATCH(A291,Inputs!$B$6:$D$6,0))*IF(=INDEX(Roster!$B$6:$B$108,MATCH(D291,Roster!$A$6:$A$108,0))="Principal",INDEX(Inputs!$B$10:$D$10,1,MATCH(A291,Inputs!$B$6:$D$6,0)),IF(=INDEX(Roster!$B$6:$B$108,MATCH(D291,Roster!$A$6:$A$108,0))="Associate Principal",INDEX(Inputs!$B$11:$D$11,1,MATCH(A291,Inputs!$B$6:$D$6,0)),IF(=INDEX(Roster!$B$6:$B$108,MATCH(D291,Roster!$A$6:$A$108,0))="Assistant Principal",INDEX(Inputs!$B$12:$D$12,1,MATCH(A291,Inputs!$B$6:$D$6,0)),0))))</x:f>
        <x:v>0</x:v>
      </x:c>
      <x:c r="L291" s="20" t="n">
        <x:f>IF(INDEX(Roster!$D$6:$D$108,MATCH(D291,Roster!$A$6:$A$108,0))&gt;=25,INDEX(Inputs!$B$19:$D$19,1,MATCH(A291,Inputs!$B$6:$D$6,0)),IF(INDEX(Roster!$D$6:$D$108,MATCH(D291,Roster!$A$6:$A$108,0))&gt;=20,INDEX(Inputs!$B$18:$D$18,1,MATCH(A291,Inputs!$B$6:$D$6,0)),IF(INDEX(Roster!$D$6:$D$108,MATCH(D291,Roster!$A$6:$A$108,0))&gt;=15,INDEX(Inputs!$B$17:$D$17,1,MATCH(A291,Inputs!$B$6:$D$6,0)),IF(INDEX(Roster!$D$6:$D$108,MATCH(D291,Roster!$A$6:$A$108,0))&gt;=10,INDEX(Inputs!$B$16:$D$16,1,MATCH(A291,Inputs!$B$6:$D$6,0)),IF(INDEX(Roster!$D$6:$D$108,MATCH(D291,Roster!$A$6:$A$108,0))&gt;=5,INDEX(Inputs!$B$15:$D$15,1,MATCH(A291,Inputs!$B$6:$D$6,0)),0)))))</x:f>
        <x:v>80</x:v>
      </x:c>
      <x:c r="M291" s="20" t="n">
        <x:f>G291*I291</x:f>
        <x:v>31135</x:v>
      </x:c>
      <x:c r="N291" s="20" t="n">
        <x:f>G291*J291</x:f>
        <x:v>1950</x:v>
      </x:c>
      <x:c r="O291" s="20" t="n">
        <x:f>G291*K291</x:f>
        <x:v>0</x:v>
      </x:c>
      <x:c r="P291" s="20" t="n">
        <x:f>G291*L291</x:f>
        <x:v>1040</x:v>
      </x:c>
      <x:c r="Q291" s="20" t="n">
        <x:f>H291*INDEX(Inputs!$B$13:$D$13,1,MATCH(A291,Inputs!$B$6:$D$6,0))</x:f>
        <x:v>390</x:v>
      </x:c>
      <x:c r="R291" s="20" t="n">
        <x:f>SUM(M291:Q291)</x:f>
        <x:v>34515</x:v>
      </x:c>
      <x:c r="S291" s="20" t="n">
        <x:f>IF(AND(A290=A291,D290=D291),S290+R291,R291)</x:f>
        <x:v>69030</x:v>
      </x:c>
      <x:c r="T291" s="20" t="n">
        <x:f>MIN(S291,INDEX(Inputs!$B$20:$D$20,1,MATCH(A291,Inputs!$B$6:$D$6,0)))*INDEX(Inputs!$B$22:$D$22,1,MATCH(A291,Inputs!$B$6:$D$6,0))+MAX(MIN(S291,INDEX(Inputs!$B$21:$D$21,1,MATCH(A291,Inputs!$B$6:$D$6,0)))-INDEX(Inputs!$B$20:$D$20,1,MATCH(A291,Inputs!$B$6:$D$6,0)),0)*INDEX(Inputs!$B$23:$D$23,1,MATCH(A291,Inputs!$B$6:$D$6,0))+MAX(S291-INDEX(Inputs!$B$21:$D$21,1,MATCH(A291,Inputs!$B$6:$D$6,0)),0)*INDEX(Inputs!$B$24:$D$24,1,MATCH(A291,Inputs!$B$6:$D$6,0))</x:f>
        <x:v>5770.795</x:v>
      </x:c>
      <x:c r="U291" s="20" t="n">
        <x:f>IF(AND(A290=A291,D290=D291),T290,0)</x:f>
        <x:v>3130.3975</x:v>
      </x:c>
      <x:c r="V291" s="20" t="n">
        <x:f>T291-U291</x:f>
        <x:v>2640.3975</x:v>
      </x:c>
      <x:c r="W291" s="20" t="n">
        <x:f>R291+V291</x:f>
        <x:v>37155.3975</x:v>
      </x:c>
      <x:c r="X291" s="14" t="str">
        <x:f>IF(ABS(W291-SUM(M291:Q291)-V291)&lt;0.01,"OK","Check")</x:f>
        <x:v>OK</x:v>
      </x:c>
    </x:row>
    <x:row r="292">
      <x:c r="A292" s="14" t="n">
        <x:v>2026</x:v>
      </x:c>
      <x:c r="B292" s="14" t="str">
        <x:v>Q3</x:v>
      </x:c>
      <x:c r="C292" s="14" t="n">
        <x:v>3</x:v>
      </x:c>
      <x:c r="D292" s="14" t="n">
        <x:v>72</x:v>
      </x:c>
      <x:c r="E292" s="14" t="str">
        <x:f>INDEX(Roster!$B$6:$B$108,MATCH(D292,Roster!$A$6:$A$108,0))</x:f>
      </x:c>
      <x:c r="F292" s="14" t="str">
        <x:f>INDEX(Roster!$F$6:$F$108,MATCH(D292,Roster!$A$6:$A$108,0))</x:f>
        <x:v>No</x:v>
      </x:c>
      <x:c r="G292" s="14" t="n">
        <x:f>INDEX(Inputs!$B$7:$D$7,1,MATCH(A292,Inputs!$B$6:$D$6,0))</x:f>
        <x:v>13</x:v>
      </x:c>
      <x:c r="H292" s="14" t="n">
        <x:f>MIN(=INDEX(Inputs!$B$7:$D$7,1,MATCH(A292,Inputs!$B$6:$D$6,0)),MAX(0,INDEX(Inputs!$B$14:$D$14,1,MATCH(A292,Inputs!$B$6:$D$6,0))-(C292-1)*=INDEX(Inputs!$B$7:$D$7,1,MATCH(A292,Inputs!$B$6:$D$6,0))))</x:f>
        <x:v>13</x:v>
      </x:c>
      <x:c r="I292" s="20" t="n">
        <x:f>INDEX(Inputs!$B$8:$D$8,1,MATCH(A292,Inputs!$B$6:$D$6,0))</x:f>
        <x:v>2395</x:v>
      </x:c>
      <x:c r="J292" s="20" t="n">
        <x:f>INDEX(Roster!$C$6:$C$108,MATCH(D292,Roster!$A$6:$A$108,0))*(1+INDEX(Inputs!$B$9:$D$9,1,MATCH(A292,Inputs!$B$6:$D$6,0)))</x:f>
        <x:v>150</x:v>
      </x:c>
      <x:c r="K292" s="20" t="n">
        <x:f>IF(=INDEX(Roster!$F$6:$F$108,MATCH(D292,Roster!$A$6:$A$108,0))="Yes",0,=INDEX(Inputs!$B$8:$D$8,1,MATCH(A292,Inputs!$B$6:$D$6,0))*IF(=INDEX(Roster!$B$6:$B$108,MATCH(D292,Roster!$A$6:$A$108,0))="Principal",INDEX(Inputs!$B$10:$D$10,1,MATCH(A292,Inputs!$B$6:$D$6,0)),IF(=INDEX(Roster!$B$6:$B$108,MATCH(D292,Roster!$A$6:$A$108,0))="Associate Principal",INDEX(Inputs!$B$11:$D$11,1,MATCH(A292,Inputs!$B$6:$D$6,0)),IF(=INDEX(Roster!$B$6:$B$108,MATCH(D292,Roster!$A$6:$A$108,0))="Assistant Principal",INDEX(Inputs!$B$12:$D$12,1,MATCH(A292,Inputs!$B$6:$D$6,0)),0))))</x:f>
        <x:v>0</x:v>
      </x:c>
      <x:c r="L292" s="20" t="n">
        <x:f>IF(INDEX(Roster!$D$6:$D$108,MATCH(D292,Roster!$A$6:$A$108,0))&gt;=25,INDEX(Inputs!$B$19:$D$19,1,MATCH(A292,Inputs!$B$6:$D$6,0)),IF(INDEX(Roster!$D$6:$D$108,MATCH(D292,Roster!$A$6:$A$108,0))&gt;=20,INDEX(Inputs!$B$18:$D$18,1,MATCH(A292,Inputs!$B$6:$D$6,0)),IF(INDEX(Roster!$D$6:$D$108,MATCH(D292,Roster!$A$6:$A$108,0))&gt;=15,INDEX(Inputs!$B$17:$D$17,1,MATCH(A292,Inputs!$B$6:$D$6,0)),IF(INDEX(Roster!$D$6:$D$108,MATCH(D292,Roster!$A$6:$A$108,0))&gt;=10,INDEX(Inputs!$B$16:$D$16,1,MATCH(A292,Inputs!$B$6:$D$6,0)),IF(INDEX(Roster!$D$6:$D$108,MATCH(D292,Roster!$A$6:$A$108,0))&gt;=5,INDEX(Inputs!$B$15:$D$15,1,MATCH(A292,Inputs!$B$6:$D$6,0)),0)))))</x:f>
        <x:v>80</x:v>
      </x:c>
      <x:c r="M292" s="20" t="n">
        <x:f>G292*I292</x:f>
        <x:v>31135</x:v>
      </x:c>
      <x:c r="N292" s="20" t="n">
        <x:f>G292*J292</x:f>
        <x:v>1950</x:v>
      </x:c>
      <x:c r="O292" s="20" t="n">
        <x:f>G292*K292</x:f>
        <x:v>0</x:v>
      </x:c>
      <x:c r="P292" s="20" t="n">
        <x:f>G292*L292</x:f>
        <x:v>1040</x:v>
      </x:c>
      <x:c r="Q292" s="20" t="n">
        <x:f>H292*INDEX(Inputs!$B$13:$D$13,1,MATCH(A292,Inputs!$B$6:$D$6,0))</x:f>
        <x:v>390</x:v>
      </x:c>
      <x:c r="R292" s="20" t="n">
        <x:f>SUM(M292:Q292)</x:f>
        <x:v>34515</x:v>
      </x:c>
      <x:c r="S292" s="20" t="n">
        <x:f>IF(AND(A291=A292,D291=D292),S291+R292,R292)</x:f>
        <x:v>103545</x:v>
      </x:c>
      <x:c r="T292" s="20" t="n">
        <x:f>MIN(S292,INDEX(Inputs!$B$20:$D$20,1,MATCH(A292,Inputs!$B$6:$D$6,0)))*INDEX(Inputs!$B$22:$D$22,1,MATCH(A292,Inputs!$B$6:$D$6,0))+MAX(MIN(S292,INDEX(Inputs!$B$21:$D$21,1,MATCH(A292,Inputs!$B$6:$D$6,0)))-INDEX(Inputs!$B$20:$D$20,1,MATCH(A292,Inputs!$B$6:$D$6,0)),0)*INDEX(Inputs!$B$23:$D$23,1,MATCH(A292,Inputs!$B$6:$D$6,0))+MAX(S292-INDEX(Inputs!$B$21:$D$21,1,MATCH(A292,Inputs!$B$6:$D$6,0)),0)*INDEX(Inputs!$B$24:$D$24,1,MATCH(A292,Inputs!$B$6:$D$6,0))</x:f>
        <x:v>8411.192500000001</x:v>
      </x:c>
      <x:c r="U292" s="20" t="n">
        <x:f>IF(AND(A291=A292,D291=D292),T291,0)</x:f>
        <x:v>5770.795</x:v>
      </x:c>
      <x:c r="V292" s="20" t="n">
        <x:f>T292-U292</x:f>
        <x:v>2640.397500000001</x:v>
      </x:c>
      <x:c r="W292" s="20" t="n">
        <x:f>R292+V292</x:f>
        <x:v>37155.3975</x:v>
      </x:c>
      <x:c r="X292" s="14" t="str">
        <x:f>IF(ABS(W292-SUM(M292:Q292)-V292)&lt;0.01,"OK","Check")</x:f>
        <x:v>OK</x:v>
      </x:c>
    </x:row>
    <x:row r="293">
      <x:c r="A293" s="14" t="n">
        <x:v>2026</x:v>
      </x:c>
      <x:c r="B293" s="14" t="str">
        <x:v>Q4</x:v>
      </x:c>
      <x:c r="C293" s="14" t="n">
        <x:v>4</x:v>
      </x:c>
      <x:c r="D293" s="14" t="n">
        <x:v>72</x:v>
      </x:c>
      <x:c r="E293" s="14" t="str">
        <x:f>INDEX(Roster!$B$6:$B$108,MATCH(D293,Roster!$A$6:$A$108,0))</x:f>
      </x:c>
      <x:c r="F293" s="14" t="str">
        <x:f>INDEX(Roster!$F$6:$F$108,MATCH(D293,Roster!$A$6:$A$108,0))</x:f>
        <x:v>No</x:v>
      </x:c>
      <x:c r="G293" s="14" t="n">
        <x:f>INDEX(Inputs!$B$7:$D$7,1,MATCH(A293,Inputs!$B$6:$D$6,0))</x:f>
        <x:v>13</x:v>
      </x:c>
      <x:c r="H293" s="14" t="n">
        <x:f>MIN(=INDEX(Inputs!$B$7:$D$7,1,MATCH(A293,Inputs!$B$6:$D$6,0)),MAX(0,INDEX(Inputs!$B$14:$D$14,1,MATCH(A293,Inputs!$B$6:$D$6,0))-(C293-1)*=INDEX(Inputs!$B$7:$D$7,1,MATCH(A293,Inputs!$B$6:$D$6,0))))</x:f>
        <x:v>0</x:v>
      </x:c>
      <x:c r="I293" s="20" t="n">
        <x:f>INDEX(Inputs!$B$8:$D$8,1,MATCH(A293,Inputs!$B$6:$D$6,0))</x:f>
        <x:v>2395</x:v>
      </x:c>
      <x:c r="J293" s="20" t="n">
        <x:f>INDEX(Roster!$C$6:$C$108,MATCH(D293,Roster!$A$6:$A$108,0))*(1+INDEX(Inputs!$B$9:$D$9,1,MATCH(A293,Inputs!$B$6:$D$6,0)))</x:f>
        <x:v>150</x:v>
      </x:c>
      <x:c r="K293" s="20" t="n">
        <x:f>IF(=INDEX(Roster!$F$6:$F$108,MATCH(D293,Roster!$A$6:$A$108,0))="Yes",0,=INDEX(Inputs!$B$8:$D$8,1,MATCH(A293,Inputs!$B$6:$D$6,0))*IF(=INDEX(Roster!$B$6:$B$108,MATCH(D293,Roster!$A$6:$A$108,0))="Principal",INDEX(Inputs!$B$10:$D$10,1,MATCH(A293,Inputs!$B$6:$D$6,0)),IF(=INDEX(Roster!$B$6:$B$108,MATCH(D293,Roster!$A$6:$A$108,0))="Associate Principal",INDEX(Inputs!$B$11:$D$11,1,MATCH(A293,Inputs!$B$6:$D$6,0)),IF(=INDEX(Roster!$B$6:$B$108,MATCH(D293,Roster!$A$6:$A$108,0))="Assistant Principal",INDEX(Inputs!$B$12:$D$12,1,MATCH(A293,Inputs!$B$6:$D$6,0)),0))))</x:f>
        <x:v>0</x:v>
      </x:c>
      <x:c r="L293" s="20" t="n">
        <x:f>IF(INDEX(Roster!$D$6:$D$108,MATCH(D293,Roster!$A$6:$A$108,0))&gt;=25,INDEX(Inputs!$B$19:$D$19,1,MATCH(A293,Inputs!$B$6:$D$6,0)),IF(INDEX(Roster!$D$6:$D$108,MATCH(D293,Roster!$A$6:$A$108,0))&gt;=20,INDEX(Inputs!$B$18:$D$18,1,MATCH(A293,Inputs!$B$6:$D$6,0)),IF(INDEX(Roster!$D$6:$D$108,MATCH(D293,Roster!$A$6:$A$108,0))&gt;=15,INDEX(Inputs!$B$17:$D$17,1,MATCH(A293,Inputs!$B$6:$D$6,0)),IF(INDEX(Roster!$D$6:$D$108,MATCH(D293,Roster!$A$6:$A$108,0))&gt;=10,INDEX(Inputs!$B$16:$D$16,1,MATCH(A293,Inputs!$B$6:$D$6,0)),IF(INDEX(Roster!$D$6:$D$108,MATCH(D293,Roster!$A$6:$A$108,0))&gt;=5,INDEX(Inputs!$B$15:$D$15,1,MATCH(A293,Inputs!$B$6:$D$6,0)),0)))))</x:f>
        <x:v>80</x:v>
      </x:c>
      <x:c r="M293" s="20" t="n">
        <x:f>G293*I293</x:f>
        <x:v>31135</x:v>
      </x:c>
      <x:c r="N293" s="20" t="n">
        <x:f>G293*J293</x:f>
        <x:v>1950</x:v>
      </x:c>
      <x:c r="O293" s="20" t="n">
        <x:f>G293*K293</x:f>
        <x:v>0</x:v>
      </x:c>
      <x:c r="P293" s="20" t="n">
        <x:f>G293*L293</x:f>
        <x:v>1040</x:v>
      </x:c>
      <x:c r="Q293" s="20" t="n">
        <x:f>H293*INDEX(Inputs!$B$13:$D$13,1,MATCH(A293,Inputs!$B$6:$D$6,0))</x:f>
        <x:v>0</x:v>
      </x:c>
      <x:c r="R293" s="20" t="n">
        <x:f>SUM(M293:Q293)</x:f>
        <x:v>34125</x:v>
      </x:c>
      <x:c r="S293" s="20" t="n">
        <x:f>IF(AND(A292=A293,D292=D293),S292+R293,R293)</x:f>
        <x:v>137670</x:v>
      </x:c>
      <x:c r="T293" s="20" t="n">
        <x:f>MIN(S293,INDEX(Inputs!$B$20:$D$20,1,MATCH(A293,Inputs!$B$6:$D$6,0)))*INDEX(Inputs!$B$22:$D$22,1,MATCH(A293,Inputs!$B$6:$D$6,0))+MAX(MIN(S293,INDEX(Inputs!$B$21:$D$21,1,MATCH(A293,Inputs!$B$6:$D$6,0)))-INDEX(Inputs!$B$20:$D$20,1,MATCH(A293,Inputs!$B$6:$D$6,0)),0)*INDEX(Inputs!$B$23:$D$23,1,MATCH(A293,Inputs!$B$6:$D$6,0))+MAX(S293-INDEX(Inputs!$B$21:$D$21,1,MATCH(A293,Inputs!$B$6:$D$6,0)),0)*INDEX(Inputs!$B$24:$D$24,1,MATCH(A293,Inputs!$B$6:$D$6,0))</x:f>
        <x:v>9910.157</x:v>
      </x:c>
      <x:c r="U293" s="20" t="n">
        <x:f>IF(AND(A292=A293,D292=D293),T292,0)</x:f>
        <x:v>8411.192500000001</x:v>
      </x:c>
      <x:c r="V293" s="20" t="n">
        <x:f>T293-U293</x:f>
        <x:v>1498.9644999999982</x:v>
      </x:c>
      <x:c r="W293" s="20" t="n">
        <x:f>R293+V293</x:f>
        <x:v>35623.9645</x:v>
      </x:c>
      <x:c r="X293" s="14" t="str">
        <x:f>IF(ABS(W293-SUM(M293:Q293)-V293)&lt;0.01,"OK","Check")</x:f>
        <x:v>OK</x:v>
      </x:c>
    </x:row>
    <x:row r="294">
      <x:c r="A294" s="14" t="n">
        <x:v>2026</x:v>
      </x:c>
      <x:c r="B294" s="14" t="str">
        <x:v>Q1</x:v>
      </x:c>
      <x:c r="C294" s="14" t="n">
        <x:v>1</x:v>
      </x:c>
      <x:c r="D294" s="14" t="n">
        <x:v>73</x:v>
      </x:c>
      <x:c r="E294" s="14" t="str">
        <x:f>INDEX(Roster!$B$6:$B$108,MATCH(D294,Roster!$A$6:$A$108,0))</x:f>
        <x:v>Principal</x:v>
      </x:c>
      <x:c r="F294" s="14" t="str">
        <x:f>INDEX(Roster!$F$6:$F$108,MATCH(D294,Roster!$A$6:$A$108,0))</x:f>
        <x:v>Yes</x:v>
      </x:c>
      <x:c r="G294" s="14" t="n">
        <x:f>INDEX(Inputs!$B$7:$D$7,1,MATCH(A294,Inputs!$B$6:$D$6,0))</x:f>
        <x:v>13</x:v>
      </x:c>
      <x:c r="H294" s="14" t="n">
        <x:f>MIN(=INDEX(Inputs!$B$7:$D$7,1,MATCH(A294,Inputs!$B$6:$D$6,0)),MAX(0,INDEX(Inputs!$B$14:$D$14,1,MATCH(A294,Inputs!$B$6:$D$6,0))-(C294-1)*=INDEX(Inputs!$B$7:$D$7,1,MATCH(A294,Inputs!$B$6:$D$6,0))))</x:f>
        <x:v>13</x:v>
      </x:c>
      <x:c r="I294" s="20" t="n">
        <x:f>INDEX(Inputs!$B$8:$D$8,1,MATCH(A294,Inputs!$B$6:$D$6,0))</x:f>
        <x:v>2395</x:v>
      </x:c>
      <x:c r="J294" s="20" t="n">
        <x:f>INDEX(Roster!$C$6:$C$108,MATCH(D294,Roster!$A$6:$A$108,0))*(1+INDEX(Inputs!$B$9:$D$9,1,MATCH(A294,Inputs!$B$6:$D$6,0)))</x:f>
        <x:v>600</x:v>
      </x:c>
      <x:c r="K294" s="20" t="n">
        <x:f>IF(=INDEX(Roster!$F$6:$F$108,MATCH(D294,Roster!$A$6:$A$108,0))="Yes",0,=INDEX(Inputs!$B$8:$D$8,1,MATCH(A294,Inputs!$B$6:$D$6,0))*IF(=INDEX(Roster!$B$6:$B$108,MATCH(D294,Roster!$A$6:$A$108,0))="Principal",INDEX(Inputs!$B$10:$D$10,1,MATCH(A294,Inputs!$B$6:$D$6,0)),IF(=INDEX(Roster!$B$6:$B$108,MATCH(D294,Roster!$A$6:$A$108,0))="Associate Principal",INDEX(Inputs!$B$11:$D$11,1,MATCH(A294,Inputs!$B$6:$D$6,0)),IF(=INDEX(Roster!$B$6:$B$108,MATCH(D294,Roster!$A$6:$A$108,0))="Assistant Principal",INDEX(Inputs!$B$12:$D$12,1,MATCH(A294,Inputs!$B$6:$D$6,0)),0))))</x:f>
        <x:v>0</x:v>
      </x:c>
      <x:c r="L294" s="20" t="n">
        <x:f>IF(INDEX(Roster!$D$6:$D$108,MATCH(D294,Roster!$A$6:$A$108,0))&gt;=25,INDEX(Inputs!$B$19:$D$19,1,MATCH(A294,Inputs!$B$6:$D$6,0)),IF(INDEX(Roster!$D$6:$D$108,MATCH(D294,Roster!$A$6:$A$108,0))&gt;=20,INDEX(Inputs!$B$18:$D$18,1,MATCH(A294,Inputs!$B$6:$D$6,0)),IF(INDEX(Roster!$D$6:$D$108,MATCH(D294,Roster!$A$6:$A$108,0))&gt;=15,INDEX(Inputs!$B$17:$D$17,1,MATCH(A294,Inputs!$B$6:$D$6,0)),IF(INDEX(Roster!$D$6:$D$108,MATCH(D294,Roster!$A$6:$A$108,0))&gt;=10,INDEX(Inputs!$B$16:$D$16,1,MATCH(A294,Inputs!$B$6:$D$6,0)),IF(INDEX(Roster!$D$6:$D$108,MATCH(D294,Roster!$A$6:$A$108,0))&gt;=5,INDEX(Inputs!$B$15:$D$15,1,MATCH(A294,Inputs!$B$6:$D$6,0)),0)))))</x:f>
        <x:v>90</x:v>
      </x:c>
      <x:c r="M294" s="20" t="n">
        <x:f>G294*I294</x:f>
        <x:v>31135</x:v>
      </x:c>
      <x:c r="N294" s="20" t="n">
        <x:f>G294*J294</x:f>
        <x:v>7800</x:v>
      </x:c>
      <x:c r="O294" s="20" t="n">
        <x:f>G294*K294</x:f>
        <x:v>0</x:v>
      </x:c>
      <x:c r="P294" s="20" t="n">
        <x:f>G294*L294</x:f>
        <x:v>1170</x:v>
      </x:c>
      <x:c r="Q294" s="20" t="n">
        <x:f>H294*INDEX(Inputs!$B$13:$D$13,1,MATCH(A294,Inputs!$B$6:$D$6,0))</x:f>
        <x:v>390</x:v>
      </x:c>
      <x:c r="R294" s="20" t="n">
        <x:f>SUM(M294:Q294)</x:f>
        <x:v>40495</x:v>
      </x:c>
      <x:c r="S294" s="20" t="n">
        <x:f>IF(AND(A293=A294,D293=D294),S293+R294,R294)</x:f>
        <x:v>40495</x:v>
      </x:c>
      <x:c r="T294" s="20" t="n">
        <x:f>MIN(S294,INDEX(Inputs!$B$20:$D$20,1,MATCH(A294,Inputs!$B$6:$D$6,0)))*INDEX(Inputs!$B$22:$D$22,1,MATCH(A294,Inputs!$B$6:$D$6,0))+MAX(MIN(S294,INDEX(Inputs!$B$21:$D$21,1,MATCH(A294,Inputs!$B$6:$D$6,0)))-INDEX(Inputs!$B$20:$D$20,1,MATCH(A294,Inputs!$B$6:$D$6,0)),0)*INDEX(Inputs!$B$23:$D$23,1,MATCH(A294,Inputs!$B$6:$D$6,0))+MAX(S294-INDEX(Inputs!$B$21:$D$21,1,MATCH(A294,Inputs!$B$6:$D$6,0)),0)*INDEX(Inputs!$B$24:$D$24,1,MATCH(A294,Inputs!$B$6:$D$6,0))</x:f>
        <x:v>3587.8675</x:v>
      </x:c>
      <x:c r="U294" s="20" t="n">
        <x:f>IF(AND(A293=A294,D293=D294),T293,0)</x:f>
        <x:v>0</x:v>
      </x:c>
      <x:c r="V294" s="20" t="n">
        <x:f>T294-U294</x:f>
        <x:v>3587.8675</x:v>
      </x:c>
      <x:c r="W294" s="20" t="n">
        <x:f>R294+V294</x:f>
        <x:v>44082.8675</x:v>
      </x:c>
      <x:c r="X294" s="14" t="str">
        <x:f>IF(ABS(W294-SUM(M294:Q294)-V294)&lt;0.01,"OK","Check")</x:f>
        <x:v>OK</x:v>
      </x:c>
    </x:row>
    <x:row r="295">
      <x:c r="A295" s="14" t="n">
        <x:v>2026</x:v>
      </x:c>
      <x:c r="B295" s="14" t="str">
        <x:v>Q2</x:v>
      </x:c>
      <x:c r="C295" s="14" t="n">
        <x:v>2</x:v>
      </x:c>
      <x:c r="D295" s="14" t="n">
        <x:v>73</x:v>
      </x:c>
      <x:c r="E295" s="14" t="str">
        <x:f>INDEX(Roster!$B$6:$B$108,MATCH(D295,Roster!$A$6:$A$108,0))</x:f>
        <x:v>Principal</x:v>
      </x:c>
      <x:c r="F295" s="14" t="str">
        <x:f>INDEX(Roster!$F$6:$F$108,MATCH(D295,Roster!$A$6:$A$108,0))</x:f>
        <x:v>Yes</x:v>
      </x:c>
      <x:c r="G295" s="14" t="n">
        <x:f>INDEX(Inputs!$B$7:$D$7,1,MATCH(A295,Inputs!$B$6:$D$6,0))</x:f>
        <x:v>13</x:v>
      </x:c>
      <x:c r="H295" s="14" t="n">
        <x:f>MIN(=INDEX(Inputs!$B$7:$D$7,1,MATCH(A295,Inputs!$B$6:$D$6,0)),MAX(0,INDEX(Inputs!$B$14:$D$14,1,MATCH(A295,Inputs!$B$6:$D$6,0))-(C295-1)*=INDEX(Inputs!$B$7:$D$7,1,MATCH(A295,Inputs!$B$6:$D$6,0))))</x:f>
        <x:v>13</x:v>
      </x:c>
      <x:c r="I295" s="20" t="n">
        <x:f>INDEX(Inputs!$B$8:$D$8,1,MATCH(A295,Inputs!$B$6:$D$6,0))</x:f>
        <x:v>2395</x:v>
      </x:c>
      <x:c r="J295" s="20" t="n">
        <x:f>INDEX(Roster!$C$6:$C$108,MATCH(D295,Roster!$A$6:$A$108,0))*(1+INDEX(Inputs!$B$9:$D$9,1,MATCH(A295,Inputs!$B$6:$D$6,0)))</x:f>
        <x:v>600</x:v>
      </x:c>
      <x:c r="K295" s="20" t="n">
        <x:f>IF(=INDEX(Roster!$F$6:$F$108,MATCH(D295,Roster!$A$6:$A$108,0))="Yes",0,=INDEX(Inputs!$B$8:$D$8,1,MATCH(A295,Inputs!$B$6:$D$6,0))*IF(=INDEX(Roster!$B$6:$B$108,MATCH(D295,Roster!$A$6:$A$108,0))="Principal",INDEX(Inputs!$B$10:$D$10,1,MATCH(A295,Inputs!$B$6:$D$6,0)),IF(=INDEX(Roster!$B$6:$B$108,MATCH(D295,Roster!$A$6:$A$108,0))="Associate Principal",INDEX(Inputs!$B$11:$D$11,1,MATCH(A295,Inputs!$B$6:$D$6,0)),IF(=INDEX(Roster!$B$6:$B$108,MATCH(D295,Roster!$A$6:$A$108,0))="Assistant Principal",INDEX(Inputs!$B$12:$D$12,1,MATCH(A295,Inputs!$B$6:$D$6,0)),0))))</x:f>
        <x:v>0</x:v>
      </x:c>
      <x:c r="L295" s="20" t="n">
        <x:f>IF(INDEX(Roster!$D$6:$D$108,MATCH(D295,Roster!$A$6:$A$108,0))&gt;=25,INDEX(Inputs!$B$19:$D$19,1,MATCH(A295,Inputs!$B$6:$D$6,0)),IF(INDEX(Roster!$D$6:$D$108,MATCH(D295,Roster!$A$6:$A$108,0))&gt;=20,INDEX(Inputs!$B$18:$D$18,1,MATCH(A295,Inputs!$B$6:$D$6,0)),IF(INDEX(Roster!$D$6:$D$108,MATCH(D295,Roster!$A$6:$A$108,0))&gt;=15,INDEX(Inputs!$B$17:$D$17,1,MATCH(A295,Inputs!$B$6:$D$6,0)),IF(INDEX(Roster!$D$6:$D$108,MATCH(D295,Roster!$A$6:$A$108,0))&gt;=10,INDEX(Inputs!$B$16:$D$16,1,MATCH(A295,Inputs!$B$6:$D$6,0)),IF(INDEX(Roster!$D$6:$D$108,MATCH(D295,Roster!$A$6:$A$108,0))&gt;=5,INDEX(Inputs!$B$15:$D$15,1,MATCH(A295,Inputs!$B$6:$D$6,0)),0)))))</x:f>
        <x:v>90</x:v>
      </x:c>
      <x:c r="M295" s="20" t="n">
        <x:f>G295*I295</x:f>
        <x:v>31135</x:v>
      </x:c>
      <x:c r="N295" s="20" t="n">
        <x:f>G295*J295</x:f>
        <x:v>7800</x:v>
      </x:c>
      <x:c r="O295" s="20" t="n">
        <x:f>G295*K295</x:f>
        <x:v>0</x:v>
      </x:c>
      <x:c r="P295" s="20" t="n">
        <x:f>G295*L295</x:f>
        <x:v>1170</x:v>
      </x:c>
      <x:c r="Q295" s="20" t="n">
        <x:f>H295*INDEX(Inputs!$B$13:$D$13,1,MATCH(A295,Inputs!$B$6:$D$6,0))</x:f>
        <x:v>390</x:v>
      </x:c>
      <x:c r="R295" s="20" t="n">
        <x:f>SUM(M295:Q295)</x:f>
        <x:v>40495</x:v>
      </x:c>
      <x:c r="S295" s="20" t="n">
        <x:f>IF(AND(A294=A295,D294=D295),S294+R295,R295)</x:f>
        <x:v>80990</x:v>
      </x:c>
      <x:c r="T295" s="20" t="n">
        <x:f>MIN(S295,INDEX(Inputs!$B$20:$D$20,1,MATCH(A295,Inputs!$B$6:$D$6,0)))*INDEX(Inputs!$B$22:$D$22,1,MATCH(A295,Inputs!$B$6:$D$6,0))+MAX(MIN(S295,INDEX(Inputs!$B$21:$D$21,1,MATCH(A295,Inputs!$B$6:$D$6,0)))-INDEX(Inputs!$B$20:$D$20,1,MATCH(A295,Inputs!$B$6:$D$6,0)),0)*INDEX(Inputs!$B$23:$D$23,1,MATCH(A295,Inputs!$B$6:$D$6,0))+MAX(S295-INDEX(Inputs!$B$21:$D$21,1,MATCH(A295,Inputs!$B$6:$D$6,0)),0)*INDEX(Inputs!$B$24:$D$24,1,MATCH(A295,Inputs!$B$6:$D$6,0))</x:f>
        <x:v>6685.735</x:v>
      </x:c>
      <x:c r="U295" s="20" t="n">
        <x:f>IF(AND(A294=A295,D294=D295),T294,0)</x:f>
        <x:v>3587.8675</x:v>
      </x:c>
      <x:c r="V295" s="20" t="n">
        <x:f>T295-U295</x:f>
        <x:v>3097.8675</x:v>
      </x:c>
      <x:c r="W295" s="20" t="n">
        <x:f>R295+V295</x:f>
        <x:v>43592.8675</x:v>
      </x:c>
      <x:c r="X295" s="14" t="str">
        <x:f>IF(ABS(W295-SUM(M295:Q295)-V295)&lt;0.01,"OK","Check")</x:f>
        <x:v>OK</x:v>
      </x:c>
    </x:row>
    <x:row r="296">
      <x:c r="A296" s="14" t="n">
        <x:v>2026</x:v>
      </x:c>
      <x:c r="B296" s="14" t="str">
        <x:v>Q3</x:v>
      </x:c>
      <x:c r="C296" s="14" t="n">
        <x:v>3</x:v>
      </x:c>
      <x:c r="D296" s="14" t="n">
        <x:v>73</x:v>
      </x:c>
      <x:c r="E296" s="14" t="str">
        <x:f>INDEX(Roster!$B$6:$B$108,MATCH(D296,Roster!$A$6:$A$108,0))</x:f>
        <x:v>Principal</x:v>
      </x:c>
      <x:c r="F296" s="14" t="str">
        <x:f>INDEX(Roster!$F$6:$F$108,MATCH(D296,Roster!$A$6:$A$108,0))</x:f>
        <x:v>Yes</x:v>
      </x:c>
      <x:c r="G296" s="14" t="n">
        <x:f>INDEX(Inputs!$B$7:$D$7,1,MATCH(A296,Inputs!$B$6:$D$6,0))</x:f>
        <x:v>13</x:v>
      </x:c>
      <x:c r="H296" s="14" t="n">
        <x:f>MIN(=INDEX(Inputs!$B$7:$D$7,1,MATCH(A296,Inputs!$B$6:$D$6,0)),MAX(0,INDEX(Inputs!$B$14:$D$14,1,MATCH(A296,Inputs!$B$6:$D$6,0))-(C296-1)*=INDEX(Inputs!$B$7:$D$7,1,MATCH(A296,Inputs!$B$6:$D$6,0))))</x:f>
        <x:v>13</x:v>
      </x:c>
      <x:c r="I296" s="20" t="n">
        <x:f>INDEX(Inputs!$B$8:$D$8,1,MATCH(A296,Inputs!$B$6:$D$6,0))</x:f>
        <x:v>2395</x:v>
      </x:c>
      <x:c r="J296" s="20" t="n">
        <x:f>INDEX(Roster!$C$6:$C$108,MATCH(D296,Roster!$A$6:$A$108,0))*(1+INDEX(Inputs!$B$9:$D$9,1,MATCH(A296,Inputs!$B$6:$D$6,0)))</x:f>
        <x:v>600</x:v>
      </x:c>
      <x:c r="K296" s="20" t="n">
        <x:f>IF(=INDEX(Roster!$F$6:$F$108,MATCH(D296,Roster!$A$6:$A$108,0))="Yes",0,=INDEX(Inputs!$B$8:$D$8,1,MATCH(A296,Inputs!$B$6:$D$6,0))*IF(=INDEX(Roster!$B$6:$B$108,MATCH(D296,Roster!$A$6:$A$108,0))="Principal",INDEX(Inputs!$B$10:$D$10,1,MATCH(A296,Inputs!$B$6:$D$6,0)),IF(=INDEX(Roster!$B$6:$B$108,MATCH(D296,Roster!$A$6:$A$108,0))="Associate Principal",INDEX(Inputs!$B$11:$D$11,1,MATCH(A296,Inputs!$B$6:$D$6,0)),IF(=INDEX(Roster!$B$6:$B$108,MATCH(D296,Roster!$A$6:$A$108,0))="Assistant Principal",INDEX(Inputs!$B$12:$D$12,1,MATCH(A296,Inputs!$B$6:$D$6,0)),0))))</x:f>
        <x:v>0</x:v>
      </x:c>
      <x:c r="L296" s="20" t="n">
        <x:f>IF(INDEX(Roster!$D$6:$D$108,MATCH(D296,Roster!$A$6:$A$108,0))&gt;=25,INDEX(Inputs!$B$19:$D$19,1,MATCH(A296,Inputs!$B$6:$D$6,0)),IF(INDEX(Roster!$D$6:$D$108,MATCH(D296,Roster!$A$6:$A$108,0))&gt;=20,INDEX(Inputs!$B$18:$D$18,1,MATCH(A296,Inputs!$B$6:$D$6,0)),IF(INDEX(Roster!$D$6:$D$108,MATCH(D296,Roster!$A$6:$A$108,0))&gt;=15,INDEX(Inputs!$B$17:$D$17,1,MATCH(A296,Inputs!$B$6:$D$6,0)),IF(INDEX(Roster!$D$6:$D$108,MATCH(D296,Roster!$A$6:$A$108,0))&gt;=10,INDEX(Inputs!$B$16:$D$16,1,MATCH(A296,Inputs!$B$6:$D$6,0)),IF(INDEX(Roster!$D$6:$D$108,MATCH(D296,Roster!$A$6:$A$108,0))&gt;=5,INDEX(Inputs!$B$15:$D$15,1,MATCH(A296,Inputs!$B$6:$D$6,0)),0)))))</x:f>
        <x:v>90</x:v>
      </x:c>
      <x:c r="M296" s="20" t="n">
        <x:f>G296*I296</x:f>
        <x:v>31135</x:v>
      </x:c>
      <x:c r="N296" s="20" t="n">
        <x:f>G296*J296</x:f>
        <x:v>7800</x:v>
      </x:c>
      <x:c r="O296" s="20" t="n">
        <x:f>G296*K296</x:f>
        <x:v>0</x:v>
      </x:c>
      <x:c r="P296" s="20" t="n">
        <x:f>G296*L296</x:f>
        <x:v>1170</x:v>
      </x:c>
      <x:c r="Q296" s="20" t="n">
        <x:f>H296*INDEX(Inputs!$B$13:$D$13,1,MATCH(A296,Inputs!$B$6:$D$6,0))</x:f>
        <x:v>390</x:v>
      </x:c>
      <x:c r="R296" s="20" t="n">
        <x:f>SUM(M296:Q296)</x:f>
        <x:v>40495</x:v>
      </x:c>
      <x:c r="S296" s="20" t="n">
        <x:f>IF(AND(A295=A296,D295=D296),S295+R296,R296)</x:f>
        <x:v>121485</x:v>
      </x:c>
      <x:c r="T296" s="20" t="n">
        <x:f>MIN(S296,INDEX(Inputs!$B$20:$D$20,1,MATCH(A296,Inputs!$B$6:$D$6,0)))*INDEX(Inputs!$B$22:$D$22,1,MATCH(A296,Inputs!$B$6:$D$6,0))+MAX(MIN(S296,INDEX(Inputs!$B$21:$D$21,1,MATCH(A296,Inputs!$B$6:$D$6,0)))-INDEX(Inputs!$B$20:$D$20,1,MATCH(A296,Inputs!$B$6:$D$6,0)),0)*INDEX(Inputs!$B$23:$D$23,1,MATCH(A296,Inputs!$B$6:$D$6,0))+MAX(S296-INDEX(Inputs!$B$21:$D$21,1,MATCH(A296,Inputs!$B$6:$D$6,0)),0)*INDEX(Inputs!$B$24:$D$24,1,MATCH(A296,Inputs!$B$6:$D$6,0))</x:f>
        <x:v>9675.4745</x:v>
      </x:c>
      <x:c r="U296" s="20" t="n">
        <x:f>IF(AND(A295=A296,D295=D296),T295,0)</x:f>
        <x:v>6685.735</x:v>
      </x:c>
      <x:c r="V296" s="20" t="n">
        <x:f>T296-U296</x:f>
        <x:v>2989.7395000000006</x:v>
      </x:c>
      <x:c r="W296" s="20" t="n">
        <x:f>R296+V296</x:f>
        <x:v>43484.7395</x:v>
      </x:c>
      <x:c r="X296" s="14" t="str">
        <x:f>IF(ABS(W296-SUM(M296:Q296)-V296)&lt;0.01,"OK","Check")</x:f>
        <x:v>OK</x:v>
      </x:c>
    </x:row>
    <x:row r="297">
      <x:c r="A297" s="14" t="n">
        <x:v>2026</x:v>
      </x:c>
      <x:c r="B297" s="14" t="str">
        <x:v>Q4</x:v>
      </x:c>
      <x:c r="C297" s="14" t="n">
        <x:v>4</x:v>
      </x:c>
      <x:c r="D297" s="14" t="n">
        <x:v>73</x:v>
      </x:c>
      <x:c r="E297" s="14" t="str">
        <x:f>INDEX(Roster!$B$6:$B$108,MATCH(D297,Roster!$A$6:$A$108,0))</x:f>
        <x:v>Principal</x:v>
      </x:c>
      <x:c r="F297" s="14" t="str">
        <x:f>INDEX(Roster!$F$6:$F$108,MATCH(D297,Roster!$A$6:$A$108,0))</x:f>
        <x:v>Yes</x:v>
      </x:c>
      <x:c r="G297" s="14" t="n">
        <x:f>INDEX(Inputs!$B$7:$D$7,1,MATCH(A297,Inputs!$B$6:$D$6,0))</x:f>
        <x:v>13</x:v>
      </x:c>
      <x:c r="H297" s="14" t="n">
        <x:f>MIN(=INDEX(Inputs!$B$7:$D$7,1,MATCH(A297,Inputs!$B$6:$D$6,0)),MAX(0,INDEX(Inputs!$B$14:$D$14,1,MATCH(A297,Inputs!$B$6:$D$6,0))-(C297-1)*=INDEX(Inputs!$B$7:$D$7,1,MATCH(A297,Inputs!$B$6:$D$6,0))))</x:f>
        <x:v>0</x:v>
      </x:c>
      <x:c r="I297" s="20" t="n">
        <x:f>INDEX(Inputs!$B$8:$D$8,1,MATCH(A297,Inputs!$B$6:$D$6,0))</x:f>
        <x:v>2395</x:v>
      </x:c>
      <x:c r="J297" s="20" t="n">
        <x:f>INDEX(Roster!$C$6:$C$108,MATCH(D297,Roster!$A$6:$A$108,0))*(1+INDEX(Inputs!$B$9:$D$9,1,MATCH(A297,Inputs!$B$6:$D$6,0)))</x:f>
        <x:v>600</x:v>
      </x:c>
      <x:c r="K297" s="20" t="n">
        <x:f>IF(=INDEX(Roster!$F$6:$F$108,MATCH(D297,Roster!$A$6:$A$108,0))="Yes",0,=INDEX(Inputs!$B$8:$D$8,1,MATCH(A297,Inputs!$B$6:$D$6,0))*IF(=INDEX(Roster!$B$6:$B$108,MATCH(D297,Roster!$A$6:$A$108,0))="Principal",INDEX(Inputs!$B$10:$D$10,1,MATCH(A297,Inputs!$B$6:$D$6,0)),IF(=INDEX(Roster!$B$6:$B$108,MATCH(D297,Roster!$A$6:$A$108,0))="Associate Principal",INDEX(Inputs!$B$11:$D$11,1,MATCH(A297,Inputs!$B$6:$D$6,0)),IF(=INDEX(Roster!$B$6:$B$108,MATCH(D297,Roster!$A$6:$A$108,0))="Assistant Principal",INDEX(Inputs!$B$12:$D$12,1,MATCH(A297,Inputs!$B$6:$D$6,0)),0))))</x:f>
        <x:v>0</x:v>
      </x:c>
      <x:c r="L297" s="20" t="n">
        <x:f>IF(INDEX(Roster!$D$6:$D$108,MATCH(D297,Roster!$A$6:$A$108,0))&gt;=25,INDEX(Inputs!$B$19:$D$19,1,MATCH(A297,Inputs!$B$6:$D$6,0)),IF(INDEX(Roster!$D$6:$D$108,MATCH(D297,Roster!$A$6:$A$108,0))&gt;=20,INDEX(Inputs!$B$18:$D$18,1,MATCH(A297,Inputs!$B$6:$D$6,0)),IF(INDEX(Roster!$D$6:$D$108,MATCH(D297,Roster!$A$6:$A$108,0))&gt;=15,INDEX(Inputs!$B$17:$D$17,1,MATCH(A297,Inputs!$B$6:$D$6,0)),IF(INDEX(Roster!$D$6:$D$108,MATCH(D297,Roster!$A$6:$A$108,0))&gt;=10,INDEX(Inputs!$B$16:$D$16,1,MATCH(A297,Inputs!$B$6:$D$6,0)),IF(INDEX(Roster!$D$6:$D$108,MATCH(D297,Roster!$A$6:$A$108,0))&gt;=5,INDEX(Inputs!$B$15:$D$15,1,MATCH(A297,Inputs!$B$6:$D$6,0)),0)))))</x:f>
        <x:v>90</x:v>
      </x:c>
      <x:c r="M297" s="20" t="n">
        <x:f>G297*I297</x:f>
        <x:v>31135</x:v>
      </x:c>
      <x:c r="N297" s="20" t="n">
        <x:f>G297*J297</x:f>
        <x:v>7800</x:v>
      </x:c>
      <x:c r="O297" s="20" t="n">
        <x:f>G297*K297</x:f>
        <x:v>0</x:v>
      </x:c>
      <x:c r="P297" s="20" t="n">
        <x:f>G297*L297</x:f>
        <x:v>1170</x:v>
      </x:c>
      <x:c r="Q297" s="20" t="n">
        <x:f>H297*INDEX(Inputs!$B$13:$D$13,1,MATCH(A297,Inputs!$B$6:$D$6,0))</x:f>
        <x:v>0</x:v>
      </x:c>
      <x:c r="R297" s="20" t="n">
        <x:f>SUM(M297:Q297)</x:f>
        <x:v>40105</x:v>
      </x:c>
      <x:c r="S297" s="20" t="n">
        <x:f>IF(AND(A296=A297,D296=D297),S296+R297,R297)</x:f>
        <x:v>161590</x:v>
      </x:c>
      <x:c r="T297" s="20" t="n">
        <x:f>MIN(S297,INDEX(Inputs!$B$20:$D$20,1,MATCH(A297,Inputs!$B$6:$D$6,0)))*INDEX(Inputs!$B$22:$D$22,1,MATCH(A297,Inputs!$B$6:$D$6,0))+MAX(MIN(S297,INDEX(Inputs!$B$21:$D$21,1,MATCH(A297,Inputs!$B$6:$D$6,0)))-INDEX(Inputs!$B$20:$D$20,1,MATCH(A297,Inputs!$B$6:$D$6,0)),0)*INDEX(Inputs!$B$23:$D$23,1,MATCH(A297,Inputs!$B$6:$D$6,0))+MAX(S297-INDEX(Inputs!$B$21:$D$21,1,MATCH(A297,Inputs!$B$6:$D$6,0)),0)*INDEX(Inputs!$B$24:$D$24,1,MATCH(A297,Inputs!$B$6:$D$6,0))</x:f>
        <x:v>10256.997</x:v>
      </x:c>
      <x:c r="U297" s="20" t="n">
        <x:f>IF(AND(A296=A297,D296=D297),T296,0)</x:f>
        <x:v>9675.4745</x:v>
      </x:c>
      <x:c r="V297" s="20" t="n">
        <x:f>T297-U297</x:f>
        <x:v>581.5224999999991</x:v>
      </x:c>
      <x:c r="W297" s="20" t="n">
        <x:f>R297+V297</x:f>
        <x:v>40686.5225</x:v>
      </x:c>
      <x:c r="X297" s="14" t="str">
        <x:f>IF(ABS(W297-SUM(M297:Q297)-V297)&lt;0.01,"OK","Check")</x:f>
        <x:v>OK</x:v>
      </x:c>
    </x:row>
    <x:row r="298">
      <x:c r="A298" s="14" t="n">
        <x:v>2026</x:v>
      </x:c>
      <x:c r="B298" s="14" t="str">
        <x:v>Q1</x:v>
      </x:c>
      <x:c r="C298" s="14" t="n">
        <x:v>1</x:v>
      </x:c>
      <x:c r="D298" s="14" t="n">
        <x:v>74</x:v>
      </x:c>
      <x:c r="E298" s="14" t="str">
        <x:f>INDEX(Roster!$B$6:$B$108,MATCH(D298,Roster!$A$6:$A$108,0))</x:f>
      </x:c>
      <x:c r="F298" s="14" t="str">
        <x:f>INDEX(Roster!$F$6:$F$108,MATCH(D298,Roster!$A$6:$A$108,0))</x:f>
        <x:v>No</x:v>
      </x:c>
      <x:c r="G298" s="14" t="n">
        <x:f>INDEX(Inputs!$B$7:$D$7,1,MATCH(A298,Inputs!$B$6:$D$6,0))</x:f>
        <x:v>13</x:v>
      </x:c>
      <x:c r="H298" s="14" t="n">
        <x:f>MIN(=INDEX(Inputs!$B$7:$D$7,1,MATCH(A298,Inputs!$B$6:$D$6,0)),MAX(0,INDEX(Inputs!$B$14:$D$14,1,MATCH(A298,Inputs!$B$6:$D$6,0))-(C298-1)*=INDEX(Inputs!$B$7:$D$7,1,MATCH(A298,Inputs!$B$6:$D$6,0))))</x:f>
        <x:v>13</x:v>
      </x:c>
      <x:c r="I298" s="20" t="n">
        <x:f>INDEX(Inputs!$B$8:$D$8,1,MATCH(A298,Inputs!$B$6:$D$6,0))</x:f>
        <x:v>2395</x:v>
      </x:c>
      <x:c r="J298" s="20" t="n">
        <x:f>INDEX(Roster!$C$6:$C$108,MATCH(D298,Roster!$A$6:$A$108,0))*(1+INDEX(Inputs!$B$9:$D$9,1,MATCH(A298,Inputs!$B$6:$D$6,0)))</x:f>
        <x:v>75</x:v>
      </x:c>
      <x:c r="K298" s="20" t="n">
        <x:f>IF(=INDEX(Roster!$F$6:$F$108,MATCH(D298,Roster!$A$6:$A$108,0))="Yes",0,=INDEX(Inputs!$B$8:$D$8,1,MATCH(A298,Inputs!$B$6:$D$6,0))*IF(=INDEX(Roster!$B$6:$B$108,MATCH(D298,Roster!$A$6:$A$108,0))="Principal",INDEX(Inputs!$B$10:$D$10,1,MATCH(A298,Inputs!$B$6:$D$6,0)),IF(=INDEX(Roster!$B$6:$B$108,MATCH(D298,Roster!$A$6:$A$108,0))="Associate Principal",INDEX(Inputs!$B$11:$D$11,1,MATCH(A298,Inputs!$B$6:$D$6,0)),IF(=INDEX(Roster!$B$6:$B$108,MATCH(D298,Roster!$A$6:$A$108,0))="Assistant Principal",INDEX(Inputs!$B$12:$D$12,1,MATCH(A298,Inputs!$B$6:$D$6,0)),0))))</x:f>
        <x:v>0</x:v>
      </x:c>
      <x:c r="L298" s="20" t="n">
        <x:f>IF(INDEX(Roster!$D$6:$D$108,MATCH(D298,Roster!$A$6:$A$108,0))&gt;=25,INDEX(Inputs!$B$19:$D$19,1,MATCH(A298,Inputs!$B$6:$D$6,0)),IF(INDEX(Roster!$D$6:$D$108,MATCH(D298,Roster!$A$6:$A$108,0))&gt;=20,INDEX(Inputs!$B$18:$D$18,1,MATCH(A298,Inputs!$B$6:$D$6,0)),IF(INDEX(Roster!$D$6:$D$108,MATCH(D298,Roster!$A$6:$A$108,0))&gt;=15,INDEX(Inputs!$B$17:$D$17,1,MATCH(A298,Inputs!$B$6:$D$6,0)),IF(INDEX(Roster!$D$6:$D$108,MATCH(D298,Roster!$A$6:$A$108,0))&gt;=10,INDEX(Inputs!$B$16:$D$16,1,MATCH(A298,Inputs!$B$6:$D$6,0)),IF(INDEX(Roster!$D$6:$D$108,MATCH(D298,Roster!$A$6:$A$108,0))&gt;=5,INDEX(Inputs!$B$15:$D$15,1,MATCH(A298,Inputs!$B$6:$D$6,0)),0)))))</x:f>
        <x:v>90</x:v>
      </x:c>
      <x:c r="M298" s="20" t="n">
        <x:f>G298*I298</x:f>
        <x:v>31135</x:v>
      </x:c>
      <x:c r="N298" s="20" t="n">
        <x:f>G298*J298</x:f>
        <x:v>975</x:v>
      </x:c>
      <x:c r="O298" s="20" t="n">
        <x:f>G298*K298</x:f>
        <x:v>0</x:v>
      </x:c>
      <x:c r="P298" s="20" t="n">
        <x:f>G298*L298</x:f>
        <x:v>1170</x:v>
      </x:c>
      <x:c r="Q298" s="20" t="n">
        <x:f>H298*INDEX(Inputs!$B$13:$D$13,1,MATCH(A298,Inputs!$B$6:$D$6,0))</x:f>
        <x:v>390</x:v>
      </x:c>
      <x:c r="R298" s="20" t="n">
        <x:f>SUM(M298:Q298)</x:f>
        <x:v>33670</x:v>
      </x:c>
      <x:c r="S298" s="20" t="n">
        <x:f>IF(AND(A297=A298,D297=D298),S297+R298,R298)</x:f>
        <x:v>33670</x:v>
      </x:c>
      <x:c r="T298" s="20" t="n">
        <x:f>MIN(S298,INDEX(Inputs!$B$20:$D$20,1,MATCH(A298,Inputs!$B$6:$D$6,0)))*INDEX(Inputs!$B$22:$D$22,1,MATCH(A298,Inputs!$B$6:$D$6,0))+MAX(MIN(S298,INDEX(Inputs!$B$21:$D$21,1,MATCH(A298,Inputs!$B$6:$D$6,0)))-INDEX(Inputs!$B$20:$D$20,1,MATCH(A298,Inputs!$B$6:$D$6,0)),0)*INDEX(Inputs!$B$23:$D$23,1,MATCH(A298,Inputs!$B$6:$D$6,0))+MAX(S298-INDEX(Inputs!$B$21:$D$21,1,MATCH(A298,Inputs!$B$6:$D$6,0)),0)*INDEX(Inputs!$B$24:$D$24,1,MATCH(A298,Inputs!$B$6:$D$6,0))</x:f>
        <x:v>3065.755</x:v>
      </x:c>
      <x:c r="U298" s="20" t="n">
        <x:f>IF(AND(A297=A298,D297=D298),T297,0)</x:f>
        <x:v>0</x:v>
      </x:c>
      <x:c r="V298" s="20" t="n">
        <x:f>T298-U298</x:f>
        <x:v>3065.755</x:v>
      </x:c>
      <x:c r="W298" s="20" t="n">
        <x:f>R298+V298</x:f>
        <x:v>36735.755</x:v>
      </x:c>
      <x:c r="X298" s="14" t="str">
        <x:f>IF(ABS(W298-SUM(M298:Q298)-V298)&lt;0.01,"OK","Check")</x:f>
        <x:v>OK</x:v>
      </x:c>
    </x:row>
    <x:row r="299">
      <x:c r="A299" s="14" t="n">
        <x:v>2026</x:v>
      </x:c>
      <x:c r="B299" s="14" t="str">
        <x:v>Q2</x:v>
      </x:c>
      <x:c r="C299" s="14" t="n">
        <x:v>2</x:v>
      </x:c>
      <x:c r="D299" s="14" t="n">
        <x:v>74</x:v>
      </x:c>
      <x:c r="E299" s="14" t="str">
        <x:f>INDEX(Roster!$B$6:$B$108,MATCH(D299,Roster!$A$6:$A$108,0))</x:f>
      </x:c>
      <x:c r="F299" s="14" t="str">
        <x:f>INDEX(Roster!$F$6:$F$108,MATCH(D299,Roster!$A$6:$A$108,0))</x:f>
        <x:v>No</x:v>
      </x:c>
      <x:c r="G299" s="14" t="n">
        <x:f>INDEX(Inputs!$B$7:$D$7,1,MATCH(A299,Inputs!$B$6:$D$6,0))</x:f>
        <x:v>13</x:v>
      </x:c>
      <x:c r="H299" s="14" t="n">
        <x:f>MIN(=INDEX(Inputs!$B$7:$D$7,1,MATCH(A299,Inputs!$B$6:$D$6,0)),MAX(0,INDEX(Inputs!$B$14:$D$14,1,MATCH(A299,Inputs!$B$6:$D$6,0))-(C299-1)*=INDEX(Inputs!$B$7:$D$7,1,MATCH(A299,Inputs!$B$6:$D$6,0))))</x:f>
        <x:v>13</x:v>
      </x:c>
      <x:c r="I299" s="20" t="n">
        <x:f>INDEX(Inputs!$B$8:$D$8,1,MATCH(A299,Inputs!$B$6:$D$6,0))</x:f>
        <x:v>2395</x:v>
      </x:c>
      <x:c r="J299" s="20" t="n">
        <x:f>INDEX(Roster!$C$6:$C$108,MATCH(D299,Roster!$A$6:$A$108,0))*(1+INDEX(Inputs!$B$9:$D$9,1,MATCH(A299,Inputs!$B$6:$D$6,0)))</x:f>
        <x:v>75</x:v>
      </x:c>
      <x:c r="K299" s="20" t="n">
        <x:f>IF(=INDEX(Roster!$F$6:$F$108,MATCH(D299,Roster!$A$6:$A$108,0))="Yes",0,=INDEX(Inputs!$B$8:$D$8,1,MATCH(A299,Inputs!$B$6:$D$6,0))*IF(=INDEX(Roster!$B$6:$B$108,MATCH(D299,Roster!$A$6:$A$108,0))="Principal",INDEX(Inputs!$B$10:$D$10,1,MATCH(A299,Inputs!$B$6:$D$6,0)),IF(=INDEX(Roster!$B$6:$B$108,MATCH(D299,Roster!$A$6:$A$108,0))="Associate Principal",INDEX(Inputs!$B$11:$D$11,1,MATCH(A299,Inputs!$B$6:$D$6,0)),IF(=INDEX(Roster!$B$6:$B$108,MATCH(D299,Roster!$A$6:$A$108,0))="Assistant Principal",INDEX(Inputs!$B$12:$D$12,1,MATCH(A299,Inputs!$B$6:$D$6,0)),0))))</x:f>
        <x:v>0</x:v>
      </x:c>
      <x:c r="L299" s="20" t="n">
        <x:f>IF(INDEX(Roster!$D$6:$D$108,MATCH(D299,Roster!$A$6:$A$108,0))&gt;=25,INDEX(Inputs!$B$19:$D$19,1,MATCH(A299,Inputs!$B$6:$D$6,0)),IF(INDEX(Roster!$D$6:$D$108,MATCH(D299,Roster!$A$6:$A$108,0))&gt;=20,INDEX(Inputs!$B$18:$D$18,1,MATCH(A299,Inputs!$B$6:$D$6,0)),IF(INDEX(Roster!$D$6:$D$108,MATCH(D299,Roster!$A$6:$A$108,0))&gt;=15,INDEX(Inputs!$B$17:$D$17,1,MATCH(A299,Inputs!$B$6:$D$6,0)),IF(INDEX(Roster!$D$6:$D$108,MATCH(D299,Roster!$A$6:$A$108,0))&gt;=10,INDEX(Inputs!$B$16:$D$16,1,MATCH(A299,Inputs!$B$6:$D$6,0)),IF(INDEX(Roster!$D$6:$D$108,MATCH(D299,Roster!$A$6:$A$108,0))&gt;=5,INDEX(Inputs!$B$15:$D$15,1,MATCH(A299,Inputs!$B$6:$D$6,0)),0)))))</x:f>
        <x:v>90</x:v>
      </x:c>
      <x:c r="M299" s="20" t="n">
        <x:f>G299*I299</x:f>
        <x:v>31135</x:v>
      </x:c>
      <x:c r="N299" s="20" t="n">
        <x:f>G299*J299</x:f>
        <x:v>975</x:v>
      </x:c>
      <x:c r="O299" s="20" t="n">
        <x:f>G299*K299</x:f>
        <x:v>0</x:v>
      </x:c>
      <x:c r="P299" s="20" t="n">
        <x:f>G299*L299</x:f>
        <x:v>1170</x:v>
      </x:c>
      <x:c r="Q299" s="20" t="n">
        <x:f>H299*INDEX(Inputs!$B$13:$D$13,1,MATCH(A299,Inputs!$B$6:$D$6,0))</x:f>
        <x:v>390</x:v>
      </x:c>
      <x:c r="R299" s="20" t="n">
        <x:f>SUM(M299:Q299)</x:f>
        <x:v>33670</x:v>
      </x:c>
      <x:c r="S299" s="20" t="n">
        <x:f>IF(AND(A298=A299,D298=D299),S298+R299,R299)</x:f>
        <x:v>67340</x:v>
      </x:c>
      <x:c r="T299" s="20" t="n">
        <x:f>MIN(S299,INDEX(Inputs!$B$20:$D$20,1,MATCH(A299,Inputs!$B$6:$D$6,0)))*INDEX(Inputs!$B$22:$D$22,1,MATCH(A299,Inputs!$B$6:$D$6,0))+MAX(MIN(S299,INDEX(Inputs!$B$21:$D$21,1,MATCH(A299,Inputs!$B$6:$D$6,0)))-INDEX(Inputs!$B$20:$D$20,1,MATCH(A299,Inputs!$B$6:$D$6,0)),0)*INDEX(Inputs!$B$23:$D$23,1,MATCH(A299,Inputs!$B$6:$D$6,0))+MAX(S299-INDEX(Inputs!$B$21:$D$21,1,MATCH(A299,Inputs!$B$6:$D$6,0)),0)*INDEX(Inputs!$B$24:$D$24,1,MATCH(A299,Inputs!$B$6:$D$6,0))</x:f>
        <x:v>5641.51</x:v>
      </x:c>
      <x:c r="U299" s="20" t="n">
        <x:f>IF(AND(A298=A299,D298=D299),T298,0)</x:f>
        <x:v>3065.755</x:v>
      </x:c>
      <x:c r="V299" s="20" t="n">
        <x:f>T299-U299</x:f>
        <x:v>2575.755</x:v>
      </x:c>
      <x:c r="W299" s="20" t="n">
        <x:f>R299+V299</x:f>
        <x:v>36245.755</x:v>
      </x:c>
      <x:c r="X299" s="14" t="str">
        <x:f>IF(ABS(W299-SUM(M299:Q299)-V299)&lt;0.01,"OK","Check")</x:f>
        <x:v>OK</x:v>
      </x:c>
    </x:row>
    <x:row r="300">
      <x:c r="A300" s="14" t="n">
        <x:v>2026</x:v>
      </x:c>
      <x:c r="B300" s="14" t="str">
        <x:v>Q3</x:v>
      </x:c>
      <x:c r="C300" s="14" t="n">
        <x:v>3</x:v>
      </x:c>
      <x:c r="D300" s="14" t="n">
        <x:v>74</x:v>
      </x:c>
      <x:c r="E300" s="14" t="str">
        <x:f>INDEX(Roster!$B$6:$B$108,MATCH(D300,Roster!$A$6:$A$108,0))</x:f>
      </x:c>
      <x:c r="F300" s="14" t="str">
        <x:f>INDEX(Roster!$F$6:$F$108,MATCH(D300,Roster!$A$6:$A$108,0))</x:f>
        <x:v>No</x:v>
      </x:c>
      <x:c r="G300" s="14" t="n">
        <x:f>INDEX(Inputs!$B$7:$D$7,1,MATCH(A300,Inputs!$B$6:$D$6,0))</x:f>
        <x:v>13</x:v>
      </x:c>
      <x:c r="H300" s="14" t="n">
        <x:f>MIN(=INDEX(Inputs!$B$7:$D$7,1,MATCH(A300,Inputs!$B$6:$D$6,0)),MAX(0,INDEX(Inputs!$B$14:$D$14,1,MATCH(A300,Inputs!$B$6:$D$6,0))-(C300-1)*=INDEX(Inputs!$B$7:$D$7,1,MATCH(A300,Inputs!$B$6:$D$6,0))))</x:f>
        <x:v>13</x:v>
      </x:c>
      <x:c r="I300" s="20" t="n">
        <x:f>INDEX(Inputs!$B$8:$D$8,1,MATCH(A300,Inputs!$B$6:$D$6,0))</x:f>
        <x:v>2395</x:v>
      </x:c>
      <x:c r="J300" s="20" t="n">
        <x:f>INDEX(Roster!$C$6:$C$108,MATCH(D300,Roster!$A$6:$A$108,0))*(1+INDEX(Inputs!$B$9:$D$9,1,MATCH(A300,Inputs!$B$6:$D$6,0)))</x:f>
        <x:v>75</x:v>
      </x:c>
      <x:c r="K300" s="20" t="n">
        <x:f>IF(=INDEX(Roster!$F$6:$F$108,MATCH(D300,Roster!$A$6:$A$108,0))="Yes",0,=INDEX(Inputs!$B$8:$D$8,1,MATCH(A300,Inputs!$B$6:$D$6,0))*IF(=INDEX(Roster!$B$6:$B$108,MATCH(D300,Roster!$A$6:$A$108,0))="Principal",INDEX(Inputs!$B$10:$D$10,1,MATCH(A300,Inputs!$B$6:$D$6,0)),IF(=INDEX(Roster!$B$6:$B$108,MATCH(D300,Roster!$A$6:$A$108,0))="Associate Principal",INDEX(Inputs!$B$11:$D$11,1,MATCH(A300,Inputs!$B$6:$D$6,0)),IF(=INDEX(Roster!$B$6:$B$108,MATCH(D300,Roster!$A$6:$A$108,0))="Assistant Principal",INDEX(Inputs!$B$12:$D$12,1,MATCH(A300,Inputs!$B$6:$D$6,0)),0))))</x:f>
        <x:v>0</x:v>
      </x:c>
      <x:c r="L300" s="20" t="n">
        <x:f>IF(INDEX(Roster!$D$6:$D$108,MATCH(D300,Roster!$A$6:$A$108,0))&gt;=25,INDEX(Inputs!$B$19:$D$19,1,MATCH(A300,Inputs!$B$6:$D$6,0)),IF(INDEX(Roster!$D$6:$D$108,MATCH(D300,Roster!$A$6:$A$108,0))&gt;=20,INDEX(Inputs!$B$18:$D$18,1,MATCH(A300,Inputs!$B$6:$D$6,0)),IF(INDEX(Roster!$D$6:$D$108,MATCH(D300,Roster!$A$6:$A$108,0))&gt;=15,INDEX(Inputs!$B$17:$D$17,1,MATCH(A300,Inputs!$B$6:$D$6,0)),IF(INDEX(Roster!$D$6:$D$108,MATCH(D300,Roster!$A$6:$A$108,0))&gt;=10,INDEX(Inputs!$B$16:$D$16,1,MATCH(A300,Inputs!$B$6:$D$6,0)),IF(INDEX(Roster!$D$6:$D$108,MATCH(D300,Roster!$A$6:$A$108,0))&gt;=5,INDEX(Inputs!$B$15:$D$15,1,MATCH(A300,Inputs!$B$6:$D$6,0)),0)))))</x:f>
        <x:v>90</x:v>
      </x:c>
      <x:c r="M300" s="20" t="n">
        <x:f>G300*I300</x:f>
        <x:v>31135</x:v>
      </x:c>
      <x:c r="N300" s="20" t="n">
        <x:f>G300*J300</x:f>
        <x:v>975</x:v>
      </x:c>
      <x:c r="O300" s="20" t="n">
        <x:f>G300*K300</x:f>
        <x:v>0</x:v>
      </x:c>
      <x:c r="P300" s="20" t="n">
        <x:f>G300*L300</x:f>
        <x:v>1170</x:v>
      </x:c>
      <x:c r="Q300" s="20" t="n">
        <x:f>H300*INDEX(Inputs!$B$13:$D$13,1,MATCH(A300,Inputs!$B$6:$D$6,0))</x:f>
        <x:v>390</x:v>
      </x:c>
      <x:c r="R300" s="20" t="n">
        <x:f>SUM(M300:Q300)</x:f>
        <x:v>33670</x:v>
      </x:c>
      <x:c r="S300" s="20" t="n">
        <x:f>IF(AND(A299=A300,D299=D300),S299+R300,R300)</x:f>
        <x:v>101010</x:v>
      </x:c>
      <x:c r="T300" s="20" t="n">
        <x:f>MIN(S300,INDEX(Inputs!$B$20:$D$20,1,MATCH(A300,Inputs!$B$6:$D$6,0)))*INDEX(Inputs!$B$22:$D$22,1,MATCH(A300,Inputs!$B$6:$D$6,0))+MAX(MIN(S300,INDEX(Inputs!$B$21:$D$21,1,MATCH(A300,Inputs!$B$6:$D$6,0)))-INDEX(Inputs!$B$20:$D$20,1,MATCH(A300,Inputs!$B$6:$D$6,0)),0)*INDEX(Inputs!$B$23:$D$23,1,MATCH(A300,Inputs!$B$6:$D$6,0))+MAX(S300-INDEX(Inputs!$B$21:$D$21,1,MATCH(A300,Inputs!$B$6:$D$6,0)),0)*INDEX(Inputs!$B$24:$D$24,1,MATCH(A300,Inputs!$B$6:$D$6,0))</x:f>
        <x:v>8217.265</x:v>
      </x:c>
      <x:c r="U300" s="20" t="n">
        <x:f>IF(AND(A299=A300,D299=D300),T299,0)</x:f>
        <x:v>5641.51</x:v>
      </x:c>
      <x:c r="V300" s="20" t="n">
        <x:f>T300-U300</x:f>
        <x:v>2575.754999999999</x:v>
      </x:c>
      <x:c r="W300" s="20" t="n">
        <x:f>R300+V300</x:f>
        <x:v>36245.755</x:v>
      </x:c>
      <x:c r="X300" s="14" t="str">
        <x:f>IF(ABS(W300-SUM(M300:Q300)-V300)&lt;0.01,"OK","Check")</x:f>
        <x:v>OK</x:v>
      </x:c>
    </x:row>
    <x:row r="301">
      <x:c r="A301" s="14" t="n">
        <x:v>2026</x:v>
      </x:c>
      <x:c r="B301" s="14" t="str">
        <x:v>Q4</x:v>
      </x:c>
      <x:c r="C301" s="14" t="n">
        <x:v>4</x:v>
      </x:c>
      <x:c r="D301" s="14" t="n">
        <x:v>74</x:v>
      </x:c>
      <x:c r="E301" s="14" t="str">
        <x:f>INDEX(Roster!$B$6:$B$108,MATCH(D301,Roster!$A$6:$A$108,0))</x:f>
      </x:c>
      <x:c r="F301" s="14" t="str">
        <x:f>INDEX(Roster!$F$6:$F$108,MATCH(D301,Roster!$A$6:$A$108,0))</x:f>
        <x:v>No</x:v>
      </x:c>
      <x:c r="G301" s="14" t="n">
        <x:f>INDEX(Inputs!$B$7:$D$7,1,MATCH(A301,Inputs!$B$6:$D$6,0))</x:f>
        <x:v>13</x:v>
      </x:c>
      <x:c r="H301" s="14" t="n">
        <x:f>MIN(=INDEX(Inputs!$B$7:$D$7,1,MATCH(A301,Inputs!$B$6:$D$6,0)),MAX(0,INDEX(Inputs!$B$14:$D$14,1,MATCH(A301,Inputs!$B$6:$D$6,0))-(C301-1)*=INDEX(Inputs!$B$7:$D$7,1,MATCH(A301,Inputs!$B$6:$D$6,0))))</x:f>
        <x:v>0</x:v>
      </x:c>
      <x:c r="I301" s="20" t="n">
        <x:f>INDEX(Inputs!$B$8:$D$8,1,MATCH(A301,Inputs!$B$6:$D$6,0))</x:f>
        <x:v>2395</x:v>
      </x:c>
      <x:c r="J301" s="20" t="n">
        <x:f>INDEX(Roster!$C$6:$C$108,MATCH(D301,Roster!$A$6:$A$108,0))*(1+INDEX(Inputs!$B$9:$D$9,1,MATCH(A301,Inputs!$B$6:$D$6,0)))</x:f>
        <x:v>75</x:v>
      </x:c>
      <x:c r="K301" s="20" t="n">
        <x:f>IF(=INDEX(Roster!$F$6:$F$108,MATCH(D301,Roster!$A$6:$A$108,0))="Yes",0,=INDEX(Inputs!$B$8:$D$8,1,MATCH(A301,Inputs!$B$6:$D$6,0))*IF(=INDEX(Roster!$B$6:$B$108,MATCH(D301,Roster!$A$6:$A$108,0))="Principal",INDEX(Inputs!$B$10:$D$10,1,MATCH(A301,Inputs!$B$6:$D$6,0)),IF(=INDEX(Roster!$B$6:$B$108,MATCH(D301,Roster!$A$6:$A$108,0))="Associate Principal",INDEX(Inputs!$B$11:$D$11,1,MATCH(A301,Inputs!$B$6:$D$6,0)),IF(=INDEX(Roster!$B$6:$B$108,MATCH(D301,Roster!$A$6:$A$108,0))="Assistant Principal",INDEX(Inputs!$B$12:$D$12,1,MATCH(A301,Inputs!$B$6:$D$6,0)),0))))</x:f>
        <x:v>0</x:v>
      </x:c>
      <x:c r="L301" s="20" t="n">
        <x:f>IF(INDEX(Roster!$D$6:$D$108,MATCH(D301,Roster!$A$6:$A$108,0))&gt;=25,INDEX(Inputs!$B$19:$D$19,1,MATCH(A301,Inputs!$B$6:$D$6,0)),IF(INDEX(Roster!$D$6:$D$108,MATCH(D301,Roster!$A$6:$A$108,0))&gt;=20,INDEX(Inputs!$B$18:$D$18,1,MATCH(A301,Inputs!$B$6:$D$6,0)),IF(INDEX(Roster!$D$6:$D$108,MATCH(D301,Roster!$A$6:$A$108,0))&gt;=15,INDEX(Inputs!$B$17:$D$17,1,MATCH(A301,Inputs!$B$6:$D$6,0)),IF(INDEX(Roster!$D$6:$D$108,MATCH(D301,Roster!$A$6:$A$108,0))&gt;=10,INDEX(Inputs!$B$16:$D$16,1,MATCH(A301,Inputs!$B$6:$D$6,0)),IF(INDEX(Roster!$D$6:$D$108,MATCH(D301,Roster!$A$6:$A$108,0))&gt;=5,INDEX(Inputs!$B$15:$D$15,1,MATCH(A301,Inputs!$B$6:$D$6,0)),0)))))</x:f>
        <x:v>90</x:v>
      </x:c>
      <x:c r="M301" s="20" t="n">
        <x:f>G301*I301</x:f>
        <x:v>31135</x:v>
      </x:c>
      <x:c r="N301" s="20" t="n">
        <x:f>G301*J301</x:f>
        <x:v>975</x:v>
      </x:c>
      <x:c r="O301" s="20" t="n">
        <x:f>G301*K301</x:f>
        <x:v>0</x:v>
      </x:c>
      <x:c r="P301" s="20" t="n">
        <x:f>G301*L301</x:f>
        <x:v>1170</x:v>
      </x:c>
      <x:c r="Q301" s="20" t="n">
        <x:f>H301*INDEX(Inputs!$B$13:$D$13,1,MATCH(A301,Inputs!$B$6:$D$6,0))</x:f>
        <x:v>0</x:v>
      </x:c>
      <x:c r="R301" s="20" t="n">
        <x:f>SUM(M301:Q301)</x:f>
        <x:v>33280</x:v>
      </x:c>
      <x:c r="S301" s="20" t="n">
        <x:f>IF(AND(A300=A301,D300=D301),S300+R301,R301)</x:f>
        <x:v>134290</x:v>
      </x:c>
      <x:c r="T301" s="20" t="n">
        <x:f>MIN(S301,INDEX(Inputs!$B$20:$D$20,1,MATCH(A301,Inputs!$B$6:$D$6,0)))*INDEX(Inputs!$B$22:$D$22,1,MATCH(A301,Inputs!$B$6:$D$6,0))+MAX(MIN(S301,INDEX(Inputs!$B$21:$D$21,1,MATCH(A301,Inputs!$B$6:$D$6,0)))-INDEX(Inputs!$B$20:$D$20,1,MATCH(A301,Inputs!$B$6:$D$6,0)),0)*INDEX(Inputs!$B$23:$D$23,1,MATCH(A301,Inputs!$B$6:$D$6,0))+MAX(S301-INDEX(Inputs!$B$21:$D$21,1,MATCH(A301,Inputs!$B$6:$D$6,0)),0)*INDEX(Inputs!$B$24:$D$24,1,MATCH(A301,Inputs!$B$6:$D$6,0))</x:f>
        <x:v>9861.146999999999</x:v>
      </x:c>
      <x:c r="U301" s="20" t="n">
        <x:f>IF(AND(A300=A301,D300=D301),T300,0)</x:f>
        <x:v>8217.265</x:v>
      </x:c>
      <x:c r="V301" s="20" t="n">
        <x:f>T301-U301</x:f>
        <x:v>1643.8819999999996</x:v>
      </x:c>
      <x:c r="W301" s="20" t="n">
        <x:f>R301+V301</x:f>
        <x:v>34923.882</x:v>
      </x:c>
      <x:c r="X301" s="14" t="str">
        <x:f>IF(ABS(W301-SUM(M301:Q301)-V301)&lt;0.01,"OK","Check")</x:f>
        <x:v>OK</x:v>
      </x:c>
    </x:row>
    <x:row r="302">
      <x:c r="A302" s="14" t="n">
        <x:v>2026</x:v>
      </x:c>
      <x:c r="B302" s="14" t="str">
        <x:v>Q1</x:v>
      </x:c>
      <x:c r="C302" s="14" t="n">
        <x:v>1</x:v>
      </x:c>
      <x:c r="D302" s="14" t="n">
        <x:v>75</x:v>
      </x:c>
      <x:c r="E302" s="14" t="str">
        <x:f>INDEX(Roster!$B$6:$B$108,MATCH(D302,Roster!$A$6:$A$108,0))</x:f>
        <x:v>Associate Principal</x:v>
      </x:c>
      <x:c r="F302" s="14" t="str">
        <x:f>INDEX(Roster!$F$6:$F$108,MATCH(D302,Roster!$A$6:$A$108,0))</x:f>
        <x:v>Yes</x:v>
      </x:c>
      <x:c r="G302" s="14" t="n">
        <x:f>INDEX(Inputs!$B$7:$D$7,1,MATCH(A302,Inputs!$B$6:$D$6,0))</x:f>
        <x:v>13</x:v>
      </x:c>
      <x:c r="H302" s="14" t="n">
        <x:f>MIN(=INDEX(Inputs!$B$7:$D$7,1,MATCH(A302,Inputs!$B$6:$D$6,0)),MAX(0,INDEX(Inputs!$B$14:$D$14,1,MATCH(A302,Inputs!$B$6:$D$6,0))-(C302-1)*=INDEX(Inputs!$B$7:$D$7,1,MATCH(A302,Inputs!$B$6:$D$6,0))))</x:f>
        <x:v>13</x:v>
      </x:c>
      <x:c r="I302" s="20" t="n">
        <x:f>INDEX(Inputs!$B$8:$D$8,1,MATCH(A302,Inputs!$B$6:$D$6,0))</x:f>
        <x:v>2395</x:v>
      </x:c>
      <x:c r="J302" s="20" t="n">
        <x:f>INDEX(Roster!$C$6:$C$108,MATCH(D302,Roster!$A$6:$A$108,0))*(1+INDEX(Inputs!$B$9:$D$9,1,MATCH(A302,Inputs!$B$6:$D$6,0)))</x:f>
        <x:v>350</x:v>
      </x:c>
      <x:c r="K302" s="20" t="n">
        <x:f>IF(=INDEX(Roster!$F$6:$F$108,MATCH(D302,Roster!$A$6:$A$108,0))="Yes",0,=INDEX(Inputs!$B$8:$D$8,1,MATCH(A302,Inputs!$B$6:$D$6,0))*IF(=INDEX(Roster!$B$6:$B$108,MATCH(D302,Roster!$A$6:$A$108,0))="Principal",INDEX(Inputs!$B$10:$D$10,1,MATCH(A302,Inputs!$B$6:$D$6,0)),IF(=INDEX(Roster!$B$6:$B$108,MATCH(D302,Roster!$A$6:$A$108,0))="Associate Principal",INDEX(Inputs!$B$11:$D$11,1,MATCH(A302,Inputs!$B$6:$D$6,0)),IF(=INDEX(Roster!$B$6:$B$108,MATCH(D302,Roster!$A$6:$A$108,0))="Assistant Principal",INDEX(Inputs!$B$12:$D$12,1,MATCH(A302,Inputs!$B$6:$D$6,0)),0))))</x:f>
        <x:v>0</x:v>
      </x:c>
      <x:c r="L302" s="20" t="n">
        <x:f>IF(INDEX(Roster!$D$6:$D$108,MATCH(D302,Roster!$A$6:$A$108,0))&gt;=25,INDEX(Inputs!$B$19:$D$19,1,MATCH(A302,Inputs!$B$6:$D$6,0)),IF(INDEX(Roster!$D$6:$D$108,MATCH(D302,Roster!$A$6:$A$108,0))&gt;=20,INDEX(Inputs!$B$18:$D$18,1,MATCH(A302,Inputs!$B$6:$D$6,0)),IF(INDEX(Roster!$D$6:$D$108,MATCH(D302,Roster!$A$6:$A$108,0))&gt;=15,INDEX(Inputs!$B$17:$D$17,1,MATCH(A302,Inputs!$B$6:$D$6,0)),IF(INDEX(Roster!$D$6:$D$108,MATCH(D302,Roster!$A$6:$A$108,0))&gt;=10,INDEX(Inputs!$B$16:$D$16,1,MATCH(A302,Inputs!$B$6:$D$6,0)),IF(INDEX(Roster!$D$6:$D$108,MATCH(D302,Roster!$A$6:$A$108,0))&gt;=5,INDEX(Inputs!$B$15:$D$15,1,MATCH(A302,Inputs!$B$6:$D$6,0)),0)))))</x:f>
        <x:v>90</x:v>
      </x:c>
      <x:c r="M302" s="20" t="n">
        <x:f>G302*I302</x:f>
        <x:v>31135</x:v>
      </x:c>
      <x:c r="N302" s="20" t="n">
        <x:f>G302*J302</x:f>
        <x:v>4550</x:v>
      </x:c>
      <x:c r="O302" s="20" t="n">
        <x:f>G302*K302</x:f>
        <x:v>0</x:v>
      </x:c>
      <x:c r="P302" s="20" t="n">
        <x:f>G302*L302</x:f>
        <x:v>1170</x:v>
      </x:c>
      <x:c r="Q302" s="20" t="n">
        <x:f>H302*INDEX(Inputs!$B$13:$D$13,1,MATCH(A302,Inputs!$B$6:$D$6,0))</x:f>
        <x:v>390</x:v>
      </x:c>
      <x:c r="R302" s="20" t="n">
        <x:f>SUM(M302:Q302)</x:f>
        <x:v>37245</x:v>
      </x:c>
      <x:c r="S302" s="20" t="n">
        <x:f>IF(AND(A301=A302,D301=D302),S301+R302,R302)</x:f>
        <x:v>37245</x:v>
      </x:c>
      <x:c r="T302" s="20" t="n">
        <x:f>MIN(S302,INDEX(Inputs!$B$20:$D$20,1,MATCH(A302,Inputs!$B$6:$D$6,0)))*INDEX(Inputs!$B$22:$D$22,1,MATCH(A302,Inputs!$B$6:$D$6,0))+MAX(MIN(S302,INDEX(Inputs!$B$21:$D$21,1,MATCH(A302,Inputs!$B$6:$D$6,0)))-INDEX(Inputs!$B$20:$D$20,1,MATCH(A302,Inputs!$B$6:$D$6,0)),0)*INDEX(Inputs!$B$23:$D$23,1,MATCH(A302,Inputs!$B$6:$D$6,0))+MAX(S302-INDEX(Inputs!$B$21:$D$21,1,MATCH(A302,Inputs!$B$6:$D$6,0)),0)*INDEX(Inputs!$B$24:$D$24,1,MATCH(A302,Inputs!$B$6:$D$6,0))</x:f>
        <x:v>3339.2425</x:v>
      </x:c>
      <x:c r="U302" s="20" t="n">
        <x:f>IF(AND(A301=A302,D301=D302),T301,0)</x:f>
        <x:v>0</x:v>
      </x:c>
      <x:c r="V302" s="20" t="n">
        <x:f>T302-U302</x:f>
        <x:v>3339.2425</x:v>
      </x:c>
      <x:c r="W302" s="20" t="n">
        <x:f>R302+V302</x:f>
        <x:v>40584.2425</x:v>
      </x:c>
      <x:c r="X302" s="14" t="str">
        <x:f>IF(ABS(W302-SUM(M302:Q302)-V302)&lt;0.01,"OK","Check")</x:f>
        <x:v>OK</x:v>
      </x:c>
    </x:row>
    <x:row r="303">
      <x:c r="A303" s="14" t="n">
        <x:v>2026</x:v>
      </x:c>
      <x:c r="B303" s="14" t="str">
        <x:v>Q2</x:v>
      </x:c>
      <x:c r="C303" s="14" t="n">
        <x:v>2</x:v>
      </x:c>
      <x:c r="D303" s="14" t="n">
        <x:v>75</x:v>
      </x:c>
      <x:c r="E303" s="14" t="str">
        <x:f>INDEX(Roster!$B$6:$B$108,MATCH(D303,Roster!$A$6:$A$108,0))</x:f>
        <x:v>Associate Principal</x:v>
      </x:c>
      <x:c r="F303" s="14" t="str">
        <x:f>INDEX(Roster!$F$6:$F$108,MATCH(D303,Roster!$A$6:$A$108,0))</x:f>
        <x:v>Yes</x:v>
      </x:c>
      <x:c r="G303" s="14" t="n">
        <x:f>INDEX(Inputs!$B$7:$D$7,1,MATCH(A303,Inputs!$B$6:$D$6,0))</x:f>
        <x:v>13</x:v>
      </x:c>
      <x:c r="H303" s="14" t="n">
        <x:f>MIN(=INDEX(Inputs!$B$7:$D$7,1,MATCH(A303,Inputs!$B$6:$D$6,0)),MAX(0,INDEX(Inputs!$B$14:$D$14,1,MATCH(A303,Inputs!$B$6:$D$6,0))-(C303-1)*=INDEX(Inputs!$B$7:$D$7,1,MATCH(A303,Inputs!$B$6:$D$6,0))))</x:f>
        <x:v>13</x:v>
      </x:c>
      <x:c r="I303" s="20" t="n">
        <x:f>INDEX(Inputs!$B$8:$D$8,1,MATCH(A303,Inputs!$B$6:$D$6,0))</x:f>
        <x:v>2395</x:v>
      </x:c>
      <x:c r="J303" s="20" t="n">
        <x:f>INDEX(Roster!$C$6:$C$108,MATCH(D303,Roster!$A$6:$A$108,0))*(1+INDEX(Inputs!$B$9:$D$9,1,MATCH(A303,Inputs!$B$6:$D$6,0)))</x:f>
        <x:v>350</x:v>
      </x:c>
      <x:c r="K303" s="20" t="n">
        <x:f>IF(=INDEX(Roster!$F$6:$F$108,MATCH(D303,Roster!$A$6:$A$108,0))="Yes",0,=INDEX(Inputs!$B$8:$D$8,1,MATCH(A303,Inputs!$B$6:$D$6,0))*IF(=INDEX(Roster!$B$6:$B$108,MATCH(D303,Roster!$A$6:$A$108,0))="Principal",INDEX(Inputs!$B$10:$D$10,1,MATCH(A303,Inputs!$B$6:$D$6,0)),IF(=INDEX(Roster!$B$6:$B$108,MATCH(D303,Roster!$A$6:$A$108,0))="Associate Principal",INDEX(Inputs!$B$11:$D$11,1,MATCH(A303,Inputs!$B$6:$D$6,0)),IF(=INDEX(Roster!$B$6:$B$108,MATCH(D303,Roster!$A$6:$A$108,0))="Assistant Principal",INDEX(Inputs!$B$12:$D$12,1,MATCH(A303,Inputs!$B$6:$D$6,0)),0))))</x:f>
        <x:v>0</x:v>
      </x:c>
      <x:c r="L303" s="20" t="n">
        <x:f>IF(INDEX(Roster!$D$6:$D$108,MATCH(D303,Roster!$A$6:$A$108,0))&gt;=25,INDEX(Inputs!$B$19:$D$19,1,MATCH(A303,Inputs!$B$6:$D$6,0)),IF(INDEX(Roster!$D$6:$D$108,MATCH(D303,Roster!$A$6:$A$108,0))&gt;=20,INDEX(Inputs!$B$18:$D$18,1,MATCH(A303,Inputs!$B$6:$D$6,0)),IF(INDEX(Roster!$D$6:$D$108,MATCH(D303,Roster!$A$6:$A$108,0))&gt;=15,INDEX(Inputs!$B$17:$D$17,1,MATCH(A303,Inputs!$B$6:$D$6,0)),IF(INDEX(Roster!$D$6:$D$108,MATCH(D303,Roster!$A$6:$A$108,0))&gt;=10,INDEX(Inputs!$B$16:$D$16,1,MATCH(A303,Inputs!$B$6:$D$6,0)),IF(INDEX(Roster!$D$6:$D$108,MATCH(D303,Roster!$A$6:$A$108,0))&gt;=5,INDEX(Inputs!$B$15:$D$15,1,MATCH(A303,Inputs!$B$6:$D$6,0)),0)))))</x:f>
        <x:v>90</x:v>
      </x:c>
      <x:c r="M303" s="20" t="n">
        <x:f>G303*I303</x:f>
        <x:v>31135</x:v>
      </x:c>
      <x:c r="N303" s="20" t="n">
        <x:f>G303*J303</x:f>
        <x:v>4550</x:v>
      </x:c>
      <x:c r="O303" s="20" t="n">
        <x:f>G303*K303</x:f>
        <x:v>0</x:v>
      </x:c>
      <x:c r="P303" s="20" t="n">
        <x:f>G303*L303</x:f>
        <x:v>1170</x:v>
      </x:c>
      <x:c r="Q303" s="20" t="n">
        <x:f>H303*INDEX(Inputs!$B$13:$D$13,1,MATCH(A303,Inputs!$B$6:$D$6,0))</x:f>
        <x:v>390</x:v>
      </x:c>
      <x:c r="R303" s="20" t="n">
        <x:f>SUM(M303:Q303)</x:f>
        <x:v>37245</x:v>
      </x:c>
      <x:c r="S303" s="20" t="n">
        <x:f>IF(AND(A302=A303,D302=D303),S302+R303,R303)</x:f>
        <x:v>74490</x:v>
      </x:c>
      <x:c r="T303" s="20" t="n">
        <x:f>MIN(S303,INDEX(Inputs!$B$20:$D$20,1,MATCH(A303,Inputs!$B$6:$D$6,0)))*INDEX(Inputs!$B$22:$D$22,1,MATCH(A303,Inputs!$B$6:$D$6,0))+MAX(MIN(S303,INDEX(Inputs!$B$21:$D$21,1,MATCH(A303,Inputs!$B$6:$D$6,0)))-INDEX(Inputs!$B$20:$D$20,1,MATCH(A303,Inputs!$B$6:$D$6,0)),0)*INDEX(Inputs!$B$23:$D$23,1,MATCH(A303,Inputs!$B$6:$D$6,0))+MAX(S303-INDEX(Inputs!$B$21:$D$21,1,MATCH(A303,Inputs!$B$6:$D$6,0)),0)*INDEX(Inputs!$B$24:$D$24,1,MATCH(A303,Inputs!$B$6:$D$6,0))</x:f>
        <x:v>6188.485</x:v>
      </x:c>
      <x:c r="U303" s="20" t="n">
        <x:f>IF(AND(A302=A303,D302=D303),T302,0)</x:f>
        <x:v>3339.2425</x:v>
      </x:c>
      <x:c r="V303" s="20" t="n">
        <x:f>T303-U303</x:f>
        <x:v>2849.2425</x:v>
      </x:c>
      <x:c r="W303" s="20" t="n">
        <x:f>R303+V303</x:f>
        <x:v>40094.2425</x:v>
      </x:c>
      <x:c r="X303" s="14" t="str">
        <x:f>IF(ABS(W303-SUM(M303:Q303)-V303)&lt;0.01,"OK","Check")</x:f>
        <x:v>OK</x:v>
      </x:c>
    </x:row>
    <x:row r="304">
      <x:c r="A304" s="14" t="n">
        <x:v>2026</x:v>
      </x:c>
      <x:c r="B304" s="14" t="str">
        <x:v>Q3</x:v>
      </x:c>
      <x:c r="C304" s="14" t="n">
        <x:v>3</x:v>
      </x:c>
      <x:c r="D304" s="14" t="n">
        <x:v>75</x:v>
      </x:c>
      <x:c r="E304" s="14" t="str">
        <x:f>INDEX(Roster!$B$6:$B$108,MATCH(D304,Roster!$A$6:$A$108,0))</x:f>
        <x:v>Associate Principal</x:v>
      </x:c>
      <x:c r="F304" s="14" t="str">
        <x:f>INDEX(Roster!$F$6:$F$108,MATCH(D304,Roster!$A$6:$A$108,0))</x:f>
        <x:v>Yes</x:v>
      </x:c>
      <x:c r="G304" s="14" t="n">
        <x:f>INDEX(Inputs!$B$7:$D$7,1,MATCH(A304,Inputs!$B$6:$D$6,0))</x:f>
        <x:v>13</x:v>
      </x:c>
      <x:c r="H304" s="14" t="n">
        <x:f>MIN(=INDEX(Inputs!$B$7:$D$7,1,MATCH(A304,Inputs!$B$6:$D$6,0)),MAX(0,INDEX(Inputs!$B$14:$D$14,1,MATCH(A304,Inputs!$B$6:$D$6,0))-(C304-1)*=INDEX(Inputs!$B$7:$D$7,1,MATCH(A304,Inputs!$B$6:$D$6,0))))</x:f>
        <x:v>13</x:v>
      </x:c>
      <x:c r="I304" s="20" t="n">
        <x:f>INDEX(Inputs!$B$8:$D$8,1,MATCH(A304,Inputs!$B$6:$D$6,0))</x:f>
        <x:v>2395</x:v>
      </x:c>
      <x:c r="J304" s="20" t="n">
        <x:f>INDEX(Roster!$C$6:$C$108,MATCH(D304,Roster!$A$6:$A$108,0))*(1+INDEX(Inputs!$B$9:$D$9,1,MATCH(A304,Inputs!$B$6:$D$6,0)))</x:f>
        <x:v>350</x:v>
      </x:c>
      <x:c r="K304" s="20" t="n">
        <x:f>IF(=INDEX(Roster!$F$6:$F$108,MATCH(D304,Roster!$A$6:$A$108,0))="Yes",0,=INDEX(Inputs!$B$8:$D$8,1,MATCH(A304,Inputs!$B$6:$D$6,0))*IF(=INDEX(Roster!$B$6:$B$108,MATCH(D304,Roster!$A$6:$A$108,0))="Principal",INDEX(Inputs!$B$10:$D$10,1,MATCH(A304,Inputs!$B$6:$D$6,0)),IF(=INDEX(Roster!$B$6:$B$108,MATCH(D304,Roster!$A$6:$A$108,0))="Associate Principal",INDEX(Inputs!$B$11:$D$11,1,MATCH(A304,Inputs!$B$6:$D$6,0)),IF(=INDEX(Roster!$B$6:$B$108,MATCH(D304,Roster!$A$6:$A$108,0))="Assistant Principal",INDEX(Inputs!$B$12:$D$12,1,MATCH(A304,Inputs!$B$6:$D$6,0)),0))))</x:f>
        <x:v>0</x:v>
      </x:c>
      <x:c r="L304" s="20" t="n">
        <x:f>IF(INDEX(Roster!$D$6:$D$108,MATCH(D304,Roster!$A$6:$A$108,0))&gt;=25,INDEX(Inputs!$B$19:$D$19,1,MATCH(A304,Inputs!$B$6:$D$6,0)),IF(INDEX(Roster!$D$6:$D$108,MATCH(D304,Roster!$A$6:$A$108,0))&gt;=20,INDEX(Inputs!$B$18:$D$18,1,MATCH(A304,Inputs!$B$6:$D$6,0)),IF(INDEX(Roster!$D$6:$D$108,MATCH(D304,Roster!$A$6:$A$108,0))&gt;=15,INDEX(Inputs!$B$17:$D$17,1,MATCH(A304,Inputs!$B$6:$D$6,0)),IF(INDEX(Roster!$D$6:$D$108,MATCH(D304,Roster!$A$6:$A$108,0))&gt;=10,INDEX(Inputs!$B$16:$D$16,1,MATCH(A304,Inputs!$B$6:$D$6,0)),IF(INDEX(Roster!$D$6:$D$108,MATCH(D304,Roster!$A$6:$A$108,0))&gt;=5,INDEX(Inputs!$B$15:$D$15,1,MATCH(A304,Inputs!$B$6:$D$6,0)),0)))))</x:f>
        <x:v>90</x:v>
      </x:c>
      <x:c r="M304" s="20" t="n">
        <x:f>G304*I304</x:f>
        <x:v>31135</x:v>
      </x:c>
      <x:c r="N304" s="20" t="n">
        <x:f>G304*J304</x:f>
        <x:v>4550</x:v>
      </x:c>
      <x:c r="O304" s="20" t="n">
        <x:f>G304*K304</x:f>
        <x:v>0</x:v>
      </x:c>
      <x:c r="P304" s="20" t="n">
        <x:f>G304*L304</x:f>
        <x:v>1170</x:v>
      </x:c>
      <x:c r="Q304" s="20" t="n">
        <x:f>H304*INDEX(Inputs!$B$13:$D$13,1,MATCH(A304,Inputs!$B$6:$D$6,0))</x:f>
        <x:v>390</x:v>
      </x:c>
      <x:c r="R304" s="20" t="n">
        <x:f>SUM(M304:Q304)</x:f>
        <x:v>37245</x:v>
      </x:c>
      <x:c r="S304" s="20" t="n">
        <x:f>IF(AND(A303=A304,D303=D304),S303+R304,R304)</x:f>
        <x:v>111735</x:v>
      </x:c>
      <x:c r="T304" s="20" t="n">
        <x:f>MIN(S304,INDEX(Inputs!$B$20:$D$20,1,MATCH(A304,Inputs!$B$6:$D$6,0)))*INDEX(Inputs!$B$22:$D$22,1,MATCH(A304,Inputs!$B$6:$D$6,0))+MAX(MIN(S304,INDEX(Inputs!$B$21:$D$21,1,MATCH(A304,Inputs!$B$6:$D$6,0)))-INDEX(Inputs!$B$20:$D$20,1,MATCH(A304,Inputs!$B$6:$D$6,0)),0)*INDEX(Inputs!$B$23:$D$23,1,MATCH(A304,Inputs!$B$6:$D$6,0))+MAX(S304-INDEX(Inputs!$B$21:$D$21,1,MATCH(A304,Inputs!$B$6:$D$6,0)),0)*INDEX(Inputs!$B$24:$D$24,1,MATCH(A304,Inputs!$B$6:$D$6,0))</x:f>
        <x:v>9037.7275</x:v>
      </x:c>
      <x:c r="U304" s="20" t="n">
        <x:f>IF(AND(A303=A304,D303=D304),T303,0)</x:f>
        <x:v>6188.485</x:v>
      </x:c>
      <x:c r="V304" s="20" t="n">
        <x:f>T304-U304</x:f>
        <x:v>2849.242500000001</x:v>
      </x:c>
      <x:c r="W304" s="20" t="n">
        <x:f>R304+V304</x:f>
        <x:v>40094.2425</x:v>
      </x:c>
      <x:c r="X304" s="14" t="str">
        <x:f>IF(ABS(W304-SUM(M304:Q304)-V304)&lt;0.01,"OK","Check")</x:f>
        <x:v>OK</x:v>
      </x:c>
    </x:row>
    <x:row r="305">
      <x:c r="A305" s="14" t="n">
        <x:v>2026</x:v>
      </x:c>
      <x:c r="B305" s="14" t="str">
        <x:v>Q4</x:v>
      </x:c>
      <x:c r="C305" s="14" t="n">
        <x:v>4</x:v>
      </x:c>
      <x:c r="D305" s="14" t="n">
        <x:v>75</x:v>
      </x:c>
      <x:c r="E305" s="14" t="str">
        <x:f>INDEX(Roster!$B$6:$B$108,MATCH(D305,Roster!$A$6:$A$108,0))</x:f>
        <x:v>Associate Principal</x:v>
      </x:c>
      <x:c r="F305" s="14" t="str">
        <x:f>INDEX(Roster!$F$6:$F$108,MATCH(D305,Roster!$A$6:$A$108,0))</x:f>
        <x:v>Yes</x:v>
      </x:c>
      <x:c r="G305" s="14" t="n">
        <x:f>INDEX(Inputs!$B$7:$D$7,1,MATCH(A305,Inputs!$B$6:$D$6,0))</x:f>
        <x:v>13</x:v>
      </x:c>
      <x:c r="H305" s="14" t="n">
        <x:f>MIN(=INDEX(Inputs!$B$7:$D$7,1,MATCH(A305,Inputs!$B$6:$D$6,0)),MAX(0,INDEX(Inputs!$B$14:$D$14,1,MATCH(A305,Inputs!$B$6:$D$6,0))-(C305-1)*=INDEX(Inputs!$B$7:$D$7,1,MATCH(A305,Inputs!$B$6:$D$6,0))))</x:f>
        <x:v>0</x:v>
      </x:c>
      <x:c r="I305" s="20" t="n">
        <x:f>INDEX(Inputs!$B$8:$D$8,1,MATCH(A305,Inputs!$B$6:$D$6,0))</x:f>
        <x:v>2395</x:v>
      </x:c>
      <x:c r="J305" s="20" t="n">
        <x:f>INDEX(Roster!$C$6:$C$108,MATCH(D305,Roster!$A$6:$A$108,0))*(1+INDEX(Inputs!$B$9:$D$9,1,MATCH(A305,Inputs!$B$6:$D$6,0)))</x:f>
        <x:v>350</x:v>
      </x:c>
      <x:c r="K305" s="20" t="n">
        <x:f>IF(=INDEX(Roster!$F$6:$F$108,MATCH(D305,Roster!$A$6:$A$108,0))="Yes",0,=INDEX(Inputs!$B$8:$D$8,1,MATCH(A305,Inputs!$B$6:$D$6,0))*IF(=INDEX(Roster!$B$6:$B$108,MATCH(D305,Roster!$A$6:$A$108,0))="Principal",INDEX(Inputs!$B$10:$D$10,1,MATCH(A305,Inputs!$B$6:$D$6,0)),IF(=INDEX(Roster!$B$6:$B$108,MATCH(D305,Roster!$A$6:$A$108,0))="Associate Principal",INDEX(Inputs!$B$11:$D$11,1,MATCH(A305,Inputs!$B$6:$D$6,0)),IF(=INDEX(Roster!$B$6:$B$108,MATCH(D305,Roster!$A$6:$A$108,0))="Assistant Principal",INDEX(Inputs!$B$12:$D$12,1,MATCH(A305,Inputs!$B$6:$D$6,0)),0))))</x:f>
        <x:v>0</x:v>
      </x:c>
      <x:c r="L305" s="20" t="n">
        <x:f>IF(INDEX(Roster!$D$6:$D$108,MATCH(D305,Roster!$A$6:$A$108,0))&gt;=25,INDEX(Inputs!$B$19:$D$19,1,MATCH(A305,Inputs!$B$6:$D$6,0)),IF(INDEX(Roster!$D$6:$D$108,MATCH(D305,Roster!$A$6:$A$108,0))&gt;=20,INDEX(Inputs!$B$18:$D$18,1,MATCH(A305,Inputs!$B$6:$D$6,0)),IF(INDEX(Roster!$D$6:$D$108,MATCH(D305,Roster!$A$6:$A$108,0))&gt;=15,INDEX(Inputs!$B$17:$D$17,1,MATCH(A305,Inputs!$B$6:$D$6,0)),IF(INDEX(Roster!$D$6:$D$108,MATCH(D305,Roster!$A$6:$A$108,0))&gt;=10,INDEX(Inputs!$B$16:$D$16,1,MATCH(A305,Inputs!$B$6:$D$6,0)),IF(INDEX(Roster!$D$6:$D$108,MATCH(D305,Roster!$A$6:$A$108,0))&gt;=5,INDEX(Inputs!$B$15:$D$15,1,MATCH(A305,Inputs!$B$6:$D$6,0)),0)))))</x:f>
        <x:v>90</x:v>
      </x:c>
      <x:c r="M305" s="20" t="n">
        <x:f>G305*I305</x:f>
        <x:v>31135</x:v>
      </x:c>
      <x:c r="N305" s="20" t="n">
        <x:f>G305*J305</x:f>
        <x:v>4550</x:v>
      </x:c>
      <x:c r="O305" s="20" t="n">
        <x:f>G305*K305</x:f>
        <x:v>0</x:v>
      </x:c>
      <x:c r="P305" s="20" t="n">
        <x:f>G305*L305</x:f>
        <x:v>1170</x:v>
      </x:c>
      <x:c r="Q305" s="20" t="n">
        <x:f>H305*INDEX(Inputs!$B$13:$D$13,1,MATCH(A305,Inputs!$B$6:$D$6,0))</x:f>
        <x:v>0</x:v>
      </x:c>
      <x:c r="R305" s="20" t="n">
        <x:f>SUM(M305:Q305)</x:f>
        <x:v>36855</x:v>
      </x:c>
      <x:c r="S305" s="20" t="n">
        <x:f>IF(AND(A304=A305,D304=D305),S304+R305,R305)</x:f>
        <x:v>148590</x:v>
      </x:c>
      <x:c r="T305" s="20" t="n">
        <x:f>MIN(S305,INDEX(Inputs!$B$20:$D$20,1,MATCH(A305,Inputs!$B$6:$D$6,0)))*INDEX(Inputs!$B$22:$D$22,1,MATCH(A305,Inputs!$B$6:$D$6,0))+MAX(MIN(S305,INDEX(Inputs!$B$21:$D$21,1,MATCH(A305,Inputs!$B$6:$D$6,0)))-INDEX(Inputs!$B$20:$D$20,1,MATCH(A305,Inputs!$B$6:$D$6,0)),0)*INDEX(Inputs!$B$23:$D$23,1,MATCH(A305,Inputs!$B$6:$D$6,0))+MAX(S305-INDEX(Inputs!$B$21:$D$21,1,MATCH(A305,Inputs!$B$6:$D$6,0)),0)*INDEX(Inputs!$B$24:$D$24,1,MATCH(A305,Inputs!$B$6:$D$6,0))</x:f>
        <x:v>10068.497</x:v>
      </x:c>
      <x:c r="U305" s="20" t="n">
        <x:f>IF(AND(A304=A305,D304=D305),T304,0)</x:f>
        <x:v>9037.7275</x:v>
      </x:c>
      <x:c r="V305" s="20" t="n">
        <x:f>T305-U305</x:f>
        <x:v>1030.7694999999985</x:v>
      </x:c>
      <x:c r="W305" s="20" t="n">
        <x:f>R305+V305</x:f>
        <x:v>37885.769499999995</x:v>
      </x:c>
      <x:c r="X305" s="14" t="str">
        <x:f>IF(ABS(W305-SUM(M305:Q305)-V305)&lt;0.01,"OK","Check")</x:f>
        <x:v>OK</x:v>
      </x:c>
    </x:row>
    <x:row r="306">
      <x:c r="A306" s="14" t="n">
        <x:v>2026</x:v>
      </x:c>
      <x:c r="B306" s="14" t="str">
        <x:v>Q1</x:v>
      </x:c>
      <x:c r="C306" s="14" t="n">
        <x:v>1</x:v>
      </x:c>
      <x:c r="D306" s="14" t="n">
        <x:v>76</x:v>
      </x:c>
      <x:c r="E306" s="14" t="str">
        <x:f>INDEX(Roster!$B$6:$B$108,MATCH(D306,Roster!$A$6:$A$108,0))</x:f>
      </x:c>
      <x:c r="F306" s="14" t="str">
        <x:f>INDEX(Roster!$F$6:$F$108,MATCH(D306,Roster!$A$6:$A$108,0))</x:f>
        <x:v>No</x:v>
      </x:c>
      <x:c r="G306" s="14" t="n">
        <x:f>INDEX(Inputs!$B$7:$D$7,1,MATCH(A306,Inputs!$B$6:$D$6,0))</x:f>
        <x:v>13</x:v>
      </x:c>
      <x:c r="H306" s="14" t="n">
        <x:f>MIN(=INDEX(Inputs!$B$7:$D$7,1,MATCH(A306,Inputs!$B$6:$D$6,0)),MAX(0,INDEX(Inputs!$B$14:$D$14,1,MATCH(A306,Inputs!$B$6:$D$6,0))-(C306-1)*=INDEX(Inputs!$B$7:$D$7,1,MATCH(A306,Inputs!$B$6:$D$6,0))))</x:f>
        <x:v>13</x:v>
      </x:c>
      <x:c r="I306" s="20" t="n">
        <x:f>INDEX(Inputs!$B$8:$D$8,1,MATCH(A306,Inputs!$B$6:$D$6,0))</x:f>
        <x:v>2395</x:v>
      </x:c>
      <x:c r="J306" s="20" t="n">
        <x:f>INDEX(Roster!$C$6:$C$108,MATCH(D306,Roster!$A$6:$A$108,0))*(1+INDEX(Inputs!$B$9:$D$9,1,MATCH(A306,Inputs!$B$6:$D$6,0)))</x:f>
        <x:v>60</x:v>
      </x:c>
      <x:c r="K306" s="20" t="n">
        <x:f>IF(=INDEX(Roster!$F$6:$F$108,MATCH(D306,Roster!$A$6:$A$108,0))="Yes",0,=INDEX(Inputs!$B$8:$D$8,1,MATCH(A306,Inputs!$B$6:$D$6,0))*IF(=INDEX(Roster!$B$6:$B$108,MATCH(D306,Roster!$A$6:$A$108,0))="Principal",INDEX(Inputs!$B$10:$D$10,1,MATCH(A306,Inputs!$B$6:$D$6,0)),IF(=INDEX(Roster!$B$6:$B$108,MATCH(D306,Roster!$A$6:$A$108,0))="Associate Principal",INDEX(Inputs!$B$11:$D$11,1,MATCH(A306,Inputs!$B$6:$D$6,0)),IF(=INDEX(Roster!$B$6:$B$108,MATCH(D306,Roster!$A$6:$A$108,0))="Assistant Principal",INDEX(Inputs!$B$12:$D$12,1,MATCH(A306,Inputs!$B$6:$D$6,0)),0))))</x:f>
        <x:v>0</x:v>
      </x:c>
      <x:c r="L306" s="20" t="n">
        <x:f>IF(INDEX(Roster!$D$6:$D$108,MATCH(D306,Roster!$A$6:$A$108,0))&gt;=25,INDEX(Inputs!$B$19:$D$19,1,MATCH(A306,Inputs!$B$6:$D$6,0)),IF(INDEX(Roster!$D$6:$D$108,MATCH(D306,Roster!$A$6:$A$108,0))&gt;=20,INDEX(Inputs!$B$18:$D$18,1,MATCH(A306,Inputs!$B$6:$D$6,0)),IF(INDEX(Roster!$D$6:$D$108,MATCH(D306,Roster!$A$6:$A$108,0))&gt;=15,INDEX(Inputs!$B$17:$D$17,1,MATCH(A306,Inputs!$B$6:$D$6,0)),IF(INDEX(Roster!$D$6:$D$108,MATCH(D306,Roster!$A$6:$A$108,0))&gt;=10,INDEX(Inputs!$B$16:$D$16,1,MATCH(A306,Inputs!$B$6:$D$6,0)),IF(INDEX(Roster!$D$6:$D$108,MATCH(D306,Roster!$A$6:$A$108,0))&gt;=5,INDEX(Inputs!$B$15:$D$15,1,MATCH(A306,Inputs!$B$6:$D$6,0)),0)))))</x:f>
        <x:v>90</x:v>
      </x:c>
      <x:c r="M306" s="20" t="n">
        <x:f>G306*I306</x:f>
        <x:v>31135</x:v>
      </x:c>
      <x:c r="N306" s="20" t="n">
        <x:f>G306*J306</x:f>
        <x:v>780</x:v>
      </x:c>
      <x:c r="O306" s="20" t="n">
        <x:f>G306*K306</x:f>
        <x:v>0</x:v>
      </x:c>
      <x:c r="P306" s="20" t="n">
        <x:f>G306*L306</x:f>
        <x:v>1170</x:v>
      </x:c>
      <x:c r="Q306" s="20" t="n">
        <x:f>H306*INDEX(Inputs!$B$13:$D$13,1,MATCH(A306,Inputs!$B$6:$D$6,0))</x:f>
        <x:v>390</x:v>
      </x:c>
      <x:c r="R306" s="20" t="n">
        <x:f>SUM(M306:Q306)</x:f>
        <x:v>33475</x:v>
      </x:c>
      <x:c r="S306" s="20" t="n">
        <x:f>IF(AND(A305=A306,D305=D306),S305+R306,R306)</x:f>
        <x:v>33475</x:v>
      </x:c>
      <x:c r="T306" s="20" t="n">
        <x:f>MIN(S306,INDEX(Inputs!$B$20:$D$20,1,MATCH(A306,Inputs!$B$6:$D$6,0)))*INDEX(Inputs!$B$22:$D$22,1,MATCH(A306,Inputs!$B$6:$D$6,0))+MAX(MIN(S306,INDEX(Inputs!$B$21:$D$21,1,MATCH(A306,Inputs!$B$6:$D$6,0)))-INDEX(Inputs!$B$20:$D$20,1,MATCH(A306,Inputs!$B$6:$D$6,0)),0)*INDEX(Inputs!$B$23:$D$23,1,MATCH(A306,Inputs!$B$6:$D$6,0))+MAX(S306-INDEX(Inputs!$B$21:$D$21,1,MATCH(A306,Inputs!$B$6:$D$6,0)),0)*INDEX(Inputs!$B$24:$D$24,1,MATCH(A306,Inputs!$B$6:$D$6,0))</x:f>
        <x:v>3050.8374999999996</x:v>
      </x:c>
      <x:c r="U306" s="20" t="n">
        <x:f>IF(AND(A305=A306,D305=D306),T305,0)</x:f>
        <x:v>0</x:v>
      </x:c>
      <x:c r="V306" s="20" t="n">
        <x:f>T306-U306</x:f>
        <x:v>3050.8374999999996</x:v>
      </x:c>
      <x:c r="W306" s="20" t="n">
        <x:f>R306+V306</x:f>
        <x:v>36525.8375</x:v>
      </x:c>
      <x:c r="X306" s="14" t="str">
        <x:f>IF(ABS(W306-SUM(M306:Q306)-V306)&lt;0.01,"OK","Check")</x:f>
        <x:v>OK</x:v>
      </x:c>
    </x:row>
    <x:row r="307">
      <x:c r="A307" s="14" t="n">
        <x:v>2026</x:v>
      </x:c>
      <x:c r="B307" s="14" t="str">
        <x:v>Q2</x:v>
      </x:c>
      <x:c r="C307" s="14" t="n">
        <x:v>2</x:v>
      </x:c>
      <x:c r="D307" s="14" t="n">
        <x:v>76</x:v>
      </x:c>
      <x:c r="E307" s="14" t="str">
        <x:f>INDEX(Roster!$B$6:$B$108,MATCH(D307,Roster!$A$6:$A$108,0))</x:f>
      </x:c>
      <x:c r="F307" s="14" t="str">
        <x:f>INDEX(Roster!$F$6:$F$108,MATCH(D307,Roster!$A$6:$A$108,0))</x:f>
        <x:v>No</x:v>
      </x:c>
      <x:c r="G307" s="14" t="n">
        <x:f>INDEX(Inputs!$B$7:$D$7,1,MATCH(A307,Inputs!$B$6:$D$6,0))</x:f>
        <x:v>13</x:v>
      </x:c>
      <x:c r="H307" s="14" t="n">
        <x:f>MIN(=INDEX(Inputs!$B$7:$D$7,1,MATCH(A307,Inputs!$B$6:$D$6,0)),MAX(0,INDEX(Inputs!$B$14:$D$14,1,MATCH(A307,Inputs!$B$6:$D$6,0))-(C307-1)*=INDEX(Inputs!$B$7:$D$7,1,MATCH(A307,Inputs!$B$6:$D$6,0))))</x:f>
        <x:v>13</x:v>
      </x:c>
      <x:c r="I307" s="20" t="n">
        <x:f>INDEX(Inputs!$B$8:$D$8,1,MATCH(A307,Inputs!$B$6:$D$6,0))</x:f>
        <x:v>2395</x:v>
      </x:c>
      <x:c r="J307" s="20" t="n">
        <x:f>INDEX(Roster!$C$6:$C$108,MATCH(D307,Roster!$A$6:$A$108,0))*(1+INDEX(Inputs!$B$9:$D$9,1,MATCH(A307,Inputs!$B$6:$D$6,0)))</x:f>
        <x:v>60</x:v>
      </x:c>
      <x:c r="K307" s="20" t="n">
        <x:f>IF(=INDEX(Roster!$F$6:$F$108,MATCH(D307,Roster!$A$6:$A$108,0))="Yes",0,=INDEX(Inputs!$B$8:$D$8,1,MATCH(A307,Inputs!$B$6:$D$6,0))*IF(=INDEX(Roster!$B$6:$B$108,MATCH(D307,Roster!$A$6:$A$108,0))="Principal",INDEX(Inputs!$B$10:$D$10,1,MATCH(A307,Inputs!$B$6:$D$6,0)),IF(=INDEX(Roster!$B$6:$B$108,MATCH(D307,Roster!$A$6:$A$108,0))="Associate Principal",INDEX(Inputs!$B$11:$D$11,1,MATCH(A307,Inputs!$B$6:$D$6,0)),IF(=INDEX(Roster!$B$6:$B$108,MATCH(D307,Roster!$A$6:$A$108,0))="Assistant Principal",INDEX(Inputs!$B$12:$D$12,1,MATCH(A307,Inputs!$B$6:$D$6,0)),0))))</x:f>
        <x:v>0</x:v>
      </x:c>
      <x:c r="L307" s="20" t="n">
        <x:f>IF(INDEX(Roster!$D$6:$D$108,MATCH(D307,Roster!$A$6:$A$108,0))&gt;=25,INDEX(Inputs!$B$19:$D$19,1,MATCH(A307,Inputs!$B$6:$D$6,0)),IF(INDEX(Roster!$D$6:$D$108,MATCH(D307,Roster!$A$6:$A$108,0))&gt;=20,INDEX(Inputs!$B$18:$D$18,1,MATCH(A307,Inputs!$B$6:$D$6,0)),IF(INDEX(Roster!$D$6:$D$108,MATCH(D307,Roster!$A$6:$A$108,0))&gt;=15,INDEX(Inputs!$B$17:$D$17,1,MATCH(A307,Inputs!$B$6:$D$6,0)),IF(INDEX(Roster!$D$6:$D$108,MATCH(D307,Roster!$A$6:$A$108,0))&gt;=10,INDEX(Inputs!$B$16:$D$16,1,MATCH(A307,Inputs!$B$6:$D$6,0)),IF(INDEX(Roster!$D$6:$D$108,MATCH(D307,Roster!$A$6:$A$108,0))&gt;=5,INDEX(Inputs!$B$15:$D$15,1,MATCH(A307,Inputs!$B$6:$D$6,0)),0)))))</x:f>
        <x:v>90</x:v>
      </x:c>
      <x:c r="M307" s="20" t="n">
        <x:f>G307*I307</x:f>
        <x:v>31135</x:v>
      </x:c>
      <x:c r="N307" s="20" t="n">
        <x:f>G307*J307</x:f>
        <x:v>780</x:v>
      </x:c>
      <x:c r="O307" s="20" t="n">
        <x:f>G307*K307</x:f>
        <x:v>0</x:v>
      </x:c>
      <x:c r="P307" s="20" t="n">
        <x:f>G307*L307</x:f>
        <x:v>1170</x:v>
      </x:c>
      <x:c r="Q307" s="20" t="n">
        <x:f>H307*INDEX(Inputs!$B$13:$D$13,1,MATCH(A307,Inputs!$B$6:$D$6,0))</x:f>
        <x:v>390</x:v>
      </x:c>
      <x:c r="R307" s="20" t="n">
        <x:f>SUM(M307:Q307)</x:f>
        <x:v>33475</x:v>
      </x:c>
      <x:c r="S307" s="20" t="n">
        <x:f>IF(AND(A306=A307,D306=D307),S306+R307,R307)</x:f>
        <x:v>66950</x:v>
      </x:c>
      <x:c r="T307" s="20" t="n">
        <x:f>MIN(S307,INDEX(Inputs!$B$20:$D$20,1,MATCH(A307,Inputs!$B$6:$D$6,0)))*INDEX(Inputs!$B$22:$D$22,1,MATCH(A307,Inputs!$B$6:$D$6,0))+MAX(MIN(S307,INDEX(Inputs!$B$21:$D$21,1,MATCH(A307,Inputs!$B$6:$D$6,0)))-INDEX(Inputs!$B$20:$D$20,1,MATCH(A307,Inputs!$B$6:$D$6,0)),0)*INDEX(Inputs!$B$23:$D$23,1,MATCH(A307,Inputs!$B$6:$D$6,0))+MAX(S307-INDEX(Inputs!$B$21:$D$21,1,MATCH(A307,Inputs!$B$6:$D$6,0)),0)*INDEX(Inputs!$B$24:$D$24,1,MATCH(A307,Inputs!$B$6:$D$6,0))</x:f>
        <x:v>5611.675</x:v>
      </x:c>
      <x:c r="U307" s="20" t="n">
        <x:f>IF(AND(A306=A307,D306=D307),T306,0)</x:f>
        <x:v>3050.8374999999996</x:v>
      </x:c>
      <x:c r="V307" s="20" t="n">
        <x:f>T307-U307</x:f>
        <x:v>2560.8375000000005</x:v>
      </x:c>
      <x:c r="W307" s="20" t="n">
        <x:f>R307+V307</x:f>
        <x:v>36035.8375</x:v>
      </x:c>
      <x:c r="X307" s="14" t="str">
        <x:f>IF(ABS(W307-SUM(M307:Q307)-V307)&lt;0.01,"OK","Check")</x:f>
        <x:v>OK</x:v>
      </x:c>
    </x:row>
    <x:row r="308">
      <x:c r="A308" s="14" t="n">
        <x:v>2026</x:v>
      </x:c>
      <x:c r="B308" s="14" t="str">
        <x:v>Q3</x:v>
      </x:c>
      <x:c r="C308" s="14" t="n">
        <x:v>3</x:v>
      </x:c>
      <x:c r="D308" s="14" t="n">
        <x:v>76</x:v>
      </x:c>
      <x:c r="E308" s="14" t="str">
        <x:f>INDEX(Roster!$B$6:$B$108,MATCH(D308,Roster!$A$6:$A$108,0))</x:f>
      </x:c>
      <x:c r="F308" s="14" t="str">
        <x:f>INDEX(Roster!$F$6:$F$108,MATCH(D308,Roster!$A$6:$A$108,0))</x:f>
        <x:v>No</x:v>
      </x:c>
      <x:c r="G308" s="14" t="n">
        <x:f>INDEX(Inputs!$B$7:$D$7,1,MATCH(A308,Inputs!$B$6:$D$6,0))</x:f>
        <x:v>13</x:v>
      </x:c>
      <x:c r="H308" s="14" t="n">
        <x:f>MIN(=INDEX(Inputs!$B$7:$D$7,1,MATCH(A308,Inputs!$B$6:$D$6,0)),MAX(0,INDEX(Inputs!$B$14:$D$14,1,MATCH(A308,Inputs!$B$6:$D$6,0))-(C308-1)*=INDEX(Inputs!$B$7:$D$7,1,MATCH(A308,Inputs!$B$6:$D$6,0))))</x:f>
        <x:v>13</x:v>
      </x:c>
      <x:c r="I308" s="20" t="n">
        <x:f>INDEX(Inputs!$B$8:$D$8,1,MATCH(A308,Inputs!$B$6:$D$6,0))</x:f>
        <x:v>2395</x:v>
      </x:c>
      <x:c r="J308" s="20" t="n">
        <x:f>INDEX(Roster!$C$6:$C$108,MATCH(D308,Roster!$A$6:$A$108,0))*(1+INDEX(Inputs!$B$9:$D$9,1,MATCH(A308,Inputs!$B$6:$D$6,0)))</x:f>
        <x:v>60</x:v>
      </x:c>
      <x:c r="K308" s="20" t="n">
        <x:f>IF(=INDEX(Roster!$F$6:$F$108,MATCH(D308,Roster!$A$6:$A$108,0))="Yes",0,=INDEX(Inputs!$B$8:$D$8,1,MATCH(A308,Inputs!$B$6:$D$6,0))*IF(=INDEX(Roster!$B$6:$B$108,MATCH(D308,Roster!$A$6:$A$108,0))="Principal",INDEX(Inputs!$B$10:$D$10,1,MATCH(A308,Inputs!$B$6:$D$6,0)),IF(=INDEX(Roster!$B$6:$B$108,MATCH(D308,Roster!$A$6:$A$108,0))="Associate Principal",INDEX(Inputs!$B$11:$D$11,1,MATCH(A308,Inputs!$B$6:$D$6,0)),IF(=INDEX(Roster!$B$6:$B$108,MATCH(D308,Roster!$A$6:$A$108,0))="Assistant Principal",INDEX(Inputs!$B$12:$D$12,1,MATCH(A308,Inputs!$B$6:$D$6,0)),0))))</x:f>
        <x:v>0</x:v>
      </x:c>
      <x:c r="L308" s="20" t="n">
        <x:f>IF(INDEX(Roster!$D$6:$D$108,MATCH(D308,Roster!$A$6:$A$108,0))&gt;=25,INDEX(Inputs!$B$19:$D$19,1,MATCH(A308,Inputs!$B$6:$D$6,0)),IF(INDEX(Roster!$D$6:$D$108,MATCH(D308,Roster!$A$6:$A$108,0))&gt;=20,INDEX(Inputs!$B$18:$D$18,1,MATCH(A308,Inputs!$B$6:$D$6,0)),IF(INDEX(Roster!$D$6:$D$108,MATCH(D308,Roster!$A$6:$A$108,0))&gt;=15,INDEX(Inputs!$B$17:$D$17,1,MATCH(A308,Inputs!$B$6:$D$6,0)),IF(INDEX(Roster!$D$6:$D$108,MATCH(D308,Roster!$A$6:$A$108,0))&gt;=10,INDEX(Inputs!$B$16:$D$16,1,MATCH(A308,Inputs!$B$6:$D$6,0)),IF(INDEX(Roster!$D$6:$D$108,MATCH(D308,Roster!$A$6:$A$108,0))&gt;=5,INDEX(Inputs!$B$15:$D$15,1,MATCH(A308,Inputs!$B$6:$D$6,0)),0)))))</x:f>
        <x:v>90</x:v>
      </x:c>
      <x:c r="M308" s="20" t="n">
        <x:f>G308*I308</x:f>
        <x:v>31135</x:v>
      </x:c>
      <x:c r="N308" s="20" t="n">
        <x:f>G308*J308</x:f>
        <x:v>780</x:v>
      </x:c>
      <x:c r="O308" s="20" t="n">
        <x:f>G308*K308</x:f>
        <x:v>0</x:v>
      </x:c>
      <x:c r="P308" s="20" t="n">
        <x:f>G308*L308</x:f>
        <x:v>1170</x:v>
      </x:c>
      <x:c r="Q308" s="20" t="n">
        <x:f>H308*INDEX(Inputs!$B$13:$D$13,1,MATCH(A308,Inputs!$B$6:$D$6,0))</x:f>
        <x:v>390</x:v>
      </x:c>
      <x:c r="R308" s="20" t="n">
        <x:f>SUM(M308:Q308)</x:f>
        <x:v>33475</x:v>
      </x:c>
      <x:c r="S308" s="20" t="n">
        <x:f>IF(AND(A307=A308,D307=D308),S307+R308,R308)</x:f>
        <x:v>100425</x:v>
      </x:c>
      <x:c r="T308" s="20" t="n">
        <x:f>MIN(S308,INDEX(Inputs!$B$20:$D$20,1,MATCH(A308,Inputs!$B$6:$D$6,0)))*INDEX(Inputs!$B$22:$D$22,1,MATCH(A308,Inputs!$B$6:$D$6,0))+MAX(MIN(S308,INDEX(Inputs!$B$21:$D$21,1,MATCH(A308,Inputs!$B$6:$D$6,0)))-INDEX(Inputs!$B$20:$D$20,1,MATCH(A308,Inputs!$B$6:$D$6,0)),0)*INDEX(Inputs!$B$23:$D$23,1,MATCH(A308,Inputs!$B$6:$D$6,0))+MAX(S308-INDEX(Inputs!$B$21:$D$21,1,MATCH(A308,Inputs!$B$6:$D$6,0)),0)*INDEX(Inputs!$B$24:$D$24,1,MATCH(A308,Inputs!$B$6:$D$6,0))</x:f>
        <x:v>8172.5125</x:v>
      </x:c>
      <x:c r="U308" s="20" t="n">
        <x:f>IF(AND(A307=A308,D307=D308),T307,0)</x:f>
        <x:v>5611.675</x:v>
      </x:c>
      <x:c r="V308" s="20" t="n">
        <x:f>T308-U308</x:f>
        <x:v>2560.8374999999996</x:v>
      </x:c>
      <x:c r="W308" s="20" t="n">
        <x:f>R308+V308</x:f>
        <x:v>36035.8375</x:v>
      </x:c>
      <x:c r="X308" s="14" t="str">
        <x:f>IF(ABS(W308-SUM(M308:Q308)-V308)&lt;0.01,"OK","Check")</x:f>
        <x:v>OK</x:v>
      </x:c>
    </x:row>
    <x:row r="309">
      <x:c r="A309" s="14" t="n">
        <x:v>2026</x:v>
      </x:c>
      <x:c r="B309" s="14" t="str">
        <x:v>Q4</x:v>
      </x:c>
      <x:c r="C309" s="14" t="n">
        <x:v>4</x:v>
      </x:c>
      <x:c r="D309" s="14" t="n">
        <x:v>76</x:v>
      </x:c>
      <x:c r="E309" s="14" t="str">
        <x:f>INDEX(Roster!$B$6:$B$108,MATCH(D309,Roster!$A$6:$A$108,0))</x:f>
      </x:c>
      <x:c r="F309" s="14" t="str">
        <x:f>INDEX(Roster!$F$6:$F$108,MATCH(D309,Roster!$A$6:$A$108,0))</x:f>
        <x:v>No</x:v>
      </x:c>
      <x:c r="G309" s="14" t="n">
        <x:f>INDEX(Inputs!$B$7:$D$7,1,MATCH(A309,Inputs!$B$6:$D$6,0))</x:f>
        <x:v>13</x:v>
      </x:c>
      <x:c r="H309" s="14" t="n">
        <x:f>MIN(=INDEX(Inputs!$B$7:$D$7,1,MATCH(A309,Inputs!$B$6:$D$6,0)),MAX(0,INDEX(Inputs!$B$14:$D$14,1,MATCH(A309,Inputs!$B$6:$D$6,0))-(C309-1)*=INDEX(Inputs!$B$7:$D$7,1,MATCH(A309,Inputs!$B$6:$D$6,0))))</x:f>
        <x:v>0</x:v>
      </x:c>
      <x:c r="I309" s="20" t="n">
        <x:f>INDEX(Inputs!$B$8:$D$8,1,MATCH(A309,Inputs!$B$6:$D$6,0))</x:f>
        <x:v>2395</x:v>
      </x:c>
      <x:c r="J309" s="20" t="n">
        <x:f>INDEX(Roster!$C$6:$C$108,MATCH(D309,Roster!$A$6:$A$108,0))*(1+INDEX(Inputs!$B$9:$D$9,1,MATCH(A309,Inputs!$B$6:$D$6,0)))</x:f>
        <x:v>60</x:v>
      </x:c>
      <x:c r="K309" s="20" t="n">
        <x:f>IF(=INDEX(Roster!$F$6:$F$108,MATCH(D309,Roster!$A$6:$A$108,0))="Yes",0,=INDEX(Inputs!$B$8:$D$8,1,MATCH(A309,Inputs!$B$6:$D$6,0))*IF(=INDEX(Roster!$B$6:$B$108,MATCH(D309,Roster!$A$6:$A$108,0))="Principal",INDEX(Inputs!$B$10:$D$10,1,MATCH(A309,Inputs!$B$6:$D$6,0)),IF(=INDEX(Roster!$B$6:$B$108,MATCH(D309,Roster!$A$6:$A$108,0))="Associate Principal",INDEX(Inputs!$B$11:$D$11,1,MATCH(A309,Inputs!$B$6:$D$6,0)),IF(=INDEX(Roster!$B$6:$B$108,MATCH(D309,Roster!$A$6:$A$108,0))="Assistant Principal",INDEX(Inputs!$B$12:$D$12,1,MATCH(A309,Inputs!$B$6:$D$6,0)),0))))</x:f>
        <x:v>0</x:v>
      </x:c>
      <x:c r="L309" s="20" t="n">
        <x:f>IF(INDEX(Roster!$D$6:$D$108,MATCH(D309,Roster!$A$6:$A$108,0))&gt;=25,INDEX(Inputs!$B$19:$D$19,1,MATCH(A309,Inputs!$B$6:$D$6,0)),IF(INDEX(Roster!$D$6:$D$108,MATCH(D309,Roster!$A$6:$A$108,0))&gt;=20,INDEX(Inputs!$B$18:$D$18,1,MATCH(A309,Inputs!$B$6:$D$6,0)),IF(INDEX(Roster!$D$6:$D$108,MATCH(D309,Roster!$A$6:$A$108,0))&gt;=15,INDEX(Inputs!$B$17:$D$17,1,MATCH(A309,Inputs!$B$6:$D$6,0)),IF(INDEX(Roster!$D$6:$D$108,MATCH(D309,Roster!$A$6:$A$108,0))&gt;=10,INDEX(Inputs!$B$16:$D$16,1,MATCH(A309,Inputs!$B$6:$D$6,0)),IF(INDEX(Roster!$D$6:$D$108,MATCH(D309,Roster!$A$6:$A$108,0))&gt;=5,INDEX(Inputs!$B$15:$D$15,1,MATCH(A309,Inputs!$B$6:$D$6,0)),0)))))</x:f>
        <x:v>90</x:v>
      </x:c>
      <x:c r="M309" s="20" t="n">
        <x:f>G309*I309</x:f>
        <x:v>31135</x:v>
      </x:c>
      <x:c r="N309" s="20" t="n">
        <x:f>G309*J309</x:f>
        <x:v>780</x:v>
      </x:c>
      <x:c r="O309" s="20" t="n">
        <x:f>G309*K309</x:f>
        <x:v>0</x:v>
      </x:c>
      <x:c r="P309" s="20" t="n">
        <x:f>G309*L309</x:f>
        <x:v>1170</x:v>
      </x:c>
      <x:c r="Q309" s="20" t="n">
        <x:f>H309*INDEX(Inputs!$B$13:$D$13,1,MATCH(A309,Inputs!$B$6:$D$6,0))</x:f>
        <x:v>0</x:v>
      </x:c>
      <x:c r="R309" s="20" t="n">
        <x:f>SUM(M309:Q309)</x:f>
        <x:v>33085</x:v>
      </x:c>
      <x:c r="S309" s="20" t="n">
        <x:f>IF(AND(A308=A309,D308=D309),S308+R309,R309)</x:f>
        <x:v>133510</x:v>
      </x:c>
      <x:c r="T309" s="20" t="n">
        <x:f>MIN(S309,INDEX(Inputs!$B$20:$D$20,1,MATCH(A309,Inputs!$B$6:$D$6,0)))*INDEX(Inputs!$B$22:$D$22,1,MATCH(A309,Inputs!$B$6:$D$6,0))+MAX(MIN(S309,INDEX(Inputs!$B$21:$D$21,1,MATCH(A309,Inputs!$B$6:$D$6,0)))-INDEX(Inputs!$B$20:$D$20,1,MATCH(A309,Inputs!$B$6:$D$6,0)),0)*INDEX(Inputs!$B$23:$D$23,1,MATCH(A309,Inputs!$B$6:$D$6,0))+MAX(S309-INDEX(Inputs!$B$21:$D$21,1,MATCH(A309,Inputs!$B$6:$D$6,0)),0)*INDEX(Inputs!$B$24:$D$24,1,MATCH(A309,Inputs!$B$6:$D$6,0))</x:f>
        <x:v>9849.837</x:v>
      </x:c>
      <x:c r="U309" s="20" t="n">
        <x:f>IF(AND(A308=A309,D308=D309),T308,0)</x:f>
        <x:v>8172.5125</x:v>
      </x:c>
      <x:c r="V309" s="20" t="n">
        <x:f>T309-U309</x:f>
        <x:v>1677.3244999999997</x:v>
      </x:c>
      <x:c r="W309" s="20" t="n">
        <x:f>R309+V309</x:f>
        <x:v>34762.3245</x:v>
      </x:c>
      <x:c r="X309" s="14" t="str">
        <x:f>IF(ABS(W309-SUM(M309:Q309)-V309)&lt;0.01,"OK","Check")</x:f>
        <x:v>OK</x:v>
      </x:c>
    </x:row>
    <x:row r="310">
      <x:c r="A310" s="14" t="n">
        <x:v>2026</x:v>
      </x:c>
      <x:c r="B310" s="14" t="str">
        <x:v>Q1</x:v>
      </x:c>
      <x:c r="C310" s="14" t="n">
        <x:v>1</x:v>
      </x:c>
      <x:c r="D310" s="14" t="n">
        <x:v>77</x:v>
      </x:c>
      <x:c r="E310" s="14" t="str">
        <x:f>INDEX(Roster!$B$6:$B$108,MATCH(D310,Roster!$A$6:$A$108,0))</x:f>
      </x:c>
      <x:c r="F310" s="14" t="str">
        <x:f>INDEX(Roster!$F$6:$F$108,MATCH(D310,Roster!$A$6:$A$108,0))</x:f>
        <x:v>No</x:v>
      </x:c>
      <x:c r="G310" s="14" t="n">
        <x:f>INDEX(Inputs!$B$7:$D$7,1,MATCH(A310,Inputs!$B$6:$D$6,0))</x:f>
        <x:v>13</x:v>
      </x:c>
      <x:c r="H310" s="14" t="n">
        <x:f>MIN(=INDEX(Inputs!$B$7:$D$7,1,MATCH(A310,Inputs!$B$6:$D$6,0)),MAX(0,INDEX(Inputs!$B$14:$D$14,1,MATCH(A310,Inputs!$B$6:$D$6,0))-(C310-1)*=INDEX(Inputs!$B$7:$D$7,1,MATCH(A310,Inputs!$B$6:$D$6,0))))</x:f>
        <x:v>13</x:v>
      </x:c>
      <x:c r="I310" s="20" t="n">
        <x:f>INDEX(Inputs!$B$8:$D$8,1,MATCH(A310,Inputs!$B$6:$D$6,0))</x:f>
        <x:v>2395</x:v>
      </x:c>
      <x:c r="J310" s="20" t="n">
        <x:f>INDEX(Roster!$C$6:$C$108,MATCH(D310,Roster!$A$6:$A$108,0))*(1+INDEX(Inputs!$B$9:$D$9,1,MATCH(A310,Inputs!$B$6:$D$6,0)))</x:f>
        <x:v>50</x:v>
      </x:c>
      <x:c r="K310" s="20" t="n">
        <x:f>IF(=INDEX(Roster!$F$6:$F$108,MATCH(D310,Roster!$A$6:$A$108,0))="Yes",0,=INDEX(Inputs!$B$8:$D$8,1,MATCH(A310,Inputs!$B$6:$D$6,0))*IF(=INDEX(Roster!$B$6:$B$108,MATCH(D310,Roster!$A$6:$A$108,0))="Principal",INDEX(Inputs!$B$10:$D$10,1,MATCH(A310,Inputs!$B$6:$D$6,0)),IF(=INDEX(Roster!$B$6:$B$108,MATCH(D310,Roster!$A$6:$A$108,0))="Associate Principal",INDEX(Inputs!$B$11:$D$11,1,MATCH(A310,Inputs!$B$6:$D$6,0)),IF(=INDEX(Roster!$B$6:$B$108,MATCH(D310,Roster!$A$6:$A$108,0))="Assistant Principal",INDEX(Inputs!$B$12:$D$12,1,MATCH(A310,Inputs!$B$6:$D$6,0)),0))))</x:f>
        <x:v>0</x:v>
      </x:c>
      <x:c r="L310" s="20" t="n">
        <x:f>IF(INDEX(Roster!$D$6:$D$108,MATCH(D310,Roster!$A$6:$A$108,0))&gt;=25,INDEX(Inputs!$B$19:$D$19,1,MATCH(A310,Inputs!$B$6:$D$6,0)),IF(INDEX(Roster!$D$6:$D$108,MATCH(D310,Roster!$A$6:$A$108,0))&gt;=20,INDEX(Inputs!$B$18:$D$18,1,MATCH(A310,Inputs!$B$6:$D$6,0)),IF(INDEX(Roster!$D$6:$D$108,MATCH(D310,Roster!$A$6:$A$108,0))&gt;=15,INDEX(Inputs!$B$17:$D$17,1,MATCH(A310,Inputs!$B$6:$D$6,0)),IF(INDEX(Roster!$D$6:$D$108,MATCH(D310,Roster!$A$6:$A$108,0))&gt;=10,INDEX(Inputs!$B$16:$D$16,1,MATCH(A310,Inputs!$B$6:$D$6,0)),IF(INDEX(Roster!$D$6:$D$108,MATCH(D310,Roster!$A$6:$A$108,0))&gt;=5,INDEX(Inputs!$B$15:$D$15,1,MATCH(A310,Inputs!$B$6:$D$6,0)),0)))))</x:f>
        <x:v>90</x:v>
      </x:c>
      <x:c r="M310" s="20" t="n">
        <x:f>G310*I310</x:f>
        <x:v>31135</x:v>
      </x:c>
      <x:c r="N310" s="20" t="n">
        <x:f>G310*J310</x:f>
        <x:v>650</x:v>
      </x:c>
      <x:c r="O310" s="20" t="n">
        <x:f>G310*K310</x:f>
        <x:v>0</x:v>
      </x:c>
      <x:c r="P310" s="20" t="n">
        <x:f>G310*L310</x:f>
        <x:v>1170</x:v>
      </x:c>
      <x:c r="Q310" s="20" t="n">
        <x:f>H310*INDEX(Inputs!$B$13:$D$13,1,MATCH(A310,Inputs!$B$6:$D$6,0))</x:f>
        <x:v>390</x:v>
      </x:c>
      <x:c r="R310" s="20" t="n">
        <x:f>SUM(M310:Q310)</x:f>
        <x:v>33345</x:v>
      </x:c>
      <x:c r="S310" s="20" t="n">
        <x:f>IF(AND(A309=A310,D309=D310),S309+R310,R310)</x:f>
        <x:v>33345</x:v>
      </x:c>
      <x:c r="T310" s="20" t="n">
        <x:f>MIN(S310,INDEX(Inputs!$B$20:$D$20,1,MATCH(A310,Inputs!$B$6:$D$6,0)))*INDEX(Inputs!$B$22:$D$22,1,MATCH(A310,Inputs!$B$6:$D$6,0))+MAX(MIN(S310,INDEX(Inputs!$B$21:$D$21,1,MATCH(A310,Inputs!$B$6:$D$6,0)))-INDEX(Inputs!$B$20:$D$20,1,MATCH(A310,Inputs!$B$6:$D$6,0)),0)*INDEX(Inputs!$B$23:$D$23,1,MATCH(A310,Inputs!$B$6:$D$6,0))+MAX(S310-INDEX(Inputs!$B$21:$D$21,1,MATCH(A310,Inputs!$B$6:$D$6,0)),0)*INDEX(Inputs!$B$24:$D$24,1,MATCH(A310,Inputs!$B$6:$D$6,0))</x:f>
        <x:v>3040.8925</x:v>
      </x:c>
      <x:c r="U310" s="20" t="n">
        <x:f>IF(AND(A309=A310,D309=D310),T309,0)</x:f>
        <x:v>0</x:v>
      </x:c>
      <x:c r="V310" s="20" t="n">
        <x:f>T310-U310</x:f>
        <x:v>3040.8925</x:v>
      </x:c>
      <x:c r="W310" s="20" t="n">
        <x:f>R310+V310</x:f>
        <x:v>36385.8925</x:v>
      </x:c>
      <x:c r="X310" s="14" t="str">
        <x:f>IF(ABS(W310-SUM(M310:Q310)-V310)&lt;0.01,"OK","Check")</x:f>
        <x:v>OK</x:v>
      </x:c>
    </x:row>
    <x:row r="311">
      <x:c r="A311" s="14" t="n">
        <x:v>2026</x:v>
      </x:c>
      <x:c r="B311" s="14" t="str">
        <x:v>Q2</x:v>
      </x:c>
      <x:c r="C311" s="14" t="n">
        <x:v>2</x:v>
      </x:c>
      <x:c r="D311" s="14" t="n">
        <x:v>77</x:v>
      </x:c>
      <x:c r="E311" s="14" t="str">
        <x:f>INDEX(Roster!$B$6:$B$108,MATCH(D311,Roster!$A$6:$A$108,0))</x:f>
      </x:c>
      <x:c r="F311" s="14" t="str">
        <x:f>INDEX(Roster!$F$6:$F$108,MATCH(D311,Roster!$A$6:$A$108,0))</x:f>
        <x:v>No</x:v>
      </x:c>
      <x:c r="G311" s="14" t="n">
        <x:f>INDEX(Inputs!$B$7:$D$7,1,MATCH(A311,Inputs!$B$6:$D$6,0))</x:f>
        <x:v>13</x:v>
      </x:c>
      <x:c r="H311" s="14" t="n">
        <x:f>MIN(=INDEX(Inputs!$B$7:$D$7,1,MATCH(A311,Inputs!$B$6:$D$6,0)),MAX(0,INDEX(Inputs!$B$14:$D$14,1,MATCH(A311,Inputs!$B$6:$D$6,0))-(C311-1)*=INDEX(Inputs!$B$7:$D$7,1,MATCH(A311,Inputs!$B$6:$D$6,0))))</x:f>
        <x:v>13</x:v>
      </x:c>
      <x:c r="I311" s="20" t="n">
        <x:f>INDEX(Inputs!$B$8:$D$8,1,MATCH(A311,Inputs!$B$6:$D$6,0))</x:f>
        <x:v>2395</x:v>
      </x:c>
      <x:c r="J311" s="20" t="n">
        <x:f>INDEX(Roster!$C$6:$C$108,MATCH(D311,Roster!$A$6:$A$108,0))*(1+INDEX(Inputs!$B$9:$D$9,1,MATCH(A311,Inputs!$B$6:$D$6,0)))</x:f>
        <x:v>50</x:v>
      </x:c>
      <x:c r="K311" s="20" t="n">
        <x:f>IF(=INDEX(Roster!$F$6:$F$108,MATCH(D311,Roster!$A$6:$A$108,0))="Yes",0,=INDEX(Inputs!$B$8:$D$8,1,MATCH(A311,Inputs!$B$6:$D$6,0))*IF(=INDEX(Roster!$B$6:$B$108,MATCH(D311,Roster!$A$6:$A$108,0))="Principal",INDEX(Inputs!$B$10:$D$10,1,MATCH(A311,Inputs!$B$6:$D$6,0)),IF(=INDEX(Roster!$B$6:$B$108,MATCH(D311,Roster!$A$6:$A$108,0))="Associate Principal",INDEX(Inputs!$B$11:$D$11,1,MATCH(A311,Inputs!$B$6:$D$6,0)),IF(=INDEX(Roster!$B$6:$B$108,MATCH(D311,Roster!$A$6:$A$108,0))="Assistant Principal",INDEX(Inputs!$B$12:$D$12,1,MATCH(A311,Inputs!$B$6:$D$6,0)),0))))</x:f>
        <x:v>0</x:v>
      </x:c>
      <x:c r="L311" s="20" t="n">
        <x:f>IF(INDEX(Roster!$D$6:$D$108,MATCH(D311,Roster!$A$6:$A$108,0))&gt;=25,INDEX(Inputs!$B$19:$D$19,1,MATCH(A311,Inputs!$B$6:$D$6,0)),IF(INDEX(Roster!$D$6:$D$108,MATCH(D311,Roster!$A$6:$A$108,0))&gt;=20,INDEX(Inputs!$B$18:$D$18,1,MATCH(A311,Inputs!$B$6:$D$6,0)),IF(INDEX(Roster!$D$6:$D$108,MATCH(D311,Roster!$A$6:$A$108,0))&gt;=15,INDEX(Inputs!$B$17:$D$17,1,MATCH(A311,Inputs!$B$6:$D$6,0)),IF(INDEX(Roster!$D$6:$D$108,MATCH(D311,Roster!$A$6:$A$108,0))&gt;=10,INDEX(Inputs!$B$16:$D$16,1,MATCH(A311,Inputs!$B$6:$D$6,0)),IF(INDEX(Roster!$D$6:$D$108,MATCH(D311,Roster!$A$6:$A$108,0))&gt;=5,INDEX(Inputs!$B$15:$D$15,1,MATCH(A311,Inputs!$B$6:$D$6,0)),0)))))</x:f>
        <x:v>90</x:v>
      </x:c>
      <x:c r="M311" s="20" t="n">
        <x:f>G311*I311</x:f>
        <x:v>31135</x:v>
      </x:c>
      <x:c r="N311" s="20" t="n">
        <x:f>G311*J311</x:f>
        <x:v>650</x:v>
      </x:c>
      <x:c r="O311" s="20" t="n">
        <x:f>G311*K311</x:f>
        <x:v>0</x:v>
      </x:c>
      <x:c r="P311" s="20" t="n">
        <x:f>G311*L311</x:f>
        <x:v>1170</x:v>
      </x:c>
      <x:c r="Q311" s="20" t="n">
        <x:f>H311*INDEX(Inputs!$B$13:$D$13,1,MATCH(A311,Inputs!$B$6:$D$6,0))</x:f>
        <x:v>390</x:v>
      </x:c>
      <x:c r="R311" s="20" t="n">
        <x:f>SUM(M311:Q311)</x:f>
        <x:v>33345</x:v>
      </x:c>
      <x:c r="S311" s="20" t="n">
        <x:f>IF(AND(A310=A311,D310=D311),S310+R311,R311)</x:f>
        <x:v>66690</x:v>
      </x:c>
      <x:c r="T311" s="20" t="n">
        <x:f>MIN(S311,INDEX(Inputs!$B$20:$D$20,1,MATCH(A311,Inputs!$B$6:$D$6,0)))*INDEX(Inputs!$B$22:$D$22,1,MATCH(A311,Inputs!$B$6:$D$6,0))+MAX(MIN(S311,INDEX(Inputs!$B$21:$D$21,1,MATCH(A311,Inputs!$B$6:$D$6,0)))-INDEX(Inputs!$B$20:$D$20,1,MATCH(A311,Inputs!$B$6:$D$6,0)),0)*INDEX(Inputs!$B$23:$D$23,1,MATCH(A311,Inputs!$B$6:$D$6,0))+MAX(S311-INDEX(Inputs!$B$21:$D$21,1,MATCH(A311,Inputs!$B$6:$D$6,0)),0)*INDEX(Inputs!$B$24:$D$24,1,MATCH(A311,Inputs!$B$6:$D$6,0))</x:f>
        <x:v>5591.785</x:v>
      </x:c>
      <x:c r="U311" s="20" t="n">
        <x:f>IF(AND(A310=A311,D310=D311),T310,0)</x:f>
        <x:v>3040.8925</x:v>
      </x:c>
      <x:c r="V311" s="20" t="n">
        <x:f>T311-U311</x:f>
        <x:v>2550.8925</x:v>
      </x:c>
      <x:c r="W311" s="20" t="n">
        <x:f>R311+V311</x:f>
        <x:v>35895.8925</x:v>
      </x:c>
      <x:c r="X311" s="14" t="str">
        <x:f>IF(ABS(W311-SUM(M311:Q311)-V311)&lt;0.01,"OK","Check")</x:f>
        <x:v>OK</x:v>
      </x:c>
    </x:row>
    <x:row r="312">
      <x:c r="A312" s="14" t="n">
        <x:v>2026</x:v>
      </x:c>
      <x:c r="B312" s="14" t="str">
        <x:v>Q3</x:v>
      </x:c>
      <x:c r="C312" s="14" t="n">
        <x:v>3</x:v>
      </x:c>
      <x:c r="D312" s="14" t="n">
        <x:v>77</x:v>
      </x:c>
      <x:c r="E312" s="14" t="str">
        <x:f>INDEX(Roster!$B$6:$B$108,MATCH(D312,Roster!$A$6:$A$108,0))</x:f>
      </x:c>
      <x:c r="F312" s="14" t="str">
        <x:f>INDEX(Roster!$F$6:$F$108,MATCH(D312,Roster!$A$6:$A$108,0))</x:f>
        <x:v>No</x:v>
      </x:c>
      <x:c r="G312" s="14" t="n">
        <x:f>INDEX(Inputs!$B$7:$D$7,1,MATCH(A312,Inputs!$B$6:$D$6,0))</x:f>
        <x:v>13</x:v>
      </x:c>
      <x:c r="H312" s="14" t="n">
        <x:f>MIN(=INDEX(Inputs!$B$7:$D$7,1,MATCH(A312,Inputs!$B$6:$D$6,0)),MAX(0,INDEX(Inputs!$B$14:$D$14,1,MATCH(A312,Inputs!$B$6:$D$6,0))-(C312-1)*=INDEX(Inputs!$B$7:$D$7,1,MATCH(A312,Inputs!$B$6:$D$6,0))))</x:f>
        <x:v>13</x:v>
      </x:c>
      <x:c r="I312" s="20" t="n">
        <x:f>INDEX(Inputs!$B$8:$D$8,1,MATCH(A312,Inputs!$B$6:$D$6,0))</x:f>
        <x:v>2395</x:v>
      </x:c>
      <x:c r="J312" s="20" t="n">
        <x:f>INDEX(Roster!$C$6:$C$108,MATCH(D312,Roster!$A$6:$A$108,0))*(1+INDEX(Inputs!$B$9:$D$9,1,MATCH(A312,Inputs!$B$6:$D$6,0)))</x:f>
        <x:v>50</x:v>
      </x:c>
      <x:c r="K312" s="20" t="n">
        <x:f>IF(=INDEX(Roster!$F$6:$F$108,MATCH(D312,Roster!$A$6:$A$108,0))="Yes",0,=INDEX(Inputs!$B$8:$D$8,1,MATCH(A312,Inputs!$B$6:$D$6,0))*IF(=INDEX(Roster!$B$6:$B$108,MATCH(D312,Roster!$A$6:$A$108,0))="Principal",INDEX(Inputs!$B$10:$D$10,1,MATCH(A312,Inputs!$B$6:$D$6,0)),IF(=INDEX(Roster!$B$6:$B$108,MATCH(D312,Roster!$A$6:$A$108,0))="Associate Principal",INDEX(Inputs!$B$11:$D$11,1,MATCH(A312,Inputs!$B$6:$D$6,0)),IF(=INDEX(Roster!$B$6:$B$108,MATCH(D312,Roster!$A$6:$A$108,0))="Assistant Principal",INDEX(Inputs!$B$12:$D$12,1,MATCH(A312,Inputs!$B$6:$D$6,0)),0))))</x:f>
        <x:v>0</x:v>
      </x:c>
      <x:c r="L312" s="20" t="n">
        <x:f>IF(INDEX(Roster!$D$6:$D$108,MATCH(D312,Roster!$A$6:$A$108,0))&gt;=25,INDEX(Inputs!$B$19:$D$19,1,MATCH(A312,Inputs!$B$6:$D$6,0)),IF(INDEX(Roster!$D$6:$D$108,MATCH(D312,Roster!$A$6:$A$108,0))&gt;=20,INDEX(Inputs!$B$18:$D$18,1,MATCH(A312,Inputs!$B$6:$D$6,0)),IF(INDEX(Roster!$D$6:$D$108,MATCH(D312,Roster!$A$6:$A$108,0))&gt;=15,INDEX(Inputs!$B$17:$D$17,1,MATCH(A312,Inputs!$B$6:$D$6,0)),IF(INDEX(Roster!$D$6:$D$108,MATCH(D312,Roster!$A$6:$A$108,0))&gt;=10,INDEX(Inputs!$B$16:$D$16,1,MATCH(A312,Inputs!$B$6:$D$6,0)),IF(INDEX(Roster!$D$6:$D$108,MATCH(D312,Roster!$A$6:$A$108,0))&gt;=5,INDEX(Inputs!$B$15:$D$15,1,MATCH(A312,Inputs!$B$6:$D$6,0)),0)))))</x:f>
        <x:v>90</x:v>
      </x:c>
      <x:c r="M312" s="20" t="n">
        <x:f>G312*I312</x:f>
        <x:v>31135</x:v>
      </x:c>
      <x:c r="N312" s="20" t="n">
        <x:f>G312*J312</x:f>
        <x:v>650</x:v>
      </x:c>
      <x:c r="O312" s="20" t="n">
        <x:f>G312*K312</x:f>
        <x:v>0</x:v>
      </x:c>
      <x:c r="P312" s="20" t="n">
        <x:f>G312*L312</x:f>
        <x:v>1170</x:v>
      </x:c>
      <x:c r="Q312" s="20" t="n">
        <x:f>H312*INDEX(Inputs!$B$13:$D$13,1,MATCH(A312,Inputs!$B$6:$D$6,0))</x:f>
        <x:v>390</x:v>
      </x:c>
      <x:c r="R312" s="20" t="n">
        <x:f>SUM(M312:Q312)</x:f>
        <x:v>33345</x:v>
      </x:c>
      <x:c r="S312" s="20" t="n">
        <x:f>IF(AND(A311=A312,D311=D312),S311+R312,R312)</x:f>
        <x:v>100035</x:v>
      </x:c>
      <x:c r="T312" s="20" t="n">
        <x:f>MIN(S312,INDEX(Inputs!$B$20:$D$20,1,MATCH(A312,Inputs!$B$6:$D$6,0)))*INDEX(Inputs!$B$22:$D$22,1,MATCH(A312,Inputs!$B$6:$D$6,0))+MAX(MIN(S312,INDEX(Inputs!$B$21:$D$21,1,MATCH(A312,Inputs!$B$6:$D$6,0)))-INDEX(Inputs!$B$20:$D$20,1,MATCH(A312,Inputs!$B$6:$D$6,0)),0)*INDEX(Inputs!$B$23:$D$23,1,MATCH(A312,Inputs!$B$6:$D$6,0))+MAX(S312-INDEX(Inputs!$B$21:$D$21,1,MATCH(A312,Inputs!$B$6:$D$6,0)),0)*INDEX(Inputs!$B$24:$D$24,1,MATCH(A312,Inputs!$B$6:$D$6,0))</x:f>
        <x:v>8142.6775</x:v>
      </x:c>
      <x:c r="U312" s="20" t="n">
        <x:f>IF(AND(A311=A312,D311=D312),T311,0)</x:f>
        <x:v>5591.785</x:v>
      </x:c>
      <x:c r="V312" s="20" t="n">
        <x:f>T312-U312</x:f>
        <x:v>2550.8925</x:v>
      </x:c>
      <x:c r="W312" s="20" t="n">
        <x:f>R312+V312</x:f>
        <x:v>35895.8925</x:v>
      </x:c>
      <x:c r="X312" s="14" t="str">
        <x:f>IF(ABS(W312-SUM(M312:Q312)-V312)&lt;0.01,"OK","Check")</x:f>
        <x:v>OK</x:v>
      </x:c>
    </x:row>
    <x:row r="313">
      <x:c r="A313" s="14" t="n">
        <x:v>2026</x:v>
      </x:c>
      <x:c r="B313" s="14" t="str">
        <x:v>Q4</x:v>
      </x:c>
      <x:c r="C313" s="14" t="n">
        <x:v>4</x:v>
      </x:c>
      <x:c r="D313" s="14" t="n">
        <x:v>77</x:v>
      </x:c>
      <x:c r="E313" s="14" t="str">
        <x:f>INDEX(Roster!$B$6:$B$108,MATCH(D313,Roster!$A$6:$A$108,0))</x:f>
      </x:c>
      <x:c r="F313" s="14" t="str">
        <x:f>INDEX(Roster!$F$6:$F$108,MATCH(D313,Roster!$A$6:$A$108,0))</x:f>
        <x:v>No</x:v>
      </x:c>
      <x:c r="G313" s="14" t="n">
        <x:f>INDEX(Inputs!$B$7:$D$7,1,MATCH(A313,Inputs!$B$6:$D$6,0))</x:f>
        <x:v>13</x:v>
      </x:c>
      <x:c r="H313" s="14" t="n">
        <x:f>MIN(=INDEX(Inputs!$B$7:$D$7,1,MATCH(A313,Inputs!$B$6:$D$6,0)),MAX(0,INDEX(Inputs!$B$14:$D$14,1,MATCH(A313,Inputs!$B$6:$D$6,0))-(C313-1)*=INDEX(Inputs!$B$7:$D$7,1,MATCH(A313,Inputs!$B$6:$D$6,0))))</x:f>
        <x:v>0</x:v>
      </x:c>
      <x:c r="I313" s="20" t="n">
        <x:f>INDEX(Inputs!$B$8:$D$8,1,MATCH(A313,Inputs!$B$6:$D$6,0))</x:f>
        <x:v>2395</x:v>
      </x:c>
      <x:c r="J313" s="20" t="n">
        <x:f>INDEX(Roster!$C$6:$C$108,MATCH(D313,Roster!$A$6:$A$108,0))*(1+INDEX(Inputs!$B$9:$D$9,1,MATCH(A313,Inputs!$B$6:$D$6,0)))</x:f>
        <x:v>50</x:v>
      </x:c>
      <x:c r="K313" s="20" t="n">
        <x:f>IF(=INDEX(Roster!$F$6:$F$108,MATCH(D313,Roster!$A$6:$A$108,0))="Yes",0,=INDEX(Inputs!$B$8:$D$8,1,MATCH(A313,Inputs!$B$6:$D$6,0))*IF(=INDEX(Roster!$B$6:$B$108,MATCH(D313,Roster!$A$6:$A$108,0))="Principal",INDEX(Inputs!$B$10:$D$10,1,MATCH(A313,Inputs!$B$6:$D$6,0)),IF(=INDEX(Roster!$B$6:$B$108,MATCH(D313,Roster!$A$6:$A$108,0))="Associate Principal",INDEX(Inputs!$B$11:$D$11,1,MATCH(A313,Inputs!$B$6:$D$6,0)),IF(=INDEX(Roster!$B$6:$B$108,MATCH(D313,Roster!$A$6:$A$108,0))="Assistant Principal",INDEX(Inputs!$B$12:$D$12,1,MATCH(A313,Inputs!$B$6:$D$6,0)),0))))</x:f>
        <x:v>0</x:v>
      </x:c>
      <x:c r="L313" s="20" t="n">
        <x:f>IF(INDEX(Roster!$D$6:$D$108,MATCH(D313,Roster!$A$6:$A$108,0))&gt;=25,INDEX(Inputs!$B$19:$D$19,1,MATCH(A313,Inputs!$B$6:$D$6,0)),IF(INDEX(Roster!$D$6:$D$108,MATCH(D313,Roster!$A$6:$A$108,0))&gt;=20,INDEX(Inputs!$B$18:$D$18,1,MATCH(A313,Inputs!$B$6:$D$6,0)),IF(INDEX(Roster!$D$6:$D$108,MATCH(D313,Roster!$A$6:$A$108,0))&gt;=15,INDEX(Inputs!$B$17:$D$17,1,MATCH(A313,Inputs!$B$6:$D$6,0)),IF(INDEX(Roster!$D$6:$D$108,MATCH(D313,Roster!$A$6:$A$108,0))&gt;=10,INDEX(Inputs!$B$16:$D$16,1,MATCH(A313,Inputs!$B$6:$D$6,0)),IF(INDEX(Roster!$D$6:$D$108,MATCH(D313,Roster!$A$6:$A$108,0))&gt;=5,INDEX(Inputs!$B$15:$D$15,1,MATCH(A313,Inputs!$B$6:$D$6,0)),0)))))</x:f>
        <x:v>90</x:v>
      </x:c>
      <x:c r="M313" s="20" t="n">
        <x:f>G313*I313</x:f>
        <x:v>31135</x:v>
      </x:c>
      <x:c r="N313" s="20" t="n">
        <x:f>G313*J313</x:f>
        <x:v>650</x:v>
      </x:c>
      <x:c r="O313" s="20" t="n">
        <x:f>G313*K313</x:f>
        <x:v>0</x:v>
      </x:c>
      <x:c r="P313" s="20" t="n">
        <x:f>G313*L313</x:f>
        <x:v>1170</x:v>
      </x:c>
      <x:c r="Q313" s="20" t="n">
        <x:f>H313*INDEX(Inputs!$B$13:$D$13,1,MATCH(A313,Inputs!$B$6:$D$6,0))</x:f>
        <x:v>0</x:v>
      </x:c>
      <x:c r="R313" s="20" t="n">
        <x:f>SUM(M313:Q313)</x:f>
        <x:v>32955</x:v>
      </x:c>
      <x:c r="S313" s="20" t="n">
        <x:f>IF(AND(A312=A313,D312=D313),S312+R313,R313)</x:f>
        <x:v>132990</x:v>
      </x:c>
      <x:c r="T313" s="20" t="n">
        <x:f>MIN(S313,INDEX(Inputs!$B$20:$D$20,1,MATCH(A313,Inputs!$B$6:$D$6,0)))*INDEX(Inputs!$B$22:$D$22,1,MATCH(A313,Inputs!$B$6:$D$6,0))+MAX(MIN(S313,INDEX(Inputs!$B$21:$D$21,1,MATCH(A313,Inputs!$B$6:$D$6,0)))-INDEX(Inputs!$B$20:$D$20,1,MATCH(A313,Inputs!$B$6:$D$6,0)),0)*INDEX(Inputs!$B$23:$D$23,1,MATCH(A313,Inputs!$B$6:$D$6,0))+MAX(S313-INDEX(Inputs!$B$21:$D$21,1,MATCH(A313,Inputs!$B$6:$D$6,0)),0)*INDEX(Inputs!$B$24:$D$24,1,MATCH(A313,Inputs!$B$6:$D$6,0))</x:f>
        <x:v>9842.297</x:v>
      </x:c>
      <x:c r="U313" s="20" t="n">
        <x:f>IF(AND(A312=A313,D312=D313),T312,0)</x:f>
        <x:v>8142.6775</x:v>
      </x:c>
      <x:c r="V313" s="20" t="n">
        <x:f>T313-U313</x:f>
        <x:v>1699.6195000000007</x:v>
      </x:c>
      <x:c r="W313" s="20" t="n">
        <x:f>R313+V313</x:f>
        <x:v>34654.6195</x:v>
      </x:c>
      <x:c r="X313" s="14" t="str">
        <x:f>IF(ABS(W313-SUM(M313:Q313)-V313)&lt;0.01,"OK","Check")</x:f>
        <x:v>OK</x:v>
      </x:c>
    </x:row>
    <x:row r="314">
      <x:c r="A314" s="14" t="n">
        <x:v>2026</x:v>
      </x:c>
      <x:c r="B314" s="14" t="str">
        <x:v>Q1</x:v>
      </x:c>
      <x:c r="C314" s="14" t="n">
        <x:v>1</x:v>
      </x:c>
      <x:c r="D314" s="14" t="n">
        <x:v>78</x:v>
      </x:c>
      <x:c r="E314" s="14" t="str">
        <x:f>INDEX(Roster!$B$6:$B$108,MATCH(D314,Roster!$A$6:$A$108,0))</x:f>
      </x:c>
      <x:c r="F314" s="14" t="str">
        <x:f>INDEX(Roster!$F$6:$F$108,MATCH(D314,Roster!$A$6:$A$108,0))</x:f>
        <x:v>No</x:v>
      </x:c>
      <x:c r="G314" s="14" t="n">
        <x:f>INDEX(Inputs!$B$7:$D$7,1,MATCH(A314,Inputs!$B$6:$D$6,0))</x:f>
        <x:v>13</x:v>
      </x:c>
      <x:c r="H314" s="14" t="n">
        <x:f>MIN(=INDEX(Inputs!$B$7:$D$7,1,MATCH(A314,Inputs!$B$6:$D$6,0)),MAX(0,INDEX(Inputs!$B$14:$D$14,1,MATCH(A314,Inputs!$B$6:$D$6,0))-(C314-1)*=INDEX(Inputs!$B$7:$D$7,1,MATCH(A314,Inputs!$B$6:$D$6,0))))</x:f>
        <x:v>13</x:v>
      </x:c>
      <x:c r="I314" s="20" t="n">
        <x:f>INDEX(Inputs!$B$8:$D$8,1,MATCH(A314,Inputs!$B$6:$D$6,0))</x:f>
        <x:v>2395</x:v>
      </x:c>
      <x:c r="J314" s="20" t="n">
        <x:f>INDEX(Roster!$C$6:$C$108,MATCH(D314,Roster!$A$6:$A$108,0))*(1+INDEX(Inputs!$B$9:$D$9,1,MATCH(A314,Inputs!$B$6:$D$6,0)))</x:f>
        <x:v>75</x:v>
      </x:c>
      <x:c r="K314" s="20" t="n">
        <x:f>IF(=INDEX(Roster!$F$6:$F$108,MATCH(D314,Roster!$A$6:$A$108,0))="Yes",0,=INDEX(Inputs!$B$8:$D$8,1,MATCH(A314,Inputs!$B$6:$D$6,0))*IF(=INDEX(Roster!$B$6:$B$108,MATCH(D314,Roster!$A$6:$A$108,0))="Principal",INDEX(Inputs!$B$10:$D$10,1,MATCH(A314,Inputs!$B$6:$D$6,0)),IF(=INDEX(Roster!$B$6:$B$108,MATCH(D314,Roster!$A$6:$A$108,0))="Associate Principal",INDEX(Inputs!$B$11:$D$11,1,MATCH(A314,Inputs!$B$6:$D$6,0)),IF(=INDEX(Roster!$B$6:$B$108,MATCH(D314,Roster!$A$6:$A$108,0))="Assistant Principal",INDEX(Inputs!$B$12:$D$12,1,MATCH(A314,Inputs!$B$6:$D$6,0)),0))))</x:f>
        <x:v>0</x:v>
      </x:c>
      <x:c r="L314" s="20" t="n">
        <x:f>IF(INDEX(Roster!$D$6:$D$108,MATCH(D314,Roster!$A$6:$A$108,0))&gt;=25,INDEX(Inputs!$B$19:$D$19,1,MATCH(A314,Inputs!$B$6:$D$6,0)),IF(INDEX(Roster!$D$6:$D$108,MATCH(D314,Roster!$A$6:$A$108,0))&gt;=20,INDEX(Inputs!$B$18:$D$18,1,MATCH(A314,Inputs!$B$6:$D$6,0)),IF(INDEX(Roster!$D$6:$D$108,MATCH(D314,Roster!$A$6:$A$108,0))&gt;=15,INDEX(Inputs!$B$17:$D$17,1,MATCH(A314,Inputs!$B$6:$D$6,0)),IF(INDEX(Roster!$D$6:$D$108,MATCH(D314,Roster!$A$6:$A$108,0))&gt;=10,INDEX(Inputs!$B$16:$D$16,1,MATCH(A314,Inputs!$B$6:$D$6,0)),IF(INDEX(Roster!$D$6:$D$108,MATCH(D314,Roster!$A$6:$A$108,0))&gt;=5,INDEX(Inputs!$B$15:$D$15,1,MATCH(A314,Inputs!$B$6:$D$6,0)),0)))))</x:f>
        <x:v>90</x:v>
      </x:c>
      <x:c r="M314" s="20" t="n">
        <x:f>G314*I314</x:f>
        <x:v>31135</x:v>
      </x:c>
      <x:c r="N314" s="20" t="n">
        <x:f>G314*J314</x:f>
        <x:v>975</x:v>
      </x:c>
      <x:c r="O314" s="20" t="n">
        <x:f>G314*K314</x:f>
        <x:v>0</x:v>
      </x:c>
      <x:c r="P314" s="20" t="n">
        <x:f>G314*L314</x:f>
        <x:v>1170</x:v>
      </x:c>
      <x:c r="Q314" s="20" t="n">
        <x:f>H314*INDEX(Inputs!$B$13:$D$13,1,MATCH(A314,Inputs!$B$6:$D$6,0))</x:f>
        <x:v>390</x:v>
      </x:c>
      <x:c r="R314" s="20" t="n">
        <x:f>SUM(M314:Q314)</x:f>
        <x:v>33670</x:v>
      </x:c>
      <x:c r="S314" s="20" t="n">
        <x:f>IF(AND(A313=A314,D313=D314),S313+R314,R314)</x:f>
        <x:v>33670</x:v>
      </x:c>
      <x:c r="T314" s="20" t="n">
        <x:f>MIN(S314,INDEX(Inputs!$B$20:$D$20,1,MATCH(A314,Inputs!$B$6:$D$6,0)))*INDEX(Inputs!$B$22:$D$22,1,MATCH(A314,Inputs!$B$6:$D$6,0))+MAX(MIN(S314,INDEX(Inputs!$B$21:$D$21,1,MATCH(A314,Inputs!$B$6:$D$6,0)))-INDEX(Inputs!$B$20:$D$20,1,MATCH(A314,Inputs!$B$6:$D$6,0)),0)*INDEX(Inputs!$B$23:$D$23,1,MATCH(A314,Inputs!$B$6:$D$6,0))+MAX(S314-INDEX(Inputs!$B$21:$D$21,1,MATCH(A314,Inputs!$B$6:$D$6,0)),0)*INDEX(Inputs!$B$24:$D$24,1,MATCH(A314,Inputs!$B$6:$D$6,0))</x:f>
        <x:v>3065.755</x:v>
      </x:c>
      <x:c r="U314" s="20" t="n">
        <x:f>IF(AND(A313=A314,D313=D314),T313,0)</x:f>
        <x:v>0</x:v>
      </x:c>
      <x:c r="V314" s="20" t="n">
        <x:f>T314-U314</x:f>
        <x:v>3065.755</x:v>
      </x:c>
      <x:c r="W314" s="20" t="n">
        <x:f>R314+V314</x:f>
        <x:v>36735.755</x:v>
      </x:c>
      <x:c r="X314" s="14" t="str">
        <x:f>IF(ABS(W314-SUM(M314:Q314)-V314)&lt;0.01,"OK","Check")</x:f>
        <x:v>OK</x:v>
      </x:c>
    </x:row>
    <x:row r="315">
      <x:c r="A315" s="14" t="n">
        <x:v>2026</x:v>
      </x:c>
      <x:c r="B315" s="14" t="str">
        <x:v>Q2</x:v>
      </x:c>
      <x:c r="C315" s="14" t="n">
        <x:v>2</x:v>
      </x:c>
      <x:c r="D315" s="14" t="n">
        <x:v>78</x:v>
      </x:c>
      <x:c r="E315" s="14" t="str">
        <x:f>INDEX(Roster!$B$6:$B$108,MATCH(D315,Roster!$A$6:$A$108,0))</x:f>
      </x:c>
      <x:c r="F315" s="14" t="str">
        <x:f>INDEX(Roster!$F$6:$F$108,MATCH(D315,Roster!$A$6:$A$108,0))</x:f>
        <x:v>No</x:v>
      </x:c>
      <x:c r="G315" s="14" t="n">
        <x:f>INDEX(Inputs!$B$7:$D$7,1,MATCH(A315,Inputs!$B$6:$D$6,0))</x:f>
        <x:v>13</x:v>
      </x:c>
      <x:c r="H315" s="14" t="n">
        <x:f>MIN(=INDEX(Inputs!$B$7:$D$7,1,MATCH(A315,Inputs!$B$6:$D$6,0)),MAX(0,INDEX(Inputs!$B$14:$D$14,1,MATCH(A315,Inputs!$B$6:$D$6,0))-(C315-1)*=INDEX(Inputs!$B$7:$D$7,1,MATCH(A315,Inputs!$B$6:$D$6,0))))</x:f>
        <x:v>13</x:v>
      </x:c>
      <x:c r="I315" s="20" t="n">
        <x:f>INDEX(Inputs!$B$8:$D$8,1,MATCH(A315,Inputs!$B$6:$D$6,0))</x:f>
        <x:v>2395</x:v>
      </x:c>
      <x:c r="J315" s="20" t="n">
        <x:f>INDEX(Roster!$C$6:$C$108,MATCH(D315,Roster!$A$6:$A$108,0))*(1+INDEX(Inputs!$B$9:$D$9,1,MATCH(A315,Inputs!$B$6:$D$6,0)))</x:f>
        <x:v>75</x:v>
      </x:c>
      <x:c r="K315" s="20" t="n">
        <x:f>IF(=INDEX(Roster!$F$6:$F$108,MATCH(D315,Roster!$A$6:$A$108,0))="Yes",0,=INDEX(Inputs!$B$8:$D$8,1,MATCH(A315,Inputs!$B$6:$D$6,0))*IF(=INDEX(Roster!$B$6:$B$108,MATCH(D315,Roster!$A$6:$A$108,0))="Principal",INDEX(Inputs!$B$10:$D$10,1,MATCH(A315,Inputs!$B$6:$D$6,0)),IF(=INDEX(Roster!$B$6:$B$108,MATCH(D315,Roster!$A$6:$A$108,0))="Associate Principal",INDEX(Inputs!$B$11:$D$11,1,MATCH(A315,Inputs!$B$6:$D$6,0)),IF(=INDEX(Roster!$B$6:$B$108,MATCH(D315,Roster!$A$6:$A$108,0))="Assistant Principal",INDEX(Inputs!$B$12:$D$12,1,MATCH(A315,Inputs!$B$6:$D$6,0)),0))))</x:f>
        <x:v>0</x:v>
      </x:c>
      <x:c r="L315" s="20" t="n">
        <x:f>IF(INDEX(Roster!$D$6:$D$108,MATCH(D315,Roster!$A$6:$A$108,0))&gt;=25,INDEX(Inputs!$B$19:$D$19,1,MATCH(A315,Inputs!$B$6:$D$6,0)),IF(INDEX(Roster!$D$6:$D$108,MATCH(D315,Roster!$A$6:$A$108,0))&gt;=20,INDEX(Inputs!$B$18:$D$18,1,MATCH(A315,Inputs!$B$6:$D$6,0)),IF(INDEX(Roster!$D$6:$D$108,MATCH(D315,Roster!$A$6:$A$108,0))&gt;=15,INDEX(Inputs!$B$17:$D$17,1,MATCH(A315,Inputs!$B$6:$D$6,0)),IF(INDEX(Roster!$D$6:$D$108,MATCH(D315,Roster!$A$6:$A$108,0))&gt;=10,INDEX(Inputs!$B$16:$D$16,1,MATCH(A315,Inputs!$B$6:$D$6,0)),IF(INDEX(Roster!$D$6:$D$108,MATCH(D315,Roster!$A$6:$A$108,0))&gt;=5,INDEX(Inputs!$B$15:$D$15,1,MATCH(A315,Inputs!$B$6:$D$6,0)),0)))))</x:f>
        <x:v>90</x:v>
      </x:c>
      <x:c r="M315" s="20" t="n">
        <x:f>G315*I315</x:f>
        <x:v>31135</x:v>
      </x:c>
      <x:c r="N315" s="20" t="n">
        <x:f>G315*J315</x:f>
        <x:v>975</x:v>
      </x:c>
      <x:c r="O315" s="20" t="n">
        <x:f>G315*K315</x:f>
        <x:v>0</x:v>
      </x:c>
      <x:c r="P315" s="20" t="n">
        <x:f>G315*L315</x:f>
        <x:v>1170</x:v>
      </x:c>
      <x:c r="Q315" s="20" t="n">
        <x:f>H315*INDEX(Inputs!$B$13:$D$13,1,MATCH(A315,Inputs!$B$6:$D$6,0))</x:f>
        <x:v>390</x:v>
      </x:c>
      <x:c r="R315" s="20" t="n">
        <x:f>SUM(M315:Q315)</x:f>
        <x:v>33670</x:v>
      </x:c>
      <x:c r="S315" s="20" t="n">
        <x:f>IF(AND(A314=A315,D314=D315),S314+R315,R315)</x:f>
        <x:v>67340</x:v>
      </x:c>
      <x:c r="T315" s="20" t="n">
        <x:f>MIN(S315,INDEX(Inputs!$B$20:$D$20,1,MATCH(A315,Inputs!$B$6:$D$6,0)))*INDEX(Inputs!$B$22:$D$22,1,MATCH(A315,Inputs!$B$6:$D$6,0))+MAX(MIN(S315,INDEX(Inputs!$B$21:$D$21,1,MATCH(A315,Inputs!$B$6:$D$6,0)))-INDEX(Inputs!$B$20:$D$20,1,MATCH(A315,Inputs!$B$6:$D$6,0)),0)*INDEX(Inputs!$B$23:$D$23,1,MATCH(A315,Inputs!$B$6:$D$6,0))+MAX(S315-INDEX(Inputs!$B$21:$D$21,1,MATCH(A315,Inputs!$B$6:$D$6,0)),0)*INDEX(Inputs!$B$24:$D$24,1,MATCH(A315,Inputs!$B$6:$D$6,0))</x:f>
        <x:v>5641.51</x:v>
      </x:c>
      <x:c r="U315" s="20" t="n">
        <x:f>IF(AND(A314=A315,D314=D315),T314,0)</x:f>
        <x:v>3065.755</x:v>
      </x:c>
      <x:c r="V315" s="20" t="n">
        <x:f>T315-U315</x:f>
        <x:v>2575.755</x:v>
      </x:c>
      <x:c r="W315" s="20" t="n">
        <x:f>R315+V315</x:f>
        <x:v>36245.755</x:v>
      </x:c>
      <x:c r="X315" s="14" t="str">
        <x:f>IF(ABS(W315-SUM(M315:Q315)-V315)&lt;0.01,"OK","Check")</x:f>
        <x:v>OK</x:v>
      </x:c>
    </x:row>
    <x:row r="316">
      <x:c r="A316" s="14" t="n">
        <x:v>2026</x:v>
      </x:c>
      <x:c r="B316" s="14" t="str">
        <x:v>Q3</x:v>
      </x:c>
      <x:c r="C316" s="14" t="n">
        <x:v>3</x:v>
      </x:c>
      <x:c r="D316" s="14" t="n">
        <x:v>78</x:v>
      </x:c>
      <x:c r="E316" s="14" t="str">
        <x:f>INDEX(Roster!$B$6:$B$108,MATCH(D316,Roster!$A$6:$A$108,0))</x:f>
      </x:c>
      <x:c r="F316" s="14" t="str">
        <x:f>INDEX(Roster!$F$6:$F$108,MATCH(D316,Roster!$A$6:$A$108,0))</x:f>
        <x:v>No</x:v>
      </x:c>
      <x:c r="G316" s="14" t="n">
        <x:f>INDEX(Inputs!$B$7:$D$7,1,MATCH(A316,Inputs!$B$6:$D$6,0))</x:f>
        <x:v>13</x:v>
      </x:c>
      <x:c r="H316" s="14" t="n">
        <x:f>MIN(=INDEX(Inputs!$B$7:$D$7,1,MATCH(A316,Inputs!$B$6:$D$6,0)),MAX(0,INDEX(Inputs!$B$14:$D$14,1,MATCH(A316,Inputs!$B$6:$D$6,0))-(C316-1)*=INDEX(Inputs!$B$7:$D$7,1,MATCH(A316,Inputs!$B$6:$D$6,0))))</x:f>
        <x:v>13</x:v>
      </x:c>
      <x:c r="I316" s="20" t="n">
        <x:f>INDEX(Inputs!$B$8:$D$8,1,MATCH(A316,Inputs!$B$6:$D$6,0))</x:f>
        <x:v>2395</x:v>
      </x:c>
      <x:c r="J316" s="20" t="n">
        <x:f>INDEX(Roster!$C$6:$C$108,MATCH(D316,Roster!$A$6:$A$108,0))*(1+INDEX(Inputs!$B$9:$D$9,1,MATCH(A316,Inputs!$B$6:$D$6,0)))</x:f>
        <x:v>75</x:v>
      </x:c>
      <x:c r="K316" s="20" t="n">
        <x:f>IF(=INDEX(Roster!$F$6:$F$108,MATCH(D316,Roster!$A$6:$A$108,0))="Yes",0,=INDEX(Inputs!$B$8:$D$8,1,MATCH(A316,Inputs!$B$6:$D$6,0))*IF(=INDEX(Roster!$B$6:$B$108,MATCH(D316,Roster!$A$6:$A$108,0))="Principal",INDEX(Inputs!$B$10:$D$10,1,MATCH(A316,Inputs!$B$6:$D$6,0)),IF(=INDEX(Roster!$B$6:$B$108,MATCH(D316,Roster!$A$6:$A$108,0))="Associate Principal",INDEX(Inputs!$B$11:$D$11,1,MATCH(A316,Inputs!$B$6:$D$6,0)),IF(=INDEX(Roster!$B$6:$B$108,MATCH(D316,Roster!$A$6:$A$108,0))="Assistant Principal",INDEX(Inputs!$B$12:$D$12,1,MATCH(A316,Inputs!$B$6:$D$6,0)),0))))</x:f>
        <x:v>0</x:v>
      </x:c>
      <x:c r="L316" s="20" t="n">
        <x:f>IF(INDEX(Roster!$D$6:$D$108,MATCH(D316,Roster!$A$6:$A$108,0))&gt;=25,INDEX(Inputs!$B$19:$D$19,1,MATCH(A316,Inputs!$B$6:$D$6,0)),IF(INDEX(Roster!$D$6:$D$108,MATCH(D316,Roster!$A$6:$A$108,0))&gt;=20,INDEX(Inputs!$B$18:$D$18,1,MATCH(A316,Inputs!$B$6:$D$6,0)),IF(INDEX(Roster!$D$6:$D$108,MATCH(D316,Roster!$A$6:$A$108,0))&gt;=15,INDEX(Inputs!$B$17:$D$17,1,MATCH(A316,Inputs!$B$6:$D$6,0)),IF(INDEX(Roster!$D$6:$D$108,MATCH(D316,Roster!$A$6:$A$108,0))&gt;=10,INDEX(Inputs!$B$16:$D$16,1,MATCH(A316,Inputs!$B$6:$D$6,0)),IF(INDEX(Roster!$D$6:$D$108,MATCH(D316,Roster!$A$6:$A$108,0))&gt;=5,INDEX(Inputs!$B$15:$D$15,1,MATCH(A316,Inputs!$B$6:$D$6,0)),0)))))</x:f>
        <x:v>90</x:v>
      </x:c>
      <x:c r="M316" s="20" t="n">
        <x:f>G316*I316</x:f>
        <x:v>31135</x:v>
      </x:c>
      <x:c r="N316" s="20" t="n">
        <x:f>G316*J316</x:f>
        <x:v>975</x:v>
      </x:c>
      <x:c r="O316" s="20" t="n">
        <x:f>G316*K316</x:f>
        <x:v>0</x:v>
      </x:c>
      <x:c r="P316" s="20" t="n">
        <x:f>G316*L316</x:f>
        <x:v>1170</x:v>
      </x:c>
      <x:c r="Q316" s="20" t="n">
        <x:f>H316*INDEX(Inputs!$B$13:$D$13,1,MATCH(A316,Inputs!$B$6:$D$6,0))</x:f>
        <x:v>390</x:v>
      </x:c>
      <x:c r="R316" s="20" t="n">
        <x:f>SUM(M316:Q316)</x:f>
        <x:v>33670</x:v>
      </x:c>
      <x:c r="S316" s="20" t="n">
        <x:f>IF(AND(A315=A316,D315=D316),S315+R316,R316)</x:f>
        <x:v>101010</x:v>
      </x:c>
      <x:c r="T316" s="20" t="n">
        <x:f>MIN(S316,INDEX(Inputs!$B$20:$D$20,1,MATCH(A316,Inputs!$B$6:$D$6,0)))*INDEX(Inputs!$B$22:$D$22,1,MATCH(A316,Inputs!$B$6:$D$6,0))+MAX(MIN(S316,INDEX(Inputs!$B$21:$D$21,1,MATCH(A316,Inputs!$B$6:$D$6,0)))-INDEX(Inputs!$B$20:$D$20,1,MATCH(A316,Inputs!$B$6:$D$6,0)),0)*INDEX(Inputs!$B$23:$D$23,1,MATCH(A316,Inputs!$B$6:$D$6,0))+MAX(S316-INDEX(Inputs!$B$21:$D$21,1,MATCH(A316,Inputs!$B$6:$D$6,0)),0)*INDEX(Inputs!$B$24:$D$24,1,MATCH(A316,Inputs!$B$6:$D$6,0))</x:f>
        <x:v>8217.265</x:v>
      </x:c>
      <x:c r="U316" s="20" t="n">
        <x:f>IF(AND(A315=A316,D315=D316),T315,0)</x:f>
        <x:v>5641.51</x:v>
      </x:c>
      <x:c r="V316" s="20" t="n">
        <x:f>T316-U316</x:f>
        <x:v>2575.754999999999</x:v>
      </x:c>
      <x:c r="W316" s="20" t="n">
        <x:f>R316+V316</x:f>
        <x:v>36245.755</x:v>
      </x:c>
      <x:c r="X316" s="14" t="str">
        <x:f>IF(ABS(W316-SUM(M316:Q316)-V316)&lt;0.01,"OK","Check")</x:f>
        <x:v>OK</x:v>
      </x:c>
    </x:row>
    <x:row r="317">
      <x:c r="A317" s="14" t="n">
        <x:v>2026</x:v>
      </x:c>
      <x:c r="B317" s="14" t="str">
        <x:v>Q4</x:v>
      </x:c>
      <x:c r="C317" s="14" t="n">
        <x:v>4</x:v>
      </x:c>
      <x:c r="D317" s="14" t="n">
        <x:v>78</x:v>
      </x:c>
      <x:c r="E317" s="14" t="str">
        <x:f>INDEX(Roster!$B$6:$B$108,MATCH(D317,Roster!$A$6:$A$108,0))</x:f>
      </x:c>
      <x:c r="F317" s="14" t="str">
        <x:f>INDEX(Roster!$F$6:$F$108,MATCH(D317,Roster!$A$6:$A$108,0))</x:f>
        <x:v>No</x:v>
      </x:c>
      <x:c r="G317" s="14" t="n">
        <x:f>INDEX(Inputs!$B$7:$D$7,1,MATCH(A317,Inputs!$B$6:$D$6,0))</x:f>
        <x:v>13</x:v>
      </x:c>
      <x:c r="H317" s="14" t="n">
        <x:f>MIN(=INDEX(Inputs!$B$7:$D$7,1,MATCH(A317,Inputs!$B$6:$D$6,0)),MAX(0,INDEX(Inputs!$B$14:$D$14,1,MATCH(A317,Inputs!$B$6:$D$6,0))-(C317-1)*=INDEX(Inputs!$B$7:$D$7,1,MATCH(A317,Inputs!$B$6:$D$6,0))))</x:f>
        <x:v>0</x:v>
      </x:c>
      <x:c r="I317" s="20" t="n">
        <x:f>INDEX(Inputs!$B$8:$D$8,1,MATCH(A317,Inputs!$B$6:$D$6,0))</x:f>
        <x:v>2395</x:v>
      </x:c>
      <x:c r="J317" s="20" t="n">
        <x:f>INDEX(Roster!$C$6:$C$108,MATCH(D317,Roster!$A$6:$A$108,0))*(1+INDEX(Inputs!$B$9:$D$9,1,MATCH(A317,Inputs!$B$6:$D$6,0)))</x:f>
        <x:v>75</x:v>
      </x:c>
      <x:c r="K317" s="20" t="n">
        <x:f>IF(=INDEX(Roster!$F$6:$F$108,MATCH(D317,Roster!$A$6:$A$108,0))="Yes",0,=INDEX(Inputs!$B$8:$D$8,1,MATCH(A317,Inputs!$B$6:$D$6,0))*IF(=INDEX(Roster!$B$6:$B$108,MATCH(D317,Roster!$A$6:$A$108,0))="Principal",INDEX(Inputs!$B$10:$D$10,1,MATCH(A317,Inputs!$B$6:$D$6,0)),IF(=INDEX(Roster!$B$6:$B$108,MATCH(D317,Roster!$A$6:$A$108,0))="Associate Principal",INDEX(Inputs!$B$11:$D$11,1,MATCH(A317,Inputs!$B$6:$D$6,0)),IF(=INDEX(Roster!$B$6:$B$108,MATCH(D317,Roster!$A$6:$A$108,0))="Assistant Principal",INDEX(Inputs!$B$12:$D$12,1,MATCH(A317,Inputs!$B$6:$D$6,0)),0))))</x:f>
        <x:v>0</x:v>
      </x:c>
      <x:c r="L317" s="20" t="n">
        <x:f>IF(INDEX(Roster!$D$6:$D$108,MATCH(D317,Roster!$A$6:$A$108,0))&gt;=25,INDEX(Inputs!$B$19:$D$19,1,MATCH(A317,Inputs!$B$6:$D$6,0)),IF(INDEX(Roster!$D$6:$D$108,MATCH(D317,Roster!$A$6:$A$108,0))&gt;=20,INDEX(Inputs!$B$18:$D$18,1,MATCH(A317,Inputs!$B$6:$D$6,0)),IF(INDEX(Roster!$D$6:$D$108,MATCH(D317,Roster!$A$6:$A$108,0))&gt;=15,INDEX(Inputs!$B$17:$D$17,1,MATCH(A317,Inputs!$B$6:$D$6,0)),IF(INDEX(Roster!$D$6:$D$108,MATCH(D317,Roster!$A$6:$A$108,0))&gt;=10,INDEX(Inputs!$B$16:$D$16,1,MATCH(A317,Inputs!$B$6:$D$6,0)),IF(INDEX(Roster!$D$6:$D$108,MATCH(D317,Roster!$A$6:$A$108,0))&gt;=5,INDEX(Inputs!$B$15:$D$15,1,MATCH(A317,Inputs!$B$6:$D$6,0)),0)))))</x:f>
        <x:v>90</x:v>
      </x:c>
      <x:c r="M317" s="20" t="n">
        <x:f>G317*I317</x:f>
        <x:v>31135</x:v>
      </x:c>
      <x:c r="N317" s="20" t="n">
        <x:f>G317*J317</x:f>
        <x:v>975</x:v>
      </x:c>
      <x:c r="O317" s="20" t="n">
        <x:f>G317*K317</x:f>
        <x:v>0</x:v>
      </x:c>
      <x:c r="P317" s="20" t="n">
        <x:f>G317*L317</x:f>
        <x:v>1170</x:v>
      </x:c>
      <x:c r="Q317" s="20" t="n">
        <x:f>H317*INDEX(Inputs!$B$13:$D$13,1,MATCH(A317,Inputs!$B$6:$D$6,0))</x:f>
        <x:v>0</x:v>
      </x:c>
      <x:c r="R317" s="20" t="n">
        <x:f>SUM(M317:Q317)</x:f>
        <x:v>33280</x:v>
      </x:c>
      <x:c r="S317" s="20" t="n">
        <x:f>IF(AND(A316=A317,D316=D317),S316+R317,R317)</x:f>
        <x:v>134290</x:v>
      </x:c>
      <x:c r="T317" s="20" t="n">
        <x:f>MIN(S317,INDEX(Inputs!$B$20:$D$20,1,MATCH(A317,Inputs!$B$6:$D$6,0)))*INDEX(Inputs!$B$22:$D$22,1,MATCH(A317,Inputs!$B$6:$D$6,0))+MAX(MIN(S317,INDEX(Inputs!$B$21:$D$21,1,MATCH(A317,Inputs!$B$6:$D$6,0)))-INDEX(Inputs!$B$20:$D$20,1,MATCH(A317,Inputs!$B$6:$D$6,0)),0)*INDEX(Inputs!$B$23:$D$23,1,MATCH(A317,Inputs!$B$6:$D$6,0))+MAX(S317-INDEX(Inputs!$B$21:$D$21,1,MATCH(A317,Inputs!$B$6:$D$6,0)),0)*INDEX(Inputs!$B$24:$D$24,1,MATCH(A317,Inputs!$B$6:$D$6,0))</x:f>
        <x:v>9861.146999999999</x:v>
      </x:c>
      <x:c r="U317" s="20" t="n">
        <x:f>IF(AND(A316=A317,D316=D317),T316,0)</x:f>
        <x:v>8217.265</x:v>
      </x:c>
      <x:c r="V317" s="20" t="n">
        <x:f>T317-U317</x:f>
        <x:v>1643.8819999999996</x:v>
      </x:c>
      <x:c r="W317" s="20" t="n">
        <x:f>R317+V317</x:f>
        <x:v>34923.882</x:v>
      </x:c>
      <x:c r="X317" s="14" t="str">
        <x:f>IF(ABS(W317-SUM(M317:Q317)-V317)&lt;0.01,"OK","Check")</x:f>
        <x:v>OK</x:v>
      </x:c>
    </x:row>
    <x:row r="318">
      <x:c r="A318" s="14" t="n">
        <x:v>2026</x:v>
      </x:c>
      <x:c r="B318" s="14" t="str">
        <x:v>Q1</x:v>
      </x:c>
      <x:c r="C318" s="14" t="n">
        <x:v>1</x:v>
      </x:c>
      <x:c r="D318" s="14" t="n">
        <x:v>79</x:v>
      </x:c>
      <x:c r="E318" s="14" t="str">
        <x:f>INDEX(Roster!$B$6:$B$108,MATCH(D318,Roster!$A$6:$A$108,0))</x:f>
      </x:c>
      <x:c r="F318" s="14" t="str">
        <x:f>INDEX(Roster!$F$6:$F$108,MATCH(D318,Roster!$A$6:$A$108,0))</x:f>
        <x:v>No</x:v>
      </x:c>
      <x:c r="G318" s="14" t="n">
        <x:f>INDEX(Inputs!$B$7:$D$7,1,MATCH(A318,Inputs!$B$6:$D$6,0))</x:f>
        <x:v>13</x:v>
      </x:c>
      <x:c r="H318" s="14" t="n">
        <x:f>MIN(=INDEX(Inputs!$B$7:$D$7,1,MATCH(A318,Inputs!$B$6:$D$6,0)),MAX(0,INDEX(Inputs!$B$14:$D$14,1,MATCH(A318,Inputs!$B$6:$D$6,0))-(C318-1)*=INDEX(Inputs!$B$7:$D$7,1,MATCH(A318,Inputs!$B$6:$D$6,0))))</x:f>
        <x:v>13</x:v>
      </x:c>
      <x:c r="I318" s="20" t="n">
        <x:f>INDEX(Inputs!$B$8:$D$8,1,MATCH(A318,Inputs!$B$6:$D$6,0))</x:f>
        <x:v>2395</x:v>
      </x:c>
      <x:c r="J318" s="20" t="n">
        <x:f>INDEX(Roster!$C$6:$C$108,MATCH(D318,Roster!$A$6:$A$108,0))*(1+INDEX(Inputs!$B$9:$D$9,1,MATCH(A318,Inputs!$B$6:$D$6,0)))</x:f>
        <x:v>20</x:v>
      </x:c>
      <x:c r="K318" s="20" t="n">
        <x:f>IF(=INDEX(Roster!$F$6:$F$108,MATCH(D318,Roster!$A$6:$A$108,0))="Yes",0,=INDEX(Inputs!$B$8:$D$8,1,MATCH(A318,Inputs!$B$6:$D$6,0))*IF(=INDEX(Roster!$B$6:$B$108,MATCH(D318,Roster!$A$6:$A$108,0))="Principal",INDEX(Inputs!$B$10:$D$10,1,MATCH(A318,Inputs!$B$6:$D$6,0)),IF(=INDEX(Roster!$B$6:$B$108,MATCH(D318,Roster!$A$6:$A$108,0))="Associate Principal",INDEX(Inputs!$B$11:$D$11,1,MATCH(A318,Inputs!$B$6:$D$6,0)),IF(=INDEX(Roster!$B$6:$B$108,MATCH(D318,Roster!$A$6:$A$108,0))="Assistant Principal",INDEX(Inputs!$B$12:$D$12,1,MATCH(A318,Inputs!$B$6:$D$6,0)),0))))</x:f>
        <x:v>0</x:v>
      </x:c>
      <x:c r="L318" s="20" t="n">
        <x:f>IF(INDEX(Roster!$D$6:$D$108,MATCH(D318,Roster!$A$6:$A$108,0))&gt;=25,INDEX(Inputs!$B$19:$D$19,1,MATCH(A318,Inputs!$B$6:$D$6,0)),IF(INDEX(Roster!$D$6:$D$108,MATCH(D318,Roster!$A$6:$A$108,0))&gt;=20,INDEX(Inputs!$B$18:$D$18,1,MATCH(A318,Inputs!$B$6:$D$6,0)),IF(INDEX(Roster!$D$6:$D$108,MATCH(D318,Roster!$A$6:$A$108,0))&gt;=15,INDEX(Inputs!$B$17:$D$17,1,MATCH(A318,Inputs!$B$6:$D$6,0)),IF(INDEX(Roster!$D$6:$D$108,MATCH(D318,Roster!$A$6:$A$108,0))&gt;=10,INDEX(Inputs!$B$16:$D$16,1,MATCH(A318,Inputs!$B$6:$D$6,0)),IF(INDEX(Roster!$D$6:$D$108,MATCH(D318,Roster!$A$6:$A$108,0))&gt;=5,INDEX(Inputs!$B$15:$D$15,1,MATCH(A318,Inputs!$B$6:$D$6,0)),0)))))</x:f>
        <x:v>50</x:v>
      </x:c>
      <x:c r="M318" s="20" t="n">
        <x:f>G318*I318</x:f>
        <x:v>31135</x:v>
      </x:c>
      <x:c r="N318" s="20" t="n">
        <x:f>G318*J318</x:f>
        <x:v>260</x:v>
      </x:c>
      <x:c r="O318" s="20" t="n">
        <x:f>G318*K318</x:f>
        <x:v>0</x:v>
      </x:c>
      <x:c r="P318" s="20" t="n">
        <x:f>G318*L318</x:f>
        <x:v>650</x:v>
      </x:c>
      <x:c r="Q318" s="20" t="n">
        <x:f>H318*INDEX(Inputs!$B$13:$D$13,1,MATCH(A318,Inputs!$B$6:$D$6,0))</x:f>
        <x:v>390</x:v>
      </x:c>
      <x:c r="R318" s="20" t="n">
        <x:f>SUM(M318:Q318)</x:f>
        <x:v>32435</x:v>
      </x:c>
      <x:c r="S318" s="20" t="n">
        <x:f>IF(AND(A317=A318,D317=D318),S317+R318,R318)</x:f>
        <x:v>32435</x:v>
      </x:c>
      <x:c r="T318" s="20" t="n">
        <x:f>MIN(S318,INDEX(Inputs!$B$20:$D$20,1,MATCH(A318,Inputs!$B$6:$D$6,0)))*INDEX(Inputs!$B$22:$D$22,1,MATCH(A318,Inputs!$B$6:$D$6,0))+MAX(MIN(S318,INDEX(Inputs!$B$21:$D$21,1,MATCH(A318,Inputs!$B$6:$D$6,0)))-INDEX(Inputs!$B$20:$D$20,1,MATCH(A318,Inputs!$B$6:$D$6,0)),0)*INDEX(Inputs!$B$23:$D$23,1,MATCH(A318,Inputs!$B$6:$D$6,0))+MAX(S318-INDEX(Inputs!$B$21:$D$21,1,MATCH(A318,Inputs!$B$6:$D$6,0)),0)*INDEX(Inputs!$B$24:$D$24,1,MATCH(A318,Inputs!$B$6:$D$6,0))</x:f>
        <x:v>2971.2775</x:v>
      </x:c>
      <x:c r="U318" s="20" t="n">
        <x:f>IF(AND(A317=A318,D317=D318),T317,0)</x:f>
        <x:v>0</x:v>
      </x:c>
      <x:c r="V318" s="20" t="n">
        <x:f>T318-U318</x:f>
        <x:v>2971.2775</x:v>
      </x:c>
      <x:c r="W318" s="20" t="n">
        <x:f>R318+V318</x:f>
        <x:v>35406.2775</x:v>
      </x:c>
      <x:c r="X318" s="14" t="str">
        <x:f>IF(ABS(W318-SUM(M318:Q318)-V318)&lt;0.01,"OK","Check")</x:f>
        <x:v>OK</x:v>
      </x:c>
    </x:row>
    <x:row r="319">
      <x:c r="A319" s="14" t="n">
        <x:v>2026</x:v>
      </x:c>
      <x:c r="B319" s="14" t="str">
        <x:v>Q2</x:v>
      </x:c>
      <x:c r="C319" s="14" t="n">
        <x:v>2</x:v>
      </x:c>
      <x:c r="D319" s="14" t="n">
        <x:v>79</x:v>
      </x:c>
      <x:c r="E319" s="14" t="str">
        <x:f>INDEX(Roster!$B$6:$B$108,MATCH(D319,Roster!$A$6:$A$108,0))</x:f>
      </x:c>
      <x:c r="F319" s="14" t="str">
        <x:f>INDEX(Roster!$F$6:$F$108,MATCH(D319,Roster!$A$6:$A$108,0))</x:f>
        <x:v>No</x:v>
      </x:c>
      <x:c r="G319" s="14" t="n">
        <x:f>INDEX(Inputs!$B$7:$D$7,1,MATCH(A319,Inputs!$B$6:$D$6,0))</x:f>
        <x:v>13</x:v>
      </x:c>
      <x:c r="H319" s="14" t="n">
        <x:f>MIN(=INDEX(Inputs!$B$7:$D$7,1,MATCH(A319,Inputs!$B$6:$D$6,0)),MAX(0,INDEX(Inputs!$B$14:$D$14,1,MATCH(A319,Inputs!$B$6:$D$6,0))-(C319-1)*=INDEX(Inputs!$B$7:$D$7,1,MATCH(A319,Inputs!$B$6:$D$6,0))))</x:f>
        <x:v>13</x:v>
      </x:c>
      <x:c r="I319" s="20" t="n">
        <x:f>INDEX(Inputs!$B$8:$D$8,1,MATCH(A319,Inputs!$B$6:$D$6,0))</x:f>
        <x:v>2395</x:v>
      </x:c>
      <x:c r="J319" s="20" t="n">
        <x:f>INDEX(Roster!$C$6:$C$108,MATCH(D319,Roster!$A$6:$A$108,0))*(1+INDEX(Inputs!$B$9:$D$9,1,MATCH(A319,Inputs!$B$6:$D$6,0)))</x:f>
        <x:v>20</x:v>
      </x:c>
      <x:c r="K319" s="20" t="n">
        <x:f>IF(=INDEX(Roster!$F$6:$F$108,MATCH(D319,Roster!$A$6:$A$108,0))="Yes",0,=INDEX(Inputs!$B$8:$D$8,1,MATCH(A319,Inputs!$B$6:$D$6,0))*IF(=INDEX(Roster!$B$6:$B$108,MATCH(D319,Roster!$A$6:$A$108,0))="Principal",INDEX(Inputs!$B$10:$D$10,1,MATCH(A319,Inputs!$B$6:$D$6,0)),IF(=INDEX(Roster!$B$6:$B$108,MATCH(D319,Roster!$A$6:$A$108,0))="Associate Principal",INDEX(Inputs!$B$11:$D$11,1,MATCH(A319,Inputs!$B$6:$D$6,0)),IF(=INDEX(Roster!$B$6:$B$108,MATCH(D319,Roster!$A$6:$A$108,0))="Assistant Principal",INDEX(Inputs!$B$12:$D$12,1,MATCH(A319,Inputs!$B$6:$D$6,0)),0))))</x:f>
        <x:v>0</x:v>
      </x:c>
      <x:c r="L319" s="20" t="n">
        <x:f>IF(INDEX(Roster!$D$6:$D$108,MATCH(D319,Roster!$A$6:$A$108,0))&gt;=25,INDEX(Inputs!$B$19:$D$19,1,MATCH(A319,Inputs!$B$6:$D$6,0)),IF(INDEX(Roster!$D$6:$D$108,MATCH(D319,Roster!$A$6:$A$108,0))&gt;=20,INDEX(Inputs!$B$18:$D$18,1,MATCH(A319,Inputs!$B$6:$D$6,0)),IF(INDEX(Roster!$D$6:$D$108,MATCH(D319,Roster!$A$6:$A$108,0))&gt;=15,INDEX(Inputs!$B$17:$D$17,1,MATCH(A319,Inputs!$B$6:$D$6,0)),IF(INDEX(Roster!$D$6:$D$108,MATCH(D319,Roster!$A$6:$A$108,0))&gt;=10,INDEX(Inputs!$B$16:$D$16,1,MATCH(A319,Inputs!$B$6:$D$6,0)),IF(INDEX(Roster!$D$6:$D$108,MATCH(D319,Roster!$A$6:$A$108,0))&gt;=5,INDEX(Inputs!$B$15:$D$15,1,MATCH(A319,Inputs!$B$6:$D$6,0)),0)))))</x:f>
        <x:v>50</x:v>
      </x:c>
      <x:c r="M319" s="20" t="n">
        <x:f>G319*I319</x:f>
        <x:v>31135</x:v>
      </x:c>
      <x:c r="N319" s="20" t="n">
        <x:f>G319*J319</x:f>
        <x:v>260</x:v>
      </x:c>
      <x:c r="O319" s="20" t="n">
        <x:f>G319*K319</x:f>
        <x:v>0</x:v>
      </x:c>
      <x:c r="P319" s="20" t="n">
        <x:f>G319*L319</x:f>
        <x:v>650</x:v>
      </x:c>
      <x:c r="Q319" s="20" t="n">
        <x:f>H319*INDEX(Inputs!$B$13:$D$13,1,MATCH(A319,Inputs!$B$6:$D$6,0))</x:f>
        <x:v>390</x:v>
      </x:c>
      <x:c r="R319" s="20" t="n">
        <x:f>SUM(M319:Q319)</x:f>
        <x:v>32435</x:v>
      </x:c>
      <x:c r="S319" s="20" t="n">
        <x:f>IF(AND(A318=A319,D318=D319),S318+R319,R319)</x:f>
        <x:v>64870</x:v>
      </x:c>
      <x:c r="T319" s="20" t="n">
        <x:f>MIN(S319,INDEX(Inputs!$B$20:$D$20,1,MATCH(A319,Inputs!$B$6:$D$6,0)))*INDEX(Inputs!$B$22:$D$22,1,MATCH(A319,Inputs!$B$6:$D$6,0))+MAX(MIN(S319,INDEX(Inputs!$B$21:$D$21,1,MATCH(A319,Inputs!$B$6:$D$6,0)))-INDEX(Inputs!$B$20:$D$20,1,MATCH(A319,Inputs!$B$6:$D$6,0)),0)*INDEX(Inputs!$B$23:$D$23,1,MATCH(A319,Inputs!$B$6:$D$6,0))+MAX(S319-INDEX(Inputs!$B$21:$D$21,1,MATCH(A319,Inputs!$B$6:$D$6,0)),0)*INDEX(Inputs!$B$24:$D$24,1,MATCH(A319,Inputs!$B$6:$D$6,0))</x:f>
        <x:v>5452.555</x:v>
      </x:c>
      <x:c r="U319" s="20" t="n">
        <x:f>IF(AND(A318=A319,D318=D319),T318,0)</x:f>
        <x:v>2971.2775</x:v>
      </x:c>
      <x:c r="V319" s="20" t="n">
        <x:f>T319-U319</x:f>
        <x:v>2481.2775</x:v>
      </x:c>
      <x:c r="W319" s="20" t="n">
        <x:f>R319+V319</x:f>
        <x:v>34916.2775</x:v>
      </x:c>
      <x:c r="X319" s="14" t="str">
        <x:f>IF(ABS(W319-SUM(M319:Q319)-V319)&lt;0.01,"OK","Check")</x:f>
        <x:v>OK</x:v>
      </x:c>
    </x:row>
    <x:row r="320">
      <x:c r="A320" s="14" t="n">
        <x:v>2026</x:v>
      </x:c>
      <x:c r="B320" s="14" t="str">
        <x:v>Q3</x:v>
      </x:c>
      <x:c r="C320" s="14" t="n">
        <x:v>3</x:v>
      </x:c>
      <x:c r="D320" s="14" t="n">
        <x:v>79</x:v>
      </x:c>
      <x:c r="E320" s="14" t="str">
        <x:f>INDEX(Roster!$B$6:$B$108,MATCH(D320,Roster!$A$6:$A$108,0))</x:f>
      </x:c>
      <x:c r="F320" s="14" t="str">
        <x:f>INDEX(Roster!$F$6:$F$108,MATCH(D320,Roster!$A$6:$A$108,0))</x:f>
        <x:v>No</x:v>
      </x:c>
      <x:c r="G320" s="14" t="n">
        <x:f>INDEX(Inputs!$B$7:$D$7,1,MATCH(A320,Inputs!$B$6:$D$6,0))</x:f>
        <x:v>13</x:v>
      </x:c>
      <x:c r="H320" s="14" t="n">
        <x:f>MIN(=INDEX(Inputs!$B$7:$D$7,1,MATCH(A320,Inputs!$B$6:$D$6,0)),MAX(0,INDEX(Inputs!$B$14:$D$14,1,MATCH(A320,Inputs!$B$6:$D$6,0))-(C320-1)*=INDEX(Inputs!$B$7:$D$7,1,MATCH(A320,Inputs!$B$6:$D$6,0))))</x:f>
        <x:v>13</x:v>
      </x:c>
      <x:c r="I320" s="20" t="n">
        <x:f>INDEX(Inputs!$B$8:$D$8,1,MATCH(A320,Inputs!$B$6:$D$6,0))</x:f>
        <x:v>2395</x:v>
      </x:c>
      <x:c r="J320" s="20" t="n">
        <x:f>INDEX(Roster!$C$6:$C$108,MATCH(D320,Roster!$A$6:$A$108,0))*(1+INDEX(Inputs!$B$9:$D$9,1,MATCH(A320,Inputs!$B$6:$D$6,0)))</x:f>
        <x:v>20</x:v>
      </x:c>
      <x:c r="K320" s="20" t="n">
        <x:f>IF(=INDEX(Roster!$F$6:$F$108,MATCH(D320,Roster!$A$6:$A$108,0))="Yes",0,=INDEX(Inputs!$B$8:$D$8,1,MATCH(A320,Inputs!$B$6:$D$6,0))*IF(=INDEX(Roster!$B$6:$B$108,MATCH(D320,Roster!$A$6:$A$108,0))="Principal",INDEX(Inputs!$B$10:$D$10,1,MATCH(A320,Inputs!$B$6:$D$6,0)),IF(=INDEX(Roster!$B$6:$B$108,MATCH(D320,Roster!$A$6:$A$108,0))="Associate Principal",INDEX(Inputs!$B$11:$D$11,1,MATCH(A320,Inputs!$B$6:$D$6,0)),IF(=INDEX(Roster!$B$6:$B$108,MATCH(D320,Roster!$A$6:$A$108,0))="Assistant Principal",INDEX(Inputs!$B$12:$D$12,1,MATCH(A320,Inputs!$B$6:$D$6,0)),0))))</x:f>
        <x:v>0</x:v>
      </x:c>
      <x:c r="L320" s="20" t="n">
        <x:f>IF(INDEX(Roster!$D$6:$D$108,MATCH(D320,Roster!$A$6:$A$108,0))&gt;=25,INDEX(Inputs!$B$19:$D$19,1,MATCH(A320,Inputs!$B$6:$D$6,0)),IF(INDEX(Roster!$D$6:$D$108,MATCH(D320,Roster!$A$6:$A$108,0))&gt;=20,INDEX(Inputs!$B$18:$D$18,1,MATCH(A320,Inputs!$B$6:$D$6,0)),IF(INDEX(Roster!$D$6:$D$108,MATCH(D320,Roster!$A$6:$A$108,0))&gt;=15,INDEX(Inputs!$B$17:$D$17,1,MATCH(A320,Inputs!$B$6:$D$6,0)),IF(INDEX(Roster!$D$6:$D$108,MATCH(D320,Roster!$A$6:$A$108,0))&gt;=10,INDEX(Inputs!$B$16:$D$16,1,MATCH(A320,Inputs!$B$6:$D$6,0)),IF(INDEX(Roster!$D$6:$D$108,MATCH(D320,Roster!$A$6:$A$108,0))&gt;=5,INDEX(Inputs!$B$15:$D$15,1,MATCH(A320,Inputs!$B$6:$D$6,0)),0)))))</x:f>
        <x:v>50</x:v>
      </x:c>
      <x:c r="M320" s="20" t="n">
        <x:f>G320*I320</x:f>
        <x:v>31135</x:v>
      </x:c>
      <x:c r="N320" s="20" t="n">
        <x:f>G320*J320</x:f>
        <x:v>260</x:v>
      </x:c>
      <x:c r="O320" s="20" t="n">
        <x:f>G320*K320</x:f>
        <x:v>0</x:v>
      </x:c>
      <x:c r="P320" s="20" t="n">
        <x:f>G320*L320</x:f>
        <x:v>650</x:v>
      </x:c>
      <x:c r="Q320" s="20" t="n">
        <x:f>H320*INDEX(Inputs!$B$13:$D$13,1,MATCH(A320,Inputs!$B$6:$D$6,0))</x:f>
        <x:v>390</x:v>
      </x:c>
      <x:c r="R320" s="20" t="n">
        <x:f>SUM(M320:Q320)</x:f>
        <x:v>32435</x:v>
      </x:c>
      <x:c r="S320" s="20" t="n">
        <x:f>IF(AND(A319=A320,D319=D320),S319+R320,R320)</x:f>
        <x:v>97305</x:v>
      </x:c>
      <x:c r="T320" s="20" t="n">
        <x:f>MIN(S320,INDEX(Inputs!$B$20:$D$20,1,MATCH(A320,Inputs!$B$6:$D$6,0)))*INDEX(Inputs!$B$22:$D$22,1,MATCH(A320,Inputs!$B$6:$D$6,0))+MAX(MIN(S320,INDEX(Inputs!$B$21:$D$21,1,MATCH(A320,Inputs!$B$6:$D$6,0)))-INDEX(Inputs!$B$20:$D$20,1,MATCH(A320,Inputs!$B$6:$D$6,0)),0)*INDEX(Inputs!$B$23:$D$23,1,MATCH(A320,Inputs!$B$6:$D$6,0))+MAX(S320-INDEX(Inputs!$B$21:$D$21,1,MATCH(A320,Inputs!$B$6:$D$6,0)),0)*INDEX(Inputs!$B$24:$D$24,1,MATCH(A320,Inputs!$B$6:$D$6,0))</x:f>
        <x:v>7933.8324999999995</x:v>
      </x:c>
      <x:c r="U320" s="20" t="n">
        <x:f>IF(AND(A319=A320,D319=D320),T319,0)</x:f>
        <x:v>5452.555</x:v>
      </x:c>
      <x:c r="V320" s="20" t="n">
        <x:f>T320-U320</x:f>
        <x:v>2481.2774999999992</x:v>
      </x:c>
      <x:c r="W320" s="20" t="n">
        <x:f>R320+V320</x:f>
        <x:v>34916.2775</x:v>
      </x:c>
      <x:c r="X320" s="14" t="str">
        <x:f>IF(ABS(W320-SUM(M320:Q320)-V320)&lt;0.01,"OK","Check")</x:f>
        <x:v>OK</x:v>
      </x:c>
    </x:row>
    <x:row r="321">
      <x:c r="A321" s="14" t="n">
        <x:v>2026</x:v>
      </x:c>
      <x:c r="B321" s="14" t="str">
        <x:v>Q4</x:v>
      </x:c>
      <x:c r="C321" s="14" t="n">
        <x:v>4</x:v>
      </x:c>
      <x:c r="D321" s="14" t="n">
        <x:v>79</x:v>
      </x:c>
      <x:c r="E321" s="14" t="str">
        <x:f>INDEX(Roster!$B$6:$B$108,MATCH(D321,Roster!$A$6:$A$108,0))</x:f>
      </x:c>
      <x:c r="F321" s="14" t="str">
        <x:f>INDEX(Roster!$F$6:$F$108,MATCH(D321,Roster!$A$6:$A$108,0))</x:f>
        <x:v>No</x:v>
      </x:c>
      <x:c r="G321" s="14" t="n">
        <x:f>INDEX(Inputs!$B$7:$D$7,1,MATCH(A321,Inputs!$B$6:$D$6,0))</x:f>
        <x:v>13</x:v>
      </x:c>
      <x:c r="H321" s="14" t="n">
        <x:f>MIN(=INDEX(Inputs!$B$7:$D$7,1,MATCH(A321,Inputs!$B$6:$D$6,0)),MAX(0,INDEX(Inputs!$B$14:$D$14,1,MATCH(A321,Inputs!$B$6:$D$6,0))-(C321-1)*=INDEX(Inputs!$B$7:$D$7,1,MATCH(A321,Inputs!$B$6:$D$6,0))))</x:f>
        <x:v>0</x:v>
      </x:c>
      <x:c r="I321" s="20" t="n">
        <x:f>INDEX(Inputs!$B$8:$D$8,1,MATCH(A321,Inputs!$B$6:$D$6,0))</x:f>
        <x:v>2395</x:v>
      </x:c>
      <x:c r="J321" s="20" t="n">
        <x:f>INDEX(Roster!$C$6:$C$108,MATCH(D321,Roster!$A$6:$A$108,0))*(1+INDEX(Inputs!$B$9:$D$9,1,MATCH(A321,Inputs!$B$6:$D$6,0)))</x:f>
        <x:v>20</x:v>
      </x:c>
      <x:c r="K321" s="20" t="n">
        <x:f>IF(=INDEX(Roster!$F$6:$F$108,MATCH(D321,Roster!$A$6:$A$108,0))="Yes",0,=INDEX(Inputs!$B$8:$D$8,1,MATCH(A321,Inputs!$B$6:$D$6,0))*IF(=INDEX(Roster!$B$6:$B$108,MATCH(D321,Roster!$A$6:$A$108,0))="Principal",INDEX(Inputs!$B$10:$D$10,1,MATCH(A321,Inputs!$B$6:$D$6,0)),IF(=INDEX(Roster!$B$6:$B$108,MATCH(D321,Roster!$A$6:$A$108,0))="Associate Principal",INDEX(Inputs!$B$11:$D$11,1,MATCH(A321,Inputs!$B$6:$D$6,0)),IF(=INDEX(Roster!$B$6:$B$108,MATCH(D321,Roster!$A$6:$A$108,0))="Assistant Principal",INDEX(Inputs!$B$12:$D$12,1,MATCH(A321,Inputs!$B$6:$D$6,0)),0))))</x:f>
        <x:v>0</x:v>
      </x:c>
      <x:c r="L321" s="20" t="n">
        <x:f>IF(INDEX(Roster!$D$6:$D$108,MATCH(D321,Roster!$A$6:$A$108,0))&gt;=25,INDEX(Inputs!$B$19:$D$19,1,MATCH(A321,Inputs!$B$6:$D$6,0)),IF(INDEX(Roster!$D$6:$D$108,MATCH(D321,Roster!$A$6:$A$108,0))&gt;=20,INDEX(Inputs!$B$18:$D$18,1,MATCH(A321,Inputs!$B$6:$D$6,0)),IF(INDEX(Roster!$D$6:$D$108,MATCH(D321,Roster!$A$6:$A$108,0))&gt;=15,INDEX(Inputs!$B$17:$D$17,1,MATCH(A321,Inputs!$B$6:$D$6,0)),IF(INDEX(Roster!$D$6:$D$108,MATCH(D321,Roster!$A$6:$A$108,0))&gt;=10,INDEX(Inputs!$B$16:$D$16,1,MATCH(A321,Inputs!$B$6:$D$6,0)),IF(INDEX(Roster!$D$6:$D$108,MATCH(D321,Roster!$A$6:$A$108,0))&gt;=5,INDEX(Inputs!$B$15:$D$15,1,MATCH(A321,Inputs!$B$6:$D$6,0)),0)))))</x:f>
        <x:v>50</x:v>
      </x:c>
      <x:c r="M321" s="20" t="n">
        <x:f>G321*I321</x:f>
        <x:v>31135</x:v>
      </x:c>
      <x:c r="N321" s="20" t="n">
        <x:f>G321*J321</x:f>
        <x:v>260</x:v>
      </x:c>
      <x:c r="O321" s="20" t="n">
        <x:f>G321*K321</x:f>
        <x:v>0</x:v>
      </x:c>
      <x:c r="P321" s="20" t="n">
        <x:f>G321*L321</x:f>
        <x:v>650</x:v>
      </x:c>
      <x:c r="Q321" s="20" t="n">
        <x:f>H321*INDEX(Inputs!$B$13:$D$13,1,MATCH(A321,Inputs!$B$6:$D$6,0))</x:f>
        <x:v>0</x:v>
      </x:c>
      <x:c r="R321" s="20" t="n">
        <x:f>SUM(M321:Q321)</x:f>
        <x:v>32045</x:v>
      </x:c>
      <x:c r="S321" s="20" t="n">
        <x:f>IF(AND(A320=A321,D320=D321),S320+R321,R321)</x:f>
        <x:v>129350</x:v>
      </x:c>
      <x:c r="T321" s="20" t="n">
        <x:f>MIN(S321,INDEX(Inputs!$B$20:$D$20,1,MATCH(A321,Inputs!$B$6:$D$6,0)))*INDEX(Inputs!$B$22:$D$22,1,MATCH(A321,Inputs!$B$6:$D$6,0))+MAX(MIN(S321,INDEX(Inputs!$B$21:$D$21,1,MATCH(A321,Inputs!$B$6:$D$6,0)))-INDEX(Inputs!$B$20:$D$20,1,MATCH(A321,Inputs!$B$6:$D$6,0)),0)*INDEX(Inputs!$B$23:$D$23,1,MATCH(A321,Inputs!$B$6:$D$6,0))+MAX(S321-INDEX(Inputs!$B$21:$D$21,1,MATCH(A321,Inputs!$B$6:$D$6,0)),0)*INDEX(Inputs!$B$24:$D$24,1,MATCH(A321,Inputs!$B$6:$D$6,0))</x:f>
        <x:v>9789.517</x:v>
      </x:c>
      <x:c r="U321" s="20" t="n">
        <x:f>IF(AND(A320=A321,D320=D321),T320,0)</x:f>
        <x:v>7933.8324999999995</x:v>
      </x:c>
      <x:c r="V321" s="20" t="n">
        <x:f>T321-U321</x:f>
        <x:v>1855.6845000000003</x:v>
      </x:c>
      <x:c r="W321" s="20" t="n">
        <x:f>R321+V321</x:f>
        <x:v>33900.6845</x:v>
      </x:c>
      <x:c r="X321" s="14" t="str">
        <x:f>IF(ABS(W321-SUM(M321:Q321)-V321)&lt;0.01,"OK","Check")</x:f>
        <x:v>OK</x:v>
      </x:c>
    </x:row>
    <x:row r="322">
      <x:c r="A322" s="14" t="n">
        <x:v>2026</x:v>
      </x:c>
      <x:c r="B322" s="14" t="str">
        <x:v>Q1</x:v>
      </x:c>
      <x:c r="C322" s="14" t="n">
        <x:v>1</x:v>
      </x:c>
      <x:c r="D322" s="14" t="n">
        <x:v>80</x:v>
      </x:c>
      <x:c r="E322" s="14" t="str">
        <x:f>INDEX(Roster!$B$6:$B$108,MATCH(D322,Roster!$A$6:$A$108,0))</x:f>
      </x:c>
      <x:c r="F322" s="14" t="str">
        <x:f>INDEX(Roster!$F$6:$F$108,MATCH(D322,Roster!$A$6:$A$108,0))</x:f>
        <x:v>No</x:v>
      </x:c>
      <x:c r="G322" s="14" t="n">
        <x:f>INDEX(Inputs!$B$7:$D$7,1,MATCH(A322,Inputs!$B$6:$D$6,0))</x:f>
        <x:v>13</x:v>
      </x:c>
      <x:c r="H322" s="14" t="n">
        <x:f>MIN(=INDEX(Inputs!$B$7:$D$7,1,MATCH(A322,Inputs!$B$6:$D$6,0)),MAX(0,INDEX(Inputs!$B$14:$D$14,1,MATCH(A322,Inputs!$B$6:$D$6,0))-(C322-1)*=INDEX(Inputs!$B$7:$D$7,1,MATCH(A322,Inputs!$B$6:$D$6,0))))</x:f>
        <x:v>13</x:v>
      </x:c>
      <x:c r="I322" s="20" t="n">
        <x:f>INDEX(Inputs!$B$8:$D$8,1,MATCH(A322,Inputs!$B$6:$D$6,0))</x:f>
        <x:v>2395</x:v>
      </x:c>
      <x:c r="J322" s="20" t="n">
        <x:f>INDEX(Roster!$C$6:$C$108,MATCH(D322,Roster!$A$6:$A$108,0))*(1+INDEX(Inputs!$B$9:$D$9,1,MATCH(A322,Inputs!$B$6:$D$6,0)))</x:f>
        <x:v>60</x:v>
      </x:c>
      <x:c r="K322" s="20" t="n">
        <x:f>IF(=INDEX(Roster!$F$6:$F$108,MATCH(D322,Roster!$A$6:$A$108,0))="Yes",0,=INDEX(Inputs!$B$8:$D$8,1,MATCH(A322,Inputs!$B$6:$D$6,0))*IF(=INDEX(Roster!$B$6:$B$108,MATCH(D322,Roster!$A$6:$A$108,0))="Principal",INDEX(Inputs!$B$10:$D$10,1,MATCH(A322,Inputs!$B$6:$D$6,0)),IF(=INDEX(Roster!$B$6:$B$108,MATCH(D322,Roster!$A$6:$A$108,0))="Associate Principal",INDEX(Inputs!$B$11:$D$11,1,MATCH(A322,Inputs!$B$6:$D$6,0)),IF(=INDEX(Roster!$B$6:$B$108,MATCH(D322,Roster!$A$6:$A$108,0))="Assistant Principal",INDEX(Inputs!$B$12:$D$12,1,MATCH(A322,Inputs!$B$6:$D$6,0)),0))))</x:f>
        <x:v>0</x:v>
      </x:c>
      <x:c r="L322" s="20" t="n">
        <x:f>IF(INDEX(Roster!$D$6:$D$108,MATCH(D322,Roster!$A$6:$A$108,0))&gt;=25,INDEX(Inputs!$B$19:$D$19,1,MATCH(A322,Inputs!$B$6:$D$6,0)),IF(INDEX(Roster!$D$6:$D$108,MATCH(D322,Roster!$A$6:$A$108,0))&gt;=20,INDEX(Inputs!$B$18:$D$18,1,MATCH(A322,Inputs!$B$6:$D$6,0)),IF(INDEX(Roster!$D$6:$D$108,MATCH(D322,Roster!$A$6:$A$108,0))&gt;=15,INDEX(Inputs!$B$17:$D$17,1,MATCH(A322,Inputs!$B$6:$D$6,0)),IF(INDEX(Roster!$D$6:$D$108,MATCH(D322,Roster!$A$6:$A$108,0))&gt;=10,INDEX(Inputs!$B$16:$D$16,1,MATCH(A322,Inputs!$B$6:$D$6,0)),IF(INDEX(Roster!$D$6:$D$108,MATCH(D322,Roster!$A$6:$A$108,0))&gt;=5,INDEX(Inputs!$B$15:$D$15,1,MATCH(A322,Inputs!$B$6:$D$6,0)),0)))))</x:f>
        <x:v>90</x:v>
      </x:c>
      <x:c r="M322" s="20" t="n">
        <x:f>G322*I322</x:f>
        <x:v>31135</x:v>
      </x:c>
      <x:c r="N322" s="20" t="n">
        <x:f>G322*J322</x:f>
        <x:v>780</x:v>
      </x:c>
      <x:c r="O322" s="20" t="n">
        <x:f>G322*K322</x:f>
        <x:v>0</x:v>
      </x:c>
      <x:c r="P322" s="20" t="n">
        <x:f>G322*L322</x:f>
        <x:v>1170</x:v>
      </x:c>
      <x:c r="Q322" s="20" t="n">
        <x:f>H322*INDEX(Inputs!$B$13:$D$13,1,MATCH(A322,Inputs!$B$6:$D$6,0))</x:f>
        <x:v>390</x:v>
      </x:c>
      <x:c r="R322" s="20" t="n">
        <x:f>SUM(M322:Q322)</x:f>
        <x:v>33475</x:v>
      </x:c>
      <x:c r="S322" s="20" t="n">
        <x:f>IF(AND(A321=A322,D321=D322),S321+R322,R322)</x:f>
        <x:v>33475</x:v>
      </x:c>
      <x:c r="T322" s="20" t="n">
        <x:f>MIN(S322,INDEX(Inputs!$B$20:$D$20,1,MATCH(A322,Inputs!$B$6:$D$6,0)))*INDEX(Inputs!$B$22:$D$22,1,MATCH(A322,Inputs!$B$6:$D$6,0))+MAX(MIN(S322,INDEX(Inputs!$B$21:$D$21,1,MATCH(A322,Inputs!$B$6:$D$6,0)))-INDEX(Inputs!$B$20:$D$20,1,MATCH(A322,Inputs!$B$6:$D$6,0)),0)*INDEX(Inputs!$B$23:$D$23,1,MATCH(A322,Inputs!$B$6:$D$6,0))+MAX(S322-INDEX(Inputs!$B$21:$D$21,1,MATCH(A322,Inputs!$B$6:$D$6,0)),0)*INDEX(Inputs!$B$24:$D$24,1,MATCH(A322,Inputs!$B$6:$D$6,0))</x:f>
        <x:v>3050.8374999999996</x:v>
      </x:c>
      <x:c r="U322" s="20" t="n">
        <x:f>IF(AND(A321=A322,D321=D322),T321,0)</x:f>
        <x:v>0</x:v>
      </x:c>
      <x:c r="V322" s="20" t="n">
        <x:f>T322-U322</x:f>
        <x:v>3050.8374999999996</x:v>
      </x:c>
      <x:c r="W322" s="20" t="n">
        <x:f>R322+V322</x:f>
        <x:v>36525.8375</x:v>
      </x:c>
      <x:c r="X322" s="14" t="str">
        <x:f>IF(ABS(W322-SUM(M322:Q322)-V322)&lt;0.01,"OK","Check")</x:f>
        <x:v>OK</x:v>
      </x:c>
    </x:row>
    <x:row r="323">
      <x:c r="A323" s="14" t="n">
        <x:v>2026</x:v>
      </x:c>
      <x:c r="B323" s="14" t="str">
        <x:v>Q2</x:v>
      </x:c>
      <x:c r="C323" s="14" t="n">
        <x:v>2</x:v>
      </x:c>
      <x:c r="D323" s="14" t="n">
        <x:v>80</x:v>
      </x:c>
      <x:c r="E323" s="14" t="str">
        <x:f>INDEX(Roster!$B$6:$B$108,MATCH(D323,Roster!$A$6:$A$108,0))</x:f>
      </x:c>
      <x:c r="F323" s="14" t="str">
        <x:f>INDEX(Roster!$F$6:$F$108,MATCH(D323,Roster!$A$6:$A$108,0))</x:f>
        <x:v>No</x:v>
      </x:c>
      <x:c r="G323" s="14" t="n">
        <x:f>INDEX(Inputs!$B$7:$D$7,1,MATCH(A323,Inputs!$B$6:$D$6,0))</x:f>
        <x:v>13</x:v>
      </x:c>
      <x:c r="H323" s="14" t="n">
        <x:f>MIN(=INDEX(Inputs!$B$7:$D$7,1,MATCH(A323,Inputs!$B$6:$D$6,0)),MAX(0,INDEX(Inputs!$B$14:$D$14,1,MATCH(A323,Inputs!$B$6:$D$6,0))-(C323-1)*=INDEX(Inputs!$B$7:$D$7,1,MATCH(A323,Inputs!$B$6:$D$6,0))))</x:f>
        <x:v>13</x:v>
      </x:c>
      <x:c r="I323" s="20" t="n">
        <x:f>INDEX(Inputs!$B$8:$D$8,1,MATCH(A323,Inputs!$B$6:$D$6,0))</x:f>
        <x:v>2395</x:v>
      </x:c>
      <x:c r="J323" s="20" t="n">
        <x:f>INDEX(Roster!$C$6:$C$108,MATCH(D323,Roster!$A$6:$A$108,0))*(1+INDEX(Inputs!$B$9:$D$9,1,MATCH(A323,Inputs!$B$6:$D$6,0)))</x:f>
        <x:v>60</x:v>
      </x:c>
      <x:c r="K323" s="20" t="n">
        <x:f>IF(=INDEX(Roster!$F$6:$F$108,MATCH(D323,Roster!$A$6:$A$108,0))="Yes",0,=INDEX(Inputs!$B$8:$D$8,1,MATCH(A323,Inputs!$B$6:$D$6,0))*IF(=INDEX(Roster!$B$6:$B$108,MATCH(D323,Roster!$A$6:$A$108,0))="Principal",INDEX(Inputs!$B$10:$D$10,1,MATCH(A323,Inputs!$B$6:$D$6,0)),IF(=INDEX(Roster!$B$6:$B$108,MATCH(D323,Roster!$A$6:$A$108,0))="Associate Principal",INDEX(Inputs!$B$11:$D$11,1,MATCH(A323,Inputs!$B$6:$D$6,0)),IF(=INDEX(Roster!$B$6:$B$108,MATCH(D323,Roster!$A$6:$A$108,0))="Assistant Principal",INDEX(Inputs!$B$12:$D$12,1,MATCH(A323,Inputs!$B$6:$D$6,0)),0))))</x:f>
        <x:v>0</x:v>
      </x:c>
      <x:c r="L323" s="20" t="n">
        <x:f>IF(INDEX(Roster!$D$6:$D$108,MATCH(D323,Roster!$A$6:$A$108,0))&gt;=25,INDEX(Inputs!$B$19:$D$19,1,MATCH(A323,Inputs!$B$6:$D$6,0)),IF(INDEX(Roster!$D$6:$D$108,MATCH(D323,Roster!$A$6:$A$108,0))&gt;=20,INDEX(Inputs!$B$18:$D$18,1,MATCH(A323,Inputs!$B$6:$D$6,0)),IF(INDEX(Roster!$D$6:$D$108,MATCH(D323,Roster!$A$6:$A$108,0))&gt;=15,INDEX(Inputs!$B$17:$D$17,1,MATCH(A323,Inputs!$B$6:$D$6,0)),IF(INDEX(Roster!$D$6:$D$108,MATCH(D323,Roster!$A$6:$A$108,0))&gt;=10,INDEX(Inputs!$B$16:$D$16,1,MATCH(A323,Inputs!$B$6:$D$6,0)),IF(INDEX(Roster!$D$6:$D$108,MATCH(D323,Roster!$A$6:$A$108,0))&gt;=5,INDEX(Inputs!$B$15:$D$15,1,MATCH(A323,Inputs!$B$6:$D$6,0)),0)))))</x:f>
        <x:v>90</x:v>
      </x:c>
      <x:c r="M323" s="20" t="n">
        <x:f>G323*I323</x:f>
        <x:v>31135</x:v>
      </x:c>
      <x:c r="N323" s="20" t="n">
        <x:f>G323*J323</x:f>
        <x:v>780</x:v>
      </x:c>
      <x:c r="O323" s="20" t="n">
        <x:f>G323*K323</x:f>
        <x:v>0</x:v>
      </x:c>
      <x:c r="P323" s="20" t="n">
        <x:f>G323*L323</x:f>
        <x:v>1170</x:v>
      </x:c>
      <x:c r="Q323" s="20" t="n">
        <x:f>H323*INDEX(Inputs!$B$13:$D$13,1,MATCH(A323,Inputs!$B$6:$D$6,0))</x:f>
        <x:v>390</x:v>
      </x:c>
      <x:c r="R323" s="20" t="n">
        <x:f>SUM(M323:Q323)</x:f>
        <x:v>33475</x:v>
      </x:c>
      <x:c r="S323" s="20" t="n">
        <x:f>IF(AND(A322=A323,D322=D323),S322+R323,R323)</x:f>
        <x:v>66950</x:v>
      </x:c>
      <x:c r="T323" s="20" t="n">
        <x:f>MIN(S323,INDEX(Inputs!$B$20:$D$20,1,MATCH(A323,Inputs!$B$6:$D$6,0)))*INDEX(Inputs!$B$22:$D$22,1,MATCH(A323,Inputs!$B$6:$D$6,0))+MAX(MIN(S323,INDEX(Inputs!$B$21:$D$21,1,MATCH(A323,Inputs!$B$6:$D$6,0)))-INDEX(Inputs!$B$20:$D$20,1,MATCH(A323,Inputs!$B$6:$D$6,0)),0)*INDEX(Inputs!$B$23:$D$23,1,MATCH(A323,Inputs!$B$6:$D$6,0))+MAX(S323-INDEX(Inputs!$B$21:$D$21,1,MATCH(A323,Inputs!$B$6:$D$6,0)),0)*INDEX(Inputs!$B$24:$D$24,1,MATCH(A323,Inputs!$B$6:$D$6,0))</x:f>
        <x:v>5611.675</x:v>
      </x:c>
      <x:c r="U323" s="20" t="n">
        <x:f>IF(AND(A322=A323,D322=D323),T322,0)</x:f>
        <x:v>3050.8374999999996</x:v>
      </x:c>
      <x:c r="V323" s="20" t="n">
        <x:f>T323-U323</x:f>
        <x:v>2560.8375000000005</x:v>
      </x:c>
      <x:c r="W323" s="20" t="n">
        <x:f>R323+V323</x:f>
        <x:v>36035.8375</x:v>
      </x:c>
      <x:c r="X323" s="14" t="str">
        <x:f>IF(ABS(W323-SUM(M323:Q323)-V323)&lt;0.01,"OK","Check")</x:f>
        <x:v>OK</x:v>
      </x:c>
    </x:row>
    <x:row r="324">
      <x:c r="A324" s="14" t="n">
        <x:v>2026</x:v>
      </x:c>
      <x:c r="B324" s="14" t="str">
        <x:v>Q3</x:v>
      </x:c>
      <x:c r="C324" s="14" t="n">
        <x:v>3</x:v>
      </x:c>
      <x:c r="D324" s="14" t="n">
        <x:v>80</x:v>
      </x:c>
      <x:c r="E324" s="14" t="str">
        <x:f>INDEX(Roster!$B$6:$B$108,MATCH(D324,Roster!$A$6:$A$108,0))</x:f>
      </x:c>
      <x:c r="F324" s="14" t="str">
        <x:f>INDEX(Roster!$F$6:$F$108,MATCH(D324,Roster!$A$6:$A$108,0))</x:f>
        <x:v>No</x:v>
      </x:c>
      <x:c r="G324" s="14" t="n">
        <x:f>INDEX(Inputs!$B$7:$D$7,1,MATCH(A324,Inputs!$B$6:$D$6,0))</x:f>
        <x:v>13</x:v>
      </x:c>
      <x:c r="H324" s="14" t="n">
        <x:f>MIN(=INDEX(Inputs!$B$7:$D$7,1,MATCH(A324,Inputs!$B$6:$D$6,0)),MAX(0,INDEX(Inputs!$B$14:$D$14,1,MATCH(A324,Inputs!$B$6:$D$6,0))-(C324-1)*=INDEX(Inputs!$B$7:$D$7,1,MATCH(A324,Inputs!$B$6:$D$6,0))))</x:f>
        <x:v>13</x:v>
      </x:c>
      <x:c r="I324" s="20" t="n">
        <x:f>INDEX(Inputs!$B$8:$D$8,1,MATCH(A324,Inputs!$B$6:$D$6,0))</x:f>
        <x:v>2395</x:v>
      </x:c>
      <x:c r="J324" s="20" t="n">
        <x:f>INDEX(Roster!$C$6:$C$108,MATCH(D324,Roster!$A$6:$A$108,0))*(1+INDEX(Inputs!$B$9:$D$9,1,MATCH(A324,Inputs!$B$6:$D$6,0)))</x:f>
        <x:v>60</x:v>
      </x:c>
      <x:c r="K324" s="20" t="n">
        <x:f>IF(=INDEX(Roster!$F$6:$F$108,MATCH(D324,Roster!$A$6:$A$108,0))="Yes",0,=INDEX(Inputs!$B$8:$D$8,1,MATCH(A324,Inputs!$B$6:$D$6,0))*IF(=INDEX(Roster!$B$6:$B$108,MATCH(D324,Roster!$A$6:$A$108,0))="Principal",INDEX(Inputs!$B$10:$D$10,1,MATCH(A324,Inputs!$B$6:$D$6,0)),IF(=INDEX(Roster!$B$6:$B$108,MATCH(D324,Roster!$A$6:$A$108,0))="Associate Principal",INDEX(Inputs!$B$11:$D$11,1,MATCH(A324,Inputs!$B$6:$D$6,0)),IF(=INDEX(Roster!$B$6:$B$108,MATCH(D324,Roster!$A$6:$A$108,0))="Assistant Principal",INDEX(Inputs!$B$12:$D$12,1,MATCH(A324,Inputs!$B$6:$D$6,0)),0))))</x:f>
        <x:v>0</x:v>
      </x:c>
      <x:c r="L324" s="20" t="n">
        <x:f>IF(INDEX(Roster!$D$6:$D$108,MATCH(D324,Roster!$A$6:$A$108,0))&gt;=25,INDEX(Inputs!$B$19:$D$19,1,MATCH(A324,Inputs!$B$6:$D$6,0)),IF(INDEX(Roster!$D$6:$D$108,MATCH(D324,Roster!$A$6:$A$108,0))&gt;=20,INDEX(Inputs!$B$18:$D$18,1,MATCH(A324,Inputs!$B$6:$D$6,0)),IF(INDEX(Roster!$D$6:$D$108,MATCH(D324,Roster!$A$6:$A$108,0))&gt;=15,INDEX(Inputs!$B$17:$D$17,1,MATCH(A324,Inputs!$B$6:$D$6,0)),IF(INDEX(Roster!$D$6:$D$108,MATCH(D324,Roster!$A$6:$A$108,0))&gt;=10,INDEX(Inputs!$B$16:$D$16,1,MATCH(A324,Inputs!$B$6:$D$6,0)),IF(INDEX(Roster!$D$6:$D$108,MATCH(D324,Roster!$A$6:$A$108,0))&gt;=5,INDEX(Inputs!$B$15:$D$15,1,MATCH(A324,Inputs!$B$6:$D$6,0)),0)))))</x:f>
        <x:v>90</x:v>
      </x:c>
      <x:c r="M324" s="20" t="n">
        <x:f>G324*I324</x:f>
        <x:v>31135</x:v>
      </x:c>
      <x:c r="N324" s="20" t="n">
        <x:f>G324*J324</x:f>
        <x:v>780</x:v>
      </x:c>
      <x:c r="O324" s="20" t="n">
        <x:f>G324*K324</x:f>
        <x:v>0</x:v>
      </x:c>
      <x:c r="P324" s="20" t="n">
        <x:f>G324*L324</x:f>
        <x:v>1170</x:v>
      </x:c>
      <x:c r="Q324" s="20" t="n">
        <x:f>H324*INDEX(Inputs!$B$13:$D$13,1,MATCH(A324,Inputs!$B$6:$D$6,0))</x:f>
        <x:v>390</x:v>
      </x:c>
      <x:c r="R324" s="20" t="n">
        <x:f>SUM(M324:Q324)</x:f>
        <x:v>33475</x:v>
      </x:c>
      <x:c r="S324" s="20" t="n">
        <x:f>IF(AND(A323=A324,D323=D324),S323+R324,R324)</x:f>
        <x:v>100425</x:v>
      </x:c>
      <x:c r="T324" s="20" t="n">
        <x:f>MIN(S324,INDEX(Inputs!$B$20:$D$20,1,MATCH(A324,Inputs!$B$6:$D$6,0)))*INDEX(Inputs!$B$22:$D$22,1,MATCH(A324,Inputs!$B$6:$D$6,0))+MAX(MIN(S324,INDEX(Inputs!$B$21:$D$21,1,MATCH(A324,Inputs!$B$6:$D$6,0)))-INDEX(Inputs!$B$20:$D$20,1,MATCH(A324,Inputs!$B$6:$D$6,0)),0)*INDEX(Inputs!$B$23:$D$23,1,MATCH(A324,Inputs!$B$6:$D$6,0))+MAX(S324-INDEX(Inputs!$B$21:$D$21,1,MATCH(A324,Inputs!$B$6:$D$6,0)),0)*INDEX(Inputs!$B$24:$D$24,1,MATCH(A324,Inputs!$B$6:$D$6,0))</x:f>
        <x:v>8172.5125</x:v>
      </x:c>
      <x:c r="U324" s="20" t="n">
        <x:f>IF(AND(A323=A324,D323=D324),T323,0)</x:f>
        <x:v>5611.675</x:v>
      </x:c>
      <x:c r="V324" s="20" t="n">
        <x:f>T324-U324</x:f>
        <x:v>2560.8374999999996</x:v>
      </x:c>
      <x:c r="W324" s="20" t="n">
        <x:f>R324+V324</x:f>
        <x:v>36035.8375</x:v>
      </x:c>
      <x:c r="X324" s="14" t="str">
        <x:f>IF(ABS(W324-SUM(M324:Q324)-V324)&lt;0.01,"OK","Check")</x:f>
        <x:v>OK</x:v>
      </x:c>
    </x:row>
    <x:row r="325">
      <x:c r="A325" s="14" t="n">
        <x:v>2026</x:v>
      </x:c>
      <x:c r="B325" s="14" t="str">
        <x:v>Q4</x:v>
      </x:c>
      <x:c r="C325" s="14" t="n">
        <x:v>4</x:v>
      </x:c>
      <x:c r="D325" s="14" t="n">
        <x:v>80</x:v>
      </x:c>
      <x:c r="E325" s="14" t="str">
        <x:f>INDEX(Roster!$B$6:$B$108,MATCH(D325,Roster!$A$6:$A$108,0))</x:f>
      </x:c>
      <x:c r="F325" s="14" t="str">
        <x:f>INDEX(Roster!$F$6:$F$108,MATCH(D325,Roster!$A$6:$A$108,0))</x:f>
        <x:v>No</x:v>
      </x:c>
      <x:c r="G325" s="14" t="n">
        <x:f>INDEX(Inputs!$B$7:$D$7,1,MATCH(A325,Inputs!$B$6:$D$6,0))</x:f>
        <x:v>13</x:v>
      </x:c>
      <x:c r="H325" s="14" t="n">
        <x:f>MIN(=INDEX(Inputs!$B$7:$D$7,1,MATCH(A325,Inputs!$B$6:$D$6,0)),MAX(0,INDEX(Inputs!$B$14:$D$14,1,MATCH(A325,Inputs!$B$6:$D$6,0))-(C325-1)*=INDEX(Inputs!$B$7:$D$7,1,MATCH(A325,Inputs!$B$6:$D$6,0))))</x:f>
        <x:v>0</x:v>
      </x:c>
      <x:c r="I325" s="20" t="n">
        <x:f>INDEX(Inputs!$B$8:$D$8,1,MATCH(A325,Inputs!$B$6:$D$6,0))</x:f>
        <x:v>2395</x:v>
      </x:c>
      <x:c r="J325" s="20" t="n">
        <x:f>INDEX(Roster!$C$6:$C$108,MATCH(D325,Roster!$A$6:$A$108,0))*(1+INDEX(Inputs!$B$9:$D$9,1,MATCH(A325,Inputs!$B$6:$D$6,0)))</x:f>
        <x:v>60</x:v>
      </x:c>
      <x:c r="K325" s="20" t="n">
        <x:f>IF(=INDEX(Roster!$F$6:$F$108,MATCH(D325,Roster!$A$6:$A$108,0))="Yes",0,=INDEX(Inputs!$B$8:$D$8,1,MATCH(A325,Inputs!$B$6:$D$6,0))*IF(=INDEX(Roster!$B$6:$B$108,MATCH(D325,Roster!$A$6:$A$108,0))="Principal",INDEX(Inputs!$B$10:$D$10,1,MATCH(A325,Inputs!$B$6:$D$6,0)),IF(=INDEX(Roster!$B$6:$B$108,MATCH(D325,Roster!$A$6:$A$108,0))="Associate Principal",INDEX(Inputs!$B$11:$D$11,1,MATCH(A325,Inputs!$B$6:$D$6,0)),IF(=INDEX(Roster!$B$6:$B$108,MATCH(D325,Roster!$A$6:$A$108,0))="Assistant Principal",INDEX(Inputs!$B$12:$D$12,1,MATCH(A325,Inputs!$B$6:$D$6,0)),0))))</x:f>
        <x:v>0</x:v>
      </x:c>
      <x:c r="L325" s="20" t="n">
        <x:f>IF(INDEX(Roster!$D$6:$D$108,MATCH(D325,Roster!$A$6:$A$108,0))&gt;=25,INDEX(Inputs!$B$19:$D$19,1,MATCH(A325,Inputs!$B$6:$D$6,0)),IF(INDEX(Roster!$D$6:$D$108,MATCH(D325,Roster!$A$6:$A$108,0))&gt;=20,INDEX(Inputs!$B$18:$D$18,1,MATCH(A325,Inputs!$B$6:$D$6,0)),IF(INDEX(Roster!$D$6:$D$108,MATCH(D325,Roster!$A$6:$A$108,0))&gt;=15,INDEX(Inputs!$B$17:$D$17,1,MATCH(A325,Inputs!$B$6:$D$6,0)),IF(INDEX(Roster!$D$6:$D$108,MATCH(D325,Roster!$A$6:$A$108,0))&gt;=10,INDEX(Inputs!$B$16:$D$16,1,MATCH(A325,Inputs!$B$6:$D$6,0)),IF(INDEX(Roster!$D$6:$D$108,MATCH(D325,Roster!$A$6:$A$108,0))&gt;=5,INDEX(Inputs!$B$15:$D$15,1,MATCH(A325,Inputs!$B$6:$D$6,0)),0)))))</x:f>
        <x:v>90</x:v>
      </x:c>
      <x:c r="M325" s="20" t="n">
        <x:f>G325*I325</x:f>
        <x:v>31135</x:v>
      </x:c>
      <x:c r="N325" s="20" t="n">
        <x:f>G325*J325</x:f>
        <x:v>780</x:v>
      </x:c>
      <x:c r="O325" s="20" t="n">
        <x:f>G325*K325</x:f>
        <x:v>0</x:v>
      </x:c>
      <x:c r="P325" s="20" t="n">
        <x:f>G325*L325</x:f>
        <x:v>1170</x:v>
      </x:c>
      <x:c r="Q325" s="20" t="n">
        <x:f>H325*INDEX(Inputs!$B$13:$D$13,1,MATCH(A325,Inputs!$B$6:$D$6,0))</x:f>
        <x:v>0</x:v>
      </x:c>
      <x:c r="R325" s="20" t="n">
        <x:f>SUM(M325:Q325)</x:f>
        <x:v>33085</x:v>
      </x:c>
      <x:c r="S325" s="20" t="n">
        <x:f>IF(AND(A324=A325,D324=D325),S324+R325,R325)</x:f>
        <x:v>133510</x:v>
      </x:c>
      <x:c r="T325" s="20" t="n">
        <x:f>MIN(S325,INDEX(Inputs!$B$20:$D$20,1,MATCH(A325,Inputs!$B$6:$D$6,0)))*INDEX(Inputs!$B$22:$D$22,1,MATCH(A325,Inputs!$B$6:$D$6,0))+MAX(MIN(S325,INDEX(Inputs!$B$21:$D$21,1,MATCH(A325,Inputs!$B$6:$D$6,0)))-INDEX(Inputs!$B$20:$D$20,1,MATCH(A325,Inputs!$B$6:$D$6,0)),0)*INDEX(Inputs!$B$23:$D$23,1,MATCH(A325,Inputs!$B$6:$D$6,0))+MAX(S325-INDEX(Inputs!$B$21:$D$21,1,MATCH(A325,Inputs!$B$6:$D$6,0)),0)*INDEX(Inputs!$B$24:$D$24,1,MATCH(A325,Inputs!$B$6:$D$6,0))</x:f>
        <x:v>9849.837</x:v>
      </x:c>
      <x:c r="U325" s="20" t="n">
        <x:f>IF(AND(A324=A325,D324=D325),T324,0)</x:f>
        <x:v>8172.5125</x:v>
      </x:c>
      <x:c r="V325" s="20" t="n">
        <x:f>T325-U325</x:f>
        <x:v>1677.3244999999997</x:v>
      </x:c>
      <x:c r="W325" s="20" t="n">
        <x:f>R325+V325</x:f>
        <x:v>34762.3245</x:v>
      </x:c>
      <x:c r="X325" s="14" t="str">
        <x:f>IF(ABS(W325-SUM(M325:Q325)-V325)&lt;0.01,"OK","Check")</x:f>
        <x:v>OK</x:v>
      </x:c>
    </x:row>
    <x:row r="326">
      <x:c r="A326" s="14" t="n">
        <x:v>2026</x:v>
      </x:c>
      <x:c r="B326" s="14" t="str">
        <x:v>Q1</x:v>
      </x:c>
      <x:c r="C326" s="14" t="n">
        <x:v>1</x:v>
      </x:c>
      <x:c r="D326" s="14" t="n">
        <x:v>81</x:v>
      </x:c>
      <x:c r="E326" s="14" t="str">
        <x:f>INDEX(Roster!$B$6:$B$108,MATCH(D326,Roster!$A$6:$A$108,0))</x:f>
      </x:c>
      <x:c r="F326" s="14" t="str">
        <x:f>INDEX(Roster!$F$6:$F$108,MATCH(D326,Roster!$A$6:$A$108,0))</x:f>
        <x:v>No</x:v>
      </x:c>
      <x:c r="G326" s="14" t="n">
        <x:f>INDEX(Inputs!$B$7:$D$7,1,MATCH(A326,Inputs!$B$6:$D$6,0))</x:f>
        <x:v>13</x:v>
      </x:c>
      <x:c r="H326" s="14" t="n">
        <x:f>MIN(=INDEX(Inputs!$B$7:$D$7,1,MATCH(A326,Inputs!$B$6:$D$6,0)),MAX(0,INDEX(Inputs!$B$14:$D$14,1,MATCH(A326,Inputs!$B$6:$D$6,0))-(C326-1)*=INDEX(Inputs!$B$7:$D$7,1,MATCH(A326,Inputs!$B$6:$D$6,0))))</x:f>
        <x:v>13</x:v>
      </x:c>
      <x:c r="I326" s="20" t="n">
        <x:f>INDEX(Inputs!$B$8:$D$8,1,MATCH(A326,Inputs!$B$6:$D$6,0))</x:f>
        <x:v>2395</x:v>
      </x:c>
      <x:c r="J326" s="20" t="n">
        <x:f>INDEX(Roster!$C$6:$C$108,MATCH(D326,Roster!$A$6:$A$108,0))*(1+INDEX(Inputs!$B$9:$D$9,1,MATCH(A326,Inputs!$B$6:$D$6,0)))</x:f>
        <x:v>400</x:v>
      </x:c>
      <x:c r="K326" s="20" t="n">
        <x:f>IF(=INDEX(Roster!$F$6:$F$108,MATCH(D326,Roster!$A$6:$A$108,0))="Yes",0,=INDEX(Inputs!$B$8:$D$8,1,MATCH(A326,Inputs!$B$6:$D$6,0))*IF(=INDEX(Roster!$B$6:$B$108,MATCH(D326,Roster!$A$6:$A$108,0))="Principal",INDEX(Inputs!$B$10:$D$10,1,MATCH(A326,Inputs!$B$6:$D$6,0)),IF(=INDEX(Roster!$B$6:$B$108,MATCH(D326,Roster!$A$6:$A$108,0))="Associate Principal",INDEX(Inputs!$B$11:$D$11,1,MATCH(A326,Inputs!$B$6:$D$6,0)),IF(=INDEX(Roster!$B$6:$B$108,MATCH(D326,Roster!$A$6:$A$108,0))="Assistant Principal",INDEX(Inputs!$B$12:$D$12,1,MATCH(A326,Inputs!$B$6:$D$6,0)),0))))</x:f>
        <x:v>0</x:v>
      </x:c>
      <x:c r="L326" s="20" t="n">
        <x:f>IF(INDEX(Roster!$D$6:$D$108,MATCH(D326,Roster!$A$6:$A$108,0))&gt;=25,INDEX(Inputs!$B$19:$D$19,1,MATCH(A326,Inputs!$B$6:$D$6,0)),IF(INDEX(Roster!$D$6:$D$108,MATCH(D326,Roster!$A$6:$A$108,0))&gt;=20,INDEX(Inputs!$B$18:$D$18,1,MATCH(A326,Inputs!$B$6:$D$6,0)),IF(INDEX(Roster!$D$6:$D$108,MATCH(D326,Roster!$A$6:$A$108,0))&gt;=15,INDEX(Inputs!$B$17:$D$17,1,MATCH(A326,Inputs!$B$6:$D$6,0)),IF(INDEX(Roster!$D$6:$D$108,MATCH(D326,Roster!$A$6:$A$108,0))&gt;=10,INDEX(Inputs!$B$16:$D$16,1,MATCH(A326,Inputs!$B$6:$D$6,0)),IF(INDEX(Roster!$D$6:$D$108,MATCH(D326,Roster!$A$6:$A$108,0))&gt;=5,INDEX(Inputs!$B$15:$D$15,1,MATCH(A326,Inputs!$B$6:$D$6,0)),0)))))</x:f>
        <x:v>90</x:v>
      </x:c>
      <x:c r="M326" s="20" t="n">
        <x:f>G326*I326</x:f>
        <x:v>31135</x:v>
      </x:c>
      <x:c r="N326" s="20" t="n">
        <x:f>G326*J326</x:f>
        <x:v>5200</x:v>
      </x:c>
      <x:c r="O326" s="20" t="n">
        <x:f>G326*K326</x:f>
        <x:v>0</x:v>
      </x:c>
      <x:c r="P326" s="20" t="n">
        <x:f>G326*L326</x:f>
        <x:v>1170</x:v>
      </x:c>
      <x:c r="Q326" s="20" t="n">
        <x:f>H326*INDEX(Inputs!$B$13:$D$13,1,MATCH(A326,Inputs!$B$6:$D$6,0))</x:f>
        <x:v>390</x:v>
      </x:c>
      <x:c r="R326" s="20" t="n">
        <x:f>SUM(M326:Q326)</x:f>
        <x:v>37895</x:v>
      </x:c>
      <x:c r="S326" s="20" t="n">
        <x:f>IF(AND(A325=A326,D325=D326),S325+R326,R326)</x:f>
        <x:v>37895</x:v>
      </x:c>
      <x:c r="T326" s="20" t="n">
        <x:f>MIN(S326,INDEX(Inputs!$B$20:$D$20,1,MATCH(A326,Inputs!$B$6:$D$6,0)))*INDEX(Inputs!$B$22:$D$22,1,MATCH(A326,Inputs!$B$6:$D$6,0))+MAX(MIN(S326,INDEX(Inputs!$B$21:$D$21,1,MATCH(A326,Inputs!$B$6:$D$6,0)))-INDEX(Inputs!$B$20:$D$20,1,MATCH(A326,Inputs!$B$6:$D$6,0)),0)*INDEX(Inputs!$B$23:$D$23,1,MATCH(A326,Inputs!$B$6:$D$6,0))+MAX(S326-INDEX(Inputs!$B$21:$D$21,1,MATCH(A326,Inputs!$B$6:$D$6,0)),0)*INDEX(Inputs!$B$24:$D$24,1,MATCH(A326,Inputs!$B$6:$D$6,0))</x:f>
        <x:v>3388.9674999999997</x:v>
      </x:c>
      <x:c r="U326" s="20" t="n">
        <x:f>IF(AND(A325=A326,D325=D326),T325,0)</x:f>
        <x:v>0</x:v>
      </x:c>
      <x:c r="V326" s="20" t="n">
        <x:f>T326-U326</x:f>
        <x:v>3388.9674999999997</x:v>
      </x:c>
      <x:c r="W326" s="20" t="n">
        <x:f>R326+V326</x:f>
        <x:v>41283.9675</x:v>
      </x:c>
      <x:c r="X326" s="14" t="str">
        <x:f>IF(ABS(W326-SUM(M326:Q326)-V326)&lt;0.01,"OK","Check")</x:f>
        <x:v>OK</x:v>
      </x:c>
    </x:row>
    <x:row r="327">
      <x:c r="A327" s="14" t="n">
        <x:v>2026</x:v>
      </x:c>
      <x:c r="B327" s="14" t="str">
        <x:v>Q2</x:v>
      </x:c>
      <x:c r="C327" s="14" t="n">
        <x:v>2</x:v>
      </x:c>
      <x:c r="D327" s="14" t="n">
        <x:v>81</x:v>
      </x:c>
      <x:c r="E327" s="14" t="str">
        <x:f>INDEX(Roster!$B$6:$B$108,MATCH(D327,Roster!$A$6:$A$108,0))</x:f>
      </x:c>
      <x:c r="F327" s="14" t="str">
        <x:f>INDEX(Roster!$F$6:$F$108,MATCH(D327,Roster!$A$6:$A$108,0))</x:f>
        <x:v>No</x:v>
      </x:c>
      <x:c r="G327" s="14" t="n">
        <x:f>INDEX(Inputs!$B$7:$D$7,1,MATCH(A327,Inputs!$B$6:$D$6,0))</x:f>
        <x:v>13</x:v>
      </x:c>
      <x:c r="H327" s="14" t="n">
        <x:f>MIN(=INDEX(Inputs!$B$7:$D$7,1,MATCH(A327,Inputs!$B$6:$D$6,0)),MAX(0,INDEX(Inputs!$B$14:$D$14,1,MATCH(A327,Inputs!$B$6:$D$6,0))-(C327-1)*=INDEX(Inputs!$B$7:$D$7,1,MATCH(A327,Inputs!$B$6:$D$6,0))))</x:f>
        <x:v>13</x:v>
      </x:c>
      <x:c r="I327" s="20" t="n">
        <x:f>INDEX(Inputs!$B$8:$D$8,1,MATCH(A327,Inputs!$B$6:$D$6,0))</x:f>
        <x:v>2395</x:v>
      </x:c>
      <x:c r="J327" s="20" t="n">
        <x:f>INDEX(Roster!$C$6:$C$108,MATCH(D327,Roster!$A$6:$A$108,0))*(1+INDEX(Inputs!$B$9:$D$9,1,MATCH(A327,Inputs!$B$6:$D$6,0)))</x:f>
        <x:v>400</x:v>
      </x:c>
      <x:c r="K327" s="20" t="n">
        <x:f>IF(=INDEX(Roster!$F$6:$F$108,MATCH(D327,Roster!$A$6:$A$108,0))="Yes",0,=INDEX(Inputs!$B$8:$D$8,1,MATCH(A327,Inputs!$B$6:$D$6,0))*IF(=INDEX(Roster!$B$6:$B$108,MATCH(D327,Roster!$A$6:$A$108,0))="Principal",INDEX(Inputs!$B$10:$D$10,1,MATCH(A327,Inputs!$B$6:$D$6,0)),IF(=INDEX(Roster!$B$6:$B$108,MATCH(D327,Roster!$A$6:$A$108,0))="Associate Principal",INDEX(Inputs!$B$11:$D$11,1,MATCH(A327,Inputs!$B$6:$D$6,0)),IF(=INDEX(Roster!$B$6:$B$108,MATCH(D327,Roster!$A$6:$A$108,0))="Assistant Principal",INDEX(Inputs!$B$12:$D$12,1,MATCH(A327,Inputs!$B$6:$D$6,0)),0))))</x:f>
        <x:v>0</x:v>
      </x:c>
      <x:c r="L327" s="20" t="n">
        <x:f>IF(INDEX(Roster!$D$6:$D$108,MATCH(D327,Roster!$A$6:$A$108,0))&gt;=25,INDEX(Inputs!$B$19:$D$19,1,MATCH(A327,Inputs!$B$6:$D$6,0)),IF(INDEX(Roster!$D$6:$D$108,MATCH(D327,Roster!$A$6:$A$108,0))&gt;=20,INDEX(Inputs!$B$18:$D$18,1,MATCH(A327,Inputs!$B$6:$D$6,0)),IF(INDEX(Roster!$D$6:$D$108,MATCH(D327,Roster!$A$6:$A$108,0))&gt;=15,INDEX(Inputs!$B$17:$D$17,1,MATCH(A327,Inputs!$B$6:$D$6,0)),IF(INDEX(Roster!$D$6:$D$108,MATCH(D327,Roster!$A$6:$A$108,0))&gt;=10,INDEX(Inputs!$B$16:$D$16,1,MATCH(A327,Inputs!$B$6:$D$6,0)),IF(INDEX(Roster!$D$6:$D$108,MATCH(D327,Roster!$A$6:$A$108,0))&gt;=5,INDEX(Inputs!$B$15:$D$15,1,MATCH(A327,Inputs!$B$6:$D$6,0)),0)))))</x:f>
        <x:v>90</x:v>
      </x:c>
      <x:c r="M327" s="20" t="n">
        <x:f>G327*I327</x:f>
        <x:v>31135</x:v>
      </x:c>
      <x:c r="N327" s="20" t="n">
        <x:f>G327*J327</x:f>
        <x:v>5200</x:v>
      </x:c>
      <x:c r="O327" s="20" t="n">
        <x:f>G327*K327</x:f>
        <x:v>0</x:v>
      </x:c>
      <x:c r="P327" s="20" t="n">
        <x:f>G327*L327</x:f>
        <x:v>1170</x:v>
      </x:c>
      <x:c r="Q327" s="20" t="n">
        <x:f>H327*INDEX(Inputs!$B$13:$D$13,1,MATCH(A327,Inputs!$B$6:$D$6,0))</x:f>
        <x:v>390</x:v>
      </x:c>
      <x:c r="R327" s="20" t="n">
        <x:f>SUM(M327:Q327)</x:f>
        <x:v>37895</x:v>
      </x:c>
      <x:c r="S327" s="20" t="n">
        <x:f>IF(AND(A326=A327,D326=D327),S326+R327,R327)</x:f>
        <x:v>75790</x:v>
      </x:c>
      <x:c r="T327" s="20" t="n">
        <x:f>MIN(S327,INDEX(Inputs!$B$20:$D$20,1,MATCH(A327,Inputs!$B$6:$D$6,0)))*INDEX(Inputs!$B$22:$D$22,1,MATCH(A327,Inputs!$B$6:$D$6,0))+MAX(MIN(S327,INDEX(Inputs!$B$21:$D$21,1,MATCH(A327,Inputs!$B$6:$D$6,0)))-INDEX(Inputs!$B$20:$D$20,1,MATCH(A327,Inputs!$B$6:$D$6,0)),0)*INDEX(Inputs!$B$23:$D$23,1,MATCH(A327,Inputs!$B$6:$D$6,0))+MAX(S327-INDEX(Inputs!$B$21:$D$21,1,MATCH(A327,Inputs!$B$6:$D$6,0)),0)*INDEX(Inputs!$B$24:$D$24,1,MATCH(A327,Inputs!$B$6:$D$6,0))</x:f>
        <x:v>6287.9349999999995</x:v>
      </x:c>
      <x:c r="U327" s="20" t="n">
        <x:f>IF(AND(A326=A327,D326=D327),T326,0)</x:f>
        <x:v>3388.9674999999997</x:v>
      </x:c>
      <x:c r="V327" s="20" t="n">
        <x:f>T327-U327</x:f>
        <x:v>2898.9674999999997</x:v>
      </x:c>
      <x:c r="W327" s="20" t="n">
        <x:f>R327+V327</x:f>
        <x:v>40793.9675</x:v>
      </x:c>
      <x:c r="X327" s="14" t="str">
        <x:f>IF(ABS(W327-SUM(M327:Q327)-V327)&lt;0.01,"OK","Check")</x:f>
        <x:v>OK</x:v>
      </x:c>
    </x:row>
    <x:row r="328">
      <x:c r="A328" s="14" t="n">
        <x:v>2026</x:v>
      </x:c>
      <x:c r="B328" s="14" t="str">
        <x:v>Q3</x:v>
      </x:c>
      <x:c r="C328" s="14" t="n">
        <x:v>3</x:v>
      </x:c>
      <x:c r="D328" s="14" t="n">
        <x:v>81</x:v>
      </x:c>
      <x:c r="E328" s="14" t="str">
        <x:f>INDEX(Roster!$B$6:$B$108,MATCH(D328,Roster!$A$6:$A$108,0))</x:f>
      </x:c>
      <x:c r="F328" s="14" t="str">
        <x:f>INDEX(Roster!$F$6:$F$108,MATCH(D328,Roster!$A$6:$A$108,0))</x:f>
        <x:v>No</x:v>
      </x:c>
      <x:c r="G328" s="14" t="n">
        <x:f>INDEX(Inputs!$B$7:$D$7,1,MATCH(A328,Inputs!$B$6:$D$6,0))</x:f>
        <x:v>13</x:v>
      </x:c>
      <x:c r="H328" s="14" t="n">
        <x:f>MIN(=INDEX(Inputs!$B$7:$D$7,1,MATCH(A328,Inputs!$B$6:$D$6,0)),MAX(0,INDEX(Inputs!$B$14:$D$14,1,MATCH(A328,Inputs!$B$6:$D$6,0))-(C328-1)*=INDEX(Inputs!$B$7:$D$7,1,MATCH(A328,Inputs!$B$6:$D$6,0))))</x:f>
        <x:v>13</x:v>
      </x:c>
      <x:c r="I328" s="20" t="n">
        <x:f>INDEX(Inputs!$B$8:$D$8,1,MATCH(A328,Inputs!$B$6:$D$6,0))</x:f>
        <x:v>2395</x:v>
      </x:c>
      <x:c r="J328" s="20" t="n">
        <x:f>INDEX(Roster!$C$6:$C$108,MATCH(D328,Roster!$A$6:$A$108,0))*(1+INDEX(Inputs!$B$9:$D$9,1,MATCH(A328,Inputs!$B$6:$D$6,0)))</x:f>
        <x:v>400</x:v>
      </x:c>
      <x:c r="K328" s="20" t="n">
        <x:f>IF(=INDEX(Roster!$F$6:$F$108,MATCH(D328,Roster!$A$6:$A$108,0))="Yes",0,=INDEX(Inputs!$B$8:$D$8,1,MATCH(A328,Inputs!$B$6:$D$6,0))*IF(=INDEX(Roster!$B$6:$B$108,MATCH(D328,Roster!$A$6:$A$108,0))="Principal",INDEX(Inputs!$B$10:$D$10,1,MATCH(A328,Inputs!$B$6:$D$6,0)),IF(=INDEX(Roster!$B$6:$B$108,MATCH(D328,Roster!$A$6:$A$108,0))="Associate Principal",INDEX(Inputs!$B$11:$D$11,1,MATCH(A328,Inputs!$B$6:$D$6,0)),IF(=INDEX(Roster!$B$6:$B$108,MATCH(D328,Roster!$A$6:$A$108,0))="Assistant Principal",INDEX(Inputs!$B$12:$D$12,1,MATCH(A328,Inputs!$B$6:$D$6,0)),0))))</x:f>
        <x:v>0</x:v>
      </x:c>
      <x:c r="L328" s="20" t="n">
        <x:f>IF(INDEX(Roster!$D$6:$D$108,MATCH(D328,Roster!$A$6:$A$108,0))&gt;=25,INDEX(Inputs!$B$19:$D$19,1,MATCH(A328,Inputs!$B$6:$D$6,0)),IF(INDEX(Roster!$D$6:$D$108,MATCH(D328,Roster!$A$6:$A$108,0))&gt;=20,INDEX(Inputs!$B$18:$D$18,1,MATCH(A328,Inputs!$B$6:$D$6,0)),IF(INDEX(Roster!$D$6:$D$108,MATCH(D328,Roster!$A$6:$A$108,0))&gt;=15,INDEX(Inputs!$B$17:$D$17,1,MATCH(A328,Inputs!$B$6:$D$6,0)),IF(INDEX(Roster!$D$6:$D$108,MATCH(D328,Roster!$A$6:$A$108,0))&gt;=10,INDEX(Inputs!$B$16:$D$16,1,MATCH(A328,Inputs!$B$6:$D$6,0)),IF(INDEX(Roster!$D$6:$D$108,MATCH(D328,Roster!$A$6:$A$108,0))&gt;=5,INDEX(Inputs!$B$15:$D$15,1,MATCH(A328,Inputs!$B$6:$D$6,0)),0)))))</x:f>
        <x:v>90</x:v>
      </x:c>
      <x:c r="M328" s="20" t="n">
        <x:f>G328*I328</x:f>
        <x:v>31135</x:v>
      </x:c>
      <x:c r="N328" s="20" t="n">
        <x:f>G328*J328</x:f>
        <x:v>5200</x:v>
      </x:c>
      <x:c r="O328" s="20" t="n">
        <x:f>G328*K328</x:f>
        <x:v>0</x:v>
      </x:c>
      <x:c r="P328" s="20" t="n">
        <x:f>G328*L328</x:f>
        <x:v>1170</x:v>
      </x:c>
      <x:c r="Q328" s="20" t="n">
        <x:f>H328*INDEX(Inputs!$B$13:$D$13,1,MATCH(A328,Inputs!$B$6:$D$6,0))</x:f>
        <x:v>390</x:v>
      </x:c>
      <x:c r="R328" s="20" t="n">
        <x:f>SUM(M328:Q328)</x:f>
        <x:v>37895</x:v>
      </x:c>
      <x:c r="S328" s="20" t="n">
        <x:f>IF(AND(A327=A328,D327=D328),S327+R328,R328)</x:f>
        <x:v>113685</x:v>
      </x:c>
      <x:c r="T328" s="20" t="n">
        <x:f>MIN(S328,INDEX(Inputs!$B$20:$D$20,1,MATCH(A328,Inputs!$B$6:$D$6,0)))*INDEX(Inputs!$B$22:$D$22,1,MATCH(A328,Inputs!$B$6:$D$6,0))+MAX(MIN(S328,INDEX(Inputs!$B$21:$D$21,1,MATCH(A328,Inputs!$B$6:$D$6,0)))-INDEX(Inputs!$B$20:$D$20,1,MATCH(A328,Inputs!$B$6:$D$6,0)),0)*INDEX(Inputs!$B$23:$D$23,1,MATCH(A328,Inputs!$B$6:$D$6,0))+MAX(S328-INDEX(Inputs!$B$21:$D$21,1,MATCH(A328,Inputs!$B$6:$D$6,0)),0)*INDEX(Inputs!$B$24:$D$24,1,MATCH(A328,Inputs!$B$6:$D$6,0))</x:f>
        <x:v>9186.9025</x:v>
      </x:c>
      <x:c r="U328" s="20" t="n">
        <x:f>IF(AND(A327=A328,D327=D328),T327,0)</x:f>
        <x:v>6287.9349999999995</x:v>
      </x:c>
      <x:c r="V328" s="20" t="n">
        <x:f>T328-U328</x:f>
        <x:v>2898.9675000000007</x:v>
      </x:c>
      <x:c r="W328" s="20" t="n">
        <x:f>R328+V328</x:f>
        <x:v>40793.9675</x:v>
      </x:c>
      <x:c r="X328" s="14" t="str">
        <x:f>IF(ABS(W328-SUM(M328:Q328)-V328)&lt;0.01,"OK","Check")</x:f>
        <x:v>OK</x:v>
      </x:c>
    </x:row>
    <x:row r="329">
      <x:c r="A329" s="14" t="n">
        <x:v>2026</x:v>
      </x:c>
      <x:c r="B329" s="14" t="str">
        <x:v>Q4</x:v>
      </x:c>
      <x:c r="C329" s="14" t="n">
        <x:v>4</x:v>
      </x:c>
      <x:c r="D329" s="14" t="n">
        <x:v>81</x:v>
      </x:c>
      <x:c r="E329" s="14" t="str">
        <x:f>INDEX(Roster!$B$6:$B$108,MATCH(D329,Roster!$A$6:$A$108,0))</x:f>
      </x:c>
      <x:c r="F329" s="14" t="str">
        <x:f>INDEX(Roster!$F$6:$F$108,MATCH(D329,Roster!$A$6:$A$108,0))</x:f>
        <x:v>No</x:v>
      </x:c>
      <x:c r="G329" s="14" t="n">
        <x:f>INDEX(Inputs!$B$7:$D$7,1,MATCH(A329,Inputs!$B$6:$D$6,0))</x:f>
        <x:v>13</x:v>
      </x:c>
      <x:c r="H329" s="14" t="n">
        <x:f>MIN(=INDEX(Inputs!$B$7:$D$7,1,MATCH(A329,Inputs!$B$6:$D$6,0)),MAX(0,INDEX(Inputs!$B$14:$D$14,1,MATCH(A329,Inputs!$B$6:$D$6,0))-(C329-1)*=INDEX(Inputs!$B$7:$D$7,1,MATCH(A329,Inputs!$B$6:$D$6,0))))</x:f>
        <x:v>0</x:v>
      </x:c>
      <x:c r="I329" s="20" t="n">
        <x:f>INDEX(Inputs!$B$8:$D$8,1,MATCH(A329,Inputs!$B$6:$D$6,0))</x:f>
        <x:v>2395</x:v>
      </x:c>
      <x:c r="J329" s="20" t="n">
        <x:f>INDEX(Roster!$C$6:$C$108,MATCH(D329,Roster!$A$6:$A$108,0))*(1+INDEX(Inputs!$B$9:$D$9,1,MATCH(A329,Inputs!$B$6:$D$6,0)))</x:f>
        <x:v>400</x:v>
      </x:c>
      <x:c r="K329" s="20" t="n">
        <x:f>IF(=INDEX(Roster!$F$6:$F$108,MATCH(D329,Roster!$A$6:$A$108,0))="Yes",0,=INDEX(Inputs!$B$8:$D$8,1,MATCH(A329,Inputs!$B$6:$D$6,0))*IF(=INDEX(Roster!$B$6:$B$108,MATCH(D329,Roster!$A$6:$A$108,0))="Principal",INDEX(Inputs!$B$10:$D$10,1,MATCH(A329,Inputs!$B$6:$D$6,0)),IF(=INDEX(Roster!$B$6:$B$108,MATCH(D329,Roster!$A$6:$A$108,0))="Associate Principal",INDEX(Inputs!$B$11:$D$11,1,MATCH(A329,Inputs!$B$6:$D$6,0)),IF(=INDEX(Roster!$B$6:$B$108,MATCH(D329,Roster!$A$6:$A$108,0))="Assistant Principal",INDEX(Inputs!$B$12:$D$12,1,MATCH(A329,Inputs!$B$6:$D$6,0)),0))))</x:f>
        <x:v>0</x:v>
      </x:c>
      <x:c r="L329" s="20" t="n">
        <x:f>IF(INDEX(Roster!$D$6:$D$108,MATCH(D329,Roster!$A$6:$A$108,0))&gt;=25,INDEX(Inputs!$B$19:$D$19,1,MATCH(A329,Inputs!$B$6:$D$6,0)),IF(INDEX(Roster!$D$6:$D$108,MATCH(D329,Roster!$A$6:$A$108,0))&gt;=20,INDEX(Inputs!$B$18:$D$18,1,MATCH(A329,Inputs!$B$6:$D$6,0)),IF(INDEX(Roster!$D$6:$D$108,MATCH(D329,Roster!$A$6:$A$108,0))&gt;=15,INDEX(Inputs!$B$17:$D$17,1,MATCH(A329,Inputs!$B$6:$D$6,0)),IF(INDEX(Roster!$D$6:$D$108,MATCH(D329,Roster!$A$6:$A$108,0))&gt;=10,INDEX(Inputs!$B$16:$D$16,1,MATCH(A329,Inputs!$B$6:$D$6,0)),IF(INDEX(Roster!$D$6:$D$108,MATCH(D329,Roster!$A$6:$A$108,0))&gt;=5,INDEX(Inputs!$B$15:$D$15,1,MATCH(A329,Inputs!$B$6:$D$6,0)),0)))))</x:f>
        <x:v>90</x:v>
      </x:c>
      <x:c r="M329" s="20" t="n">
        <x:f>G329*I329</x:f>
        <x:v>31135</x:v>
      </x:c>
      <x:c r="N329" s="20" t="n">
        <x:f>G329*J329</x:f>
        <x:v>5200</x:v>
      </x:c>
      <x:c r="O329" s="20" t="n">
        <x:f>G329*K329</x:f>
        <x:v>0</x:v>
      </x:c>
      <x:c r="P329" s="20" t="n">
        <x:f>G329*L329</x:f>
        <x:v>1170</x:v>
      </x:c>
      <x:c r="Q329" s="20" t="n">
        <x:f>H329*INDEX(Inputs!$B$13:$D$13,1,MATCH(A329,Inputs!$B$6:$D$6,0))</x:f>
        <x:v>0</x:v>
      </x:c>
      <x:c r="R329" s="20" t="n">
        <x:f>SUM(M329:Q329)</x:f>
        <x:v>37505</x:v>
      </x:c>
      <x:c r="S329" s="20" t="n">
        <x:f>IF(AND(A328=A329,D328=D329),S328+R329,R329)</x:f>
        <x:v>151190</x:v>
      </x:c>
      <x:c r="T329" s="20" t="n">
        <x:f>MIN(S329,INDEX(Inputs!$B$20:$D$20,1,MATCH(A329,Inputs!$B$6:$D$6,0)))*INDEX(Inputs!$B$22:$D$22,1,MATCH(A329,Inputs!$B$6:$D$6,0))+MAX(MIN(S329,INDEX(Inputs!$B$21:$D$21,1,MATCH(A329,Inputs!$B$6:$D$6,0)))-INDEX(Inputs!$B$20:$D$20,1,MATCH(A329,Inputs!$B$6:$D$6,0)),0)*INDEX(Inputs!$B$23:$D$23,1,MATCH(A329,Inputs!$B$6:$D$6,0))+MAX(S329-INDEX(Inputs!$B$21:$D$21,1,MATCH(A329,Inputs!$B$6:$D$6,0)),0)*INDEX(Inputs!$B$24:$D$24,1,MATCH(A329,Inputs!$B$6:$D$6,0))</x:f>
        <x:v>10106.197</x:v>
      </x:c>
      <x:c r="U329" s="20" t="n">
        <x:f>IF(AND(A328=A329,D328=D329),T328,0)</x:f>
        <x:v>9186.9025</x:v>
      </x:c>
      <x:c r="V329" s="20" t="n">
        <x:f>T329-U329</x:f>
        <x:v>919.2945</x:v>
      </x:c>
      <x:c r="W329" s="20" t="n">
        <x:f>R329+V329</x:f>
        <x:v>38424.2945</x:v>
      </x:c>
      <x:c r="X329" s="14" t="str">
        <x:f>IF(ABS(W329-SUM(M329:Q329)-V329)&lt;0.01,"OK","Check")</x:f>
        <x:v>OK</x:v>
      </x:c>
    </x:row>
    <x:row r="330">
      <x:c r="A330" s="14" t="n">
        <x:v>2026</x:v>
      </x:c>
      <x:c r="B330" s="14" t="str">
        <x:v>Q1</x:v>
      </x:c>
      <x:c r="C330" s="14" t="n">
        <x:v>1</x:v>
      </x:c>
      <x:c r="D330" s="14" t="n">
        <x:v>82</x:v>
      </x:c>
      <x:c r="E330" s="14" t="str">
        <x:f>INDEX(Roster!$B$6:$B$108,MATCH(D330,Roster!$A$6:$A$108,0))</x:f>
      </x:c>
      <x:c r="F330" s="14" t="str">
        <x:f>INDEX(Roster!$F$6:$F$108,MATCH(D330,Roster!$A$6:$A$108,0))</x:f>
        <x:v>No</x:v>
      </x:c>
      <x:c r="G330" s="14" t="n">
        <x:f>INDEX(Inputs!$B$7:$D$7,1,MATCH(A330,Inputs!$B$6:$D$6,0))</x:f>
        <x:v>13</x:v>
      </x:c>
      <x:c r="H330" s="14" t="n">
        <x:f>MIN(=INDEX(Inputs!$B$7:$D$7,1,MATCH(A330,Inputs!$B$6:$D$6,0)),MAX(0,INDEX(Inputs!$B$14:$D$14,1,MATCH(A330,Inputs!$B$6:$D$6,0))-(C330-1)*=INDEX(Inputs!$B$7:$D$7,1,MATCH(A330,Inputs!$B$6:$D$6,0))))</x:f>
        <x:v>13</x:v>
      </x:c>
      <x:c r="I330" s="20" t="n">
        <x:f>INDEX(Inputs!$B$8:$D$8,1,MATCH(A330,Inputs!$B$6:$D$6,0))</x:f>
        <x:v>2395</x:v>
      </x:c>
      <x:c r="J330" s="20" t="n">
        <x:f>INDEX(Roster!$C$6:$C$108,MATCH(D330,Roster!$A$6:$A$108,0))*(1+INDEX(Inputs!$B$9:$D$9,1,MATCH(A330,Inputs!$B$6:$D$6,0)))</x:f>
        <x:v>100</x:v>
      </x:c>
      <x:c r="K330" s="20" t="n">
        <x:f>IF(=INDEX(Roster!$F$6:$F$108,MATCH(D330,Roster!$A$6:$A$108,0))="Yes",0,=INDEX(Inputs!$B$8:$D$8,1,MATCH(A330,Inputs!$B$6:$D$6,0))*IF(=INDEX(Roster!$B$6:$B$108,MATCH(D330,Roster!$A$6:$A$108,0))="Principal",INDEX(Inputs!$B$10:$D$10,1,MATCH(A330,Inputs!$B$6:$D$6,0)),IF(=INDEX(Roster!$B$6:$B$108,MATCH(D330,Roster!$A$6:$A$108,0))="Associate Principal",INDEX(Inputs!$B$11:$D$11,1,MATCH(A330,Inputs!$B$6:$D$6,0)),IF(=INDEX(Roster!$B$6:$B$108,MATCH(D330,Roster!$A$6:$A$108,0))="Assistant Principal",INDEX(Inputs!$B$12:$D$12,1,MATCH(A330,Inputs!$B$6:$D$6,0)),0))))</x:f>
        <x:v>0</x:v>
      </x:c>
      <x:c r="L330" s="20" t="n">
        <x:f>IF(INDEX(Roster!$D$6:$D$108,MATCH(D330,Roster!$A$6:$A$108,0))&gt;=25,INDEX(Inputs!$B$19:$D$19,1,MATCH(A330,Inputs!$B$6:$D$6,0)),IF(INDEX(Roster!$D$6:$D$108,MATCH(D330,Roster!$A$6:$A$108,0))&gt;=20,INDEX(Inputs!$B$18:$D$18,1,MATCH(A330,Inputs!$B$6:$D$6,0)),IF(INDEX(Roster!$D$6:$D$108,MATCH(D330,Roster!$A$6:$A$108,0))&gt;=15,INDEX(Inputs!$B$17:$D$17,1,MATCH(A330,Inputs!$B$6:$D$6,0)),IF(INDEX(Roster!$D$6:$D$108,MATCH(D330,Roster!$A$6:$A$108,0))&gt;=10,INDEX(Inputs!$B$16:$D$16,1,MATCH(A330,Inputs!$B$6:$D$6,0)),IF(INDEX(Roster!$D$6:$D$108,MATCH(D330,Roster!$A$6:$A$108,0))&gt;=5,INDEX(Inputs!$B$15:$D$15,1,MATCH(A330,Inputs!$B$6:$D$6,0)),0)))))</x:f>
        <x:v>90</x:v>
      </x:c>
      <x:c r="M330" s="20" t="n">
        <x:f>G330*I330</x:f>
        <x:v>31135</x:v>
      </x:c>
      <x:c r="N330" s="20" t="n">
        <x:f>G330*J330</x:f>
        <x:v>1300</x:v>
      </x:c>
      <x:c r="O330" s="20" t="n">
        <x:f>G330*K330</x:f>
        <x:v>0</x:v>
      </x:c>
      <x:c r="P330" s="20" t="n">
        <x:f>G330*L330</x:f>
        <x:v>1170</x:v>
      </x:c>
      <x:c r="Q330" s="20" t="n">
        <x:f>H330*INDEX(Inputs!$B$13:$D$13,1,MATCH(A330,Inputs!$B$6:$D$6,0))</x:f>
        <x:v>390</x:v>
      </x:c>
      <x:c r="R330" s="20" t="n">
        <x:f>SUM(M330:Q330)</x:f>
        <x:v>33995</x:v>
      </x:c>
      <x:c r="S330" s="20" t="n">
        <x:f>IF(AND(A329=A330,D329=D330),S329+R330,R330)</x:f>
        <x:v>33995</x:v>
      </x:c>
      <x:c r="T330" s="20" t="n">
        <x:f>MIN(S330,INDEX(Inputs!$B$20:$D$20,1,MATCH(A330,Inputs!$B$6:$D$6,0)))*INDEX(Inputs!$B$22:$D$22,1,MATCH(A330,Inputs!$B$6:$D$6,0))+MAX(MIN(S330,INDEX(Inputs!$B$21:$D$21,1,MATCH(A330,Inputs!$B$6:$D$6,0)))-INDEX(Inputs!$B$20:$D$20,1,MATCH(A330,Inputs!$B$6:$D$6,0)),0)*INDEX(Inputs!$B$23:$D$23,1,MATCH(A330,Inputs!$B$6:$D$6,0))+MAX(S330-INDEX(Inputs!$B$21:$D$21,1,MATCH(A330,Inputs!$B$6:$D$6,0)),0)*INDEX(Inputs!$B$24:$D$24,1,MATCH(A330,Inputs!$B$6:$D$6,0))</x:f>
        <x:v>3090.6175</x:v>
      </x:c>
      <x:c r="U330" s="20" t="n">
        <x:f>IF(AND(A329=A330,D329=D330),T329,0)</x:f>
        <x:v>0</x:v>
      </x:c>
      <x:c r="V330" s="20" t="n">
        <x:f>T330-U330</x:f>
        <x:v>3090.6175</x:v>
      </x:c>
      <x:c r="W330" s="20" t="n">
        <x:f>R330+V330</x:f>
        <x:v>37085.6175</x:v>
      </x:c>
      <x:c r="X330" s="14" t="str">
        <x:f>IF(ABS(W330-SUM(M330:Q330)-V330)&lt;0.01,"OK","Check")</x:f>
        <x:v>OK</x:v>
      </x:c>
    </x:row>
    <x:row r="331">
      <x:c r="A331" s="14" t="n">
        <x:v>2026</x:v>
      </x:c>
      <x:c r="B331" s="14" t="str">
        <x:v>Q2</x:v>
      </x:c>
      <x:c r="C331" s="14" t="n">
        <x:v>2</x:v>
      </x:c>
      <x:c r="D331" s="14" t="n">
        <x:v>82</x:v>
      </x:c>
      <x:c r="E331" s="14" t="str">
        <x:f>INDEX(Roster!$B$6:$B$108,MATCH(D331,Roster!$A$6:$A$108,0))</x:f>
      </x:c>
      <x:c r="F331" s="14" t="str">
        <x:f>INDEX(Roster!$F$6:$F$108,MATCH(D331,Roster!$A$6:$A$108,0))</x:f>
        <x:v>No</x:v>
      </x:c>
      <x:c r="G331" s="14" t="n">
        <x:f>INDEX(Inputs!$B$7:$D$7,1,MATCH(A331,Inputs!$B$6:$D$6,0))</x:f>
        <x:v>13</x:v>
      </x:c>
      <x:c r="H331" s="14" t="n">
        <x:f>MIN(=INDEX(Inputs!$B$7:$D$7,1,MATCH(A331,Inputs!$B$6:$D$6,0)),MAX(0,INDEX(Inputs!$B$14:$D$14,1,MATCH(A331,Inputs!$B$6:$D$6,0))-(C331-1)*=INDEX(Inputs!$B$7:$D$7,1,MATCH(A331,Inputs!$B$6:$D$6,0))))</x:f>
        <x:v>13</x:v>
      </x:c>
      <x:c r="I331" s="20" t="n">
        <x:f>INDEX(Inputs!$B$8:$D$8,1,MATCH(A331,Inputs!$B$6:$D$6,0))</x:f>
        <x:v>2395</x:v>
      </x:c>
      <x:c r="J331" s="20" t="n">
        <x:f>INDEX(Roster!$C$6:$C$108,MATCH(D331,Roster!$A$6:$A$108,0))*(1+INDEX(Inputs!$B$9:$D$9,1,MATCH(A331,Inputs!$B$6:$D$6,0)))</x:f>
        <x:v>100</x:v>
      </x:c>
      <x:c r="K331" s="20" t="n">
        <x:f>IF(=INDEX(Roster!$F$6:$F$108,MATCH(D331,Roster!$A$6:$A$108,0))="Yes",0,=INDEX(Inputs!$B$8:$D$8,1,MATCH(A331,Inputs!$B$6:$D$6,0))*IF(=INDEX(Roster!$B$6:$B$108,MATCH(D331,Roster!$A$6:$A$108,0))="Principal",INDEX(Inputs!$B$10:$D$10,1,MATCH(A331,Inputs!$B$6:$D$6,0)),IF(=INDEX(Roster!$B$6:$B$108,MATCH(D331,Roster!$A$6:$A$108,0))="Associate Principal",INDEX(Inputs!$B$11:$D$11,1,MATCH(A331,Inputs!$B$6:$D$6,0)),IF(=INDEX(Roster!$B$6:$B$108,MATCH(D331,Roster!$A$6:$A$108,0))="Assistant Principal",INDEX(Inputs!$B$12:$D$12,1,MATCH(A331,Inputs!$B$6:$D$6,0)),0))))</x:f>
        <x:v>0</x:v>
      </x:c>
      <x:c r="L331" s="20" t="n">
        <x:f>IF(INDEX(Roster!$D$6:$D$108,MATCH(D331,Roster!$A$6:$A$108,0))&gt;=25,INDEX(Inputs!$B$19:$D$19,1,MATCH(A331,Inputs!$B$6:$D$6,0)),IF(INDEX(Roster!$D$6:$D$108,MATCH(D331,Roster!$A$6:$A$108,0))&gt;=20,INDEX(Inputs!$B$18:$D$18,1,MATCH(A331,Inputs!$B$6:$D$6,0)),IF(INDEX(Roster!$D$6:$D$108,MATCH(D331,Roster!$A$6:$A$108,0))&gt;=15,INDEX(Inputs!$B$17:$D$17,1,MATCH(A331,Inputs!$B$6:$D$6,0)),IF(INDEX(Roster!$D$6:$D$108,MATCH(D331,Roster!$A$6:$A$108,0))&gt;=10,INDEX(Inputs!$B$16:$D$16,1,MATCH(A331,Inputs!$B$6:$D$6,0)),IF(INDEX(Roster!$D$6:$D$108,MATCH(D331,Roster!$A$6:$A$108,0))&gt;=5,INDEX(Inputs!$B$15:$D$15,1,MATCH(A331,Inputs!$B$6:$D$6,0)),0)))))</x:f>
        <x:v>90</x:v>
      </x:c>
      <x:c r="M331" s="20" t="n">
        <x:f>G331*I331</x:f>
        <x:v>31135</x:v>
      </x:c>
      <x:c r="N331" s="20" t="n">
        <x:f>G331*J331</x:f>
        <x:v>1300</x:v>
      </x:c>
      <x:c r="O331" s="20" t="n">
        <x:f>G331*K331</x:f>
        <x:v>0</x:v>
      </x:c>
      <x:c r="P331" s="20" t="n">
        <x:f>G331*L331</x:f>
        <x:v>1170</x:v>
      </x:c>
      <x:c r="Q331" s="20" t="n">
        <x:f>H331*INDEX(Inputs!$B$13:$D$13,1,MATCH(A331,Inputs!$B$6:$D$6,0))</x:f>
        <x:v>390</x:v>
      </x:c>
      <x:c r="R331" s="20" t="n">
        <x:f>SUM(M331:Q331)</x:f>
        <x:v>33995</x:v>
      </x:c>
      <x:c r="S331" s="20" t="n">
        <x:f>IF(AND(A330=A331,D330=D331),S330+R331,R331)</x:f>
        <x:v>67990</x:v>
      </x:c>
      <x:c r="T331" s="20" t="n">
        <x:f>MIN(S331,INDEX(Inputs!$B$20:$D$20,1,MATCH(A331,Inputs!$B$6:$D$6,0)))*INDEX(Inputs!$B$22:$D$22,1,MATCH(A331,Inputs!$B$6:$D$6,0))+MAX(MIN(S331,INDEX(Inputs!$B$21:$D$21,1,MATCH(A331,Inputs!$B$6:$D$6,0)))-INDEX(Inputs!$B$20:$D$20,1,MATCH(A331,Inputs!$B$6:$D$6,0)),0)*INDEX(Inputs!$B$23:$D$23,1,MATCH(A331,Inputs!$B$6:$D$6,0))+MAX(S331-INDEX(Inputs!$B$21:$D$21,1,MATCH(A331,Inputs!$B$6:$D$6,0)),0)*INDEX(Inputs!$B$24:$D$24,1,MATCH(A331,Inputs!$B$6:$D$6,0))</x:f>
        <x:v>5691.235</x:v>
      </x:c>
      <x:c r="U331" s="20" t="n">
        <x:f>IF(AND(A330=A331,D330=D331),T330,0)</x:f>
        <x:v>3090.6175</x:v>
      </x:c>
      <x:c r="V331" s="20" t="n">
        <x:f>T331-U331</x:f>
        <x:v>2600.6175</x:v>
      </x:c>
      <x:c r="W331" s="20" t="n">
        <x:f>R331+V331</x:f>
        <x:v>36595.6175</x:v>
      </x:c>
      <x:c r="X331" s="14" t="str">
        <x:f>IF(ABS(W331-SUM(M331:Q331)-V331)&lt;0.01,"OK","Check")</x:f>
        <x:v>OK</x:v>
      </x:c>
    </x:row>
    <x:row r="332">
      <x:c r="A332" s="14" t="n">
        <x:v>2026</x:v>
      </x:c>
      <x:c r="B332" s="14" t="str">
        <x:v>Q3</x:v>
      </x:c>
      <x:c r="C332" s="14" t="n">
        <x:v>3</x:v>
      </x:c>
      <x:c r="D332" s="14" t="n">
        <x:v>82</x:v>
      </x:c>
      <x:c r="E332" s="14" t="str">
        <x:f>INDEX(Roster!$B$6:$B$108,MATCH(D332,Roster!$A$6:$A$108,0))</x:f>
      </x:c>
      <x:c r="F332" s="14" t="str">
        <x:f>INDEX(Roster!$F$6:$F$108,MATCH(D332,Roster!$A$6:$A$108,0))</x:f>
        <x:v>No</x:v>
      </x:c>
      <x:c r="G332" s="14" t="n">
        <x:f>INDEX(Inputs!$B$7:$D$7,1,MATCH(A332,Inputs!$B$6:$D$6,0))</x:f>
        <x:v>13</x:v>
      </x:c>
      <x:c r="H332" s="14" t="n">
        <x:f>MIN(=INDEX(Inputs!$B$7:$D$7,1,MATCH(A332,Inputs!$B$6:$D$6,0)),MAX(0,INDEX(Inputs!$B$14:$D$14,1,MATCH(A332,Inputs!$B$6:$D$6,0))-(C332-1)*=INDEX(Inputs!$B$7:$D$7,1,MATCH(A332,Inputs!$B$6:$D$6,0))))</x:f>
        <x:v>13</x:v>
      </x:c>
      <x:c r="I332" s="20" t="n">
        <x:f>INDEX(Inputs!$B$8:$D$8,1,MATCH(A332,Inputs!$B$6:$D$6,0))</x:f>
        <x:v>2395</x:v>
      </x:c>
      <x:c r="J332" s="20" t="n">
        <x:f>INDEX(Roster!$C$6:$C$108,MATCH(D332,Roster!$A$6:$A$108,0))*(1+INDEX(Inputs!$B$9:$D$9,1,MATCH(A332,Inputs!$B$6:$D$6,0)))</x:f>
        <x:v>100</x:v>
      </x:c>
      <x:c r="K332" s="20" t="n">
        <x:f>IF(=INDEX(Roster!$F$6:$F$108,MATCH(D332,Roster!$A$6:$A$108,0))="Yes",0,=INDEX(Inputs!$B$8:$D$8,1,MATCH(A332,Inputs!$B$6:$D$6,0))*IF(=INDEX(Roster!$B$6:$B$108,MATCH(D332,Roster!$A$6:$A$108,0))="Principal",INDEX(Inputs!$B$10:$D$10,1,MATCH(A332,Inputs!$B$6:$D$6,0)),IF(=INDEX(Roster!$B$6:$B$108,MATCH(D332,Roster!$A$6:$A$108,0))="Associate Principal",INDEX(Inputs!$B$11:$D$11,1,MATCH(A332,Inputs!$B$6:$D$6,0)),IF(=INDEX(Roster!$B$6:$B$108,MATCH(D332,Roster!$A$6:$A$108,0))="Assistant Principal",INDEX(Inputs!$B$12:$D$12,1,MATCH(A332,Inputs!$B$6:$D$6,0)),0))))</x:f>
        <x:v>0</x:v>
      </x:c>
      <x:c r="L332" s="20" t="n">
        <x:f>IF(INDEX(Roster!$D$6:$D$108,MATCH(D332,Roster!$A$6:$A$108,0))&gt;=25,INDEX(Inputs!$B$19:$D$19,1,MATCH(A332,Inputs!$B$6:$D$6,0)),IF(INDEX(Roster!$D$6:$D$108,MATCH(D332,Roster!$A$6:$A$108,0))&gt;=20,INDEX(Inputs!$B$18:$D$18,1,MATCH(A332,Inputs!$B$6:$D$6,0)),IF(INDEX(Roster!$D$6:$D$108,MATCH(D332,Roster!$A$6:$A$108,0))&gt;=15,INDEX(Inputs!$B$17:$D$17,1,MATCH(A332,Inputs!$B$6:$D$6,0)),IF(INDEX(Roster!$D$6:$D$108,MATCH(D332,Roster!$A$6:$A$108,0))&gt;=10,INDEX(Inputs!$B$16:$D$16,1,MATCH(A332,Inputs!$B$6:$D$6,0)),IF(INDEX(Roster!$D$6:$D$108,MATCH(D332,Roster!$A$6:$A$108,0))&gt;=5,INDEX(Inputs!$B$15:$D$15,1,MATCH(A332,Inputs!$B$6:$D$6,0)),0)))))</x:f>
        <x:v>90</x:v>
      </x:c>
      <x:c r="M332" s="20" t="n">
        <x:f>G332*I332</x:f>
        <x:v>31135</x:v>
      </x:c>
      <x:c r="N332" s="20" t="n">
        <x:f>G332*J332</x:f>
        <x:v>1300</x:v>
      </x:c>
      <x:c r="O332" s="20" t="n">
        <x:f>G332*K332</x:f>
        <x:v>0</x:v>
      </x:c>
      <x:c r="P332" s="20" t="n">
        <x:f>G332*L332</x:f>
        <x:v>1170</x:v>
      </x:c>
      <x:c r="Q332" s="20" t="n">
        <x:f>H332*INDEX(Inputs!$B$13:$D$13,1,MATCH(A332,Inputs!$B$6:$D$6,0))</x:f>
        <x:v>390</x:v>
      </x:c>
      <x:c r="R332" s="20" t="n">
        <x:f>SUM(M332:Q332)</x:f>
        <x:v>33995</x:v>
      </x:c>
      <x:c r="S332" s="20" t="n">
        <x:f>IF(AND(A331=A332,D331=D332),S331+R332,R332)</x:f>
        <x:v>101985</x:v>
      </x:c>
      <x:c r="T332" s="20" t="n">
        <x:f>MIN(S332,INDEX(Inputs!$B$20:$D$20,1,MATCH(A332,Inputs!$B$6:$D$6,0)))*INDEX(Inputs!$B$22:$D$22,1,MATCH(A332,Inputs!$B$6:$D$6,0))+MAX(MIN(S332,INDEX(Inputs!$B$21:$D$21,1,MATCH(A332,Inputs!$B$6:$D$6,0)))-INDEX(Inputs!$B$20:$D$20,1,MATCH(A332,Inputs!$B$6:$D$6,0)),0)*INDEX(Inputs!$B$23:$D$23,1,MATCH(A332,Inputs!$B$6:$D$6,0))+MAX(S332-INDEX(Inputs!$B$21:$D$21,1,MATCH(A332,Inputs!$B$6:$D$6,0)),0)*INDEX(Inputs!$B$24:$D$24,1,MATCH(A332,Inputs!$B$6:$D$6,0))</x:f>
        <x:v>8291.8525</x:v>
      </x:c>
      <x:c r="U332" s="20" t="n">
        <x:f>IF(AND(A331=A332,D331=D332),T331,0)</x:f>
        <x:v>5691.235</x:v>
      </x:c>
      <x:c r="V332" s="20" t="n">
        <x:f>T332-U332</x:f>
        <x:v>2600.617500000001</x:v>
      </x:c>
      <x:c r="W332" s="20" t="n">
        <x:f>R332+V332</x:f>
        <x:v>36595.6175</x:v>
      </x:c>
      <x:c r="X332" s="14" t="str">
        <x:f>IF(ABS(W332-SUM(M332:Q332)-V332)&lt;0.01,"OK","Check")</x:f>
        <x:v>OK</x:v>
      </x:c>
    </x:row>
    <x:row r="333">
      <x:c r="A333" s="14" t="n">
        <x:v>2026</x:v>
      </x:c>
      <x:c r="B333" s="14" t="str">
        <x:v>Q4</x:v>
      </x:c>
      <x:c r="C333" s="14" t="n">
        <x:v>4</x:v>
      </x:c>
      <x:c r="D333" s="14" t="n">
        <x:v>82</x:v>
      </x:c>
      <x:c r="E333" s="14" t="str">
        <x:f>INDEX(Roster!$B$6:$B$108,MATCH(D333,Roster!$A$6:$A$108,0))</x:f>
      </x:c>
      <x:c r="F333" s="14" t="str">
        <x:f>INDEX(Roster!$F$6:$F$108,MATCH(D333,Roster!$A$6:$A$108,0))</x:f>
        <x:v>No</x:v>
      </x:c>
      <x:c r="G333" s="14" t="n">
        <x:f>INDEX(Inputs!$B$7:$D$7,1,MATCH(A333,Inputs!$B$6:$D$6,0))</x:f>
        <x:v>13</x:v>
      </x:c>
      <x:c r="H333" s="14" t="n">
        <x:f>MIN(=INDEX(Inputs!$B$7:$D$7,1,MATCH(A333,Inputs!$B$6:$D$6,0)),MAX(0,INDEX(Inputs!$B$14:$D$14,1,MATCH(A333,Inputs!$B$6:$D$6,0))-(C333-1)*=INDEX(Inputs!$B$7:$D$7,1,MATCH(A333,Inputs!$B$6:$D$6,0))))</x:f>
        <x:v>0</x:v>
      </x:c>
      <x:c r="I333" s="20" t="n">
        <x:f>INDEX(Inputs!$B$8:$D$8,1,MATCH(A333,Inputs!$B$6:$D$6,0))</x:f>
        <x:v>2395</x:v>
      </x:c>
      <x:c r="J333" s="20" t="n">
        <x:f>INDEX(Roster!$C$6:$C$108,MATCH(D333,Roster!$A$6:$A$108,0))*(1+INDEX(Inputs!$B$9:$D$9,1,MATCH(A333,Inputs!$B$6:$D$6,0)))</x:f>
        <x:v>100</x:v>
      </x:c>
      <x:c r="K333" s="20" t="n">
        <x:f>IF(=INDEX(Roster!$F$6:$F$108,MATCH(D333,Roster!$A$6:$A$108,0))="Yes",0,=INDEX(Inputs!$B$8:$D$8,1,MATCH(A333,Inputs!$B$6:$D$6,0))*IF(=INDEX(Roster!$B$6:$B$108,MATCH(D333,Roster!$A$6:$A$108,0))="Principal",INDEX(Inputs!$B$10:$D$10,1,MATCH(A333,Inputs!$B$6:$D$6,0)),IF(=INDEX(Roster!$B$6:$B$108,MATCH(D333,Roster!$A$6:$A$108,0))="Associate Principal",INDEX(Inputs!$B$11:$D$11,1,MATCH(A333,Inputs!$B$6:$D$6,0)),IF(=INDEX(Roster!$B$6:$B$108,MATCH(D333,Roster!$A$6:$A$108,0))="Assistant Principal",INDEX(Inputs!$B$12:$D$12,1,MATCH(A333,Inputs!$B$6:$D$6,0)),0))))</x:f>
        <x:v>0</x:v>
      </x:c>
      <x:c r="L333" s="20" t="n">
        <x:f>IF(INDEX(Roster!$D$6:$D$108,MATCH(D333,Roster!$A$6:$A$108,0))&gt;=25,INDEX(Inputs!$B$19:$D$19,1,MATCH(A333,Inputs!$B$6:$D$6,0)),IF(INDEX(Roster!$D$6:$D$108,MATCH(D333,Roster!$A$6:$A$108,0))&gt;=20,INDEX(Inputs!$B$18:$D$18,1,MATCH(A333,Inputs!$B$6:$D$6,0)),IF(INDEX(Roster!$D$6:$D$108,MATCH(D333,Roster!$A$6:$A$108,0))&gt;=15,INDEX(Inputs!$B$17:$D$17,1,MATCH(A333,Inputs!$B$6:$D$6,0)),IF(INDEX(Roster!$D$6:$D$108,MATCH(D333,Roster!$A$6:$A$108,0))&gt;=10,INDEX(Inputs!$B$16:$D$16,1,MATCH(A333,Inputs!$B$6:$D$6,0)),IF(INDEX(Roster!$D$6:$D$108,MATCH(D333,Roster!$A$6:$A$108,0))&gt;=5,INDEX(Inputs!$B$15:$D$15,1,MATCH(A333,Inputs!$B$6:$D$6,0)),0)))))</x:f>
        <x:v>90</x:v>
      </x:c>
      <x:c r="M333" s="20" t="n">
        <x:f>G333*I333</x:f>
        <x:v>31135</x:v>
      </x:c>
      <x:c r="N333" s="20" t="n">
        <x:f>G333*J333</x:f>
        <x:v>1300</x:v>
      </x:c>
      <x:c r="O333" s="20" t="n">
        <x:f>G333*K333</x:f>
        <x:v>0</x:v>
      </x:c>
      <x:c r="P333" s="20" t="n">
        <x:f>G333*L333</x:f>
        <x:v>1170</x:v>
      </x:c>
      <x:c r="Q333" s="20" t="n">
        <x:f>H333*INDEX(Inputs!$B$13:$D$13,1,MATCH(A333,Inputs!$B$6:$D$6,0))</x:f>
        <x:v>0</x:v>
      </x:c>
      <x:c r="R333" s="20" t="n">
        <x:f>SUM(M333:Q333)</x:f>
        <x:v>33605</x:v>
      </x:c>
      <x:c r="S333" s="20" t="n">
        <x:f>IF(AND(A332=A333,D332=D333),S332+R333,R333)</x:f>
        <x:v>135590</x:v>
      </x:c>
      <x:c r="T333" s="20" t="n">
        <x:f>MIN(S333,INDEX(Inputs!$B$20:$D$20,1,MATCH(A333,Inputs!$B$6:$D$6,0)))*INDEX(Inputs!$B$22:$D$22,1,MATCH(A333,Inputs!$B$6:$D$6,0))+MAX(MIN(S333,INDEX(Inputs!$B$21:$D$21,1,MATCH(A333,Inputs!$B$6:$D$6,0)))-INDEX(Inputs!$B$20:$D$20,1,MATCH(A333,Inputs!$B$6:$D$6,0)),0)*INDEX(Inputs!$B$23:$D$23,1,MATCH(A333,Inputs!$B$6:$D$6,0))+MAX(S333-INDEX(Inputs!$B$21:$D$21,1,MATCH(A333,Inputs!$B$6:$D$6,0)),0)*INDEX(Inputs!$B$24:$D$24,1,MATCH(A333,Inputs!$B$6:$D$6,0))</x:f>
        <x:v>9879.997</x:v>
      </x:c>
      <x:c r="U333" s="20" t="n">
        <x:f>IF(AND(A332=A333,D332=D333),T332,0)</x:f>
        <x:v>8291.8525</x:v>
      </x:c>
      <x:c r="V333" s="20" t="n">
        <x:f>T333-U333</x:f>
        <x:v>1588.1444999999985</x:v>
      </x:c>
      <x:c r="W333" s="20" t="n">
        <x:f>R333+V333</x:f>
        <x:v>35193.144499999995</x:v>
      </x:c>
      <x:c r="X333" s="14" t="str">
        <x:f>IF(ABS(W333-SUM(M333:Q333)-V333)&lt;0.01,"OK","Check")</x:f>
        <x:v>OK</x:v>
      </x:c>
    </x:row>
    <x:row r="334">
      <x:c r="A334" s="14" t="n">
        <x:v>2026</x:v>
      </x:c>
      <x:c r="B334" s="14" t="str">
        <x:v>Q1</x:v>
      </x:c>
      <x:c r="C334" s="14" t="n">
        <x:v>1</x:v>
      </x:c>
      <x:c r="D334" s="14" t="n">
        <x:v>83</x:v>
      </x:c>
      <x:c r="E334" s="14" t="str">
        <x:f>INDEX(Roster!$B$6:$B$108,MATCH(D334,Roster!$A$6:$A$108,0))</x:f>
      </x:c>
      <x:c r="F334" s="14" t="str">
        <x:f>INDEX(Roster!$F$6:$F$108,MATCH(D334,Roster!$A$6:$A$108,0))</x:f>
        <x:v>No</x:v>
      </x:c>
      <x:c r="G334" s="14" t="n">
        <x:f>INDEX(Inputs!$B$7:$D$7,1,MATCH(A334,Inputs!$B$6:$D$6,0))</x:f>
        <x:v>13</x:v>
      </x:c>
      <x:c r="H334" s="14" t="n">
        <x:f>MIN(=INDEX(Inputs!$B$7:$D$7,1,MATCH(A334,Inputs!$B$6:$D$6,0)),MAX(0,INDEX(Inputs!$B$14:$D$14,1,MATCH(A334,Inputs!$B$6:$D$6,0))-(C334-1)*=INDEX(Inputs!$B$7:$D$7,1,MATCH(A334,Inputs!$B$6:$D$6,0))))</x:f>
        <x:v>13</x:v>
      </x:c>
      <x:c r="I334" s="20" t="n">
        <x:f>INDEX(Inputs!$B$8:$D$8,1,MATCH(A334,Inputs!$B$6:$D$6,0))</x:f>
        <x:v>2395</x:v>
      </x:c>
      <x:c r="J334" s="20" t="n">
        <x:f>INDEX(Roster!$C$6:$C$108,MATCH(D334,Roster!$A$6:$A$108,0))*(1+INDEX(Inputs!$B$9:$D$9,1,MATCH(A334,Inputs!$B$6:$D$6,0)))</x:f>
        <x:v>125</x:v>
      </x:c>
      <x:c r="K334" s="20" t="n">
        <x:f>IF(=INDEX(Roster!$F$6:$F$108,MATCH(D334,Roster!$A$6:$A$108,0))="Yes",0,=INDEX(Inputs!$B$8:$D$8,1,MATCH(A334,Inputs!$B$6:$D$6,0))*IF(=INDEX(Roster!$B$6:$B$108,MATCH(D334,Roster!$A$6:$A$108,0))="Principal",INDEX(Inputs!$B$10:$D$10,1,MATCH(A334,Inputs!$B$6:$D$6,0)),IF(=INDEX(Roster!$B$6:$B$108,MATCH(D334,Roster!$A$6:$A$108,0))="Associate Principal",INDEX(Inputs!$B$11:$D$11,1,MATCH(A334,Inputs!$B$6:$D$6,0)),IF(=INDEX(Roster!$B$6:$B$108,MATCH(D334,Roster!$A$6:$A$108,0))="Assistant Principal",INDEX(Inputs!$B$12:$D$12,1,MATCH(A334,Inputs!$B$6:$D$6,0)),0))))</x:f>
        <x:v>0</x:v>
      </x:c>
      <x:c r="L334" s="20" t="n">
        <x:f>IF(INDEX(Roster!$D$6:$D$108,MATCH(D334,Roster!$A$6:$A$108,0))&gt;=25,INDEX(Inputs!$B$19:$D$19,1,MATCH(A334,Inputs!$B$6:$D$6,0)),IF(INDEX(Roster!$D$6:$D$108,MATCH(D334,Roster!$A$6:$A$108,0))&gt;=20,INDEX(Inputs!$B$18:$D$18,1,MATCH(A334,Inputs!$B$6:$D$6,0)),IF(INDEX(Roster!$D$6:$D$108,MATCH(D334,Roster!$A$6:$A$108,0))&gt;=15,INDEX(Inputs!$B$17:$D$17,1,MATCH(A334,Inputs!$B$6:$D$6,0)),IF(INDEX(Roster!$D$6:$D$108,MATCH(D334,Roster!$A$6:$A$108,0))&gt;=10,INDEX(Inputs!$B$16:$D$16,1,MATCH(A334,Inputs!$B$6:$D$6,0)),IF(INDEX(Roster!$D$6:$D$108,MATCH(D334,Roster!$A$6:$A$108,0))&gt;=5,INDEX(Inputs!$B$15:$D$15,1,MATCH(A334,Inputs!$B$6:$D$6,0)),0)))))</x:f>
        <x:v>90</x:v>
      </x:c>
      <x:c r="M334" s="20" t="n">
        <x:f>G334*I334</x:f>
        <x:v>31135</x:v>
      </x:c>
      <x:c r="N334" s="20" t="n">
        <x:f>G334*J334</x:f>
        <x:v>1625</x:v>
      </x:c>
      <x:c r="O334" s="20" t="n">
        <x:f>G334*K334</x:f>
        <x:v>0</x:v>
      </x:c>
      <x:c r="P334" s="20" t="n">
        <x:f>G334*L334</x:f>
        <x:v>1170</x:v>
      </x:c>
      <x:c r="Q334" s="20" t="n">
        <x:f>H334*INDEX(Inputs!$B$13:$D$13,1,MATCH(A334,Inputs!$B$6:$D$6,0))</x:f>
        <x:v>390</x:v>
      </x:c>
      <x:c r="R334" s="20" t="n">
        <x:f>SUM(M334:Q334)</x:f>
        <x:v>34320</x:v>
      </x:c>
      <x:c r="S334" s="20" t="n">
        <x:f>IF(AND(A333=A334,D333=D334),S333+R334,R334)</x:f>
        <x:v>34320</x:v>
      </x:c>
      <x:c r="T334" s="20" t="n">
        <x:f>MIN(S334,INDEX(Inputs!$B$20:$D$20,1,MATCH(A334,Inputs!$B$6:$D$6,0)))*INDEX(Inputs!$B$22:$D$22,1,MATCH(A334,Inputs!$B$6:$D$6,0))+MAX(MIN(S334,INDEX(Inputs!$B$21:$D$21,1,MATCH(A334,Inputs!$B$6:$D$6,0)))-INDEX(Inputs!$B$20:$D$20,1,MATCH(A334,Inputs!$B$6:$D$6,0)),0)*INDEX(Inputs!$B$23:$D$23,1,MATCH(A334,Inputs!$B$6:$D$6,0))+MAX(S334-INDEX(Inputs!$B$21:$D$21,1,MATCH(A334,Inputs!$B$6:$D$6,0)),0)*INDEX(Inputs!$B$24:$D$24,1,MATCH(A334,Inputs!$B$6:$D$6,0))</x:f>
        <x:v>3115.48</x:v>
      </x:c>
      <x:c r="U334" s="20" t="n">
        <x:f>IF(AND(A333=A334,D333=D334),T333,0)</x:f>
        <x:v>0</x:v>
      </x:c>
      <x:c r="V334" s="20" t="n">
        <x:f>T334-U334</x:f>
        <x:v>3115.48</x:v>
      </x:c>
      <x:c r="W334" s="20" t="n">
        <x:f>R334+V334</x:f>
        <x:v>37435.48</x:v>
      </x:c>
      <x:c r="X334" s="14" t="str">
        <x:f>IF(ABS(W334-SUM(M334:Q334)-V334)&lt;0.01,"OK","Check")</x:f>
        <x:v>OK</x:v>
      </x:c>
    </x:row>
    <x:row r="335">
      <x:c r="A335" s="14" t="n">
        <x:v>2026</x:v>
      </x:c>
      <x:c r="B335" s="14" t="str">
        <x:v>Q2</x:v>
      </x:c>
      <x:c r="C335" s="14" t="n">
        <x:v>2</x:v>
      </x:c>
      <x:c r="D335" s="14" t="n">
        <x:v>83</x:v>
      </x:c>
      <x:c r="E335" s="14" t="str">
        <x:f>INDEX(Roster!$B$6:$B$108,MATCH(D335,Roster!$A$6:$A$108,0))</x:f>
      </x:c>
      <x:c r="F335" s="14" t="str">
        <x:f>INDEX(Roster!$F$6:$F$108,MATCH(D335,Roster!$A$6:$A$108,0))</x:f>
        <x:v>No</x:v>
      </x:c>
      <x:c r="G335" s="14" t="n">
        <x:f>INDEX(Inputs!$B$7:$D$7,1,MATCH(A335,Inputs!$B$6:$D$6,0))</x:f>
        <x:v>13</x:v>
      </x:c>
      <x:c r="H335" s="14" t="n">
        <x:f>MIN(=INDEX(Inputs!$B$7:$D$7,1,MATCH(A335,Inputs!$B$6:$D$6,0)),MAX(0,INDEX(Inputs!$B$14:$D$14,1,MATCH(A335,Inputs!$B$6:$D$6,0))-(C335-1)*=INDEX(Inputs!$B$7:$D$7,1,MATCH(A335,Inputs!$B$6:$D$6,0))))</x:f>
        <x:v>13</x:v>
      </x:c>
      <x:c r="I335" s="20" t="n">
        <x:f>INDEX(Inputs!$B$8:$D$8,1,MATCH(A335,Inputs!$B$6:$D$6,0))</x:f>
        <x:v>2395</x:v>
      </x:c>
      <x:c r="J335" s="20" t="n">
        <x:f>INDEX(Roster!$C$6:$C$108,MATCH(D335,Roster!$A$6:$A$108,0))*(1+INDEX(Inputs!$B$9:$D$9,1,MATCH(A335,Inputs!$B$6:$D$6,0)))</x:f>
        <x:v>125</x:v>
      </x:c>
      <x:c r="K335" s="20" t="n">
        <x:f>IF(=INDEX(Roster!$F$6:$F$108,MATCH(D335,Roster!$A$6:$A$108,0))="Yes",0,=INDEX(Inputs!$B$8:$D$8,1,MATCH(A335,Inputs!$B$6:$D$6,0))*IF(=INDEX(Roster!$B$6:$B$108,MATCH(D335,Roster!$A$6:$A$108,0))="Principal",INDEX(Inputs!$B$10:$D$10,1,MATCH(A335,Inputs!$B$6:$D$6,0)),IF(=INDEX(Roster!$B$6:$B$108,MATCH(D335,Roster!$A$6:$A$108,0))="Associate Principal",INDEX(Inputs!$B$11:$D$11,1,MATCH(A335,Inputs!$B$6:$D$6,0)),IF(=INDEX(Roster!$B$6:$B$108,MATCH(D335,Roster!$A$6:$A$108,0))="Assistant Principal",INDEX(Inputs!$B$12:$D$12,1,MATCH(A335,Inputs!$B$6:$D$6,0)),0))))</x:f>
        <x:v>0</x:v>
      </x:c>
      <x:c r="L335" s="20" t="n">
        <x:f>IF(INDEX(Roster!$D$6:$D$108,MATCH(D335,Roster!$A$6:$A$108,0))&gt;=25,INDEX(Inputs!$B$19:$D$19,1,MATCH(A335,Inputs!$B$6:$D$6,0)),IF(INDEX(Roster!$D$6:$D$108,MATCH(D335,Roster!$A$6:$A$108,0))&gt;=20,INDEX(Inputs!$B$18:$D$18,1,MATCH(A335,Inputs!$B$6:$D$6,0)),IF(INDEX(Roster!$D$6:$D$108,MATCH(D335,Roster!$A$6:$A$108,0))&gt;=15,INDEX(Inputs!$B$17:$D$17,1,MATCH(A335,Inputs!$B$6:$D$6,0)),IF(INDEX(Roster!$D$6:$D$108,MATCH(D335,Roster!$A$6:$A$108,0))&gt;=10,INDEX(Inputs!$B$16:$D$16,1,MATCH(A335,Inputs!$B$6:$D$6,0)),IF(INDEX(Roster!$D$6:$D$108,MATCH(D335,Roster!$A$6:$A$108,0))&gt;=5,INDEX(Inputs!$B$15:$D$15,1,MATCH(A335,Inputs!$B$6:$D$6,0)),0)))))</x:f>
        <x:v>90</x:v>
      </x:c>
      <x:c r="M335" s="20" t="n">
        <x:f>G335*I335</x:f>
        <x:v>31135</x:v>
      </x:c>
      <x:c r="N335" s="20" t="n">
        <x:f>G335*J335</x:f>
        <x:v>1625</x:v>
      </x:c>
      <x:c r="O335" s="20" t="n">
        <x:f>G335*K335</x:f>
        <x:v>0</x:v>
      </x:c>
      <x:c r="P335" s="20" t="n">
        <x:f>G335*L335</x:f>
        <x:v>1170</x:v>
      </x:c>
      <x:c r="Q335" s="20" t="n">
        <x:f>H335*INDEX(Inputs!$B$13:$D$13,1,MATCH(A335,Inputs!$B$6:$D$6,0))</x:f>
        <x:v>390</x:v>
      </x:c>
      <x:c r="R335" s="20" t="n">
        <x:f>SUM(M335:Q335)</x:f>
        <x:v>34320</x:v>
      </x:c>
      <x:c r="S335" s="20" t="n">
        <x:f>IF(AND(A334=A335,D334=D335),S334+R335,R335)</x:f>
        <x:v>68640</x:v>
      </x:c>
      <x:c r="T335" s="20" t="n">
        <x:f>MIN(S335,INDEX(Inputs!$B$20:$D$20,1,MATCH(A335,Inputs!$B$6:$D$6,0)))*INDEX(Inputs!$B$22:$D$22,1,MATCH(A335,Inputs!$B$6:$D$6,0))+MAX(MIN(S335,INDEX(Inputs!$B$21:$D$21,1,MATCH(A335,Inputs!$B$6:$D$6,0)))-INDEX(Inputs!$B$20:$D$20,1,MATCH(A335,Inputs!$B$6:$D$6,0)),0)*INDEX(Inputs!$B$23:$D$23,1,MATCH(A335,Inputs!$B$6:$D$6,0))+MAX(S335-INDEX(Inputs!$B$21:$D$21,1,MATCH(A335,Inputs!$B$6:$D$6,0)),0)*INDEX(Inputs!$B$24:$D$24,1,MATCH(A335,Inputs!$B$6:$D$6,0))</x:f>
        <x:v>5740.96</x:v>
      </x:c>
      <x:c r="U335" s="20" t="n">
        <x:f>IF(AND(A334=A335,D334=D335),T334,0)</x:f>
        <x:v>3115.48</x:v>
      </x:c>
      <x:c r="V335" s="20" t="n">
        <x:f>T335-U335</x:f>
        <x:v>2625.48</x:v>
      </x:c>
      <x:c r="W335" s="20" t="n">
        <x:f>R335+V335</x:f>
        <x:v>36945.48</x:v>
      </x:c>
      <x:c r="X335" s="14" t="str">
        <x:f>IF(ABS(W335-SUM(M335:Q335)-V335)&lt;0.01,"OK","Check")</x:f>
        <x:v>OK</x:v>
      </x:c>
    </x:row>
    <x:row r="336">
      <x:c r="A336" s="14" t="n">
        <x:v>2026</x:v>
      </x:c>
      <x:c r="B336" s="14" t="str">
        <x:v>Q3</x:v>
      </x:c>
      <x:c r="C336" s="14" t="n">
        <x:v>3</x:v>
      </x:c>
      <x:c r="D336" s="14" t="n">
        <x:v>83</x:v>
      </x:c>
      <x:c r="E336" s="14" t="str">
        <x:f>INDEX(Roster!$B$6:$B$108,MATCH(D336,Roster!$A$6:$A$108,0))</x:f>
      </x:c>
      <x:c r="F336" s="14" t="str">
        <x:f>INDEX(Roster!$F$6:$F$108,MATCH(D336,Roster!$A$6:$A$108,0))</x:f>
        <x:v>No</x:v>
      </x:c>
      <x:c r="G336" s="14" t="n">
        <x:f>INDEX(Inputs!$B$7:$D$7,1,MATCH(A336,Inputs!$B$6:$D$6,0))</x:f>
        <x:v>13</x:v>
      </x:c>
      <x:c r="H336" s="14" t="n">
        <x:f>MIN(=INDEX(Inputs!$B$7:$D$7,1,MATCH(A336,Inputs!$B$6:$D$6,0)),MAX(0,INDEX(Inputs!$B$14:$D$14,1,MATCH(A336,Inputs!$B$6:$D$6,0))-(C336-1)*=INDEX(Inputs!$B$7:$D$7,1,MATCH(A336,Inputs!$B$6:$D$6,0))))</x:f>
        <x:v>13</x:v>
      </x:c>
      <x:c r="I336" s="20" t="n">
        <x:f>INDEX(Inputs!$B$8:$D$8,1,MATCH(A336,Inputs!$B$6:$D$6,0))</x:f>
        <x:v>2395</x:v>
      </x:c>
      <x:c r="J336" s="20" t="n">
        <x:f>INDEX(Roster!$C$6:$C$108,MATCH(D336,Roster!$A$6:$A$108,0))*(1+INDEX(Inputs!$B$9:$D$9,1,MATCH(A336,Inputs!$B$6:$D$6,0)))</x:f>
        <x:v>125</x:v>
      </x:c>
      <x:c r="K336" s="20" t="n">
        <x:f>IF(=INDEX(Roster!$F$6:$F$108,MATCH(D336,Roster!$A$6:$A$108,0))="Yes",0,=INDEX(Inputs!$B$8:$D$8,1,MATCH(A336,Inputs!$B$6:$D$6,0))*IF(=INDEX(Roster!$B$6:$B$108,MATCH(D336,Roster!$A$6:$A$108,0))="Principal",INDEX(Inputs!$B$10:$D$10,1,MATCH(A336,Inputs!$B$6:$D$6,0)),IF(=INDEX(Roster!$B$6:$B$108,MATCH(D336,Roster!$A$6:$A$108,0))="Associate Principal",INDEX(Inputs!$B$11:$D$11,1,MATCH(A336,Inputs!$B$6:$D$6,0)),IF(=INDEX(Roster!$B$6:$B$108,MATCH(D336,Roster!$A$6:$A$108,0))="Assistant Principal",INDEX(Inputs!$B$12:$D$12,1,MATCH(A336,Inputs!$B$6:$D$6,0)),0))))</x:f>
        <x:v>0</x:v>
      </x:c>
      <x:c r="L336" s="20" t="n">
        <x:f>IF(INDEX(Roster!$D$6:$D$108,MATCH(D336,Roster!$A$6:$A$108,0))&gt;=25,INDEX(Inputs!$B$19:$D$19,1,MATCH(A336,Inputs!$B$6:$D$6,0)),IF(INDEX(Roster!$D$6:$D$108,MATCH(D336,Roster!$A$6:$A$108,0))&gt;=20,INDEX(Inputs!$B$18:$D$18,1,MATCH(A336,Inputs!$B$6:$D$6,0)),IF(INDEX(Roster!$D$6:$D$108,MATCH(D336,Roster!$A$6:$A$108,0))&gt;=15,INDEX(Inputs!$B$17:$D$17,1,MATCH(A336,Inputs!$B$6:$D$6,0)),IF(INDEX(Roster!$D$6:$D$108,MATCH(D336,Roster!$A$6:$A$108,0))&gt;=10,INDEX(Inputs!$B$16:$D$16,1,MATCH(A336,Inputs!$B$6:$D$6,0)),IF(INDEX(Roster!$D$6:$D$108,MATCH(D336,Roster!$A$6:$A$108,0))&gt;=5,INDEX(Inputs!$B$15:$D$15,1,MATCH(A336,Inputs!$B$6:$D$6,0)),0)))))</x:f>
        <x:v>90</x:v>
      </x:c>
      <x:c r="M336" s="20" t="n">
        <x:f>G336*I336</x:f>
        <x:v>31135</x:v>
      </x:c>
      <x:c r="N336" s="20" t="n">
        <x:f>G336*J336</x:f>
        <x:v>1625</x:v>
      </x:c>
      <x:c r="O336" s="20" t="n">
        <x:f>G336*K336</x:f>
        <x:v>0</x:v>
      </x:c>
      <x:c r="P336" s="20" t="n">
        <x:f>G336*L336</x:f>
        <x:v>1170</x:v>
      </x:c>
      <x:c r="Q336" s="20" t="n">
        <x:f>H336*INDEX(Inputs!$B$13:$D$13,1,MATCH(A336,Inputs!$B$6:$D$6,0))</x:f>
        <x:v>390</x:v>
      </x:c>
      <x:c r="R336" s="20" t="n">
        <x:f>SUM(M336:Q336)</x:f>
        <x:v>34320</x:v>
      </x:c>
      <x:c r="S336" s="20" t="n">
        <x:f>IF(AND(A335=A336,D335=D336),S335+R336,R336)</x:f>
        <x:v>102960</x:v>
      </x:c>
      <x:c r="T336" s="20" t="n">
        <x:f>MIN(S336,INDEX(Inputs!$B$20:$D$20,1,MATCH(A336,Inputs!$B$6:$D$6,0)))*INDEX(Inputs!$B$22:$D$22,1,MATCH(A336,Inputs!$B$6:$D$6,0))+MAX(MIN(S336,INDEX(Inputs!$B$21:$D$21,1,MATCH(A336,Inputs!$B$6:$D$6,0)))-INDEX(Inputs!$B$20:$D$20,1,MATCH(A336,Inputs!$B$6:$D$6,0)),0)*INDEX(Inputs!$B$23:$D$23,1,MATCH(A336,Inputs!$B$6:$D$6,0))+MAX(S336-INDEX(Inputs!$B$21:$D$21,1,MATCH(A336,Inputs!$B$6:$D$6,0)),0)*INDEX(Inputs!$B$24:$D$24,1,MATCH(A336,Inputs!$B$6:$D$6,0))</x:f>
        <x:v>8366.439999999999</x:v>
      </x:c>
      <x:c r="U336" s="20" t="n">
        <x:f>IF(AND(A335=A336,D335=D336),T335,0)</x:f>
        <x:v>5740.96</x:v>
      </x:c>
      <x:c r="V336" s="20" t="n">
        <x:f>T336-U336</x:f>
        <x:v>2625.4799999999987</x:v>
      </x:c>
      <x:c r="W336" s="20" t="n">
        <x:f>R336+V336</x:f>
        <x:v>36945.479999999996</x:v>
      </x:c>
      <x:c r="X336" s="14" t="str">
        <x:f>IF(ABS(W336-SUM(M336:Q336)-V336)&lt;0.01,"OK","Check")</x:f>
        <x:v>OK</x:v>
      </x:c>
    </x:row>
    <x:row r="337">
      <x:c r="A337" s="14" t="n">
        <x:v>2026</x:v>
      </x:c>
      <x:c r="B337" s="14" t="str">
        <x:v>Q4</x:v>
      </x:c>
      <x:c r="C337" s="14" t="n">
        <x:v>4</x:v>
      </x:c>
      <x:c r="D337" s="14" t="n">
        <x:v>83</x:v>
      </x:c>
      <x:c r="E337" s="14" t="str">
        <x:f>INDEX(Roster!$B$6:$B$108,MATCH(D337,Roster!$A$6:$A$108,0))</x:f>
      </x:c>
      <x:c r="F337" s="14" t="str">
        <x:f>INDEX(Roster!$F$6:$F$108,MATCH(D337,Roster!$A$6:$A$108,0))</x:f>
        <x:v>No</x:v>
      </x:c>
      <x:c r="G337" s="14" t="n">
        <x:f>INDEX(Inputs!$B$7:$D$7,1,MATCH(A337,Inputs!$B$6:$D$6,0))</x:f>
        <x:v>13</x:v>
      </x:c>
      <x:c r="H337" s="14" t="n">
        <x:f>MIN(=INDEX(Inputs!$B$7:$D$7,1,MATCH(A337,Inputs!$B$6:$D$6,0)),MAX(0,INDEX(Inputs!$B$14:$D$14,1,MATCH(A337,Inputs!$B$6:$D$6,0))-(C337-1)*=INDEX(Inputs!$B$7:$D$7,1,MATCH(A337,Inputs!$B$6:$D$6,0))))</x:f>
        <x:v>0</x:v>
      </x:c>
      <x:c r="I337" s="20" t="n">
        <x:f>INDEX(Inputs!$B$8:$D$8,1,MATCH(A337,Inputs!$B$6:$D$6,0))</x:f>
        <x:v>2395</x:v>
      </x:c>
      <x:c r="J337" s="20" t="n">
        <x:f>INDEX(Roster!$C$6:$C$108,MATCH(D337,Roster!$A$6:$A$108,0))*(1+INDEX(Inputs!$B$9:$D$9,1,MATCH(A337,Inputs!$B$6:$D$6,0)))</x:f>
        <x:v>125</x:v>
      </x:c>
      <x:c r="K337" s="20" t="n">
        <x:f>IF(=INDEX(Roster!$F$6:$F$108,MATCH(D337,Roster!$A$6:$A$108,0))="Yes",0,=INDEX(Inputs!$B$8:$D$8,1,MATCH(A337,Inputs!$B$6:$D$6,0))*IF(=INDEX(Roster!$B$6:$B$108,MATCH(D337,Roster!$A$6:$A$108,0))="Principal",INDEX(Inputs!$B$10:$D$10,1,MATCH(A337,Inputs!$B$6:$D$6,0)),IF(=INDEX(Roster!$B$6:$B$108,MATCH(D337,Roster!$A$6:$A$108,0))="Associate Principal",INDEX(Inputs!$B$11:$D$11,1,MATCH(A337,Inputs!$B$6:$D$6,0)),IF(=INDEX(Roster!$B$6:$B$108,MATCH(D337,Roster!$A$6:$A$108,0))="Assistant Principal",INDEX(Inputs!$B$12:$D$12,1,MATCH(A337,Inputs!$B$6:$D$6,0)),0))))</x:f>
        <x:v>0</x:v>
      </x:c>
      <x:c r="L337" s="20" t="n">
        <x:f>IF(INDEX(Roster!$D$6:$D$108,MATCH(D337,Roster!$A$6:$A$108,0))&gt;=25,INDEX(Inputs!$B$19:$D$19,1,MATCH(A337,Inputs!$B$6:$D$6,0)),IF(INDEX(Roster!$D$6:$D$108,MATCH(D337,Roster!$A$6:$A$108,0))&gt;=20,INDEX(Inputs!$B$18:$D$18,1,MATCH(A337,Inputs!$B$6:$D$6,0)),IF(INDEX(Roster!$D$6:$D$108,MATCH(D337,Roster!$A$6:$A$108,0))&gt;=15,INDEX(Inputs!$B$17:$D$17,1,MATCH(A337,Inputs!$B$6:$D$6,0)),IF(INDEX(Roster!$D$6:$D$108,MATCH(D337,Roster!$A$6:$A$108,0))&gt;=10,INDEX(Inputs!$B$16:$D$16,1,MATCH(A337,Inputs!$B$6:$D$6,0)),IF(INDEX(Roster!$D$6:$D$108,MATCH(D337,Roster!$A$6:$A$108,0))&gt;=5,INDEX(Inputs!$B$15:$D$15,1,MATCH(A337,Inputs!$B$6:$D$6,0)),0)))))</x:f>
        <x:v>90</x:v>
      </x:c>
      <x:c r="M337" s="20" t="n">
        <x:f>G337*I337</x:f>
        <x:v>31135</x:v>
      </x:c>
      <x:c r="N337" s="20" t="n">
        <x:f>G337*J337</x:f>
        <x:v>1625</x:v>
      </x:c>
      <x:c r="O337" s="20" t="n">
        <x:f>G337*K337</x:f>
        <x:v>0</x:v>
      </x:c>
      <x:c r="P337" s="20" t="n">
        <x:f>G337*L337</x:f>
        <x:v>1170</x:v>
      </x:c>
      <x:c r="Q337" s="20" t="n">
        <x:f>H337*INDEX(Inputs!$B$13:$D$13,1,MATCH(A337,Inputs!$B$6:$D$6,0))</x:f>
        <x:v>0</x:v>
      </x:c>
      <x:c r="R337" s="20" t="n">
        <x:f>SUM(M337:Q337)</x:f>
        <x:v>33930</x:v>
      </x:c>
      <x:c r="S337" s="20" t="n">
        <x:f>IF(AND(A336=A337,D336=D337),S336+R337,R337)</x:f>
        <x:v>136890</x:v>
      </x:c>
      <x:c r="T337" s="20" t="n">
        <x:f>MIN(S337,INDEX(Inputs!$B$20:$D$20,1,MATCH(A337,Inputs!$B$6:$D$6,0)))*INDEX(Inputs!$B$22:$D$22,1,MATCH(A337,Inputs!$B$6:$D$6,0))+MAX(MIN(S337,INDEX(Inputs!$B$21:$D$21,1,MATCH(A337,Inputs!$B$6:$D$6,0)))-INDEX(Inputs!$B$20:$D$20,1,MATCH(A337,Inputs!$B$6:$D$6,0)),0)*INDEX(Inputs!$B$23:$D$23,1,MATCH(A337,Inputs!$B$6:$D$6,0))+MAX(S337-INDEX(Inputs!$B$21:$D$21,1,MATCH(A337,Inputs!$B$6:$D$6,0)),0)*INDEX(Inputs!$B$24:$D$24,1,MATCH(A337,Inputs!$B$6:$D$6,0))</x:f>
        <x:v>9898.847</x:v>
      </x:c>
      <x:c r="U337" s="20" t="n">
        <x:f>IF(AND(A336=A337,D336=D337),T336,0)</x:f>
        <x:v>8366.439999999999</x:v>
      </x:c>
      <x:c r="V337" s="20" t="n">
        <x:f>T337-U337</x:f>
        <x:v>1532.407000000001</x:v>
      </x:c>
      <x:c r="W337" s="20" t="n">
        <x:f>R337+V337</x:f>
        <x:v>35462.407</x:v>
      </x:c>
      <x:c r="X337" s="14" t="str">
        <x:f>IF(ABS(W337-SUM(M337:Q337)-V337)&lt;0.01,"OK","Check")</x:f>
        <x:v>OK</x:v>
      </x:c>
    </x:row>
    <x:row r="338">
      <x:c r="A338" s="14" t="n">
        <x:v>2026</x:v>
      </x:c>
      <x:c r="B338" s="14" t="str">
        <x:v>Q1</x:v>
      </x:c>
      <x:c r="C338" s="14" t="n">
        <x:v>1</x:v>
      </x:c>
      <x:c r="D338" s="14" t="n">
        <x:v>84</x:v>
      </x:c>
      <x:c r="E338" s="14" t="str">
        <x:f>INDEX(Roster!$B$6:$B$108,MATCH(D338,Roster!$A$6:$A$108,0))</x:f>
      </x:c>
      <x:c r="F338" s="14" t="str">
        <x:f>INDEX(Roster!$F$6:$F$108,MATCH(D338,Roster!$A$6:$A$108,0))</x:f>
        <x:v>No</x:v>
      </x:c>
      <x:c r="G338" s="14" t="n">
        <x:f>INDEX(Inputs!$B$7:$D$7,1,MATCH(A338,Inputs!$B$6:$D$6,0))</x:f>
        <x:v>13</x:v>
      </x:c>
      <x:c r="H338" s="14" t="n">
        <x:f>MIN(=INDEX(Inputs!$B$7:$D$7,1,MATCH(A338,Inputs!$B$6:$D$6,0)),MAX(0,INDEX(Inputs!$B$14:$D$14,1,MATCH(A338,Inputs!$B$6:$D$6,0))-(C338-1)*=INDEX(Inputs!$B$7:$D$7,1,MATCH(A338,Inputs!$B$6:$D$6,0))))</x:f>
        <x:v>13</x:v>
      </x:c>
      <x:c r="I338" s="20" t="n">
        <x:f>INDEX(Inputs!$B$8:$D$8,1,MATCH(A338,Inputs!$B$6:$D$6,0))</x:f>
        <x:v>2395</x:v>
      </x:c>
      <x:c r="J338" s="20" t="n">
        <x:f>INDEX(Roster!$C$6:$C$108,MATCH(D338,Roster!$A$6:$A$108,0))*(1+INDEX(Inputs!$B$9:$D$9,1,MATCH(A338,Inputs!$B$6:$D$6,0)))</x:f>
        <x:v>60</x:v>
      </x:c>
      <x:c r="K338" s="20" t="n">
        <x:f>IF(=INDEX(Roster!$F$6:$F$108,MATCH(D338,Roster!$A$6:$A$108,0))="Yes",0,=INDEX(Inputs!$B$8:$D$8,1,MATCH(A338,Inputs!$B$6:$D$6,0))*IF(=INDEX(Roster!$B$6:$B$108,MATCH(D338,Roster!$A$6:$A$108,0))="Principal",INDEX(Inputs!$B$10:$D$10,1,MATCH(A338,Inputs!$B$6:$D$6,0)),IF(=INDEX(Roster!$B$6:$B$108,MATCH(D338,Roster!$A$6:$A$108,0))="Associate Principal",INDEX(Inputs!$B$11:$D$11,1,MATCH(A338,Inputs!$B$6:$D$6,0)),IF(=INDEX(Roster!$B$6:$B$108,MATCH(D338,Roster!$A$6:$A$108,0))="Assistant Principal",INDEX(Inputs!$B$12:$D$12,1,MATCH(A338,Inputs!$B$6:$D$6,0)),0))))</x:f>
        <x:v>0</x:v>
      </x:c>
      <x:c r="L338" s="20" t="n">
        <x:f>IF(INDEX(Roster!$D$6:$D$108,MATCH(D338,Roster!$A$6:$A$108,0))&gt;=25,INDEX(Inputs!$B$19:$D$19,1,MATCH(A338,Inputs!$B$6:$D$6,0)),IF(INDEX(Roster!$D$6:$D$108,MATCH(D338,Roster!$A$6:$A$108,0))&gt;=20,INDEX(Inputs!$B$18:$D$18,1,MATCH(A338,Inputs!$B$6:$D$6,0)),IF(INDEX(Roster!$D$6:$D$108,MATCH(D338,Roster!$A$6:$A$108,0))&gt;=15,INDEX(Inputs!$B$17:$D$17,1,MATCH(A338,Inputs!$B$6:$D$6,0)),IF(INDEX(Roster!$D$6:$D$108,MATCH(D338,Roster!$A$6:$A$108,0))&gt;=10,INDEX(Inputs!$B$16:$D$16,1,MATCH(A338,Inputs!$B$6:$D$6,0)),IF(INDEX(Roster!$D$6:$D$108,MATCH(D338,Roster!$A$6:$A$108,0))&gt;=5,INDEX(Inputs!$B$15:$D$15,1,MATCH(A338,Inputs!$B$6:$D$6,0)),0)))))</x:f>
        <x:v>60</x:v>
      </x:c>
      <x:c r="M338" s="20" t="n">
        <x:f>G338*I338</x:f>
        <x:v>31135</x:v>
      </x:c>
      <x:c r="N338" s="20" t="n">
        <x:f>G338*J338</x:f>
        <x:v>780</x:v>
      </x:c>
      <x:c r="O338" s="20" t="n">
        <x:f>G338*K338</x:f>
        <x:v>0</x:v>
      </x:c>
      <x:c r="P338" s="20" t="n">
        <x:f>G338*L338</x:f>
        <x:v>780</x:v>
      </x:c>
      <x:c r="Q338" s="20" t="n">
        <x:f>H338*INDEX(Inputs!$B$13:$D$13,1,MATCH(A338,Inputs!$B$6:$D$6,0))</x:f>
        <x:v>390</x:v>
      </x:c>
      <x:c r="R338" s="20" t="n">
        <x:f>SUM(M338:Q338)</x:f>
        <x:v>33085</x:v>
      </x:c>
      <x:c r="S338" s="20" t="n">
        <x:f>IF(AND(A337=A338,D337=D338),S337+R338,R338)</x:f>
        <x:v>33085</x:v>
      </x:c>
      <x:c r="T338" s="20" t="n">
        <x:f>MIN(S338,INDEX(Inputs!$B$20:$D$20,1,MATCH(A338,Inputs!$B$6:$D$6,0)))*INDEX(Inputs!$B$22:$D$22,1,MATCH(A338,Inputs!$B$6:$D$6,0))+MAX(MIN(S338,INDEX(Inputs!$B$21:$D$21,1,MATCH(A338,Inputs!$B$6:$D$6,0)))-INDEX(Inputs!$B$20:$D$20,1,MATCH(A338,Inputs!$B$6:$D$6,0)),0)*INDEX(Inputs!$B$23:$D$23,1,MATCH(A338,Inputs!$B$6:$D$6,0))+MAX(S338-INDEX(Inputs!$B$21:$D$21,1,MATCH(A338,Inputs!$B$6:$D$6,0)),0)*INDEX(Inputs!$B$24:$D$24,1,MATCH(A338,Inputs!$B$6:$D$6,0))</x:f>
        <x:v>3021.0025</x:v>
      </x:c>
      <x:c r="U338" s="20" t="n">
        <x:f>IF(AND(A337=A338,D337=D338),T337,0)</x:f>
        <x:v>0</x:v>
      </x:c>
      <x:c r="V338" s="20" t="n">
        <x:f>T338-U338</x:f>
        <x:v>3021.0025</x:v>
      </x:c>
      <x:c r="W338" s="20" t="n">
        <x:f>R338+V338</x:f>
        <x:v>36106.0025</x:v>
      </x:c>
      <x:c r="X338" s="14" t="str">
        <x:f>IF(ABS(W338-SUM(M338:Q338)-V338)&lt;0.01,"OK","Check")</x:f>
        <x:v>OK</x:v>
      </x:c>
    </x:row>
    <x:row r="339">
      <x:c r="A339" s="14" t="n">
        <x:v>2026</x:v>
      </x:c>
      <x:c r="B339" s="14" t="str">
        <x:v>Q2</x:v>
      </x:c>
      <x:c r="C339" s="14" t="n">
        <x:v>2</x:v>
      </x:c>
      <x:c r="D339" s="14" t="n">
        <x:v>84</x:v>
      </x:c>
      <x:c r="E339" s="14" t="str">
        <x:f>INDEX(Roster!$B$6:$B$108,MATCH(D339,Roster!$A$6:$A$108,0))</x:f>
      </x:c>
      <x:c r="F339" s="14" t="str">
        <x:f>INDEX(Roster!$F$6:$F$108,MATCH(D339,Roster!$A$6:$A$108,0))</x:f>
        <x:v>No</x:v>
      </x:c>
      <x:c r="G339" s="14" t="n">
        <x:f>INDEX(Inputs!$B$7:$D$7,1,MATCH(A339,Inputs!$B$6:$D$6,0))</x:f>
        <x:v>13</x:v>
      </x:c>
      <x:c r="H339" s="14" t="n">
        <x:f>MIN(=INDEX(Inputs!$B$7:$D$7,1,MATCH(A339,Inputs!$B$6:$D$6,0)),MAX(0,INDEX(Inputs!$B$14:$D$14,1,MATCH(A339,Inputs!$B$6:$D$6,0))-(C339-1)*=INDEX(Inputs!$B$7:$D$7,1,MATCH(A339,Inputs!$B$6:$D$6,0))))</x:f>
        <x:v>13</x:v>
      </x:c>
      <x:c r="I339" s="20" t="n">
        <x:f>INDEX(Inputs!$B$8:$D$8,1,MATCH(A339,Inputs!$B$6:$D$6,0))</x:f>
        <x:v>2395</x:v>
      </x:c>
      <x:c r="J339" s="20" t="n">
        <x:f>INDEX(Roster!$C$6:$C$108,MATCH(D339,Roster!$A$6:$A$108,0))*(1+INDEX(Inputs!$B$9:$D$9,1,MATCH(A339,Inputs!$B$6:$D$6,0)))</x:f>
        <x:v>60</x:v>
      </x:c>
      <x:c r="K339" s="20" t="n">
        <x:f>IF(=INDEX(Roster!$F$6:$F$108,MATCH(D339,Roster!$A$6:$A$108,0))="Yes",0,=INDEX(Inputs!$B$8:$D$8,1,MATCH(A339,Inputs!$B$6:$D$6,0))*IF(=INDEX(Roster!$B$6:$B$108,MATCH(D339,Roster!$A$6:$A$108,0))="Principal",INDEX(Inputs!$B$10:$D$10,1,MATCH(A339,Inputs!$B$6:$D$6,0)),IF(=INDEX(Roster!$B$6:$B$108,MATCH(D339,Roster!$A$6:$A$108,0))="Associate Principal",INDEX(Inputs!$B$11:$D$11,1,MATCH(A339,Inputs!$B$6:$D$6,0)),IF(=INDEX(Roster!$B$6:$B$108,MATCH(D339,Roster!$A$6:$A$108,0))="Assistant Principal",INDEX(Inputs!$B$12:$D$12,1,MATCH(A339,Inputs!$B$6:$D$6,0)),0))))</x:f>
        <x:v>0</x:v>
      </x:c>
      <x:c r="L339" s="20" t="n">
        <x:f>IF(INDEX(Roster!$D$6:$D$108,MATCH(D339,Roster!$A$6:$A$108,0))&gt;=25,INDEX(Inputs!$B$19:$D$19,1,MATCH(A339,Inputs!$B$6:$D$6,0)),IF(INDEX(Roster!$D$6:$D$108,MATCH(D339,Roster!$A$6:$A$108,0))&gt;=20,INDEX(Inputs!$B$18:$D$18,1,MATCH(A339,Inputs!$B$6:$D$6,0)),IF(INDEX(Roster!$D$6:$D$108,MATCH(D339,Roster!$A$6:$A$108,0))&gt;=15,INDEX(Inputs!$B$17:$D$17,1,MATCH(A339,Inputs!$B$6:$D$6,0)),IF(INDEX(Roster!$D$6:$D$108,MATCH(D339,Roster!$A$6:$A$108,0))&gt;=10,INDEX(Inputs!$B$16:$D$16,1,MATCH(A339,Inputs!$B$6:$D$6,0)),IF(INDEX(Roster!$D$6:$D$108,MATCH(D339,Roster!$A$6:$A$108,0))&gt;=5,INDEX(Inputs!$B$15:$D$15,1,MATCH(A339,Inputs!$B$6:$D$6,0)),0)))))</x:f>
        <x:v>60</x:v>
      </x:c>
      <x:c r="M339" s="20" t="n">
        <x:f>G339*I339</x:f>
        <x:v>31135</x:v>
      </x:c>
      <x:c r="N339" s="20" t="n">
        <x:f>G339*J339</x:f>
        <x:v>780</x:v>
      </x:c>
      <x:c r="O339" s="20" t="n">
        <x:f>G339*K339</x:f>
        <x:v>0</x:v>
      </x:c>
      <x:c r="P339" s="20" t="n">
        <x:f>G339*L339</x:f>
        <x:v>780</x:v>
      </x:c>
      <x:c r="Q339" s="20" t="n">
        <x:f>H339*INDEX(Inputs!$B$13:$D$13,1,MATCH(A339,Inputs!$B$6:$D$6,0))</x:f>
        <x:v>390</x:v>
      </x:c>
      <x:c r="R339" s="20" t="n">
        <x:f>SUM(M339:Q339)</x:f>
        <x:v>33085</x:v>
      </x:c>
      <x:c r="S339" s="20" t="n">
        <x:f>IF(AND(A338=A339,D338=D339),S338+R339,R339)</x:f>
        <x:v>66170</x:v>
      </x:c>
      <x:c r="T339" s="20" t="n">
        <x:f>MIN(S339,INDEX(Inputs!$B$20:$D$20,1,MATCH(A339,Inputs!$B$6:$D$6,0)))*INDEX(Inputs!$B$22:$D$22,1,MATCH(A339,Inputs!$B$6:$D$6,0))+MAX(MIN(S339,INDEX(Inputs!$B$21:$D$21,1,MATCH(A339,Inputs!$B$6:$D$6,0)))-INDEX(Inputs!$B$20:$D$20,1,MATCH(A339,Inputs!$B$6:$D$6,0)),0)*INDEX(Inputs!$B$23:$D$23,1,MATCH(A339,Inputs!$B$6:$D$6,0))+MAX(S339-INDEX(Inputs!$B$21:$D$21,1,MATCH(A339,Inputs!$B$6:$D$6,0)),0)*INDEX(Inputs!$B$24:$D$24,1,MATCH(A339,Inputs!$B$6:$D$6,0))</x:f>
        <x:v>5552.005</x:v>
      </x:c>
      <x:c r="U339" s="20" t="n">
        <x:f>IF(AND(A338=A339,D338=D339),T338,0)</x:f>
        <x:v>3021.0025</x:v>
      </x:c>
      <x:c r="V339" s="20" t="n">
        <x:f>T339-U339</x:f>
        <x:v>2531.0025</x:v>
      </x:c>
      <x:c r="W339" s="20" t="n">
        <x:f>R339+V339</x:f>
        <x:v>35616.0025</x:v>
      </x:c>
      <x:c r="X339" s="14" t="str">
        <x:f>IF(ABS(W339-SUM(M339:Q339)-V339)&lt;0.01,"OK","Check")</x:f>
        <x:v>OK</x:v>
      </x:c>
    </x:row>
    <x:row r="340">
      <x:c r="A340" s="14" t="n">
        <x:v>2026</x:v>
      </x:c>
      <x:c r="B340" s="14" t="str">
        <x:v>Q3</x:v>
      </x:c>
      <x:c r="C340" s="14" t="n">
        <x:v>3</x:v>
      </x:c>
      <x:c r="D340" s="14" t="n">
        <x:v>84</x:v>
      </x:c>
      <x:c r="E340" s="14" t="str">
        <x:f>INDEX(Roster!$B$6:$B$108,MATCH(D340,Roster!$A$6:$A$108,0))</x:f>
      </x:c>
      <x:c r="F340" s="14" t="str">
        <x:f>INDEX(Roster!$F$6:$F$108,MATCH(D340,Roster!$A$6:$A$108,0))</x:f>
        <x:v>No</x:v>
      </x:c>
      <x:c r="G340" s="14" t="n">
        <x:f>INDEX(Inputs!$B$7:$D$7,1,MATCH(A340,Inputs!$B$6:$D$6,0))</x:f>
        <x:v>13</x:v>
      </x:c>
      <x:c r="H340" s="14" t="n">
        <x:f>MIN(=INDEX(Inputs!$B$7:$D$7,1,MATCH(A340,Inputs!$B$6:$D$6,0)),MAX(0,INDEX(Inputs!$B$14:$D$14,1,MATCH(A340,Inputs!$B$6:$D$6,0))-(C340-1)*=INDEX(Inputs!$B$7:$D$7,1,MATCH(A340,Inputs!$B$6:$D$6,0))))</x:f>
        <x:v>13</x:v>
      </x:c>
      <x:c r="I340" s="20" t="n">
        <x:f>INDEX(Inputs!$B$8:$D$8,1,MATCH(A340,Inputs!$B$6:$D$6,0))</x:f>
        <x:v>2395</x:v>
      </x:c>
      <x:c r="J340" s="20" t="n">
        <x:f>INDEX(Roster!$C$6:$C$108,MATCH(D340,Roster!$A$6:$A$108,0))*(1+INDEX(Inputs!$B$9:$D$9,1,MATCH(A340,Inputs!$B$6:$D$6,0)))</x:f>
        <x:v>60</x:v>
      </x:c>
      <x:c r="K340" s="20" t="n">
        <x:f>IF(=INDEX(Roster!$F$6:$F$108,MATCH(D340,Roster!$A$6:$A$108,0))="Yes",0,=INDEX(Inputs!$B$8:$D$8,1,MATCH(A340,Inputs!$B$6:$D$6,0))*IF(=INDEX(Roster!$B$6:$B$108,MATCH(D340,Roster!$A$6:$A$108,0))="Principal",INDEX(Inputs!$B$10:$D$10,1,MATCH(A340,Inputs!$B$6:$D$6,0)),IF(=INDEX(Roster!$B$6:$B$108,MATCH(D340,Roster!$A$6:$A$108,0))="Associate Principal",INDEX(Inputs!$B$11:$D$11,1,MATCH(A340,Inputs!$B$6:$D$6,0)),IF(=INDEX(Roster!$B$6:$B$108,MATCH(D340,Roster!$A$6:$A$108,0))="Assistant Principal",INDEX(Inputs!$B$12:$D$12,1,MATCH(A340,Inputs!$B$6:$D$6,0)),0))))</x:f>
        <x:v>0</x:v>
      </x:c>
      <x:c r="L340" s="20" t="n">
        <x:f>IF(INDEX(Roster!$D$6:$D$108,MATCH(D340,Roster!$A$6:$A$108,0))&gt;=25,INDEX(Inputs!$B$19:$D$19,1,MATCH(A340,Inputs!$B$6:$D$6,0)),IF(INDEX(Roster!$D$6:$D$108,MATCH(D340,Roster!$A$6:$A$108,0))&gt;=20,INDEX(Inputs!$B$18:$D$18,1,MATCH(A340,Inputs!$B$6:$D$6,0)),IF(INDEX(Roster!$D$6:$D$108,MATCH(D340,Roster!$A$6:$A$108,0))&gt;=15,INDEX(Inputs!$B$17:$D$17,1,MATCH(A340,Inputs!$B$6:$D$6,0)),IF(INDEX(Roster!$D$6:$D$108,MATCH(D340,Roster!$A$6:$A$108,0))&gt;=10,INDEX(Inputs!$B$16:$D$16,1,MATCH(A340,Inputs!$B$6:$D$6,0)),IF(INDEX(Roster!$D$6:$D$108,MATCH(D340,Roster!$A$6:$A$108,0))&gt;=5,INDEX(Inputs!$B$15:$D$15,1,MATCH(A340,Inputs!$B$6:$D$6,0)),0)))))</x:f>
        <x:v>60</x:v>
      </x:c>
      <x:c r="M340" s="20" t="n">
        <x:f>G340*I340</x:f>
        <x:v>31135</x:v>
      </x:c>
      <x:c r="N340" s="20" t="n">
        <x:f>G340*J340</x:f>
        <x:v>780</x:v>
      </x:c>
      <x:c r="O340" s="20" t="n">
        <x:f>G340*K340</x:f>
        <x:v>0</x:v>
      </x:c>
      <x:c r="P340" s="20" t="n">
        <x:f>G340*L340</x:f>
        <x:v>780</x:v>
      </x:c>
      <x:c r="Q340" s="20" t="n">
        <x:f>H340*INDEX(Inputs!$B$13:$D$13,1,MATCH(A340,Inputs!$B$6:$D$6,0))</x:f>
        <x:v>390</x:v>
      </x:c>
      <x:c r="R340" s="20" t="n">
        <x:f>SUM(M340:Q340)</x:f>
        <x:v>33085</x:v>
      </x:c>
      <x:c r="S340" s="20" t="n">
        <x:f>IF(AND(A339=A340,D339=D340),S339+R340,R340)</x:f>
        <x:v>99255</x:v>
      </x:c>
      <x:c r="T340" s="20" t="n">
        <x:f>MIN(S340,INDEX(Inputs!$B$20:$D$20,1,MATCH(A340,Inputs!$B$6:$D$6,0)))*INDEX(Inputs!$B$22:$D$22,1,MATCH(A340,Inputs!$B$6:$D$6,0))+MAX(MIN(S340,INDEX(Inputs!$B$21:$D$21,1,MATCH(A340,Inputs!$B$6:$D$6,0)))-INDEX(Inputs!$B$20:$D$20,1,MATCH(A340,Inputs!$B$6:$D$6,0)),0)*INDEX(Inputs!$B$23:$D$23,1,MATCH(A340,Inputs!$B$6:$D$6,0))+MAX(S340-INDEX(Inputs!$B$21:$D$21,1,MATCH(A340,Inputs!$B$6:$D$6,0)),0)*INDEX(Inputs!$B$24:$D$24,1,MATCH(A340,Inputs!$B$6:$D$6,0))</x:f>
        <x:v>8083.0075</x:v>
      </x:c>
      <x:c r="U340" s="20" t="n">
        <x:f>IF(AND(A339=A340,D339=D340),T339,0)</x:f>
        <x:v>5552.005</x:v>
      </x:c>
      <x:c r="V340" s="20" t="n">
        <x:f>T340-U340</x:f>
        <x:v>2531.0024999999996</x:v>
      </x:c>
      <x:c r="W340" s="20" t="n">
        <x:f>R340+V340</x:f>
        <x:v>35616.0025</x:v>
      </x:c>
      <x:c r="X340" s="14" t="str">
        <x:f>IF(ABS(W340-SUM(M340:Q340)-V340)&lt;0.01,"OK","Check")</x:f>
        <x:v>OK</x:v>
      </x:c>
    </x:row>
    <x:row r="341">
      <x:c r="A341" s="14" t="n">
        <x:v>2026</x:v>
      </x:c>
      <x:c r="B341" s="14" t="str">
        <x:v>Q4</x:v>
      </x:c>
      <x:c r="C341" s="14" t="n">
        <x:v>4</x:v>
      </x:c>
      <x:c r="D341" s="14" t="n">
        <x:v>84</x:v>
      </x:c>
      <x:c r="E341" s="14" t="str">
        <x:f>INDEX(Roster!$B$6:$B$108,MATCH(D341,Roster!$A$6:$A$108,0))</x:f>
      </x:c>
      <x:c r="F341" s="14" t="str">
        <x:f>INDEX(Roster!$F$6:$F$108,MATCH(D341,Roster!$A$6:$A$108,0))</x:f>
        <x:v>No</x:v>
      </x:c>
      <x:c r="G341" s="14" t="n">
        <x:f>INDEX(Inputs!$B$7:$D$7,1,MATCH(A341,Inputs!$B$6:$D$6,0))</x:f>
        <x:v>13</x:v>
      </x:c>
      <x:c r="H341" s="14" t="n">
        <x:f>MIN(=INDEX(Inputs!$B$7:$D$7,1,MATCH(A341,Inputs!$B$6:$D$6,0)),MAX(0,INDEX(Inputs!$B$14:$D$14,1,MATCH(A341,Inputs!$B$6:$D$6,0))-(C341-1)*=INDEX(Inputs!$B$7:$D$7,1,MATCH(A341,Inputs!$B$6:$D$6,0))))</x:f>
        <x:v>0</x:v>
      </x:c>
      <x:c r="I341" s="20" t="n">
        <x:f>INDEX(Inputs!$B$8:$D$8,1,MATCH(A341,Inputs!$B$6:$D$6,0))</x:f>
        <x:v>2395</x:v>
      </x:c>
      <x:c r="J341" s="20" t="n">
        <x:f>INDEX(Roster!$C$6:$C$108,MATCH(D341,Roster!$A$6:$A$108,0))*(1+INDEX(Inputs!$B$9:$D$9,1,MATCH(A341,Inputs!$B$6:$D$6,0)))</x:f>
        <x:v>60</x:v>
      </x:c>
      <x:c r="K341" s="20" t="n">
        <x:f>IF(=INDEX(Roster!$F$6:$F$108,MATCH(D341,Roster!$A$6:$A$108,0))="Yes",0,=INDEX(Inputs!$B$8:$D$8,1,MATCH(A341,Inputs!$B$6:$D$6,0))*IF(=INDEX(Roster!$B$6:$B$108,MATCH(D341,Roster!$A$6:$A$108,0))="Principal",INDEX(Inputs!$B$10:$D$10,1,MATCH(A341,Inputs!$B$6:$D$6,0)),IF(=INDEX(Roster!$B$6:$B$108,MATCH(D341,Roster!$A$6:$A$108,0))="Associate Principal",INDEX(Inputs!$B$11:$D$11,1,MATCH(A341,Inputs!$B$6:$D$6,0)),IF(=INDEX(Roster!$B$6:$B$108,MATCH(D341,Roster!$A$6:$A$108,0))="Assistant Principal",INDEX(Inputs!$B$12:$D$12,1,MATCH(A341,Inputs!$B$6:$D$6,0)),0))))</x:f>
        <x:v>0</x:v>
      </x:c>
      <x:c r="L341" s="20" t="n">
        <x:f>IF(INDEX(Roster!$D$6:$D$108,MATCH(D341,Roster!$A$6:$A$108,0))&gt;=25,INDEX(Inputs!$B$19:$D$19,1,MATCH(A341,Inputs!$B$6:$D$6,0)),IF(INDEX(Roster!$D$6:$D$108,MATCH(D341,Roster!$A$6:$A$108,0))&gt;=20,INDEX(Inputs!$B$18:$D$18,1,MATCH(A341,Inputs!$B$6:$D$6,0)),IF(INDEX(Roster!$D$6:$D$108,MATCH(D341,Roster!$A$6:$A$108,0))&gt;=15,INDEX(Inputs!$B$17:$D$17,1,MATCH(A341,Inputs!$B$6:$D$6,0)),IF(INDEX(Roster!$D$6:$D$108,MATCH(D341,Roster!$A$6:$A$108,0))&gt;=10,INDEX(Inputs!$B$16:$D$16,1,MATCH(A341,Inputs!$B$6:$D$6,0)),IF(INDEX(Roster!$D$6:$D$108,MATCH(D341,Roster!$A$6:$A$108,0))&gt;=5,INDEX(Inputs!$B$15:$D$15,1,MATCH(A341,Inputs!$B$6:$D$6,0)),0)))))</x:f>
        <x:v>60</x:v>
      </x:c>
      <x:c r="M341" s="20" t="n">
        <x:f>G341*I341</x:f>
        <x:v>31135</x:v>
      </x:c>
      <x:c r="N341" s="20" t="n">
        <x:f>G341*J341</x:f>
        <x:v>780</x:v>
      </x:c>
      <x:c r="O341" s="20" t="n">
        <x:f>G341*K341</x:f>
        <x:v>0</x:v>
      </x:c>
      <x:c r="P341" s="20" t="n">
        <x:f>G341*L341</x:f>
        <x:v>780</x:v>
      </x:c>
      <x:c r="Q341" s="20" t="n">
        <x:f>H341*INDEX(Inputs!$B$13:$D$13,1,MATCH(A341,Inputs!$B$6:$D$6,0))</x:f>
        <x:v>0</x:v>
      </x:c>
      <x:c r="R341" s="20" t="n">
        <x:f>SUM(M341:Q341)</x:f>
        <x:v>32695</x:v>
      </x:c>
      <x:c r="S341" s="20" t="n">
        <x:f>IF(AND(A340=A341,D340=D341),S340+R341,R341)</x:f>
        <x:v>131950</x:v>
      </x:c>
      <x:c r="T341" s="20" t="n">
        <x:f>MIN(S341,INDEX(Inputs!$B$20:$D$20,1,MATCH(A341,Inputs!$B$6:$D$6,0)))*INDEX(Inputs!$B$22:$D$22,1,MATCH(A341,Inputs!$B$6:$D$6,0))+MAX(MIN(S341,INDEX(Inputs!$B$21:$D$21,1,MATCH(A341,Inputs!$B$6:$D$6,0)))-INDEX(Inputs!$B$20:$D$20,1,MATCH(A341,Inputs!$B$6:$D$6,0)),0)*INDEX(Inputs!$B$23:$D$23,1,MATCH(A341,Inputs!$B$6:$D$6,0))+MAX(S341-INDEX(Inputs!$B$21:$D$21,1,MATCH(A341,Inputs!$B$6:$D$6,0)),0)*INDEX(Inputs!$B$24:$D$24,1,MATCH(A341,Inputs!$B$6:$D$6,0))</x:f>
        <x:v>9827.217</x:v>
      </x:c>
      <x:c r="U341" s="20" t="n">
        <x:f>IF(AND(A340=A341,D340=D341),T340,0)</x:f>
        <x:v>8083.0075</x:v>
      </x:c>
      <x:c r="V341" s="20" t="n">
        <x:f>T341-U341</x:f>
        <x:v>1744.2095000000008</x:v>
      </x:c>
      <x:c r="W341" s="20" t="n">
        <x:f>R341+V341</x:f>
        <x:v>34439.2095</x:v>
      </x:c>
      <x:c r="X341" s="14" t="str">
        <x:f>IF(ABS(W341-SUM(M341:Q341)-V341)&lt;0.01,"OK","Check")</x:f>
        <x:v>OK</x:v>
      </x:c>
    </x:row>
    <x:row r="342">
      <x:c r="A342" s="14" t="n">
        <x:v>2026</x:v>
      </x:c>
      <x:c r="B342" s="14" t="str">
        <x:v>Q1</x:v>
      </x:c>
      <x:c r="C342" s="14" t="n">
        <x:v>1</x:v>
      </x:c>
      <x:c r="D342" s="14" t="n">
        <x:v>85</x:v>
      </x:c>
      <x:c r="E342" s="14" t="str">
        <x:f>INDEX(Roster!$B$6:$B$108,MATCH(D342,Roster!$A$6:$A$108,0))</x:f>
      </x:c>
      <x:c r="F342" s="14" t="str">
        <x:f>INDEX(Roster!$F$6:$F$108,MATCH(D342,Roster!$A$6:$A$108,0))</x:f>
        <x:v>No</x:v>
      </x:c>
      <x:c r="G342" s="14" t="n">
        <x:f>INDEX(Inputs!$B$7:$D$7,1,MATCH(A342,Inputs!$B$6:$D$6,0))</x:f>
        <x:v>13</x:v>
      </x:c>
      <x:c r="H342" s="14" t="n">
        <x:f>MIN(=INDEX(Inputs!$B$7:$D$7,1,MATCH(A342,Inputs!$B$6:$D$6,0)),MAX(0,INDEX(Inputs!$B$14:$D$14,1,MATCH(A342,Inputs!$B$6:$D$6,0))-(C342-1)*=INDEX(Inputs!$B$7:$D$7,1,MATCH(A342,Inputs!$B$6:$D$6,0))))</x:f>
        <x:v>13</x:v>
      </x:c>
      <x:c r="I342" s="20" t="n">
        <x:f>INDEX(Inputs!$B$8:$D$8,1,MATCH(A342,Inputs!$B$6:$D$6,0))</x:f>
        <x:v>2395</x:v>
      </x:c>
      <x:c r="J342" s="20" t="n">
        <x:f>INDEX(Roster!$C$6:$C$108,MATCH(D342,Roster!$A$6:$A$108,0))*(1+INDEX(Inputs!$B$9:$D$9,1,MATCH(A342,Inputs!$B$6:$D$6,0)))</x:f>
        <x:v>204</x:v>
      </x:c>
      <x:c r="K342" s="20" t="n">
        <x:f>IF(=INDEX(Roster!$F$6:$F$108,MATCH(D342,Roster!$A$6:$A$108,0))="Yes",0,=INDEX(Inputs!$B$8:$D$8,1,MATCH(A342,Inputs!$B$6:$D$6,0))*IF(=INDEX(Roster!$B$6:$B$108,MATCH(D342,Roster!$A$6:$A$108,0))="Principal",INDEX(Inputs!$B$10:$D$10,1,MATCH(A342,Inputs!$B$6:$D$6,0)),IF(=INDEX(Roster!$B$6:$B$108,MATCH(D342,Roster!$A$6:$A$108,0))="Associate Principal",INDEX(Inputs!$B$11:$D$11,1,MATCH(A342,Inputs!$B$6:$D$6,0)),IF(=INDEX(Roster!$B$6:$B$108,MATCH(D342,Roster!$A$6:$A$108,0))="Assistant Principal",INDEX(Inputs!$B$12:$D$12,1,MATCH(A342,Inputs!$B$6:$D$6,0)),0))))</x:f>
        <x:v>0</x:v>
      </x:c>
      <x:c r="L342" s="20" t="n">
        <x:f>IF(INDEX(Roster!$D$6:$D$108,MATCH(D342,Roster!$A$6:$A$108,0))&gt;=25,INDEX(Inputs!$B$19:$D$19,1,MATCH(A342,Inputs!$B$6:$D$6,0)),IF(INDEX(Roster!$D$6:$D$108,MATCH(D342,Roster!$A$6:$A$108,0))&gt;=20,INDEX(Inputs!$B$18:$D$18,1,MATCH(A342,Inputs!$B$6:$D$6,0)),IF(INDEX(Roster!$D$6:$D$108,MATCH(D342,Roster!$A$6:$A$108,0))&gt;=15,INDEX(Inputs!$B$17:$D$17,1,MATCH(A342,Inputs!$B$6:$D$6,0)),IF(INDEX(Roster!$D$6:$D$108,MATCH(D342,Roster!$A$6:$A$108,0))&gt;=10,INDEX(Inputs!$B$16:$D$16,1,MATCH(A342,Inputs!$B$6:$D$6,0)),IF(INDEX(Roster!$D$6:$D$108,MATCH(D342,Roster!$A$6:$A$108,0))&gt;=5,INDEX(Inputs!$B$15:$D$15,1,MATCH(A342,Inputs!$B$6:$D$6,0)),0)))))</x:f>
        <x:v>90</x:v>
      </x:c>
      <x:c r="M342" s="20" t="n">
        <x:f>G342*I342</x:f>
        <x:v>31135</x:v>
      </x:c>
      <x:c r="N342" s="20" t="n">
        <x:f>G342*J342</x:f>
        <x:v>2652</x:v>
      </x:c>
      <x:c r="O342" s="20" t="n">
        <x:f>G342*K342</x:f>
        <x:v>0</x:v>
      </x:c>
      <x:c r="P342" s="20" t="n">
        <x:f>G342*L342</x:f>
        <x:v>1170</x:v>
      </x:c>
      <x:c r="Q342" s="20" t="n">
        <x:f>H342*INDEX(Inputs!$B$13:$D$13,1,MATCH(A342,Inputs!$B$6:$D$6,0))</x:f>
        <x:v>390</x:v>
      </x:c>
      <x:c r="R342" s="20" t="n">
        <x:f>SUM(M342:Q342)</x:f>
        <x:v>35347</x:v>
      </x:c>
      <x:c r="S342" s="20" t="n">
        <x:f>IF(AND(A341=A342,D341=D342),S341+R342,R342)</x:f>
        <x:v>35347</x:v>
      </x:c>
      <x:c r="T342" s="20" t="n">
        <x:f>MIN(S342,INDEX(Inputs!$B$20:$D$20,1,MATCH(A342,Inputs!$B$6:$D$6,0)))*INDEX(Inputs!$B$22:$D$22,1,MATCH(A342,Inputs!$B$6:$D$6,0))+MAX(MIN(S342,INDEX(Inputs!$B$21:$D$21,1,MATCH(A342,Inputs!$B$6:$D$6,0)))-INDEX(Inputs!$B$20:$D$20,1,MATCH(A342,Inputs!$B$6:$D$6,0)),0)*INDEX(Inputs!$B$23:$D$23,1,MATCH(A342,Inputs!$B$6:$D$6,0))+MAX(S342-INDEX(Inputs!$B$21:$D$21,1,MATCH(A342,Inputs!$B$6:$D$6,0)),0)*INDEX(Inputs!$B$24:$D$24,1,MATCH(A342,Inputs!$B$6:$D$6,0))</x:f>
        <x:v>3194.0455</x:v>
      </x:c>
      <x:c r="U342" s="20" t="n">
        <x:f>IF(AND(A341=A342,D341=D342),T341,0)</x:f>
        <x:v>0</x:v>
      </x:c>
      <x:c r="V342" s="20" t="n">
        <x:f>T342-U342</x:f>
        <x:v>3194.0455</x:v>
      </x:c>
      <x:c r="W342" s="20" t="n">
        <x:f>R342+V342</x:f>
        <x:v>38541.0455</x:v>
      </x:c>
      <x:c r="X342" s="14" t="str">
        <x:f>IF(ABS(W342-SUM(M342:Q342)-V342)&lt;0.01,"OK","Check")</x:f>
        <x:v>OK</x:v>
      </x:c>
    </x:row>
    <x:row r="343">
      <x:c r="A343" s="14" t="n">
        <x:v>2026</x:v>
      </x:c>
      <x:c r="B343" s="14" t="str">
        <x:v>Q2</x:v>
      </x:c>
      <x:c r="C343" s="14" t="n">
        <x:v>2</x:v>
      </x:c>
      <x:c r="D343" s="14" t="n">
        <x:v>85</x:v>
      </x:c>
      <x:c r="E343" s="14" t="str">
        <x:f>INDEX(Roster!$B$6:$B$108,MATCH(D343,Roster!$A$6:$A$108,0))</x:f>
      </x:c>
      <x:c r="F343" s="14" t="str">
        <x:f>INDEX(Roster!$F$6:$F$108,MATCH(D343,Roster!$A$6:$A$108,0))</x:f>
        <x:v>No</x:v>
      </x:c>
      <x:c r="G343" s="14" t="n">
        <x:f>INDEX(Inputs!$B$7:$D$7,1,MATCH(A343,Inputs!$B$6:$D$6,0))</x:f>
        <x:v>13</x:v>
      </x:c>
      <x:c r="H343" s="14" t="n">
        <x:f>MIN(=INDEX(Inputs!$B$7:$D$7,1,MATCH(A343,Inputs!$B$6:$D$6,0)),MAX(0,INDEX(Inputs!$B$14:$D$14,1,MATCH(A343,Inputs!$B$6:$D$6,0))-(C343-1)*=INDEX(Inputs!$B$7:$D$7,1,MATCH(A343,Inputs!$B$6:$D$6,0))))</x:f>
        <x:v>13</x:v>
      </x:c>
      <x:c r="I343" s="20" t="n">
        <x:f>INDEX(Inputs!$B$8:$D$8,1,MATCH(A343,Inputs!$B$6:$D$6,0))</x:f>
        <x:v>2395</x:v>
      </x:c>
      <x:c r="J343" s="20" t="n">
        <x:f>INDEX(Roster!$C$6:$C$108,MATCH(D343,Roster!$A$6:$A$108,0))*(1+INDEX(Inputs!$B$9:$D$9,1,MATCH(A343,Inputs!$B$6:$D$6,0)))</x:f>
        <x:v>204</x:v>
      </x:c>
      <x:c r="K343" s="20" t="n">
        <x:f>IF(=INDEX(Roster!$F$6:$F$108,MATCH(D343,Roster!$A$6:$A$108,0))="Yes",0,=INDEX(Inputs!$B$8:$D$8,1,MATCH(A343,Inputs!$B$6:$D$6,0))*IF(=INDEX(Roster!$B$6:$B$108,MATCH(D343,Roster!$A$6:$A$108,0))="Principal",INDEX(Inputs!$B$10:$D$10,1,MATCH(A343,Inputs!$B$6:$D$6,0)),IF(=INDEX(Roster!$B$6:$B$108,MATCH(D343,Roster!$A$6:$A$108,0))="Associate Principal",INDEX(Inputs!$B$11:$D$11,1,MATCH(A343,Inputs!$B$6:$D$6,0)),IF(=INDEX(Roster!$B$6:$B$108,MATCH(D343,Roster!$A$6:$A$108,0))="Assistant Principal",INDEX(Inputs!$B$12:$D$12,1,MATCH(A343,Inputs!$B$6:$D$6,0)),0))))</x:f>
        <x:v>0</x:v>
      </x:c>
      <x:c r="L343" s="20" t="n">
        <x:f>IF(INDEX(Roster!$D$6:$D$108,MATCH(D343,Roster!$A$6:$A$108,0))&gt;=25,INDEX(Inputs!$B$19:$D$19,1,MATCH(A343,Inputs!$B$6:$D$6,0)),IF(INDEX(Roster!$D$6:$D$108,MATCH(D343,Roster!$A$6:$A$108,0))&gt;=20,INDEX(Inputs!$B$18:$D$18,1,MATCH(A343,Inputs!$B$6:$D$6,0)),IF(INDEX(Roster!$D$6:$D$108,MATCH(D343,Roster!$A$6:$A$108,0))&gt;=15,INDEX(Inputs!$B$17:$D$17,1,MATCH(A343,Inputs!$B$6:$D$6,0)),IF(INDEX(Roster!$D$6:$D$108,MATCH(D343,Roster!$A$6:$A$108,0))&gt;=10,INDEX(Inputs!$B$16:$D$16,1,MATCH(A343,Inputs!$B$6:$D$6,0)),IF(INDEX(Roster!$D$6:$D$108,MATCH(D343,Roster!$A$6:$A$108,0))&gt;=5,INDEX(Inputs!$B$15:$D$15,1,MATCH(A343,Inputs!$B$6:$D$6,0)),0)))))</x:f>
        <x:v>90</x:v>
      </x:c>
      <x:c r="M343" s="20" t="n">
        <x:f>G343*I343</x:f>
        <x:v>31135</x:v>
      </x:c>
      <x:c r="N343" s="20" t="n">
        <x:f>G343*J343</x:f>
        <x:v>2652</x:v>
      </x:c>
      <x:c r="O343" s="20" t="n">
        <x:f>G343*K343</x:f>
        <x:v>0</x:v>
      </x:c>
      <x:c r="P343" s="20" t="n">
        <x:f>G343*L343</x:f>
        <x:v>1170</x:v>
      </x:c>
      <x:c r="Q343" s="20" t="n">
        <x:f>H343*INDEX(Inputs!$B$13:$D$13,1,MATCH(A343,Inputs!$B$6:$D$6,0))</x:f>
        <x:v>390</x:v>
      </x:c>
      <x:c r="R343" s="20" t="n">
        <x:f>SUM(M343:Q343)</x:f>
        <x:v>35347</x:v>
      </x:c>
      <x:c r="S343" s="20" t="n">
        <x:f>IF(AND(A342=A343,D342=D343),S342+R343,R343)</x:f>
        <x:v>70694</x:v>
      </x:c>
      <x:c r="T343" s="20" t="n">
        <x:f>MIN(S343,INDEX(Inputs!$B$20:$D$20,1,MATCH(A343,Inputs!$B$6:$D$6,0)))*INDEX(Inputs!$B$22:$D$22,1,MATCH(A343,Inputs!$B$6:$D$6,0))+MAX(MIN(S343,INDEX(Inputs!$B$21:$D$21,1,MATCH(A343,Inputs!$B$6:$D$6,0)))-INDEX(Inputs!$B$20:$D$20,1,MATCH(A343,Inputs!$B$6:$D$6,0)),0)*INDEX(Inputs!$B$23:$D$23,1,MATCH(A343,Inputs!$B$6:$D$6,0))+MAX(S343-INDEX(Inputs!$B$21:$D$21,1,MATCH(A343,Inputs!$B$6:$D$6,0)),0)*INDEX(Inputs!$B$24:$D$24,1,MATCH(A343,Inputs!$B$6:$D$6,0))</x:f>
        <x:v>5898.091</x:v>
      </x:c>
      <x:c r="U343" s="20" t="n">
        <x:f>IF(AND(A342=A343,D342=D343),T342,0)</x:f>
        <x:v>3194.0455</x:v>
      </x:c>
      <x:c r="V343" s="20" t="n">
        <x:f>T343-U343</x:f>
        <x:v>2704.0455</x:v>
      </x:c>
      <x:c r="W343" s="20" t="n">
        <x:f>R343+V343</x:f>
        <x:v>38051.0455</x:v>
      </x:c>
      <x:c r="X343" s="14" t="str">
        <x:f>IF(ABS(W343-SUM(M343:Q343)-V343)&lt;0.01,"OK","Check")</x:f>
        <x:v>OK</x:v>
      </x:c>
    </x:row>
    <x:row r="344">
      <x:c r="A344" s="14" t="n">
        <x:v>2026</x:v>
      </x:c>
      <x:c r="B344" s="14" t="str">
        <x:v>Q3</x:v>
      </x:c>
      <x:c r="C344" s="14" t="n">
        <x:v>3</x:v>
      </x:c>
      <x:c r="D344" s="14" t="n">
        <x:v>85</x:v>
      </x:c>
      <x:c r="E344" s="14" t="str">
        <x:f>INDEX(Roster!$B$6:$B$108,MATCH(D344,Roster!$A$6:$A$108,0))</x:f>
      </x:c>
      <x:c r="F344" s="14" t="str">
        <x:f>INDEX(Roster!$F$6:$F$108,MATCH(D344,Roster!$A$6:$A$108,0))</x:f>
        <x:v>No</x:v>
      </x:c>
      <x:c r="G344" s="14" t="n">
        <x:f>INDEX(Inputs!$B$7:$D$7,1,MATCH(A344,Inputs!$B$6:$D$6,0))</x:f>
        <x:v>13</x:v>
      </x:c>
      <x:c r="H344" s="14" t="n">
        <x:f>MIN(=INDEX(Inputs!$B$7:$D$7,1,MATCH(A344,Inputs!$B$6:$D$6,0)),MAX(0,INDEX(Inputs!$B$14:$D$14,1,MATCH(A344,Inputs!$B$6:$D$6,0))-(C344-1)*=INDEX(Inputs!$B$7:$D$7,1,MATCH(A344,Inputs!$B$6:$D$6,0))))</x:f>
        <x:v>13</x:v>
      </x:c>
      <x:c r="I344" s="20" t="n">
        <x:f>INDEX(Inputs!$B$8:$D$8,1,MATCH(A344,Inputs!$B$6:$D$6,0))</x:f>
        <x:v>2395</x:v>
      </x:c>
      <x:c r="J344" s="20" t="n">
        <x:f>INDEX(Roster!$C$6:$C$108,MATCH(D344,Roster!$A$6:$A$108,0))*(1+INDEX(Inputs!$B$9:$D$9,1,MATCH(A344,Inputs!$B$6:$D$6,0)))</x:f>
        <x:v>204</x:v>
      </x:c>
      <x:c r="K344" s="20" t="n">
        <x:f>IF(=INDEX(Roster!$F$6:$F$108,MATCH(D344,Roster!$A$6:$A$108,0))="Yes",0,=INDEX(Inputs!$B$8:$D$8,1,MATCH(A344,Inputs!$B$6:$D$6,0))*IF(=INDEX(Roster!$B$6:$B$108,MATCH(D344,Roster!$A$6:$A$108,0))="Principal",INDEX(Inputs!$B$10:$D$10,1,MATCH(A344,Inputs!$B$6:$D$6,0)),IF(=INDEX(Roster!$B$6:$B$108,MATCH(D344,Roster!$A$6:$A$108,0))="Associate Principal",INDEX(Inputs!$B$11:$D$11,1,MATCH(A344,Inputs!$B$6:$D$6,0)),IF(=INDEX(Roster!$B$6:$B$108,MATCH(D344,Roster!$A$6:$A$108,0))="Assistant Principal",INDEX(Inputs!$B$12:$D$12,1,MATCH(A344,Inputs!$B$6:$D$6,0)),0))))</x:f>
        <x:v>0</x:v>
      </x:c>
      <x:c r="L344" s="20" t="n">
        <x:f>IF(INDEX(Roster!$D$6:$D$108,MATCH(D344,Roster!$A$6:$A$108,0))&gt;=25,INDEX(Inputs!$B$19:$D$19,1,MATCH(A344,Inputs!$B$6:$D$6,0)),IF(INDEX(Roster!$D$6:$D$108,MATCH(D344,Roster!$A$6:$A$108,0))&gt;=20,INDEX(Inputs!$B$18:$D$18,1,MATCH(A344,Inputs!$B$6:$D$6,0)),IF(INDEX(Roster!$D$6:$D$108,MATCH(D344,Roster!$A$6:$A$108,0))&gt;=15,INDEX(Inputs!$B$17:$D$17,1,MATCH(A344,Inputs!$B$6:$D$6,0)),IF(INDEX(Roster!$D$6:$D$108,MATCH(D344,Roster!$A$6:$A$108,0))&gt;=10,INDEX(Inputs!$B$16:$D$16,1,MATCH(A344,Inputs!$B$6:$D$6,0)),IF(INDEX(Roster!$D$6:$D$108,MATCH(D344,Roster!$A$6:$A$108,0))&gt;=5,INDEX(Inputs!$B$15:$D$15,1,MATCH(A344,Inputs!$B$6:$D$6,0)),0)))))</x:f>
        <x:v>90</x:v>
      </x:c>
      <x:c r="M344" s="20" t="n">
        <x:f>G344*I344</x:f>
        <x:v>31135</x:v>
      </x:c>
      <x:c r="N344" s="20" t="n">
        <x:f>G344*J344</x:f>
        <x:v>2652</x:v>
      </x:c>
      <x:c r="O344" s="20" t="n">
        <x:f>G344*K344</x:f>
        <x:v>0</x:v>
      </x:c>
      <x:c r="P344" s="20" t="n">
        <x:f>G344*L344</x:f>
        <x:v>1170</x:v>
      </x:c>
      <x:c r="Q344" s="20" t="n">
        <x:f>H344*INDEX(Inputs!$B$13:$D$13,1,MATCH(A344,Inputs!$B$6:$D$6,0))</x:f>
        <x:v>390</x:v>
      </x:c>
      <x:c r="R344" s="20" t="n">
        <x:f>SUM(M344:Q344)</x:f>
        <x:v>35347</x:v>
      </x:c>
      <x:c r="S344" s="20" t="n">
        <x:f>IF(AND(A343=A344,D343=D344),S343+R344,R344)</x:f>
        <x:v>106041</x:v>
      </x:c>
      <x:c r="T344" s="20" t="n">
        <x:f>MIN(S344,INDEX(Inputs!$B$20:$D$20,1,MATCH(A344,Inputs!$B$6:$D$6,0)))*INDEX(Inputs!$B$22:$D$22,1,MATCH(A344,Inputs!$B$6:$D$6,0))+MAX(MIN(S344,INDEX(Inputs!$B$21:$D$21,1,MATCH(A344,Inputs!$B$6:$D$6,0)))-INDEX(Inputs!$B$20:$D$20,1,MATCH(A344,Inputs!$B$6:$D$6,0)),0)*INDEX(Inputs!$B$23:$D$23,1,MATCH(A344,Inputs!$B$6:$D$6,0))+MAX(S344-INDEX(Inputs!$B$21:$D$21,1,MATCH(A344,Inputs!$B$6:$D$6,0)),0)*INDEX(Inputs!$B$24:$D$24,1,MATCH(A344,Inputs!$B$6:$D$6,0))</x:f>
        <x:v>8602.1365</x:v>
      </x:c>
      <x:c r="U344" s="20" t="n">
        <x:f>IF(AND(A343=A344,D343=D344),T343,0)</x:f>
        <x:v>5898.091</x:v>
      </x:c>
      <x:c r="V344" s="20" t="n">
        <x:f>T344-U344</x:f>
        <x:v>2704.0455</x:v>
      </x:c>
      <x:c r="W344" s="20" t="n">
        <x:f>R344+V344</x:f>
        <x:v>38051.0455</x:v>
      </x:c>
      <x:c r="X344" s="14" t="str">
        <x:f>IF(ABS(W344-SUM(M344:Q344)-V344)&lt;0.01,"OK","Check")</x:f>
        <x:v>OK</x:v>
      </x:c>
    </x:row>
    <x:row r="345">
      <x:c r="A345" s="14" t="n">
        <x:v>2026</x:v>
      </x:c>
      <x:c r="B345" s="14" t="str">
        <x:v>Q4</x:v>
      </x:c>
      <x:c r="C345" s="14" t="n">
        <x:v>4</x:v>
      </x:c>
      <x:c r="D345" s="14" t="n">
        <x:v>85</x:v>
      </x:c>
      <x:c r="E345" s="14" t="str">
        <x:f>INDEX(Roster!$B$6:$B$108,MATCH(D345,Roster!$A$6:$A$108,0))</x:f>
      </x:c>
      <x:c r="F345" s="14" t="str">
        <x:f>INDEX(Roster!$F$6:$F$108,MATCH(D345,Roster!$A$6:$A$108,0))</x:f>
        <x:v>No</x:v>
      </x:c>
      <x:c r="G345" s="14" t="n">
        <x:f>INDEX(Inputs!$B$7:$D$7,1,MATCH(A345,Inputs!$B$6:$D$6,0))</x:f>
        <x:v>13</x:v>
      </x:c>
      <x:c r="H345" s="14" t="n">
        <x:f>MIN(=INDEX(Inputs!$B$7:$D$7,1,MATCH(A345,Inputs!$B$6:$D$6,0)),MAX(0,INDEX(Inputs!$B$14:$D$14,1,MATCH(A345,Inputs!$B$6:$D$6,0))-(C345-1)*=INDEX(Inputs!$B$7:$D$7,1,MATCH(A345,Inputs!$B$6:$D$6,0))))</x:f>
        <x:v>0</x:v>
      </x:c>
      <x:c r="I345" s="20" t="n">
        <x:f>INDEX(Inputs!$B$8:$D$8,1,MATCH(A345,Inputs!$B$6:$D$6,0))</x:f>
        <x:v>2395</x:v>
      </x:c>
      <x:c r="J345" s="20" t="n">
        <x:f>INDEX(Roster!$C$6:$C$108,MATCH(D345,Roster!$A$6:$A$108,0))*(1+INDEX(Inputs!$B$9:$D$9,1,MATCH(A345,Inputs!$B$6:$D$6,0)))</x:f>
        <x:v>204</x:v>
      </x:c>
      <x:c r="K345" s="20" t="n">
        <x:f>IF(=INDEX(Roster!$F$6:$F$108,MATCH(D345,Roster!$A$6:$A$108,0))="Yes",0,=INDEX(Inputs!$B$8:$D$8,1,MATCH(A345,Inputs!$B$6:$D$6,0))*IF(=INDEX(Roster!$B$6:$B$108,MATCH(D345,Roster!$A$6:$A$108,0))="Principal",INDEX(Inputs!$B$10:$D$10,1,MATCH(A345,Inputs!$B$6:$D$6,0)),IF(=INDEX(Roster!$B$6:$B$108,MATCH(D345,Roster!$A$6:$A$108,0))="Associate Principal",INDEX(Inputs!$B$11:$D$11,1,MATCH(A345,Inputs!$B$6:$D$6,0)),IF(=INDEX(Roster!$B$6:$B$108,MATCH(D345,Roster!$A$6:$A$108,0))="Assistant Principal",INDEX(Inputs!$B$12:$D$12,1,MATCH(A345,Inputs!$B$6:$D$6,0)),0))))</x:f>
        <x:v>0</x:v>
      </x:c>
      <x:c r="L345" s="20" t="n">
        <x:f>IF(INDEX(Roster!$D$6:$D$108,MATCH(D345,Roster!$A$6:$A$108,0))&gt;=25,INDEX(Inputs!$B$19:$D$19,1,MATCH(A345,Inputs!$B$6:$D$6,0)),IF(INDEX(Roster!$D$6:$D$108,MATCH(D345,Roster!$A$6:$A$108,0))&gt;=20,INDEX(Inputs!$B$18:$D$18,1,MATCH(A345,Inputs!$B$6:$D$6,0)),IF(INDEX(Roster!$D$6:$D$108,MATCH(D345,Roster!$A$6:$A$108,0))&gt;=15,INDEX(Inputs!$B$17:$D$17,1,MATCH(A345,Inputs!$B$6:$D$6,0)),IF(INDEX(Roster!$D$6:$D$108,MATCH(D345,Roster!$A$6:$A$108,0))&gt;=10,INDEX(Inputs!$B$16:$D$16,1,MATCH(A345,Inputs!$B$6:$D$6,0)),IF(INDEX(Roster!$D$6:$D$108,MATCH(D345,Roster!$A$6:$A$108,0))&gt;=5,INDEX(Inputs!$B$15:$D$15,1,MATCH(A345,Inputs!$B$6:$D$6,0)),0)))))</x:f>
        <x:v>90</x:v>
      </x:c>
      <x:c r="M345" s="20" t="n">
        <x:f>G345*I345</x:f>
        <x:v>31135</x:v>
      </x:c>
      <x:c r="N345" s="20" t="n">
        <x:f>G345*J345</x:f>
        <x:v>2652</x:v>
      </x:c>
      <x:c r="O345" s="20" t="n">
        <x:f>G345*K345</x:f>
        <x:v>0</x:v>
      </x:c>
      <x:c r="P345" s="20" t="n">
        <x:f>G345*L345</x:f>
        <x:v>1170</x:v>
      </x:c>
      <x:c r="Q345" s="20" t="n">
        <x:f>H345*INDEX(Inputs!$B$13:$D$13,1,MATCH(A345,Inputs!$B$6:$D$6,0))</x:f>
        <x:v>0</x:v>
      </x:c>
      <x:c r="R345" s="20" t="n">
        <x:f>SUM(M345:Q345)</x:f>
        <x:v>34957</x:v>
      </x:c>
      <x:c r="S345" s="20" t="n">
        <x:f>IF(AND(A344=A345,D344=D345),S344+R345,R345)</x:f>
        <x:v>140998</x:v>
      </x:c>
      <x:c r="T345" s="20" t="n">
        <x:f>MIN(S345,INDEX(Inputs!$B$20:$D$20,1,MATCH(A345,Inputs!$B$6:$D$6,0)))*INDEX(Inputs!$B$22:$D$22,1,MATCH(A345,Inputs!$B$6:$D$6,0))+MAX(MIN(S345,INDEX(Inputs!$B$21:$D$21,1,MATCH(A345,Inputs!$B$6:$D$6,0)))-INDEX(Inputs!$B$20:$D$20,1,MATCH(A345,Inputs!$B$6:$D$6,0)),0)*INDEX(Inputs!$B$23:$D$23,1,MATCH(A345,Inputs!$B$6:$D$6,0))+MAX(S345-INDEX(Inputs!$B$21:$D$21,1,MATCH(A345,Inputs!$B$6:$D$6,0)),0)*INDEX(Inputs!$B$24:$D$24,1,MATCH(A345,Inputs!$B$6:$D$6,0))</x:f>
        <x:v>9958.413</x:v>
      </x:c>
      <x:c r="U345" s="20" t="n">
        <x:f>IF(AND(A344=A345,D344=D345),T344,0)</x:f>
        <x:v>8602.1365</x:v>
      </x:c>
      <x:c r="V345" s="20" t="n">
        <x:f>T345-U345</x:f>
        <x:v>1356.2765</x:v>
      </x:c>
      <x:c r="W345" s="20" t="n">
        <x:f>R345+V345</x:f>
        <x:v>36313.2765</x:v>
      </x:c>
      <x:c r="X345" s="14" t="str">
        <x:f>IF(ABS(W345-SUM(M345:Q345)-V345)&lt;0.01,"OK","Check")</x:f>
        <x:v>OK</x:v>
      </x:c>
    </x:row>
    <x:row r="346">
      <x:c r="A346" s="14" t="n">
        <x:v>2026</x:v>
      </x:c>
      <x:c r="B346" s="14" t="str">
        <x:v>Q1</x:v>
      </x:c>
      <x:c r="C346" s="14" t="n">
        <x:v>1</x:v>
      </x:c>
      <x:c r="D346" s="14" t="n">
        <x:v>86</x:v>
      </x:c>
      <x:c r="E346" s="14" t="str">
        <x:f>INDEX(Roster!$B$6:$B$108,MATCH(D346,Roster!$A$6:$A$108,0))</x:f>
      </x:c>
      <x:c r="F346" s="14" t="str">
        <x:f>INDEX(Roster!$F$6:$F$108,MATCH(D346,Roster!$A$6:$A$108,0))</x:f>
        <x:v>No</x:v>
      </x:c>
      <x:c r="G346" s="14" t="n">
        <x:f>INDEX(Inputs!$B$7:$D$7,1,MATCH(A346,Inputs!$B$6:$D$6,0))</x:f>
        <x:v>13</x:v>
      </x:c>
      <x:c r="H346" s="14" t="n">
        <x:f>MIN(=INDEX(Inputs!$B$7:$D$7,1,MATCH(A346,Inputs!$B$6:$D$6,0)),MAX(0,INDEX(Inputs!$B$14:$D$14,1,MATCH(A346,Inputs!$B$6:$D$6,0))-(C346-1)*=INDEX(Inputs!$B$7:$D$7,1,MATCH(A346,Inputs!$B$6:$D$6,0))))</x:f>
        <x:v>13</x:v>
      </x:c>
      <x:c r="I346" s="20" t="n">
        <x:f>INDEX(Inputs!$B$8:$D$8,1,MATCH(A346,Inputs!$B$6:$D$6,0))</x:f>
        <x:v>2395</x:v>
      </x:c>
      <x:c r="J346" s="20" t="n">
        <x:f>INDEX(Roster!$C$6:$C$108,MATCH(D346,Roster!$A$6:$A$108,0))*(1+INDEX(Inputs!$B$9:$D$9,1,MATCH(A346,Inputs!$B$6:$D$6,0)))</x:f>
        <x:v>75</x:v>
      </x:c>
      <x:c r="K346" s="20" t="n">
        <x:f>IF(=INDEX(Roster!$F$6:$F$108,MATCH(D346,Roster!$A$6:$A$108,0))="Yes",0,=INDEX(Inputs!$B$8:$D$8,1,MATCH(A346,Inputs!$B$6:$D$6,0))*IF(=INDEX(Roster!$B$6:$B$108,MATCH(D346,Roster!$A$6:$A$108,0))="Principal",INDEX(Inputs!$B$10:$D$10,1,MATCH(A346,Inputs!$B$6:$D$6,0)),IF(=INDEX(Roster!$B$6:$B$108,MATCH(D346,Roster!$A$6:$A$108,0))="Associate Principal",INDEX(Inputs!$B$11:$D$11,1,MATCH(A346,Inputs!$B$6:$D$6,0)),IF(=INDEX(Roster!$B$6:$B$108,MATCH(D346,Roster!$A$6:$A$108,0))="Assistant Principal",INDEX(Inputs!$B$12:$D$12,1,MATCH(A346,Inputs!$B$6:$D$6,0)),0))))</x:f>
        <x:v>0</x:v>
      </x:c>
      <x:c r="L346" s="20" t="n">
        <x:f>IF(INDEX(Roster!$D$6:$D$108,MATCH(D346,Roster!$A$6:$A$108,0))&gt;=25,INDEX(Inputs!$B$19:$D$19,1,MATCH(A346,Inputs!$B$6:$D$6,0)),IF(INDEX(Roster!$D$6:$D$108,MATCH(D346,Roster!$A$6:$A$108,0))&gt;=20,INDEX(Inputs!$B$18:$D$18,1,MATCH(A346,Inputs!$B$6:$D$6,0)),IF(INDEX(Roster!$D$6:$D$108,MATCH(D346,Roster!$A$6:$A$108,0))&gt;=15,INDEX(Inputs!$B$17:$D$17,1,MATCH(A346,Inputs!$B$6:$D$6,0)),IF(INDEX(Roster!$D$6:$D$108,MATCH(D346,Roster!$A$6:$A$108,0))&gt;=10,INDEX(Inputs!$B$16:$D$16,1,MATCH(A346,Inputs!$B$6:$D$6,0)),IF(INDEX(Roster!$D$6:$D$108,MATCH(D346,Roster!$A$6:$A$108,0))&gt;=5,INDEX(Inputs!$B$15:$D$15,1,MATCH(A346,Inputs!$B$6:$D$6,0)),0)))))</x:f>
        <x:v>90</x:v>
      </x:c>
      <x:c r="M346" s="20" t="n">
        <x:f>G346*I346</x:f>
        <x:v>31135</x:v>
      </x:c>
      <x:c r="N346" s="20" t="n">
        <x:f>G346*J346</x:f>
        <x:v>975</x:v>
      </x:c>
      <x:c r="O346" s="20" t="n">
        <x:f>G346*K346</x:f>
        <x:v>0</x:v>
      </x:c>
      <x:c r="P346" s="20" t="n">
        <x:f>G346*L346</x:f>
        <x:v>1170</x:v>
      </x:c>
      <x:c r="Q346" s="20" t="n">
        <x:f>H346*INDEX(Inputs!$B$13:$D$13,1,MATCH(A346,Inputs!$B$6:$D$6,0))</x:f>
        <x:v>390</x:v>
      </x:c>
      <x:c r="R346" s="20" t="n">
        <x:f>SUM(M346:Q346)</x:f>
        <x:v>33670</x:v>
      </x:c>
      <x:c r="S346" s="20" t="n">
        <x:f>IF(AND(A345=A346,D345=D346),S345+R346,R346)</x:f>
        <x:v>33670</x:v>
      </x:c>
      <x:c r="T346" s="20" t="n">
        <x:f>MIN(S346,INDEX(Inputs!$B$20:$D$20,1,MATCH(A346,Inputs!$B$6:$D$6,0)))*INDEX(Inputs!$B$22:$D$22,1,MATCH(A346,Inputs!$B$6:$D$6,0))+MAX(MIN(S346,INDEX(Inputs!$B$21:$D$21,1,MATCH(A346,Inputs!$B$6:$D$6,0)))-INDEX(Inputs!$B$20:$D$20,1,MATCH(A346,Inputs!$B$6:$D$6,0)),0)*INDEX(Inputs!$B$23:$D$23,1,MATCH(A346,Inputs!$B$6:$D$6,0))+MAX(S346-INDEX(Inputs!$B$21:$D$21,1,MATCH(A346,Inputs!$B$6:$D$6,0)),0)*INDEX(Inputs!$B$24:$D$24,1,MATCH(A346,Inputs!$B$6:$D$6,0))</x:f>
        <x:v>3065.755</x:v>
      </x:c>
      <x:c r="U346" s="20" t="n">
        <x:f>IF(AND(A345=A346,D345=D346),T345,0)</x:f>
        <x:v>0</x:v>
      </x:c>
      <x:c r="V346" s="20" t="n">
        <x:f>T346-U346</x:f>
        <x:v>3065.755</x:v>
      </x:c>
      <x:c r="W346" s="20" t="n">
        <x:f>R346+V346</x:f>
        <x:v>36735.755</x:v>
      </x:c>
      <x:c r="X346" s="14" t="str">
        <x:f>IF(ABS(W346-SUM(M346:Q346)-V346)&lt;0.01,"OK","Check")</x:f>
        <x:v>OK</x:v>
      </x:c>
    </x:row>
    <x:row r="347">
      <x:c r="A347" s="14" t="n">
        <x:v>2026</x:v>
      </x:c>
      <x:c r="B347" s="14" t="str">
        <x:v>Q2</x:v>
      </x:c>
      <x:c r="C347" s="14" t="n">
        <x:v>2</x:v>
      </x:c>
      <x:c r="D347" s="14" t="n">
        <x:v>86</x:v>
      </x:c>
      <x:c r="E347" s="14" t="str">
        <x:f>INDEX(Roster!$B$6:$B$108,MATCH(D347,Roster!$A$6:$A$108,0))</x:f>
      </x:c>
      <x:c r="F347" s="14" t="str">
        <x:f>INDEX(Roster!$F$6:$F$108,MATCH(D347,Roster!$A$6:$A$108,0))</x:f>
        <x:v>No</x:v>
      </x:c>
      <x:c r="G347" s="14" t="n">
        <x:f>INDEX(Inputs!$B$7:$D$7,1,MATCH(A347,Inputs!$B$6:$D$6,0))</x:f>
        <x:v>13</x:v>
      </x:c>
      <x:c r="H347" s="14" t="n">
        <x:f>MIN(=INDEX(Inputs!$B$7:$D$7,1,MATCH(A347,Inputs!$B$6:$D$6,0)),MAX(0,INDEX(Inputs!$B$14:$D$14,1,MATCH(A347,Inputs!$B$6:$D$6,0))-(C347-1)*=INDEX(Inputs!$B$7:$D$7,1,MATCH(A347,Inputs!$B$6:$D$6,0))))</x:f>
        <x:v>13</x:v>
      </x:c>
      <x:c r="I347" s="20" t="n">
        <x:f>INDEX(Inputs!$B$8:$D$8,1,MATCH(A347,Inputs!$B$6:$D$6,0))</x:f>
        <x:v>2395</x:v>
      </x:c>
      <x:c r="J347" s="20" t="n">
        <x:f>INDEX(Roster!$C$6:$C$108,MATCH(D347,Roster!$A$6:$A$108,0))*(1+INDEX(Inputs!$B$9:$D$9,1,MATCH(A347,Inputs!$B$6:$D$6,0)))</x:f>
        <x:v>75</x:v>
      </x:c>
      <x:c r="K347" s="20" t="n">
        <x:f>IF(=INDEX(Roster!$F$6:$F$108,MATCH(D347,Roster!$A$6:$A$108,0))="Yes",0,=INDEX(Inputs!$B$8:$D$8,1,MATCH(A347,Inputs!$B$6:$D$6,0))*IF(=INDEX(Roster!$B$6:$B$108,MATCH(D347,Roster!$A$6:$A$108,0))="Principal",INDEX(Inputs!$B$10:$D$10,1,MATCH(A347,Inputs!$B$6:$D$6,0)),IF(=INDEX(Roster!$B$6:$B$108,MATCH(D347,Roster!$A$6:$A$108,0))="Associate Principal",INDEX(Inputs!$B$11:$D$11,1,MATCH(A347,Inputs!$B$6:$D$6,0)),IF(=INDEX(Roster!$B$6:$B$108,MATCH(D347,Roster!$A$6:$A$108,0))="Assistant Principal",INDEX(Inputs!$B$12:$D$12,1,MATCH(A347,Inputs!$B$6:$D$6,0)),0))))</x:f>
        <x:v>0</x:v>
      </x:c>
      <x:c r="L347" s="20" t="n">
        <x:f>IF(INDEX(Roster!$D$6:$D$108,MATCH(D347,Roster!$A$6:$A$108,0))&gt;=25,INDEX(Inputs!$B$19:$D$19,1,MATCH(A347,Inputs!$B$6:$D$6,0)),IF(INDEX(Roster!$D$6:$D$108,MATCH(D347,Roster!$A$6:$A$108,0))&gt;=20,INDEX(Inputs!$B$18:$D$18,1,MATCH(A347,Inputs!$B$6:$D$6,0)),IF(INDEX(Roster!$D$6:$D$108,MATCH(D347,Roster!$A$6:$A$108,0))&gt;=15,INDEX(Inputs!$B$17:$D$17,1,MATCH(A347,Inputs!$B$6:$D$6,0)),IF(INDEX(Roster!$D$6:$D$108,MATCH(D347,Roster!$A$6:$A$108,0))&gt;=10,INDEX(Inputs!$B$16:$D$16,1,MATCH(A347,Inputs!$B$6:$D$6,0)),IF(INDEX(Roster!$D$6:$D$108,MATCH(D347,Roster!$A$6:$A$108,0))&gt;=5,INDEX(Inputs!$B$15:$D$15,1,MATCH(A347,Inputs!$B$6:$D$6,0)),0)))))</x:f>
        <x:v>90</x:v>
      </x:c>
      <x:c r="M347" s="20" t="n">
        <x:f>G347*I347</x:f>
        <x:v>31135</x:v>
      </x:c>
      <x:c r="N347" s="20" t="n">
        <x:f>G347*J347</x:f>
        <x:v>975</x:v>
      </x:c>
      <x:c r="O347" s="20" t="n">
        <x:f>G347*K347</x:f>
        <x:v>0</x:v>
      </x:c>
      <x:c r="P347" s="20" t="n">
        <x:f>G347*L347</x:f>
        <x:v>1170</x:v>
      </x:c>
      <x:c r="Q347" s="20" t="n">
        <x:f>H347*INDEX(Inputs!$B$13:$D$13,1,MATCH(A347,Inputs!$B$6:$D$6,0))</x:f>
        <x:v>390</x:v>
      </x:c>
      <x:c r="R347" s="20" t="n">
        <x:f>SUM(M347:Q347)</x:f>
        <x:v>33670</x:v>
      </x:c>
      <x:c r="S347" s="20" t="n">
        <x:f>IF(AND(A346=A347,D346=D347),S346+R347,R347)</x:f>
        <x:v>67340</x:v>
      </x:c>
      <x:c r="T347" s="20" t="n">
        <x:f>MIN(S347,INDEX(Inputs!$B$20:$D$20,1,MATCH(A347,Inputs!$B$6:$D$6,0)))*INDEX(Inputs!$B$22:$D$22,1,MATCH(A347,Inputs!$B$6:$D$6,0))+MAX(MIN(S347,INDEX(Inputs!$B$21:$D$21,1,MATCH(A347,Inputs!$B$6:$D$6,0)))-INDEX(Inputs!$B$20:$D$20,1,MATCH(A347,Inputs!$B$6:$D$6,0)),0)*INDEX(Inputs!$B$23:$D$23,1,MATCH(A347,Inputs!$B$6:$D$6,0))+MAX(S347-INDEX(Inputs!$B$21:$D$21,1,MATCH(A347,Inputs!$B$6:$D$6,0)),0)*INDEX(Inputs!$B$24:$D$24,1,MATCH(A347,Inputs!$B$6:$D$6,0))</x:f>
        <x:v>5641.51</x:v>
      </x:c>
      <x:c r="U347" s="20" t="n">
        <x:f>IF(AND(A346=A347,D346=D347),T346,0)</x:f>
        <x:v>3065.755</x:v>
      </x:c>
      <x:c r="V347" s="20" t="n">
        <x:f>T347-U347</x:f>
        <x:v>2575.755</x:v>
      </x:c>
      <x:c r="W347" s="20" t="n">
        <x:f>R347+V347</x:f>
        <x:v>36245.755</x:v>
      </x:c>
      <x:c r="X347" s="14" t="str">
        <x:f>IF(ABS(W347-SUM(M347:Q347)-V347)&lt;0.01,"OK","Check")</x:f>
        <x:v>OK</x:v>
      </x:c>
    </x:row>
    <x:row r="348">
      <x:c r="A348" s="14" t="n">
        <x:v>2026</x:v>
      </x:c>
      <x:c r="B348" s="14" t="str">
        <x:v>Q3</x:v>
      </x:c>
      <x:c r="C348" s="14" t="n">
        <x:v>3</x:v>
      </x:c>
      <x:c r="D348" s="14" t="n">
        <x:v>86</x:v>
      </x:c>
      <x:c r="E348" s="14" t="str">
        <x:f>INDEX(Roster!$B$6:$B$108,MATCH(D348,Roster!$A$6:$A$108,0))</x:f>
      </x:c>
      <x:c r="F348" s="14" t="str">
        <x:f>INDEX(Roster!$F$6:$F$108,MATCH(D348,Roster!$A$6:$A$108,0))</x:f>
        <x:v>No</x:v>
      </x:c>
      <x:c r="G348" s="14" t="n">
        <x:f>INDEX(Inputs!$B$7:$D$7,1,MATCH(A348,Inputs!$B$6:$D$6,0))</x:f>
        <x:v>13</x:v>
      </x:c>
      <x:c r="H348" s="14" t="n">
        <x:f>MIN(=INDEX(Inputs!$B$7:$D$7,1,MATCH(A348,Inputs!$B$6:$D$6,0)),MAX(0,INDEX(Inputs!$B$14:$D$14,1,MATCH(A348,Inputs!$B$6:$D$6,0))-(C348-1)*=INDEX(Inputs!$B$7:$D$7,1,MATCH(A348,Inputs!$B$6:$D$6,0))))</x:f>
        <x:v>13</x:v>
      </x:c>
      <x:c r="I348" s="20" t="n">
        <x:f>INDEX(Inputs!$B$8:$D$8,1,MATCH(A348,Inputs!$B$6:$D$6,0))</x:f>
        <x:v>2395</x:v>
      </x:c>
      <x:c r="J348" s="20" t="n">
        <x:f>INDEX(Roster!$C$6:$C$108,MATCH(D348,Roster!$A$6:$A$108,0))*(1+INDEX(Inputs!$B$9:$D$9,1,MATCH(A348,Inputs!$B$6:$D$6,0)))</x:f>
        <x:v>75</x:v>
      </x:c>
      <x:c r="K348" s="20" t="n">
        <x:f>IF(=INDEX(Roster!$F$6:$F$108,MATCH(D348,Roster!$A$6:$A$108,0))="Yes",0,=INDEX(Inputs!$B$8:$D$8,1,MATCH(A348,Inputs!$B$6:$D$6,0))*IF(=INDEX(Roster!$B$6:$B$108,MATCH(D348,Roster!$A$6:$A$108,0))="Principal",INDEX(Inputs!$B$10:$D$10,1,MATCH(A348,Inputs!$B$6:$D$6,0)),IF(=INDEX(Roster!$B$6:$B$108,MATCH(D348,Roster!$A$6:$A$108,0))="Associate Principal",INDEX(Inputs!$B$11:$D$11,1,MATCH(A348,Inputs!$B$6:$D$6,0)),IF(=INDEX(Roster!$B$6:$B$108,MATCH(D348,Roster!$A$6:$A$108,0))="Assistant Principal",INDEX(Inputs!$B$12:$D$12,1,MATCH(A348,Inputs!$B$6:$D$6,0)),0))))</x:f>
        <x:v>0</x:v>
      </x:c>
      <x:c r="L348" s="20" t="n">
        <x:f>IF(INDEX(Roster!$D$6:$D$108,MATCH(D348,Roster!$A$6:$A$108,0))&gt;=25,INDEX(Inputs!$B$19:$D$19,1,MATCH(A348,Inputs!$B$6:$D$6,0)),IF(INDEX(Roster!$D$6:$D$108,MATCH(D348,Roster!$A$6:$A$108,0))&gt;=20,INDEX(Inputs!$B$18:$D$18,1,MATCH(A348,Inputs!$B$6:$D$6,0)),IF(INDEX(Roster!$D$6:$D$108,MATCH(D348,Roster!$A$6:$A$108,0))&gt;=15,INDEX(Inputs!$B$17:$D$17,1,MATCH(A348,Inputs!$B$6:$D$6,0)),IF(INDEX(Roster!$D$6:$D$108,MATCH(D348,Roster!$A$6:$A$108,0))&gt;=10,INDEX(Inputs!$B$16:$D$16,1,MATCH(A348,Inputs!$B$6:$D$6,0)),IF(INDEX(Roster!$D$6:$D$108,MATCH(D348,Roster!$A$6:$A$108,0))&gt;=5,INDEX(Inputs!$B$15:$D$15,1,MATCH(A348,Inputs!$B$6:$D$6,0)),0)))))</x:f>
        <x:v>90</x:v>
      </x:c>
      <x:c r="M348" s="20" t="n">
        <x:f>G348*I348</x:f>
        <x:v>31135</x:v>
      </x:c>
      <x:c r="N348" s="20" t="n">
        <x:f>G348*J348</x:f>
        <x:v>975</x:v>
      </x:c>
      <x:c r="O348" s="20" t="n">
        <x:f>G348*K348</x:f>
        <x:v>0</x:v>
      </x:c>
      <x:c r="P348" s="20" t="n">
        <x:f>G348*L348</x:f>
        <x:v>1170</x:v>
      </x:c>
      <x:c r="Q348" s="20" t="n">
        <x:f>H348*INDEX(Inputs!$B$13:$D$13,1,MATCH(A348,Inputs!$B$6:$D$6,0))</x:f>
        <x:v>390</x:v>
      </x:c>
      <x:c r="R348" s="20" t="n">
        <x:f>SUM(M348:Q348)</x:f>
        <x:v>33670</x:v>
      </x:c>
      <x:c r="S348" s="20" t="n">
        <x:f>IF(AND(A347=A348,D347=D348),S347+R348,R348)</x:f>
        <x:v>101010</x:v>
      </x:c>
      <x:c r="T348" s="20" t="n">
        <x:f>MIN(S348,INDEX(Inputs!$B$20:$D$20,1,MATCH(A348,Inputs!$B$6:$D$6,0)))*INDEX(Inputs!$B$22:$D$22,1,MATCH(A348,Inputs!$B$6:$D$6,0))+MAX(MIN(S348,INDEX(Inputs!$B$21:$D$21,1,MATCH(A348,Inputs!$B$6:$D$6,0)))-INDEX(Inputs!$B$20:$D$20,1,MATCH(A348,Inputs!$B$6:$D$6,0)),0)*INDEX(Inputs!$B$23:$D$23,1,MATCH(A348,Inputs!$B$6:$D$6,0))+MAX(S348-INDEX(Inputs!$B$21:$D$21,1,MATCH(A348,Inputs!$B$6:$D$6,0)),0)*INDEX(Inputs!$B$24:$D$24,1,MATCH(A348,Inputs!$B$6:$D$6,0))</x:f>
        <x:v>8217.265</x:v>
      </x:c>
      <x:c r="U348" s="20" t="n">
        <x:f>IF(AND(A347=A348,D347=D348),T347,0)</x:f>
        <x:v>5641.51</x:v>
      </x:c>
      <x:c r="V348" s="20" t="n">
        <x:f>T348-U348</x:f>
        <x:v>2575.754999999999</x:v>
      </x:c>
      <x:c r="W348" s="20" t="n">
        <x:f>R348+V348</x:f>
        <x:v>36245.755</x:v>
      </x:c>
      <x:c r="X348" s="14" t="str">
        <x:f>IF(ABS(W348-SUM(M348:Q348)-V348)&lt;0.01,"OK","Check")</x:f>
        <x:v>OK</x:v>
      </x:c>
    </x:row>
    <x:row r="349">
      <x:c r="A349" s="14" t="n">
        <x:v>2026</x:v>
      </x:c>
      <x:c r="B349" s="14" t="str">
        <x:v>Q4</x:v>
      </x:c>
      <x:c r="C349" s="14" t="n">
        <x:v>4</x:v>
      </x:c>
      <x:c r="D349" s="14" t="n">
        <x:v>86</x:v>
      </x:c>
      <x:c r="E349" s="14" t="str">
        <x:f>INDEX(Roster!$B$6:$B$108,MATCH(D349,Roster!$A$6:$A$108,0))</x:f>
      </x:c>
      <x:c r="F349" s="14" t="str">
        <x:f>INDEX(Roster!$F$6:$F$108,MATCH(D349,Roster!$A$6:$A$108,0))</x:f>
        <x:v>No</x:v>
      </x:c>
      <x:c r="G349" s="14" t="n">
        <x:f>INDEX(Inputs!$B$7:$D$7,1,MATCH(A349,Inputs!$B$6:$D$6,0))</x:f>
        <x:v>13</x:v>
      </x:c>
      <x:c r="H349" s="14" t="n">
        <x:f>MIN(=INDEX(Inputs!$B$7:$D$7,1,MATCH(A349,Inputs!$B$6:$D$6,0)),MAX(0,INDEX(Inputs!$B$14:$D$14,1,MATCH(A349,Inputs!$B$6:$D$6,0))-(C349-1)*=INDEX(Inputs!$B$7:$D$7,1,MATCH(A349,Inputs!$B$6:$D$6,0))))</x:f>
        <x:v>0</x:v>
      </x:c>
      <x:c r="I349" s="20" t="n">
        <x:f>INDEX(Inputs!$B$8:$D$8,1,MATCH(A349,Inputs!$B$6:$D$6,0))</x:f>
        <x:v>2395</x:v>
      </x:c>
      <x:c r="J349" s="20" t="n">
        <x:f>INDEX(Roster!$C$6:$C$108,MATCH(D349,Roster!$A$6:$A$108,0))*(1+INDEX(Inputs!$B$9:$D$9,1,MATCH(A349,Inputs!$B$6:$D$6,0)))</x:f>
        <x:v>75</x:v>
      </x:c>
      <x:c r="K349" s="20" t="n">
        <x:f>IF(=INDEX(Roster!$F$6:$F$108,MATCH(D349,Roster!$A$6:$A$108,0))="Yes",0,=INDEX(Inputs!$B$8:$D$8,1,MATCH(A349,Inputs!$B$6:$D$6,0))*IF(=INDEX(Roster!$B$6:$B$108,MATCH(D349,Roster!$A$6:$A$108,0))="Principal",INDEX(Inputs!$B$10:$D$10,1,MATCH(A349,Inputs!$B$6:$D$6,0)),IF(=INDEX(Roster!$B$6:$B$108,MATCH(D349,Roster!$A$6:$A$108,0))="Associate Principal",INDEX(Inputs!$B$11:$D$11,1,MATCH(A349,Inputs!$B$6:$D$6,0)),IF(=INDEX(Roster!$B$6:$B$108,MATCH(D349,Roster!$A$6:$A$108,0))="Assistant Principal",INDEX(Inputs!$B$12:$D$12,1,MATCH(A349,Inputs!$B$6:$D$6,0)),0))))</x:f>
        <x:v>0</x:v>
      </x:c>
      <x:c r="L349" s="20" t="n">
        <x:f>IF(INDEX(Roster!$D$6:$D$108,MATCH(D349,Roster!$A$6:$A$108,0))&gt;=25,INDEX(Inputs!$B$19:$D$19,1,MATCH(A349,Inputs!$B$6:$D$6,0)),IF(INDEX(Roster!$D$6:$D$108,MATCH(D349,Roster!$A$6:$A$108,0))&gt;=20,INDEX(Inputs!$B$18:$D$18,1,MATCH(A349,Inputs!$B$6:$D$6,0)),IF(INDEX(Roster!$D$6:$D$108,MATCH(D349,Roster!$A$6:$A$108,0))&gt;=15,INDEX(Inputs!$B$17:$D$17,1,MATCH(A349,Inputs!$B$6:$D$6,0)),IF(INDEX(Roster!$D$6:$D$108,MATCH(D349,Roster!$A$6:$A$108,0))&gt;=10,INDEX(Inputs!$B$16:$D$16,1,MATCH(A349,Inputs!$B$6:$D$6,0)),IF(INDEX(Roster!$D$6:$D$108,MATCH(D349,Roster!$A$6:$A$108,0))&gt;=5,INDEX(Inputs!$B$15:$D$15,1,MATCH(A349,Inputs!$B$6:$D$6,0)),0)))))</x:f>
        <x:v>90</x:v>
      </x:c>
      <x:c r="M349" s="20" t="n">
        <x:f>G349*I349</x:f>
        <x:v>31135</x:v>
      </x:c>
      <x:c r="N349" s="20" t="n">
        <x:f>G349*J349</x:f>
        <x:v>975</x:v>
      </x:c>
      <x:c r="O349" s="20" t="n">
        <x:f>G349*K349</x:f>
        <x:v>0</x:v>
      </x:c>
      <x:c r="P349" s="20" t="n">
        <x:f>G349*L349</x:f>
        <x:v>1170</x:v>
      </x:c>
      <x:c r="Q349" s="20" t="n">
        <x:f>H349*INDEX(Inputs!$B$13:$D$13,1,MATCH(A349,Inputs!$B$6:$D$6,0))</x:f>
        <x:v>0</x:v>
      </x:c>
      <x:c r="R349" s="20" t="n">
        <x:f>SUM(M349:Q349)</x:f>
        <x:v>33280</x:v>
      </x:c>
      <x:c r="S349" s="20" t="n">
        <x:f>IF(AND(A348=A349,D348=D349),S348+R349,R349)</x:f>
        <x:v>134290</x:v>
      </x:c>
      <x:c r="T349" s="20" t="n">
        <x:f>MIN(S349,INDEX(Inputs!$B$20:$D$20,1,MATCH(A349,Inputs!$B$6:$D$6,0)))*INDEX(Inputs!$B$22:$D$22,1,MATCH(A349,Inputs!$B$6:$D$6,0))+MAX(MIN(S349,INDEX(Inputs!$B$21:$D$21,1,MATCH(A349,Inputs!$B$6:$D$6,0)))-INDEX(Inputs!$B$20:$D$20,1,MATCH(A349,Inputs!$B$6:$D$6,0)),0)*INDEX(Inputs!$B$23:$D$23,1,MATCH(A349,Inputs!$B$6:$D$6,0))+MAX(S349-INDEX(Inputs!$B$21:$D$21,1,MATCH(A349,Inputs!$B$6:$D$6,0)),0)*INDEX(Inputs!$B$24:$D$24,1,MATCH(A349,Inputs!$B$6:$D$6,0))</x:f>
        <x:v>9861.146999999999</x:v>
      </x:c>
      <x:c r="U349" s="20" t="n">
        <x:f>IF(AND(A348=A349,D348=D349),T348,0)</x:f>
        <x:v>8217.265</x:v>
      </x:c>
      <x:c r="V349" s="20" t="n">
        <x:f>T349-U349</x:f>
        <x:v>1643.8819999999996</x:v>
      </x:c>
      <x:c r="W349" s="20" t="n">
        <x:f>R349+V349</x:f>
        <x:v>34923.882</x:v>
      </x:c>
      <x:c r="X349" s="14" t="str">
        <x:f>IF(ABS(W349-SUM(M349:Q349)-V349)&lt;0.01,"OK","Check")</x:f>
        <x:v>OK</x:v>
      </x:c>
    </x:row>
    <x:row r="350">
      <x:c r="A350" s="14" t="n">
        <x:v>2026</x:v>
      </x:c>
      <x:c r="B350" s="14" t="str">
        <x:v>Q1</x:v>
      </x:c>
      <x:c r="C350" s="14" t="n">
        <x:v>1</x:v>
      </x:c>
      <x:c r="D350" s="14" t="n">
        <x:v>87</x:v>
      </x:c>
      <x:c r="E350" s="14" t="str">
        <x:f>INDEX(Roster!$B$6:$B$108,MATCH(D350,Roster!$A$6:$A$108,0))</x:f>
        <x:v>Principal</x:v>
      </x:c>
      <x:c r="F350" s="14" t="str">
        <x:f>INDEX(Roster!$F$6:$F$108,MATCH(D350,Roster!$A$6:$A$108,0))</x:f>
        <x:v>Yes</x:v>
      </x:c>
      <x:c r="G350" s="14" t="n">
        <x:f>INDEX(Inputs!$B$7:$D$7,1,MATCH(A350,Inputs!$B$6:$D$6,0))</x:f>
        <x:v>13</x:v>
      </x:c>
      <x:c r="H350" s="14" t="n">
        <x:f>MIN(=INDEX(Inputs!$B$7:$D$7,1,MATCH(A350,Inputs!$B$6:$D$6,0)),MAX(0,INDEX(Inputs!$B$14:$D$14,1,MATCH(A350,Inputs!$B$6:$D$6,0))-(C350-1)*=INDEX(Inputs!$B$7:$D$7,1,MATCH(A350,Inputs!$B$6:$D$6,0))))</x:f>
        <x:v>13</x:v>
      </x:c>
      <x:c r="I350" s="20" t="n">
        <x:f>INDEX(Inputs!$B$8:$D$8,1,MATCH(A350,Inputs!$B$6:$D$6,0))</x:f>
        <x:v>2395</x:v>
      </x:c>
      <x:c r="J350" s="20" t="n">
        <x:f>INDEX(Roster!$C$6:$C$108,MATCH(D350,Roster!$A$6:$A$108,0))*(1+INDEX(Inputs!$B$9:$D$9,1,MATCH(A350,Inputs!$B$6:$D$6,0)))</x:f>
        <x:v>1500</x:v>
      </x:c>
      <x:c r="K350" s="20" t="n">
        <x:f>IF(=INDEX(Roster!$F$6:$F$108,MATCH(D350,Roster!$A$6:$A$108,0))="Yes",0,=INDEX(Inputs!$B$8:$D$8,1,MATCH(A350,Inputs!$B$6:$D$6,0))*IF(=INDEX(Roster!$B$6:$B$108,MATCH(D350,Roster!$A$6:$A$108,0))="Principal",INDEX(Inputs!$B$10:$D$10,1,MATCH(A350,Inputs!$B$6:$D$6,0)),IF(=INDEX(Roster!$B$6:$B$108,MATCH(D350,Roster!$A$6:$A$108,0))="Associate Principal",INDEX(Inputs!$B$11:$D$11,1,MATCH(A350,Inputs!$B$6:$D$6,0)),IF(=INDEX(Roster!$B$6:$B$108,MATCH(D350,Roster!$A$6:$A$108,0))="Assistant Principal",INDEX(Inputs!$B$12:$D$12,1,MATCH(A350,Inputs!$B$6:$D$6,0)),0))))</x:f>
        <x:v>0</x:v>
      </x:c>
      <x:c r="L350" s="20" t="n">
        <x:f>IF(INDEX(Roster!$D$6:$D$108,MATCH(D350,Roster!$A$6:$A$108,0))&gt;=25,INDEX(Inputs!$B$19:$D$19,1,MATCH(A350,Inputs!$B$6:$D$6,0)),IF(INDEX(Roster!$D$6:$D$108,MATCH(D350,Roster!$A$6:$A$108,0))&gt;=20,INDEX(Inputs!$B$18:$D$18,1,MATCH(A350,Inputs!$B$6:$D$6,0)),IF(INDEX(Roster!$D$6:$D$108,MATCH(D350,Roster!$A$6:$A$108,0))&gt;=15,INDEX(Inputs!$B$17:$D$17,1,MATCH(A350,Inputs!$B$6:$D$6,0)),IF(INDEX(Roster!$D$6:$D$108,MATCH(D350,Roster!$A$6:$A$108,0))&gt;=10,INDEX(Inputs!$B$16:$D$16,1,MATCH(A350,Inputs!$B$6:$D$6,0)),IF(INDEX(Roster!$D$6:$D$108,MATCH(D350,Roster!$A$6:$A$108,0))&gt;=5,INDEX(Inputs!$B$15:$D$15,1,MATCH(A350,Inputs!$B$6:$D$6,0)),0)))))</x:f>
        <x:v>90</x:v>
      </x:c>
      <x:c r="M350" s="20" t="n">
        <x:f>G350*I350</x:f>
        <x:v>31135</x:v>
      </x:c>
      <x:c r="N350" s="20" t="n">
        <x:f>G350*J350</x:f>
        <x:v>19500</x:v>
      </x:c>
      <x:c r="O350" s="20" t="n">
        <x:f>G350*K350</x:f>
        <x:v>0</x:v>
      </x:c>
      <x:c r="P350" s="20" t="n">
        <x:f>G350*L350</x:f>
        <x:v>1170</x:v>
      </x:c>
      <x:c r="Q350" s="20" t="n">
        <x:f>H350*INDEX(Inputs!$B$13:$D$13,1,MATCH(A350,Inputs!$B$6:$D$6,0))</x:f>
        <x:v>390</x:v>
      </x:c>
      <x:c r="R350" s="20" t="n">
        <x:f>SUM(M350:Q350)</x:f>
        <x:v>52195</x:v>
      </x:c>
      <x:c r="S350" s="20" t="n">
        <x:f>IF(AND(A349=A350,D349=D350),S349+R350,R350)</x:f>
        <x:v>52195</x:v>
      </x:c>
      <x:c r="T350" s="20" t="n">
        <x:f>MIN(S350,INDEX(Inputs!$B$20:$D$20,1,MATCH(A350,Inputs!$B$6:$D$6,0)))*INDEX(Inputs!$B$22:$D$22,1,MATCH(A350,Inputs!$B$6:$D$6,0))+MAX(MIN(S350,INDEX(Inputs!$B$21:$D$21,1,MATCH(A350,Inputs!$B$6:$D$6,0)))-INDEX(Inputs!$B$20:$D$20,1,MATCH(A350,Inputs!$B$6:$D$6,0)),0)*INDEX(Inputs!$B$23:$D$23,1,MATCH(A350,Inputs!$B$6:$D$6,0))+MAX(S350-INDEX(Inputs!$B$21:$D$21,1,MATCH(A350,Inputs!$B$6:$D$6,0)),0)*INDEX(Inputs!$B$24:$D$24,1,MATCH(A350,Inputs!$B$6:$D$6,0))</x:f>
        <x:v>4482.9175</x:v>
      </x:c>
      <x:c r="U350" s="20" t="n">
        <x:f>IF(AND(A349=A350,D349=D350),T349,0)</x:f>
        <x:v>0</x:v>
      </x:c>
      <x:c r="V350" s="20" t="n">
        <x:f>T350-U350</x:f>
        <x:v>4482.9175</x:v>
      </x:c>
      <x:c r="W350" s="20" t="n">
        <x:f>R350+V350</x:f>
        <x:v>56677.917499999996</x:v>
      </x:c>
      <x:c r="X350" s="14" t="str">
        <x:f>IF(ABS(W350-SUM(M350:Q350)-V350)&lt;0.01,"OK","Check")</x:f>
        <x:v>OK</x:v>
      </x:c>
    </x:row>
    <x:row r="351">
      <x:c r="A351" s="14" t="n">
        <x:v>2026</x:v>
      </x:c>
      <x:c r="B351" s="14" t="str">
        <x:v>Q2</x:v>
      </x:c>
      <x:c r="C351" s="14" t="n">
        <x:v>2</x:v>
      </x:c>
      <x:c r="D351" s="14" t="n">
        <x:v>87</x:v>
      </x:c>
      <x:c r="E351" s="14" t="str">
        <x:f>INDEX(Roster!$B$6:$B$108,MATCH(D351,Roster!$A$6:$A$108,0))</x:f>
        <x:v>Principal</x:v>
      </x:c>
      <x:c r="F351" s="14" t="str">
        <x:f>INDEX(Roster!$F$6:$F$108,MATCH(D351,Roster!$A$6:$A$108,0))</x:f>
        <x:v>Yes</x:v>
      </x:c>
      <x:c r="G351" s="14" t="n">
        <x:f>INDEX(Inputs!$B$7:$D$7,1,MATCH(A351,Inputs!$B$6:$D$6,0))</x:f>
        <x:v>13</x:v>
      </x:c>
      <x:c r="H351" s="14" t="n">
        <x:f>MIN(=INDEX(Inputs!$B$7:$D$7,1,MATCH(A351,Inputs!$B$6:$D$6,0)),MAX(0,INDEX(Inputs!$B$14:$D$14,1,MATCH(A351,Inputs!$B$6:$D$6,0))-(C351-1)*=INDEX(Inputs!$B$7:$D$7,1,MATCH(A351,Inputs!$B$6:$D$6,0))))</x:f>
        <x:v>13</x:v>
      </x:c>
      <x:c r="I351" s="20" t="n">
        <x:f>INDEX(Inputs!$B$8:$D$8,1,MATCH(A351,Inputs!$B$6:$D$6,0))</x:f>
        <x:v>2395</x:v>
      </x:c>
      <x:c r="J351" s="20" t="n">
        <x:f>INDEX(Roster!$C$6:$C$108,MATCH(D351,Roster!$A$6:$A$108,0))*(1+INDEX(Inputs!$B$9:$D$9,1,MATCH(A351,Inputs!$B$6:$D$6,0)))</x:f>
        <x:v>1500</x:v>
      </x:c>
      <x:c r="K351" s="20" t="n">
        <x:f>IF(=INDEX(Roster!$F$6:$F$108,MATCH(D351,Roster!$A$6:$A$108,0))="Yes",0,=INDEX(Inputs!$B$8:$D$8,1,MATCH(A351,Inputs!$B$6:$D$6,0))*IF(=INDEX(Roster!$B$6:$B$108,MATCH(D351,Roster!$A$6:$A$108,0))="Principal",INDEX(Inputs!$B$10:$D$10,1,MATCH(A351,Inputs!$B$6:$D$6,0)),IF(=INDEX(Roster!$B$6:$B$108,MATCH(D351,Roster!$A$6:$A$108,0))="Associate Principal",INDEX(Inputs!$B$11:$D$11,1,MATCH(A351,Inputs!$B$6:$D$6,0)),IF(=INDEX(Roster!$B$6:$B$108,MATCH(D351,Roster!$A$6:$A$108,0))="Assistant Principal",INDEX(Inputs!$B$12:$D$12,1,MATCH(A351,Inputs!$B$6:$D$6,0)),0))))</x:f>
        <x:v>0</x:v>
      </x:c>
      <x:c r="L351" s="20" t="n">
        <x:f>IF(INDEX(Roster!$D$6:$D$108,MATCH(D351,Roster!$A$6:$A$108,0))&gt;=25,INDEX(Inputs!$B$19:$D$19,1,MATCH(A351,Inputs!$B$6:$D$6,0)),IF(INDEX(Roster!$D$6:$D$108,MATCH(D351,Roster!$A$6:$A$108,0))&gt;=20,INDEX(Inputs!$B$18:$D$18,1,MATCH(A351,Inputs!$B$6:$D$6,0)),IF(INDEX(Roster!$D$6:$D$108,MATCH(D351,Roster!$A$6:$A$108,0))&gt;=15,INDEX(Inputs!$B$17:$D$17,1,MATCH(A351,Inputs!$B$6:$D$6,0)),IF(INDEX(Roster!$D$6:$D$108,MATCH(D351,Roster!$A$6:$A$108,0))&gt;=10,INDEX(Inputs!$B$16:$D$16,1,MATCH(A351,Inputs!$B$6:$D$6,0)),IF(INDEX(Roster!$D$6:$D$108,MATCH(D351,Roster!$A$6:$A$108,0))&gt;=5,INDEX(Inputs!$B$15:$D$15,1,MATCH(A351,Inputs!$B$6:$D$6,0)),0)))))</x:f>
        <x:v>90</x:v>
      </x:c>
      <x:c r="M351" s="20" t="n">
        <x:f>G351*I351</x:f>
        <x:v>31135</x:v>
      </x:c>
      <x:c r="N351" s="20" t="n">
        <x:f>G351*J351</x:f>
        <x:v>19500</x:v>
      </x:c>
      <x:c r="O351" s="20" t="n">
        <x:f>G351*K351</x:f>
        <x:v>0</x:v>
      </x:c>
      <x:c r="P351" s="20" t="n">
        <x:f>G351*L351</x:f>
        <x:v>1170</x:v>
      </x:c>
      <x:c r="Q351" s="20" t="n">
        <x:f>H351*INDEX(Inputs!$B$13:$D$13,1,MATCH(A351,Inputs!$B$6:$D$6,0))</x:f>
        <x:v>390</x:v>
      </x:c>
      <x:c r="R351" s="20" t="n">
        <x:f>SUM(M351:Q351)</x:f>
        <x:v>52195</x:v>
      </x:c>
      <x:c r="S351" s="20" t="n">
        <x:f>IF(AND(A350=A351,D350=D351),S350+R351,R351)</x:f>
        <x:v>104390</x:v>
      </x:c>
      <x:c r="T351" s="20" t="n">
        <x:f>MIN(S351,INDEX(Inputs!$B$20:$D$20,1,MATCH(A351,Inputs!$B$6:$D$6,0)))*INDEX(Inputs!$B$22:$D$22,1,MATCH(A351,Inputs!$B$6:$D$6,0))+MAX(MIN(S351,INDEX(Inputs!$B$21:$D$21,1,MATCH(A351,Inputs!$B$6:$D$6,0)))-INDEX(Inputs!$B$20:$D$20,1,MATCH(A351,Inputs!$B$6:$D$6,0)),0)*INDEX(Inputs!$B$23:$D$23,1,MATCH(A351,Inputs!$B$6:$D$6,0))+MAX(S351-INDEX(Inputs!$B$21:$D$21,1,MATCH(A351,Inputs!$B$6:$D$6,0)),0)*INDEX(Inputs!$B$24:$D$24,1,MATCH(A351,Inputs!$B$6:$D$6,0))</x:f>
        <x:v>8475.835</x:v>
      </x:c>
      <x:c r="U351" s="20" t="n">
        <x:f>IF(AND(A350=A351,D350=D351),T350,0)</x:f>
        <x:v>4482.9175</x:v>
      </x:c>
      <x:c r="V351" s="20" t="n">
        <x:f>T351-U351</x:f>
        <x:v>3992.9174999999996</x:v>
      </x:c>
      <x:c r="W351" s="20" t="n">
        <x:f>R351+V351</x:f>
        <x:v>56187.917499999996</x:v>
      </x:c>
      <x:c r="X351" s="14" t="str">
        <x:f>IF(ABS(W351-SUM(M351:Q351)-V351)&lt;0.01,"OK","Check")</x:f>
        <x:v>OK</x:v>
      </x:c>
    </x:row>
    <x:row r="352">
      <x:c r="A352" s="14" t="n">
        <x:v>2026</x:v>
      </x:c>
      <x:c r="B352" s="14" t="str">
        <x:v>Q3</x:v>
      </x:c>
      <x:c r="C352" s="14" t="n">
        <x:v>3</x:v>
      </x:c>
      <x:c r="D352" s="14" t="n">
        <x:v>87</x:v>
      </x:c>
      <x:c r="E352" s="14" t="str">
        <x:f>INDEX(Roster!$B$6:$B$108,MATCH(D352,Roster!$A$6:$A$108,0))</x:f>
        <x:v>Principal</x:v>
      </x:c>
      <x:c r="F352" s="14" t="str">
        <x:f>INDEX(Roster!$F$6:$F$108,MATCH(D352,Roster!$A$6:$A$108,0))</x:f>
        <x:v>Yes</x:v>
      </x:c>
      <x:c r="G352" s="14" t="n">
        <x:f>INDEX(Inputs!$B$7:$D$7,1,MATCH(A352,Inputs!$B$6:$D$6,0))</x:f>
        <x:v>13</x:v>
      </x:c>
      <x:c r="H352" s="14" t="n">
        <x:f>MIN(=INDEX(Inputs!$B$7:$D$7,1,MATCH(A352,Inputs!$B$6:$D$6,0)),MAX(0,INDEX(Inputs!$B$14:$D$14,1,MATCH(A352,Inputs!$B$6:$D$6,0))-(C352-1)*=INDEX(Inputs!$B$7:$D$7,1,MATCH(A352,Inputs!$B$6:$D$6,0))))</x:f>
        <x:v>13</x:v>
      </x:c>
      <x:c r="I352" s="20" t="n">
        <x:f>INDEX(Inputs!$B$8:$D$8,1,MATCH(A352,Inputs!$B$6:$D$6,0))</x:f>
        <x:v>2395</x:v>
      </x:c>
      <x:c r="J352" s="20" t="n">
        <x:f>INDEX(Roster!$C$6:$C$108,MATCH(D352,Roster!$A$6:$A$108,0))*(1+INDEX(Inputs!$B$9:$D$9,1,MATCH(A352,Inputs!$B$6:$D$6,0)))</x:f>
        <x:v>1500</x:v>
      </x:c>
      <x:c r="K352" s="20" t="n">
        <x:f>IF(=INDEX(Roster!$F$6:$F$108,MATCH(D352,Roster!$A$6:$A$108,0))="Yes",0,=INDEX(Inputs!$B$8:$D$8,1,MATCH(A352,Inputs!$B$6:$D$6,0))*IF(=INDEX(Roster!$B$6:$B$108,MATCH(D352,Roster!$A$6:$A$108,0))="Principal",INDEX(Inputs!$B$10:$D$10,1,MATCH(A352,Inputs!$B$6:$D$6,0)),IF(=INDEX(Roster!$B$6:$B$108,MATCH(D352,Roster!$A$6:$A$108,0))="Associate Principal",INDEX(Inputs!$B$11:$D$11,1,MATCH(A352,Inputs!$B$6:$D$6,0)),IF(=INDEX(Roster!$B$6:$B$108,MATCH(D352,Roster!$A$6:$A$108,0))="Assistant Principal",INDEX(Inputs!$B$12:$D$12,1,MATCH(A352,Inputs!$B$6:$D$6,0)),0))))</x:f>
        <x:v>0</x:v>
      </x:c>
      <x:c r="L352" s="20" t="n">
        <x:f>IF(INDEX(Roster!$D$6:$D$108,MATCH(D352,Roster!$A$6:$A$108,0))&gt;=25,INDEX(Inputs!$B$19:$D$19,1,MATCH(A352,Inputs!$B$6:$D$6,0)),IF(INDEX(Roster!$D$6:$D$108,MATCH(D352,Roster!$A$6:$A$108,0))&gt;=20,INDEX(Inputs!$B$18:$D$18,1,MATCH(A352,Inputs!$B$6:$D$6,0)),IF(INDEX(Roster!$D$6:$D$108,MATCH(D352,Roster!$A$6:$A$108,0))&gt;=15,INDEX(Inputs!$B$17:$D$17,1,MATCH(A352,Inputs!$B$6:$D$6,0)),IF(INDEX(Roster!$D$6:$D$108,MATCH(D352,Roster!$A$6:$A$108,0))&gt;=10,INDEX(Inputs!$B$16:$D$16,1,MATCH(A352,Inputs!$B$6:$D$6,0)),IF(INDEX(Roster!$D$6:$D$108,MATCH(D352,Roster!$A$6:$A$108,0))&gt;=5,INDEX(Inputs!$B$15:$D$15,1,MATCH(A352,Inputs!$B$6:$D$6,0)),0)))))</x:f>
        <x:v>90</x:v>
      </x:c>
      <x:c r="M352" s="20" t="n">
        <x:f>G352*I352</x:f>
        <x:v>31135</x:v>
      </x:c>
      <x:c r="N352" s="20" t="n">
        <x:f>G352*J352</x:f>
        <x:v>19500</x:v>
      </x:c>
      <x:c r="O352" s="20" t="n">
        <x:f>G352*K352</x:f>
        <x:v>0</x:v>
      </x:c>
      <x:c r="P352" s="20" t="n">
        <x:f>G352*L352</x:f>
        <x:v>1170</x:v>
      </x:c>
      <x:c r="Q352" s="20" t="n">
        <x:f>H352*INDEX(Inputs!$B$13:$D$13,1,MATCH(A352,Inputs!$B$6:$D$6,0))</x:f>
        <x:v>390</x:v>
      </x:c>
      <x:c r="R352" s="20" t="n">
        <x:f>SUM(M352:Q352)</x:f>
        <x:v>52195</x:v>
      </x:c>
      <x:c r="S352" s="20" t="n">
        <x:f>IF(AND(A351=A352,D351=D352),S351+R352,R352)</x:f>
        <x:v>156585</x:v>
      </x:c>
      <x:c r="T352" s="20" t="n">
        <x:f>MIN(S352,INDEX(Inputs!$B$20:$D$20,1,MATCH(A352,Inputs!$B$6:$D$6,0)))*INDEX(Inputs!$B$22:$D$22,1,MATCH(A352,Inputs!$B$6:$D$6,0))+MAX(MIN(S352,INDEX(Inputs!$B$21:$D$21,1,MATCH(A352,Inputs!$B$6:$D$6,0)))-INDEX(Inputs!$B$20:$D$20,1,MATCH(A352,Inputs!$B$6:$D$6,0)),0)*INDEX(Inputs!$B$23:$D$23,1,MATCH(A352,Inputs!$B$6:$D$6,0))+MAX(S352-INDEX(Inputs!$B$21:$D$21,1,MATCH(A352,Inputs!$B$6:$D$6,0)),0)*INDEX(Inputs!$B$24:$D$24,1,MATCH(A352,Inputs!$B$6:$D$6,0))</x:f>
        <x:v>10184.4245</x:v>
      </x:c>
      <x:c r="U352" s="20" t="n">
        <x:f>IF(AND(A351=A352,D351=D352),T351,0)</x:f>
        <x:v>8475.835</x:v>
      </x:c>
      <x:c r="V352" s="20" t="n">
        <x:f>T352-U352</x:f>
        <x:v>1708.5895</x:v>
      </x:c>
      <x:c r="W352" s="20" t="n">
        <x:f>R352+V352</x:f>
        <x:v>53903.5895</x:v>
      </x:c>
      <x:c r="X352" s="14" t="str">
        <x:f>IF(ABS(W352-SUM(M352:Q352)-V352)&lt;0.01,"OK","Check")</x:f>
        <x:v>OK</x:v>
      </x:c>
    </x:row>
    <x:row r="353">
      <x:c r="A353" s="14" t="n">
        <x:v>2026</x:v>
      </x:c>
      <x:c r="B353" s="14" t="str">
        <x:v>Q4</x:v>
      </x:c>
      <x:c r="C353" s="14" t="n">
        <x:v>4</x:v>
      </x:c>
      <x:c r="D353" s="14" t="n">
        <x:v>87</x:v>
      </x:c>
      <x:c r="E353" s="14" t="str">
        <x:f>INDEX(Roster!$B$6:$B$108,MATCH(D353,Roster!$A$6:$A$108,0))</x:f>
        <x:v>Principal</x:v>
      </x:c>
      <x:c r="F353" s="14" t="str">
        <x:f>INDEX(Roster!$F$6:$F$108,MATCH(D353,Roster!$A$6:$A$108,0))</x:f>
        <x:v>Yes</x:v>
      </x:c>
      <x:c r="G353" s="14" t="n">
        <x:f>INDEX(Inputs!$B$7:$D$7,1,MATCH(A353,Inputs!$B$6:$D$6,0))</x:f>
        <x:v>13</x:v>
      </x:c>
      <x:c r="H353" s="14" t="n">
        <x:f>MIN(=INDEX(Inputs!$B$7:$D$7,1,MATCH(A353,Inputs!$B$6:$D$6,0)),MAX(0,INDEX(Inputs!$B$14:$D$14,1,MATCH(A353,Inputs!$B$6:$D$6,0))-(C353-1)*=INDEX(Inputs!$B$7:$D$7,1,MATCH(A353,Inputs!$B$6:$D$6,0))))</x:f>
        <x:v>0</x:v>
      </x:c>
      <x:c r="I353" s="20" t="n">
        <x:f>INDEX(Inputs!$B$8:$D$8,1,MATCH(A353,Inputs!$B$6:$D$6,0))</x:f>
        <x:v>2395</x:v>
      </x:c>
      <x:c r="J353" s="20" t="n">
        <x:f>INDEX(Roster!$C$6:$C$108,MATCH(D353,Roster!$A$6:$A$108,0))*(1+INDEX(Inputs!$B$9:$D$9,1,MATCH(A353,Inputs!$B$6:$D$6,0)))</x:f>
        <x:v>1500</x:v>
      </x:c>
      <x:c r="K353" s="20" t="n">
        <x:f>IF(=INDEX(Roster!$F$6:$F$108,MATCH(D353,Roster!$A$6:$A$108,0))="Yes",0,=INDEX(Inputs!$B$8:$D$8,1,MATCH(A353,Inputs!$B$6:$D$6,0))*IF(=INDEX(Roster!$B$6:$B$108,MATCH(D353,Roster!$A$6:$A$108,0))="Principal",INDEX(Inputs!$B$10:$D$10,1,MATCH(A353,Inputs!$B$6:$D$6,0)),IF(=INDEX(Roster!$B$6:$B$108,MATCH(D353,Roster!$A$6:$A$108,0))="Associate Principal",INDEX(Inputs!$B$11:$D$11,1,MATCH(A353,Inputs!$B$6:$D$6,0)),IF(=INDEX(Roster!$B$6:$B$108,MATCH(D353,Roster!$A$6:$A$108,0))="Assistant Principal",INDEX(Inputs!$B$12:$D$12,1,MATCH(A353,Inputs!$B$6:$D$6,0)),0))))</x:f>
        <x:v>0</x:v>
      </x:c>
      <x:c r="L353" s="20" t="n">
        <x:f>IF(INDEX(Roster!$D$6:$D$108,MATCH(D353,Roster!$A$6:$A$108,0))&gt;=25,INDEX(Inputs!$B$19:$D$19,1,MATCH(A353,Inputs!$B$6:$D$6,0)),IF(INDEX(Roster!$D$6:$D$108,MATCH(D353,Roster!$A$6:$A$108,0))&gt;=20,INDEX(Inputs!$B$18:$D$18,1,MATCH(A353,Inputs!$B$6:$D$6,0)),IF(INDEX(Roster!$D$6:$D$108,MATCH(D353,Roster!$A$6:$A$108,0))&gt;=15,INDEX(Inputs!$B$17:$D$17,1,MATCH(A353,Inputs!$B$6:$D$6,0)),IF(INDEX(Roster!$D$6:$D$108,MATCH(D353,Roster!$A$6:$A$108,0))&gt;=10,INDEX(Inputs!$B$16:$D$16,1,MATCH(A353,Inputs!$B$6:$D$6,0)),IF(INDEX(Roster!$D$6:$D$108,MATCH(D353,Roster!$A$6:$A$108,0))&gt;=5,INDEX(Inputs!$B$15:$D$15,1,MATCH(A353,Inputs!$B$6:$D$6,0)),0)))))</x:f>
        <x:v>90</x:v>
      </x:c>
      <x:c r="M353" s="20" t="n">
        <x:f>G353*I353</x:f>
        <x:v>31135</x:v>
      </x:c>
      <x:c r="N353" s="20" t="n">
        <x:f>G353*J353</x:f>
        <x:v>19500</x:v>
      </x:c>
      <x:c r="O353" s="20" t="n">
        <x:f>G353*K353</x:f>
        <x:v>0</x:v>
      </x:c>
      <x:c r="P353" s="20" t="n">
        <x:f>G353*L353</x:f>
        <x:v>1170</x:v>
      </x:c>
      <x:c r="Q353" s="20" t="n">
        <x:f>H353*INDEX(Inputs!$B$13:$D$13,1,MATCH(A353,Inputs!$B$6:$D$6,0))</x:f>
        <x:v>0</x:v>
      </x:c>
      <x:c r="R353" s="20" t="n">
        <x:f>SUM(M353:Q353)</x:f>
        <x:v>51805</x:v>
      </x:c>
      <x:c r="S353" s="20" t="n">
        <x:f>IF(AND(A352=A353,D352=D353),S352+R353,R353)</x:f>
        <x:v>208390</x:v>
      </x:c>
      <x:c r="T353" s="20" t="n">
        <x:f>MIN(S353,INDEX(Inputs!$B$20:$D$20,1,MATCH(A353,Inputs!$B$6:$D$6,0)))*INDEX(Inputs!$B$22:$D$22,1,MATCH(A353,Inputs!$B$6:$D$6,0))+MAX(MIN(S353,INDEX(Inputs!$B$21:$D$21,1,MATCH(A353,Inputs!$B$6:$D$6,0)))-INDEX(Inputs!$B$20:$D$20,1,MATCH(A353,Inputs!$B$6:$D$6,0)),0)*INDEX(Inputs!$B$23:$D$23,1,MATCH(A353,Inputs!$B$6:$D$6,0))+MAX(S353-INDEX(Inputs!$B$21:$D$21,1,MATCH(A353,Inputs!$B$6:$D$6,0)),0)*INDEX(Inputs!$B$24:$D$24,1,MATCH(A353,Inputs!$B$6:$D$6,0))</x:f>
        <x:v>10935.597</x:v>
      </x:c>
      <x:c r="U353" s="20" t="n">
        <x:f>IF(AND(A352=A353,D352=D353),T352,0)</x:f>
        <x:v>10184.4245</x:v>
      </x:c>
      <x:c r="V353" s="20" t="n">
        <x:f>T353-U353</x:f>
        <x:v>751.1725000000006</x:v>
      </x:c>
      <x:c r="W353" s="20" t="n">
        <x:f>R353+V353</x:f>
        <x:v>52556.1725</x:v>
      </x:c>
      <x:c r="X353" s="14" t="str">
        <x:f>IF(ABS(W353-SUM(M353:Q353)-V353)&lt;0.01,"OK","Check")</x:f>
        <x:v>OK</x:v>
      </x:c>
    </x:row>
    <x:row r="354">
      <x:c r="A354" s="14" t="n">
        <x:v>2026</x:v>
      </x:c>
      <x:c r="B354" s="14" t="str">
        <x:v>Q1</x:v>
      </x:c>
      <x:c r="C354" s="14" t="n">
        <x:v>1</x:v>
      </x:c>
      <x:c r="D354" s="14" t="n">
        <x:v>88</x:v>
      </x:c>
      <x:c r="E354" s="14" t="str">
        <x:f>INDEX(Roster!$B$6:$B$108,MATCH(D354,Roster!$A$6:$A$108,0))</x:f>
        <x:v>Assistant Principal</x:v>
      </x:c>
      <x:c r="F354" s="14" t="str">
        <x:f>INDEX(Roster!$F$6:$F$108,MATCH(D354,Roster!$A$6:$A$108,0))</x:f>
        <x:v>No</x:v>
      </x:c>
      <x:c r="G354" s="14" t="n">
        <x:f>INDEX(Inputs!$B$7:$D$7,1,MATCH(A354,Inputs!$B$6:$D$6,0))</x:f>
        <x:v>13</x:v>
      </x:c>
      <x:c r="H354" s="14" t="n">
        <x:f>MIN(=INDEX(Inputs!$B$7:$D$7,1,MATCH(A354,Inputs!$B$6:$D$6,0)),MAX(0,INDEX(Inputs!$B$14:$D$14,1,MATCH(A354,Inputs!$B$6:$D$6,0))-(C354-1)*=INDEX(Inputs!$B$7:$D$7,1,MATCH(A354,Inputs!$B$6:$D$6,0))))</x:f>
        <x:v>13</x:v>
      </x:c>
      <x:c r="I354" s="20" t="n">
        <x:f>INDEX(Inputs!$B$8:$D$8,1,MATCH(A354,Inputs!$B$6:$D$6,0))</x:f>
        <x:v>2395</x:v>
      </x:c>
      <x:c r="J354" s="20" t="n">
        <x:f>INDEX(Roster!$C$6:$C$108,MATCH(D354,Roster!$A$6:$A$108,0))*(1+INDEX(Inputs!$B$9:$D$9,1,MATCH(A354,Inputs!$B$6:$D$6,0)))</x:f>
        <x:v>0</x:v>
      </x:c>
      <x:c r="K354" s="20" t="n">
        <x:f>IF(=INDEX(Roster!$F$6:$F$108,MATCH(D354,Roster!$A$6:$A$108,0))="Yes",0,=INDEX(Inputs!$B$8:$D$8,1,MATCH(A354,Inputs!$B$6:$D$6,0))*IF(=INDEX(Roster!$B$6:$B$108,MATCH(D354,Roster!$A$6:$A$108,0))="Principal",INDEX(Inputs!$B$10:$D$10,1,MATCH(A354,Inputs!$B$6:$D$6,0)),IF(=INDEX(Roster!$B$6:$B$108,MATCH(D354,Roster!$A$6:$A$108,0))="Associate Principal",INDEX(Inputs!$B$11:$D$11,1,MATCH(A354,Inputs!$B$6:$D$6,0)),IF(=INDEX(Roster!$B$6:$B$108,MATCH(D354,Roster!$A$6:$A$108,0))="Assistant Principal",INDEX(Inputs!$B$12:$D$12,1,MATCH(A354,Inputs!$B$6:$D$6,0)),0))))</x:f>
        <x:v>239.5</x:v>
      </x:c>
      <x:c r="L354" s="20" t="n">
        <x:f>IF(INDEX(Roster!$D$6:$D$108,MATCH(D354,Roster!$A$6:$A$108,0))&gt;=25,INDEX(Inputs!$B$19:$D$19,1,MATCH(A354,Inputs!$B$6:$D$6,0)),IF(INDEX(Roster!$D$6:$D$108,MATCH(D354,Roster!$A$6:$A$108,0))&gt;=20,INDEX(Inputs!$B$18:$D$18,1,MATCH(A354,Inputs!$B$6:$D$6,0)),IF(INDEX(Roster!$D$6:$D$108,MATCH(D354,Roster!$A$6:$A$108,0))&gt;=15,INDEX(Inputs!$B$17:$D$17,1,MATCH(A354,Inputs!$B$6:$D$6,0)),IF(INDEX(Roster!$D$6:$D$108,MATCH(D354,Roster!$A$6:$A$108,0))&gt;=10,INDEX(Inputs!$B$16:$D$16,1,MATCH(A354,Inputs!$B$6:$D$6,0)),IF(INDEX(Roster!$D$6:$D$108,MATCH(D354,Roster!$A$6:$A$108,0))&gt;=5,INDEX(Inputs!$B$15:$D$15,1,MATCH(A354,Inputs!$B$6:$D$6,0)),0)))))</x:f>
        <x:v>90</x:v>
      </x:c>
      <x:c r="M354" s="20" t="n">
        <x:f>G354*I354</x:f>
        <x:v>31135</x:v>
      </x:c>
      <x:c r="N354" s="20" t="n">
        <x:f>G354*J354</x:f>
        <x:v>0</x:v>
      </x:c>
      <x:c r="O354" s="20" t="n">
        <x:f>G354*K354</x:f>
        <x:v>3113.5</x:v>
      </x:c>
      <x:c r="P354" s="20" t="n">
        <x:f>G354*L354</x:f>
        <x:v>1170</x:v>
      </x:c>
      <x:c r="Q354" s="20" t="n">
        <x:f>H354*INDEX(Inputs!$B$13:$D$13,1,MATCH(A354,Inputs!$B$6:$D$6,0))</x:f>
        <x:v>390</x:v>
      </x:c>
      <x:c r="R354" s="20" t="n">
        <x:f>SUM(M354:Q354)</x:f>
        <x:v>35808.5</x:v>
      </x:c>
      <x:c r="S354" s="20" t="n">
        <x:f>IF(AND(A353=A354,D353=D354),S353+R354,R354)</x:f>
        <x:v>35808.5</x:v>
      </x:c>
      <x:c r="T354" s="20" t="n">
        <x:f>MIN(S354,INDEX(Inputs!$B$20:$D$20,1,MATCH(A354,Inputs!$B$6:$D$6,0)))*INDEX(Inputs!$B$22:$D$22,1,MATCH(A354,Inputs!$B$6:$D$6,0))+MAX(MIN(S354,INDEX(Inputs!$B$21:$D$21,1,MATCH(A354,Inputs!$B$6:$D$6,0)))-INDEX(Inputs!$B$20:$D$20,1,MATCH(A354,Inputs!$B$6:$D$6,0)),0)*INDEX(Inputs!$B$23:$D$23,1,MATCH(A354,Inputs!$B$6:$D$6,0))+MAX(S354-INDEX(Inputs!$B$21:$D$21,1,MATCH(A354,Inputs!$B$6:$D$6,0)),0)*INDEX(Inputs!$B$24:$D$24,1,MATCH(A354,Inputs!$B$6:$D$6,0))</x:f>
        <x:v>3229.35025</x:v>
      </x:c>
      <x:c r="U354" s="20" t="n">
        <x:f>IF(AND(A353=A354,D353=D354),T353,0)</x:f>
        <x:v>0</x:v>
      </x:c>
      <x:c r="V354" s="20" t="n">
        <x:f>T354-U354</x:f>
        <x:v>3229.35025</x:v>
      </x:c>
      <x:c r="W354" s="20" t="n">
        <x:f>R354+V354</x:f>
        <x:v>39037.85025</x:v>
      </x:c>
      <x:c r="X354" s="14" t="str">
        <x:f>IF(ABS(W354-SUM(M354:Q354)-V354)&lt;0.01,"OK","Check")</x:f>
        <x:v>OK</x:v>
      </x:c>
    </x:row>
    <x:row r="355">
      <x:c r="A355" s="14" t="n">
        <x:v>2026</x:v>
      </x:c>
      <x:c r="B355" s="14" t="str">
        <x:v>Q2</x:v>
      </x:c>
      <x:c r="C355" s="14" t="n">
        <x:v>2</x:v>
      </x:c>
      <x:c r="D355" s="14" t="n">
        <x:v>88</x:v>
      </x:c>
      <x:c r="E355" s="14" t="str">
        <x:f>INDEX(Roster!$B$6:$B$108,MATCH(D355,Roster!$A$6:$A$108,0))</x:f>
        <x:v>Assistant Principal</x:v>
      </x:c>
      <x:c r="F355" s="14" t="str">
        <x:f>INDEX(Roster!$F$6:$F$108,MATCH(D355,Roster!$A$6:$A$108,0))</x:f>
        <x:v>No</x:v>
      </x:c>
      <x:c r="G355" s="14" t="n">
        <x:f>INDEX(Inputs!$B$7:$D$7,1,MATCH(A355,Inputs!$B$6:$D$6,0))</x:f>
        <x:v>13</x:v>
      </x:c>
      <x:c r="H355" s="14" t="n">
        <x:f>MIN(=INDEX(Inputs!$B$7:$D$7,1,MATCH(A355,Inputs!$B$6:$D$6,0)),MAX(0,INDEX(Inputs!$B$14:$D$14,1,MATCH(A355,Inputs!$B$6:$D$6,0))-(C355-1)*=INDEX(Inputs!$B$7:$D$7,1,MATCH(A355,Inputs!$B$6:$D$6,0))))</x:f>
        <x:v>13</x:v>
      </x:c>
      <x:c r="I355" s="20" t="n">
        <x:f>INDEX(Inputs!$B$8:$D$8,1,MATCH(A355,Inputs!$B$6:$D$6,0))</x:f>
        <x:v>2395</x:v>
      </x:c>
      <x:c r="J355" s="20" t="n">
        <x:f>INDEX(Roster!$C$6:$C$108,MATCH(D355,Roster!$A$6:$A$108,0))*(1+INDEX(Inputs!$B$9:$D$9,1,MATCH(A355,Inputs!$B$6:$D$6,0)))</x:f>
        <x:v>0</x:v>
      </x:c>
      <x:c r="K355" s="20" t="n">
        <x:f>IF(=INDEX(Roster!$F$6:$F$108,MATCH(D355,Roster!$A$6:$A$108,0))="Yes",0,=INDEX(Inputs!$B$8:$D$8,1,MATCH(A355,Inputs!$B$6:$D$6,0))*IF(=INDEX(Roster!$B$6:$B$108,MATCH(D355,Roster!$A$6:$A$108,0))="Principal",INDEX(Inputs!$B$10:$D$10,1,MATCH(A355,Inputs!$B$6:$D$6,0)),IF(=INDEX(Roster!$B$6:$B$108,MATCH(D355,Roster!$A$6:$A$108,0))="Associate Principal",INDEX(Inputs!$B$11:$D$11,1,MATCH(A355,Inputs!$B$6:$D$6,0)),IF(=INDEX(Roster!$B$6:$B$108,MATCH(D355,Roster!$A$6:$A$108,0))="Assistant Principal",INDEX(Inputs!$B$12:$D$12,1,MATCH(A355,Inputs!$B$6:$D$6,0)),0))))</x:f>
        <x:v>239.5</x:v>
      </x:c>
      <x:c r="L355" s="20" t="n">
        <x:f>IF(INDEX(Roster!$D$6:$D$108,MATCH(D355,Roster!$A$6:$A$108,0))&gt;=25,INDEX(Inputs!$B$19:$D$19,1,MATCH(A355,Inputs!$B$6:$D$6,0)),IF(INDEX(Roster!$D$6:$D$108,MATCH(D355,Roster!$A$6:$A$108,0))&gt;=20,INDEX(Inputs!$B$18:$D$18,1,MATCH(A355,Inputs!$B$6:$D$6,0)),IF(INDEX(Roster!$D$6:$D$108,MATCH(D355,Roster!$A$6:$A$108,0))&gt;=15,INDEX(Inputs!$B$17:$D$17,1,MATCH(A355,Inputs!$B$6:$D$6,0)),IF(INDEX(Roster!$D$6:$D$108,MATCH(D355,Roster!$A$6:$A$108,0))&gt;=10,INDEX(Inputs!$B$16:$D$16,1,MATCH(A355,Inputs!$B$6:$D$6,0)),IF(INDEX(Roster!$D$6:$D$108,MATCH(D355,Roster!$A$6:$A$108,0))&gt;=5,INDEX(Inputs!$B$15:$D$15,1,MATCH(A355,Inputs!$B$6:$D$6,0)),0)))))</x:f>
        <x:v>90</x:v>
      </x:c>
      <x:c r="M355" s="20" t="n">
        <x:f>G355*I355</x:f>
        <x:v>31135</x:v>
      </x:c>
      <x:c r="N355" s="20" t="n">
        <x:f>G355*J355</x:f>
        <x:v>0</x:v>
      </x:c>
      <x:c r="O355" s="20" t="n">
        <x:f>G355*K355</x:f>
        <x:v>3113.5</x:v>
      </x:c>
      <x:c r="P355" s="20" t="n">
        <x:f>G355*L355</x:f>
        <x:v>1170</x:v>
      </x:c>
      <x:c r="Q355" s="20" t="n">
        <x:f>H355*INDEX(Inputs!$B$13:$D$13,1,MATCH(A355,Inputs!$B$6:$D$6,0))</x:f>
        <x:v>390</x:v>
      </x:c>
      <x:c r="R355" s="20" t="n">
        <x:f>SUM(M355:Q355)</x:f>
        <x:v>35808.5</x:v>
      </x:c>
      <x:c r="S355" s="20" t="n">
        <x:f>IF(AND(A354=A355,D354=D355),S354+R355,R355)</x:f>
        <x:v>71617</x:v>
      </x:c>
      <x:c r="T355" s="20" t="n">
        <x:f>MIN(S355,INDEX(Inputs!$B$20:$D$20,1,MATCH(A355,Inputs!$B$6:$D$6,0)))*INDEX(Inputs!$B$22:$D$22,1,MATCH(A355,Inputs!$B$6:$D$6,0))+MAX(MIN(S355,INDEX(Inputs!$B$21:$D$21,1,MATCH(A355,Inputs!$B$6:$D$6,0)))-INDEX(Inputs!$B$20:$D$20,1,MATCH(A355,Inputs!$B$6:$D$6,0)),0)*INDEX(Inputs!$B$23:$D$23,1,MATCH(A355,Inputs!$B$6:$D$6,0))+MAX(S355-INDEX(Inputs!$B$21:$D$21,1,MATCH(A355,Inputs!$B$6:$D$6,0)),0)*INDEX(Inputs!$B$24:$D$24,1,MATCH(A355,Inputs!$B$6:$D$6,0))</x:f>
        <x:v>5968.7005</x:v>
      </x:c>
      <x:c r="U355" s="20" t="n">
        <x:f>IF(AND(A354=A355,D354=D355),T354,0)</x:f>
        <x:v>3229.35025</x:v>
      </x:c>
      <x:c r="V355" s="20" t="n">
        <x:f>T355-U355</x:f>
        <x:v>2739.35025</x:v>
      </x:c>
      <x:c r="W355" s="20" t="n">
        <x:f>R355+V355</x:f>
        <x:v>38547.85025</x:v>
      </x:c>
      <x:c r="X355" s="14" t="str">
        <x:f>IF(ABS(W355-SUM(M355:Q355)-V355)&lt;0.01,"OK","Check")</x:f>
        <x:v>OK</x:v>
      </x:c>
    </x:row>
    <x:row r="356">
      <x:c r="A356" s="14" t="n">
        <x:v>2026</x:v>
      </x:c>
      <x:c r="B356" s="14" t="str">
        <x:v>Q3</x:v>
      </x:c>
      <x:c r="C356" s="14" t="n">
        <x:v>3</x:v>
      </x:c>
      <x:c r="D356" s="14" t="n">
        <x:v>88</x:v>
      </x:c>
      <x:c r="E356" s="14" t="str">
        <x:f>INDEX(Roster!$B$6:$B$108,MATCH(D356,Roster!$A$6:$A$108,0))</x:f>
        <x:v>Assistant Principal</x:v>
      </x:c>
      <x:c r="F356" s="14" t="str">
        <x:f>INDEX(Roster!$F$6:$F$108,MATCH(D356,Roster!$A$6:$A$108,0))</x:f>
        <x:v>No</x:v>
      </x:c>
      <x:c r="G356" s="14" t="n">
        <x:f>INDEX(Inputs!$B$7:$D$7,1,MATCH(A356,Inputs!$B$6:$D$6,0))</x:f>
        <x:v>13</x:v>
      </x:c>
      <x:c r="H356" s="14" t="n">
        <x:f>MIN(=INDEX(Inputs!$B$7:$D$7,1,MATCH(A356,Inputs!$B$6:$D$6,0)),MAX(0,INDEX(Inputs!$B$14:$D$14,1,MATCH(A356,Inputs!$B$6:$D$6,0))-(C356-1)*=INDEX(Inputs!$B$7:$D$7,1,MATCH(A356,Inputs!$B$6:$D$6,0))))</x:f>
        <x:v>13</x:v>
      </x:c>
      <x:c r="I356" s="20" t="n">
        <x:f>INDEX(Inputs!$B$8:$D$8,1,MATCH(A356,Inputs!$B$6:$D$6,0))</x:f>
        <x:v>2395</x:v>
      </x:c>
      <x:c r="J356" s="20" t="n">
        <x:f>INDEX(Roster!$C$6:$C$108,MATCH(D356,Roster!$A$6:$A$108,0))*(1+INDEX(Inputs!$B$9:$D$9,1,MATCH(A356,Inputs!$B$6:$D$6,0)))</x:f>
        <x:v>0</x:v>
      </x:c>
      <x:c r="K356" s="20" t="n">
        <x:f>IF(=INDEX(Roster!$F$6:$F$108,MATCH(D356,Roster!$A$6:$A$108,0))="Yes",0,=INDEX(Inputs!$B$8:$D$8,1,MATCH(A356,Inputs!$B$6:$D$6,0))*IF(=INDEX(Roster!$B$6:$B$108,MATCH(D356,Roster!$A$6:$A$108,0))="Principal",INDEX(Inputs!$B$10:$D$10,1,MATCH(A356,Inputs!$B$6:$D$6,0)),IF(=INDEX(Roster!$B$6:$B$108,MATCH(D356,Roster!$A$6:$A$108,0))="Associate Principal",INDEX(Inputs!$B$11:$D$11,1,MATCH(A356,Inputs!$B$6:$D$6,0)),IF(=INDEX(Roster!$B$6:$B$108,MATCH(D356,Roster!$A$6:$A$108,0))="Assistant Principal",INDEX(Inputs!$B$12:$D$12,1,MATCH(A356,Inputs!$B$6:$D$6,0)),0))))</x:f>
        <x:v>239.5</x:v>
      </x:c>
      <x:c r="L356" s="20" t="n">
        <x:f>IF(INDEX(Roster!$D$6:$D$108,MATCH(D356,Roster!$A$6:$A$108,0))&gt;=25,INDEX(Inputs!$B$19:$D$19,1,MATCH(A356,Inputs!$B$6:$D$6,0)),IF(INDEX(Roster!$D$6:$D$108,MATCH(D356,Roster!$A$6:$A$108,0))&gt;=20,INDEX(Inputs!$B$18:$D$18,1,MATCH(A356,Inputs!$B$6:$D$6,0)),IF(INDEX(Roster!$D$6:$D$108,MATCH(D356,Roster!$A$6:$A$108,0))&gt;=15,INDEX(Inputs!$B$17:$D$17,1,MATCH(A356,Inputs!$B$6:$D$6,0)),IF(INDEX(Roster!$D$6:$D$108,MATCH(D356,Roster!$A$6:$A$108,0))&gt;=10,INDEX(Inputs!$B$16:$D$16,1,MATCH(A356,Inputs!$B$6:$D$6,0)),IF(INDEX(Roster!$D$6:$D$108,MATCH(D356,Roster!$A$6:$A$108,0))&gt;=5,INDEX(Inputs!$B$15:$D$15,1,MATCH(A356,Inputs!$B$6:$D$6,0)),0)))))</x:f>
        <x:v>90</x:v>
      </x:c>
      <x:c r="M356" s="20" t="n">
        <x:f>G356*I356</x:f>
        <x:v>31135</x:v>
      </x:c>
      <x:c r="N356" s="20" t="n">
        <x:f>G356*J356</x:f>
        <x:v>0</x:v>
      </x:c>
      <x:c r="O356" s="20" t="n">
        <x:f>G356*K356</x:f>
        <x:v>3113.5</x:v>
      </x:c>
      <x:c r="P356" s="20" t="n">
        <x:f>G356*L356</x:f>
        <x:v>1170</x:v>
      </x:c>
      <x:c r="Q356" s="20" t="n">
        <x:f>H356*INDEX(Inputs!$B$13:$D$13,1,MATCH(A356,Inputs!$B$6:$D$6,0))</x:f>
        <x:v>390</x:v>
      </x:c>
      <x:c r="R356" s="20" t="n">
        <x:f>SUM(M356:Q356)</x:f>
        <x:v>35808.5</x:v>
      </x:c>
      <x:c r="S356" s="20" t="n">
        <x:f>IF(AND(A355=A356,D355=D356),S355+R356,R356)</x:f>
        <x:v>107425.5</x:v>
      </x:c>
      <x:c r="T356" s="20" t="n">
        <x:f>MIN(S356,INDEX(Inputs!$B$20:$D$20,1,MATCH(A356,Inputs!$B$6:$D$6,0)))*INDEX(Inputs!$B$22:$D$22,1,MATCH(A356,Inputs!$B$6:$D$6,0))+MAX(MIN(S356,INDEX(Inputs!$B$21:$D$21,1,MATCH(A356,Inputs!$B$6:$D$6,0)))-INDEX(Inputs!$B$20:$D$20,1,MATCH(A356,Inputs!$B$6:$D$6,0)),0)*INDEX(Inputs!$B$23:$D$23,1,MATCH(A356,Inputs!$B$6:$D$6,0))+MAX(S356-INDEX(Inputs!$B$21:$D$21,1,MATCH(A356,Inputs!$B$6:$D$6,0)),0)*INDEX(Inputs!$B$24:$D$24,1,MATCH(A356,Inputs!$B$6:$D$6,0))</x:f>
        <x:v>8708.050749999999</x:v>
      </x:c>
      <x:c r="U356" s="20" t="n">
        <x:f>IF(AND(A355=A356,D355=D356),T355,0)</x:f>
        <x:v>5968.7005</x:v>
      </x:c>
      <x:c r="V356" s="20" t="n">
        <x:f>T356-U356</x:f>
        <x:v>2739.3502499999986</x:v>
      </x:c>
      <x:c r="W356" s="20" t="n">
        <x:f>R356+V356</x:f>
        <x:v>38547.850249999996</x:v>
      </x:c>
      <x:c r="X356" s="14" t="str">
        <x:f>IF(ABS(W356-SUM(M356:Q356)-V356)&lt;0.01,"OK","Check")</x:f>
        <x:v>OK</x:v>
      </x:c>
    </x:row>
    <x:row r="357">
      <x:c r="A357" s="14" t="n">
        <x:v>2026</x:v>
      </x:c>
      <x:c r="B357" s="14" t="str">
        <x:v>Q4</x:v>
      </x:c>
      <x:c r="C357" s="14" t="n">
        <x:v>4</x:v>
      </x:c>
      <x:c r="D357" s="14" t="n">
        <x:v>88</x:v>
      </x:c>
      <x:c r="E357" s="14" t="str">
        <x:f>INDEX(Roster!$B$6:$B$108,MATCH(D357,Roster!$A$6:$A$108,0))</x:f>
        <x:v>Assistant Principal</x:v>
      </x:c>
      <x:c r="F357" s="14" t="str">
        <x:f>INDEX(Roster!$F$6:$F$108,MATCH(D357,Roster!$A$6:$A$108,0))</x:f>
        <x:v>No</x:v>
      </x:c>
      <x:c r="G357" s="14" t="n">
        <x:f>INDEX(Inputs!$B$7:$D$7,1,MATCH(A357,Inputs!$B$6:$D$6,0))</x:f>
        <x:v>13</x:v>
      </x:c>
      <x:c r="H357" s="14" t="n">
        <x:f>MIN(=INDEX(Inputs!$B$7:$D$7,1,MATCH(A357,Inputs!$B$6:$D$6,0)),MAX(0,INDEX(Inputs!$B$14:$D$14,1,MATCH(A357,Inputs!$B$6:$D$6,0))-(C357-1)*=INDEX(Inputs!$B$7:$D$7,1,MATCH(A357,Inputs!$B$6:$D$6,0))))</x:f>
        <x:v>0</x:v>
      </x:c>
      <x:c r="I357" s="20" t="n">
        <x:f>INDEX(Inputs!$B$8:$D$8,1,MATCH(A357,Inputs!$B$6:$D$6,0))</x:f>
        <x:v>2395</x:v>
      </x:c>
      <x:c r="J357" s="20" t="n">
        <x:f>INDEX(Roster!$C$6:$C$108,MATCH(D357,Roster!$A$6:$A$108,0))*(1+INDEX(Inputs!$B$9:$D$9,1,MATCH(A357,Inputs!$B$6:$D$6,0)))</x:f>
        <x:v>0</x:v>
      </x:c>
      <x:c r="K357" s="20" t="n">
        <x:f>IF(=INDEX(Roster!$F$6:$F$108,MATCH(D357,Roster!$A$6:$A$108,0))="Yes",0,=INDEX(Inputs!$B$8:$D$8,1,MATCH(A357,Inputs!$B$6:$D$6,0))*IF(=INDEX(Roster!$B$6:$B$108,MATCH(D357,Roster!$A$6:$A$108,0))="Principal",INDEX(Inputs!$B$10:$D$10,1,MATCH(A357,Inputs!$B$6:$D$6,0)),IF(=INDEX(Roster!$B$6:$B$108,MATCH(D357,Roster!$A$6:$A$108,0))="Associate Principal",INDEX(Inputs!$B$11:$D$11,1,MATCH(A357,Inputs!$B$6:$D$6,0)),IF(=INDEX(Roster!$B$6:$B$108,MATCH(D357,Roster!$A$6:$A$108,0))="Assistant Principal",INDEX(Inputs!$B$12:$D$12,1,MATCH(A357,Inputs!$B$6:$D$6,0)),0))))</x:f>
        <x:v>239.5</x:v>
      </x:c>
      <x:c r="L357" s="20" t="n">
        <x:f>IF(INDEX(Roster!$D$6:$D$108,MATCH(D357,Roster!$A$6:$A$108,0))&gt;=25,INDEX(Inputs!$B$19:$D$19,1,MATCH(A357,Inputs!$B$6:$D$6,0)),IF(INDEX(Roster!$D$6:$D$108,MATCH(D357,Roster!$A$6:$A$108,0))&gt;=20,INDEX(Inputs!$B$18:$D$18,1,MATCH(A357,Inputs!$B$6:$D$6,0)),IF(INDEX(Roster!$D$6:$D$108,MATCH(D357,Roster!$A$6:$A$108,0))&gt;=15,INDEX(Inputs!$B$17:$D$17,1,MATCH(A357,Inputs!$B$6:$D$6,0)),IF(INDEX(Roster!$D$6:$D$108,MATCH(D357,Roster!$A$6:$A$108,0))&gt;=10,INDEX(Inputs!$B$16:$D$16,1,MATCH(A357,Inputs!$B$6:$D$6,0)),IF(INDEX(Roster!$D$6:$D$108,MATCH(D357,Roster!$A$6:$A$108,0))&gt;=5,INDEX(Inputs!$B$15:$D$15,1,MATCH(A357,Inputs!$B$6:$D$6,0)),0)))))</x:f>
        <x:v>90</x:v>
      </x:c>
      <x:c r="M357" s="20" t="n">
        <x:f>G357*I357</x:f>
        <x:v>31135</x:v>
      </x:c>
      <x:c r="N357" s="20" t="n">
        <x:f>G357*J357</x:f>
        <x:v>0</x:v>
      </x:c>
      <x:c r="O357" s="20" t="n">
        <x:f>G357*K357</x:f>
        <x:v>3113.5</x:v>
      </x:c>
      <x:c r="P357" s="20" t="n">
        <x:f>G357*L357</x:f>
        <x:v>1170</x:v>
      </x:c>
      <x:c r="Q357" s="20" t="n">
        <x:f>H357*INDEX(Inputs!$B$13:$D$13,1,MATCH(A357,Inputs!$B$6:$D$6,0))</x:f>
        <x:v>0</x:v>
      </x:c>
      <x:c r="R357" s="20" t="n">
        <x:f>SUM(M357:Q357)</x:f>
        <x:v>35418.5</x:v>
      </x:c>
      <x:c r="S357" s="20" t="n">
        <x:f>IF(AND(A356=A357,D356=D357),S356+R357,R357)</x:f>
        <x:v>142844</x:v>
      </x:c>
      <x:c r="T357" s="20" t="n">
        <x:f>MIN(S357,INDEX(Inputs!$B$20:$D$20,1,MATCH(A357,Inputs!$B$6:$D$6,0)))*INDEX(Inputs!$B$22:$D$22,1,MATCH(A357,Inputs!$B$6:$D$6,0))+MAX(MIN(S357,INDEX(Inputs!$B$21:$D$21,1,MATCH(A357,Inputs!$B$6:$D$6,0)))-INDEX(Inputs!$B$20:$D$20,1,MATCH(A357,Inputs!$B$6:$D$6,0)),0)*INDEX(Inputs!$B$23:$D$23,1,MATCH(A357,Inputs!$B$6:$D$6,0))+MAX(S357-INDEX(Inputs!$B$21:$D$21,1,MATCH(A357,Inputs!$B$6:$D$6,0)),0)*INDEX(Inputs!$B$24:$D$24,1,MATCH(A357,Inputs!$B$6:$D$6,0))</x:f>
        <x:v>9985.18</x:v>
      </x:c>
      <x:c r="U357" s="20" t="n">
        <x:f>IF(AND(A356=A357,D356=D357),T356,0)</x:f>
        <x:v>8708.050749999999</x:v>
      </x:c>
      <x:c r="V357" s="20" t="n">
        <x:f>T357-U357</x:f>
        <x:v>1277.1292500000018</x:v>
      </x:c>
      <x:c r="W357" s="20" t="n">
        <x:f>R357+V357</x:f>
        <x:v>36695.62925</x:v>
      </x:c>
      <x:c r="X357" s="14" t="str">
        <x:f>IF(ABS(W357-SUM(M357:Q357)-V357)&lt;0.01,"OK","Check")</x:f>
        <x:v>OK</x:v>
      </x:c>
    </x:row>
    <x:row r="358">
      <x:c r="A358" s="14" t="n">
        <x:v>2026</x:v>
      </x:c>
      <x:c r="B358" s="14" t="str">
        <x:v>Q1</x:v>
      </x:c>
      <x:c r="C358" s="14" t="n">
        <x:v>1</x:v>
      </x:c>
      <x:c r="D358" s="14" t="n">
        <x:v>89</x:v>
      </x:c>
      <x:c r="E358" s="14" t="str">
        <x:f>INDEX(Roster!$B$6:$B$108,MATCH(D358,Roster!$A$6:$A$108,0))</x:f>
      </x:c>
      <x:c r="F358" s="14" t="str">
        <x:f>INDEX(Roster!$F$6:$F$108,MATCH(D358,Roster!$A$6:$A$108,0))</x:f>
        <x:v>No</x:v>
      </x:c>
      <x:c r="G358" s="14" t="n">
        <x:f>INDEX(Inputs!$B$7:$D$7,1,MATCH(A358,Inputs!$B$6:$D$6,0))</x:f>
        <x:v>13</x:v>
      </x:c>
      <x:c r="H358" s="14" t="n">
        <x:f>MIN(=INDEX(Inputs!$B$7:$D$7,1,MATCH(A358,Inputs!$B$6:$D$6,0)),MAX(0,INDEX(Inputs!$B$14:$D$14,1,MATCH(A358,Inputs!$B$6:$D$6,0))-(C358-1)*=INDEX(Inputs!$B$7:$D$7,1,MATCH(A358,Inputs!$B$6:$D$6,0))))</x:f>
        <x:v>13</x:v>
      </x:c>
      <x:c r="I358" s="20" t="n">
        <x:f>INDEX(Inputs!$B$8:$D$8,1,MATCH(A358,Inputs!$B$6:$D$6,0))</x:f>
        <x:v>2395</x:v>
      </x:c>
      <x:c r="J358" s="20" t="n">
        <x:f>INDEX(Roster!$C$6:$C$108,MATCH(D358,Roster!$A$6:$A$108,0))*(1+INDEX(Inputs!$B$9:$D$9,1,MATCH(A358,Inputs!$B$6:$D$6,0)))</x:f>
        <x:v>160</x:v>
      </x:c>
      <x:c r="K358" s="20" t="n">
        <x:f>IF(=INDEX(Roster!$F$6:$F$108,MATCH(D358,Roster!$A$6:$A$108,0))="Yes",0,=INDEX(Inputs!$B$8:$D$8,1,MATCH(A358,Inputs!$B$6:$D$6,0))*IF(=INDEX(Roster!$B$6:$B$108,MATCH(D358,Roster!$A$6:$A$108,0))="Principal",INDEX(Inputs!$B$10:$D$10,1,MATCH(A358,Inputs!$B$6:$D$6,0)),IF(=INDEX(Roster!$B$6:$B$108,MATCH(D358,Roster!$A$6:$A$108,0))="Associate Principal",INDEX(Inputs!$B$11:$D$11,1,MATCH(A358,Inputs!$B$6:$D$6,0)),IF(=INDEX(Roster!$B$6:$B$108,MATCH(D358,Roster!$A$6:$A$108,0))="Assistant Principal",INDEX(Inputs!$B$12:$D$12,1,MATCH(A358,Inputs!$B$6:$D$6,0)),0))))</x:f>
        <x:v>0</x:v>
      </x:c>
      <x:c r="L358" s="20" t="n">
        <x:f>IF(INDEX(Roster!$D$6:$D$108,MATCH(D358,Roster!$A$6:$A$108,0))&gt;=25,INDEX(Inputs!$B$19:$D$19,1,MATCH(A358,Inputs!$B$6:$D$6,0)),IF(INDEX(Roster!$D$6:$D$108,MATCH(D358,Roster!$A$6:$A$108,0))&gt;=20,INDEX(Inputs!$B$18:$D$18,1,MATCH(A358,Inputs!$B$6:$D$6,0)),IF(INDEX(Roster!$D$6:$D$108,MATCH(D358,Roster!$A$6:$A$108,0))&gt;=15,INDEX(Inputs!$B$17:$D$17,1,MATCH(A358,Inputs!$B$6:$D$6,0)),IF(INDEX(Roster!$D$6:$D$108,MATCH(D358,Roster!$A$6:$A$108,0))&gt;=10,INDEX(Inputs!$B$16:$D$16,1,MATCH(A358,Inputs!$B$6:$D$6,0)),IF(INDEX(Roster!$D$6:$D$108,MATCH(D358,Roster!$A$6:$A$108,0))&gt;=5,INDEX(Inputs!$B$15:$D$15,1,MATCH(A358,Inputs!$B$6:$D$6,0)),0)))))</x:f>
        <x:v>50</x:v>
      </x:c>
      <x:c r="M358" s="20" t="n">
        <x:f>G358*I358</x:f>
        <x:v>31135</x:v>
      </x:c>
      <x:c r="N358" s="20" t="n">
        <x:f>G358*J358</x:f>
        <x:v>2080</x:v>
      </x:c>
      <x:c r="O358" s="20" t="n">
        <x:f>G358*K358</x:f>
        <x:v>0</x:v>
      </x:c>
      <x:c r="P358" s="20" t="n">
        <x:f>G358*L358</x:f>
        <x:v>650</x:v>
      </x:c>
      <x:c r="Q358" s="20" t="n">
        <x:f>H358*INDEX(Inputs!$B$13:$D$13,1,MATCH(A358,Inputs!$B$6:$D$6,0))</x:f>
        <x:v>390</x:v>
      </x:c>
      <x:c r="R358" s="20" t="n">
        <x:f>SUM(M358:Q358)</x:f>
        <x:v>34255</x:v>
      </x:c>
      <x:c r="S358" s="20" t="n">
        <x:f>IF(AND(A357=A358,D357=D358),S357+R358,R358)</x:f>
        <x:v>34255</x:v>
      </x:c>
      <x:c r="T358" s="20" t="n">
        <x:f>MIN(S358,INDEX(Inputs!$B$20:$D$20,1,MATCH(A358,Inputs!$B$6:$D$6,0)))*INDEX(Inputs!$B$22:$D$22,1,MATCH(A358,Inputs!$B$6:$D$6,0))+MAX(MIN(S358,INDEX(Inputs!$B$21:$D$21,1,MATCH(A358,Inputs!$B$6:$D$6,0)))-INDEX(Inputs!$B$20:$D$20,1,MATCH(A358,Inputs!$B$6:$D$6,0)),0)*INDEX(Inputs!$B$23:$D$23,1,MATCH(A358,Inputs!$B$6:$D$6,0))+MAX(S358-INDEX(Inputs!$B$21:$D$21,1,MATCH(A358,Inputs!$B$6:$D$6,0)),0)*INDEX(Inputs!$B$24:$D$24,1,MATCH(A358,Inputs!$B$6:$D$6,0))</x:f>
        <x:v>3110.5075</x:v>
      </x:c>
      <x:c r="U358" s="20" t="n">
        <x:f>IF(AND(A357=A358,D357=D358),T357,0)</x:f>
        <x:v>0</x:v>
      </x:c>
      <x:c r="V358" s="20" t="n">
        <x:f>T358-U358</x:f>
        <x:v>3110.5075</x:v>
      </x:c>
      <x:c r="W358" s="20" t="n">
        <x:f>R358+V358</x:f>
        <x:v>37365.5075</x:v>
      </x:c>
      <x:c r="X358" s="14" t="str">
        <x:f>IF(ABS(W358-SUM(M358:Q358)-V358)&lt;0.01,"OK","Check")</x:f>
        <x:v>OK</x:v>
      </x:c>
    </x:row>
    <x:row r="359">
      <x:c r="A359" s="14" t="n">
        <x:v>2026</x:v>
      </x:c>
      <x:c r="B359" s="14" t="str">
        <x:v>Q2</x:v>
      </x:c>
      <x:c r="C359" s="14" t="n">
        <x:v>2</x:v>
      </x:c>
      <x:c r="D359" s="14" t="n">
        <x:v>89</x:v>
      </x:c>
      <x:c r="E359" s="14" t="str">
        <x:f>INDEX(Roster!$B$6:$B$108,MATCH(D359,Roster!$A$6:$A$108,0))</x:f>
      </x:c>
      <x:c r="F359" s="14" t="str">
        <x:f>INDEX(Roster!$F$6:$F$108,MATCH(D359,Roster!$A$6:$A$108,0))</x:f>
        <x:v>No</x:v>
      </x:c>
      <x:c r="G359" s="14" t="n">
        <x:f>INDEX(Inputs!$B$7:$D$7,1,MATCH(A359,Inputs!$B$6:$D$6,0))</x:f>
        <x:v>13</x:v>
      </x:c>
      <x:c r="H359" s="14" t="n">
        <x:f>MIN(=INDEX(Inputs!$B$7:$D$7,1,MATCH(A359,Inputs!$B$6:$D$6,0)),MAX(0,INDEX(Inputs!$B$14:$D$14,1,MATCH(A359,Inputs!$B$6:$D$6,0))-(C359-1)*=INDEX(Inputs!$B$7:$D$7,1,MATCH(A359,Inputs!$B$6:$D$6,0))))</x:f>
        <x:v>13</x:v>
      </x:c>
      <x:c r="I359" s="20" t="n">
        <x:f>INDEX(Inputs!$B$8:$D$8,1,MATCH(A359,Inputs!$B$6:$D$6,0))</x:f>
        <x:v>2395</x:v>
      </x:c>
      <x:c r="J359" s="20" t="n">
        <x:f>INDEX(Roster!$C$6:$C$108,MATCH(D359,Roster!$A$6:$A$108,0))*(1+INDEX(Inputs!$B$9:$D$9,1,MATCH(A359,Inputs!$B$6:$D$6,0)))</x:f>
        <x:v>160</x:v>
      </x:c>
      <x:c r="K359" s="20" t="n">
        <x:f>IF(=INDEX(Roster!$F$6:$F$108,MATCH(D359,Roster!$A$6:$A$108,0))="Yes",0,=INDEX(Inputs!$B$8:$D$8,1,MATCH(A359,Inputs!$B$6:$D$6,0))*IF(=INDEX(Roster!$B$6:$B$108,MATCH(D359,Roster!$A$6:$A$108,0))="Principal",INDEX(Inputs!$B$10:$D$10,1,MATCH(A359,Inputs!$B$6:$D$6,0)),IF(=INDEX(Roster!$B$6:$B$108,MATCH(D359,Roster!$A$6:$A$108,0))="Associate Principal",INDEX(Inputs!$B$11:$D$11,1,MATCH(A359,Inputs!$B$6:$D$6,0)),IF(=INDEX(Roster!$B$6:$B$108,MATCH(D359,Roster!$A$6:$A$108,0))="Assistant Principal",INDEX(Inputs!$B$12:$D$12,1,MATCH(A359,Inputs!$B$6:$D$6,0)),0))))</x:f>
        <x:v>0</x:v>
      </x:c>
      <x:c r="L359" s="20" t="n">
        <x:f>IF(INDEX(Roster!$D$6:$D$108,MATCH(D359,Roster!$A$6:$A$108,0))&gt;=25,INDEX(Inputs!$B$19:$D$19,1,MATCH(A359,Inputs!$B$6:$D$6,0)),IF(INDEX(Roster!$D$6:$D$108,MATCH(D359,Roster!$A$6:$A$108,0))&gt;=20,INDEX(Inputs!$B$18:$D$18,1,MATCH(A359,Inputs!$B$6:$D$6,0)),IF(INDEX(Roster!$D$6:$D$108,MATCH(D359,Roster!$A$6:$A$108,0))&gt;=15,INDEX(Inputs!$B$17:$D$17,1,MATCH(A359,Inputs!$B$6:$D$6,0)),IF(INDEX(Roster!$D$6:$D$108,MATCH(D359,Roster!$A$6:$A$108,0))&gt;=10,INDEX(Inputs!$B$16:$D$16,1,MATCH(A359,Inputs!$B$6:$D$6,0)),IF(INDEX(Roster!$D$6:$D$108,MATCH(D359,Roster!$A$6:$A$108,0))&gt;=5,INDEX(Inputs!$B$15:$D$15,1,MATCH(A359,Inputs!$B$6:$D$6,0)),0)))))</x:f>
        <x:v>50</x:v>
      </x:c>
      <x:c r="M359" s="20" t="n">
        <x:f>G359*I359</x:f>
        <x:v>31135</x:v>
      </x:c>
      <x:c r="N359" s="20" t="n">
        <x:f>G359*J359</x:f>
        <x:v>2080</x:v>
      </x:c>
      <x:c r="O359" s="20" t="n">
        <x:f>G359*K359</x:f>
        <x:v>0</x:v>
      </x:c>
      <x:c r="P359" s="20" t="n">
        <x:f>G359*L359</x:f>
        <x:v>650</x:v>
      </x:c>
      <x:c r="Q359" s="20" t="n">
        <x:f>H359*INDEX(Inputs!$B$13:$D$13,1,MATCH(A359,Inputs!$B$6:$D$6,0))</x:f>
        <x:v>390</x:v>
      </x:c>
      <x:c r="R359" s="20" t="n">
        <x:f>SUM(M359:Q359)</x:f>
        <x:v>34255</x:v>
      </x:c>
      <x:c r="S359" s="20" t="n">
        <x:f>IF(AND(A358=A359,D358=D359),S358+R359,R359)</x:f>
        <x:v>68510</x:v>
      </x:c>
      <x:c r="T359" s="20" t="n">
        <x:f>MIN(S359,INDEX(Inputs!$B$20:$D$20,1,MATCH(A359,Inputs!$B$6:$D$6,0)))*INDEX(Inputs!$B$22:$D$22,1,MATCH(A359,Inputs!$B$6:$D$6,0))+MAX(MIN(S359,INDEX(Inputs!$B$21:$D$21,1,MATCH(A359,Inputs!$B$6:$D$6,0)))-INDEX(Inputs!$B$20:$D$20,1,MATCH(A359,Inputs!$B$6:$D$6,0)),0)*INDEX(Inputs!$B$23:$D$23,1,MATCH(A359,Inputs!$B$6:$D$6,0))+MAX(S359-INDEX(Inputs!$B$21:$D$21,1,MATCH(A359,Inputs!$B$6:$D$6,0)),0)*INDEX(Inputs!$B$24:$D$24,1,MATCH(A359,Inputs!$B$6:$D$6,0))</x:f>
        <x:v>5731.015</x:v>
      </x:c>
      <x:c r="U359" s="20" t="n">
        <x:f>IF(AND(A358=A359,D358=D359),T358,0)</x:f>
        <x:v>3110.5075</x:v>
      </x:c>
      <x:c r="V359" s="20" t="n">
        <x:f>T359-U359</x:f>
        <x:v>2620.5075</x:v>
      </x:c>
      <x:c r="W359" s="20" t="n">
        <x:f>R359+V359</x:f>
        <x:v>36875.5075</x:v>
      </x:c>
      <x:c r="X359" s="14" t="str">
        <x:f>IF(ABS(W359-SUM(M359:Q359)-V359)&lt;0.01,"OK","Check")</x:f>
        <x:v>OK</x:v>
      </x:c>
    </x:row>
    <x:row r="360">
      <x:c r="A360" s="14" t="n">
        <x:v>2026</x:v>
      </x:c>
      <x:c r="B360" s="14" t="str">
        <x:v>Q3</x:v>
      </x:c>
      <x:c r="C360" s="14" t="n">
        <x:v>3</x:v>
      </x:c>
      <x:c r="D360" s="14" t="n">
        <x:v>89</x:v>
      </x:c>
      <x:c r="E360" s="14" t="str">
        <x:f>INDEX(Roster!$B$6:$B$108,MATCH(D360,Roster!$A$6:$A$108,0))</x:f>
      </x:c>
      <x:c r="F360" s="14" t="str">
        <x:f>INDEX(Roster!$F$6:$F$108,MATCH(D360,Roster!$A$6:$A$108,0))</x:f>
        <x:v>No</x:v>
      </x:c>
      <x:c r="G360" s="14" t="n">
        <x:f>INDEX(Inputs!$B$7:$D$7,1,MATCH(A360,Inputs!$B$6:$D$6,0))</x:f>
        <x:v>13</x:v>
      </x:c>
      <x:c r="H360" s="14" t="n">
        <x:f>MIN(=INDEX(Inputs!$B$7:$D$7,1,MATCH(A360,Inputs!$B$6:$D$6,0)),MAX(0,INDEX(Inputs!$B$14:$D$14,1,MATCH(A360,Inputs!$B$6:$D$6,0))-(C360-1)*=INDEX(Inputs!$B$7:$D$7,1,MATCH(A360,Inputs!$B$6:$D$6,0))))</x:f>
        <x:v>13</x:v>
      </x:c>
      <x:c r="I360" s="20" t="n">
        <x:f>INDEX(Inputs!$B$8:$D$8,1,MATCH(A360,Inputs!$B$6:$D$6,0))</x:f>
        <x:v>2395</x:v>
      </x:c>
      <x:c r="J360" s="20" t="n">
        <x:f>INDEX(Roster!$C$6:$C$108,MATCH(D360,Roster!$A$6:$A$108,0))*(1+INDEX(Inputs!$B$9:$D$9,1,MATCH(A360,Inputs!$B$6:$D$6,0)))</x:f>
        <x:v>160</x:v>
      </x:c>
      <x:c r="K360" s="20" t="n">
        <x:f>IF(=INDEX(Roster!$F$6:$F$108,MATCH(D360,Roster!$A$6:$A$108,0))="Yes",0,=INDEX(Inputs!$B$8:$D$8,1,MATCH(A360,Inputs!$B$6:$D$6,0))*IF(=INDEX(Roster!$B$6:$B$108,MATCH(D360,Roster!$A$6:$A$108,0))="Principal",INDEX(Inputs!$B$10:$D$10,1,MATCH(A360,Inputs!$B$6:$D$6,0)),IF(=INDEX(Roster!$B$6:$B$108,MATCH(D360,Roster!$A$6:$A$108,0))="Associate Principal",INDEX(Inputs!$B$11:$D$11,1,MATCH(A360,Inputs!$B$6:$D$6,0)),IF(=INDEX(Roster!$B$6:$B$108,MATCH(D360,Roster!$A$6:$A$108,0))="Assistant Principal",INDEX(Inputs!$B$12:$D$12,1,MATCH(A360,Inputs!$B$6:$D$6,0)),0))))</x:f>
        <x:v>0</x:v>
      </x:c>
      <x:c r="L360" s="20" t="n">
        <x:f>IF(INDEX(Roster!$D$6:$D$108,MATCH(D360,Roster!$A$6:$A$108,0))&gt;=25,INDEX(Inputs!$B$19:$D$19,1,MATCH(A360,Inputs!$B$6:$D$6,0)),IF(INDEX(Roster!$D$6:$D$108,MATCH(D360,Roster!$A$6:$A$108,0))&gt;=20,INDEX(Inputs!$B$18:$D$18,1,MATCH(A360,Inputs!$B$6:$D$6,0)),IF(INDEX(Roster!$D$6:$D$108,MATCH(D360,Roster!$A$6:$A$108,0))&gt;=15,INDEX(Inputs!$B$17:$D$17,1,MATCH(A360,Inputs!$B$6:$D$6,0)),IF(INDEX(Roster!$D$6:$D$108,MATCH(D360,Roster!$A$6:$A$108,0))&gt;=10,INDEX(Inputs!$B$16:$D$16,1,MATCH(A360,Inputs!$B$6:$D$6,0)),IF(INDEX(Roster!$D$6:$D$108,MATCH(D360,Roster!$A$6:$A$108,0))&gt;=5,INDEX(Inputs!$B$15:$D$15,1,MATCH(A360,Inputs!$B$6:$D$6,0)),0)))))</x:f>
        <x:v>50</x:v>
      </x:c>
      <x:c r="M360" s="20" t="n">
        <x:f>G360*I360</x:f>
        <x:v>31135</x:v>
      </x:c>
      <x:c r="N360" s="20" t="n">
        <x:f>G360*J360</x:f>
        <x:v>2080</x:v>
      </x:c>
      <x:c r="O360" s="20" t="n">
        <x:f>G360*K360</x:f>
        <x:v>0</x:v>
      </x:c>
      <x:c r="P360" s="20" t="n">
        <x:f>G360*L360</x:f>
        <x:v>650</x:v>
      </x:c>
      <x:c r="Q360" s="20" t="n">
        <x:f>H360*INDEX(Inputs!$B$13:$D$13,1,MATCH(A360,Inputs!$B$6:$D$6,0))</x:f>
        <x:v>390</x:v>
      </x:c>
      <x:c r="R360" s="20" t="n">
        <x:f>SUM(M360:Q360)</x:f>
        <x:v>34255</x:v>
      </x:c>
      <x:c r="S360" s="20" t="n">
        <x:f>IF(AND(A359=A360,D359=D360),S359+R360,R360)</x:f>
        <x:v>102765</x:v>
      </x:c>
      <x:c r="T360" s="20" t="n">
        <x:f>MIN(S360,INDEX(Inputs!$B$20:$D$20,1,MATCH(A360,Inputs!$B$6:$D$6,0)))*INDEX(Inputs!$B$22:$D$22,1,MATCH(A360,Inputs!$B$6:$D$6,0))+MAX(MIN(S360,INDEX(Inputs!$B$21:$D$21,1,MATCH(A360,Inputs!$B$6:$D$6,0)))-INDEX(Inputs!$B$20:$D$20,1,MATCH(A360,Inputs!$B$6:$D$6,0)),0)*INDEX(Inputs!$B$23:$D$23,1,MATCH(A360,Inputs!$B$6:$D$6,0))+MAX(S360-INDEX(Inputs!$B$21:$D$21,1,MATCH(A360,Inputs!$B$6:$D$6,0)),0)*INDEX(Inputs!$B$24:$D$24,1,MATCH(A360,Inputs!$B$6:$D$6,0))</x:f>
        <x:v>8351.5225</x:v>
      </x:c>
      <x:c r="U360" s="20" t="n">
        <x:f>IF(AND(A359=A360,D359=D360),T359,0)</x:f>
        <x:v>5731.015</x:v>
      </x:c>
      <x:c r="V360" s="20" t="n">
        <x:f>T360-U360</x:f>
        <x:v>2620.507499999999</x:v>
      </x:c>
      <x:c r="W360" s="20" t="n">
        <x:f>R360+V360</x:f>
        <x:v>36875.5075</x:v>
      </x:c>
      <x:c r="X360" s="14" t="str">
        <x:f>IF(ABS(W360-SUM(M360:Q360)-V360)&lt;0.01,"OK","Check")</x:f>
        <x:v>OK</x:v>
      </x:c>
    </x:row>
    <x:row r="361">
      <x:c r="A361" s="14" t="n">
        <x:v>2026</x:v>
      </x:c>
      <x:c r="B361" s="14" t="str">
        <x:v>Q4</x:v>
      </x:c>
      <x:c r="C361" s="14" t="n">
        <x:v>4</x:v>
      </x:c>
      <x:c r="D361" s="14" t="n">
        <x:v>89</x:v>
      </x:c>
      <x:c r="E361" s="14" t="str">
        <x:f>INDEX(Roster!$B$6:$B$108,MATCH(D361,Roster!$A$6:$A$108,0))</x:f>
      </x:c>
      <x:c r="F361" s="14" t="str">
        <x:f>INDEX(Roster!$F$6:$F$108,MATCH(D361,Roster!$A$6:$A$108,0))</x:f>
        <x:v>No</x:v>
      </x:c>
      <x:c r="G361" s="14" t="n">
        <x:f>INDEX(Inputs!$B$7:$D$7,1,MATCH(A361,Inputs!$B$6:$D$6,0))</x:f>
        <x:v>13</x:v>
      </x:c>
      <x:c r="H361" s="14" t="n">
        <x:f>MIN(=INDEX(Inputs!$B$7:$D$7,1,MATCH(A361,Inputs!$B$6:$D$6,0)),MAX(0,INDEX(Inputs!$B$14:$D$14,1,MATCH(A361,Inputs!$B$6:$D$6,0))-(C361-1)*=INDEX(Inputs!$B$7:$D$7,1,MATCH(A361,Inputs!$B$6:$D$6,0))))</x:f>
        <x:v>0</x:v>
      </x:c>
      <x:c r="I361" s="20" t="n">
        <x:f>INDEX(Inputs!$B$8:$D$8,1,MATCH(A361,Inputs!$B$6:$D$6,0))</x:f>
        <x:v>2395</x:v>
      </x:c>
      <x:c r="J361" s="20" t="n">
        <x:f>INDEX(Roster!$C$6:$C$108,MATCH(D361,Roster!$A$6:$A$108,0))*(1+INDEX(Inputs!$B$9:$D$9,1,MATCH(A361,Inputs!$B$6:$D$6,0)))</x:f>
        <x:v>160</x:v>
      </x:c>
      <x:c r="K361" s="20" t="n">
        <x:f>IF(=INDEX(Roster!$F$6:$F$108,MATCH(D361,Roster!$A$6:$A$108,0))="Yes",0,=INDEX(Inputs!$B$8:$D$8,1,MATCH(A361,Inputs!$B$6:$D$6,0))*IF(=INDEX(Roster!$B$6:$B$108,MATCH(D361,Roster!$A$6:$A$108,0))="Principal",INDEX(Inputs!$B$10:$D$10,1,MATCH(A361,Inputs!$B$6:$D$6,0)),IF(=INDEX(Roster!$B$6:$B$108,MATCH(D361,Roster!$A$6:$A$108,0))="Associate Principal",INDEX(Inputs!$B$11:$D$11,1,MATCH(A361,Inputs!$B$6:$D$6,0)),IF(=INDEX(Roster!$B$6:$B$108,MATCH(D361,Roster!$A$6:$A$108,0))="Assistant Principal",INDEX(Inputs!$B$12:$D$12,1,MATCH(A361,Inputs!$B$6:$D$6,0)),0))))</x:f>
        <x:v>0</x:v>
      </x:c>
      <x:c r="L361" s="20" t="n">
        <x:f>IF(INDEX(Roster!$D$6:$D$108,MATCH(D361,Roster!$A$6:$A$108,0))&gt;=25,INDEX(Inputs!$B$19:$D$19,1,MATCH(A361,Inputs!$B$6:$D$6,0)),IF(INDEX(Roster!$D$6:$D$108,MATCH(D361,Roster!$A$6:$A$108,0))&gt;=20,INDEX(Inputs!$B$18:$D$18,1,MATCH(A361,Inputs!$B$6:$D$6,0)),IF(INDEX(Roster!$D$6:$D$108,MATCH(D361,Roster!$A$6:$A$108,0))&gt;=15,INDEX(Inputs!$B$17:$D$17,1,MATCH(A361,Inputs!$B$6:$D$6,0)),IF(INDEX(Roster!$D$6:$D$108,MATCH(D361,Roster!$A$6:$A$108,0))&gt;=10,INDEX(Inputs!$B$16:$D$16,1,MATCH(A361,Inputs!$B$6:$D$6,0)),IF(INDEX(Roster!$D$6:$D$108,MATCH(D361,Roster!$A$6:$A$108,0))&gt;=5,INDEX(Inputs!$B$15:$D$15,1,MATCH(A361,Inputs!$B$6:$D$6,0)),0)))))</x:f>
        <x:v>50</x:v>
      </x:c>
      <x:c r="M361" s="20" t="n">
        <x:f>G361*I361</x:f>
        <x:v>31135</x:v>
      </x:c>
      <x:c r="N361" s="20" t="n">
        <x:f>G361*J361</x:f>
        <x:v>2080</x:v>
      </x:c>
      <x:c r="O361" s="20" t="n">
        <x:f>G361*K361</x:f>
        <x:v>0</x:v>
      </x:c>
      <x:c r="P361" s="20" t="n">
        <x:f>G361*L361</x:f>
        <x:v>650</x:v>
      </x:c>
      <x:c r="Q361" s="20" t="n">
        <x:f>H361*INDEX(Inputs!$B$13:$D$13,1,MATCH(A361,Inputs!$B$6:$D$6,0))</x:f>
        <x:v>0</x:v>
      </x:c>
      <x:c r="R361" s="20" t="n">
        <x:f>SUM(M361:Q361)</x:f>
        <x:v>33865</x:v>
      </x:c>
      <x:c r="S361" s="20" t="n">
        <x:f>IF(AND(A360=A361,D360=D361),S360+R361,R361)</x:f>
        <x:v>136630</x:v>
      </x:c>
      <x:c r="T361" s="20" t="n">
        <x:f>MIN(S361,INDEX(Inputs!$B$20:$D$20,1,MATCH(A361,Inputs!$B$6:$D$6,0)))*INDEX(Inputs!$B$22:$D$22,1,MATCH(A361,Inputs!$B$6:$D$6,0))+MAX(MIN(S361,INDEX(Inputs!$B$21:$D$21,1,MATCH(A361,Inputs!$B$6:$D$6,0)))-INDEX(Inputs!$B$20:$D$20,1,MATCH(A361,Inputs!$B$6:$D$6,0)),0)*INDEX(Inputs!$B$23:$D$23,1,MATCH(A361,Inputs!$B$6:$D$6,0))+MAX(S361-INDEX(Inputs!$B$21:$D$21,1,MATCH(A361,Inputs!$B$6:$D$6,0)),0)*INDEX(Inputs!$B$24:$D$24,1,MATCH(A361,Inputs!$B$6:$D$6,0))</x:f>
        <x:v>9895.077</x:v>
      </x:c>
      <x:c r="U361" s="20" t="n">
        <x:f>IF(AND(A360=A361,D360=D361),T360,0)</x:f>
        <x:v>8351.5225</x:v>
      </x:c>
      <x:c r="V361" s="20" t="n">
        <x:f>T361-U361</x:f>
        <x:v>1543.5545000000002</x:v>
      </x:c>
      <x:c r="W361" s="20" t="n">
        <x:f>R361+V361</x:f>
        <x:v>35408.5545</x:v>
      </x:c>
      <x:c r="X361" s="14" t="str">
        <x:f>IF(ABS(W361-SUM(M361:Q361)-V361)&lt;0.01,"OK","Check")</x:f>
        <x:v>OK</x:v>
      </x:c>
    </x:row>
    <x:row r="362">
      <x:c r="A362" s="14" t="n">
        <x:v>2026</x:v>
      </x:c>
      <x:c r="B362" s="14" t="str">
        <x:v>Q1</x:v>
      </x:c>
      <x:c r="C362" s="14" t="n">
        <x:v>1</x:v>
      </x:c>
      <x:c r="D362" s="14" t="n">
        <x:v>90</x:v>
      </x:c>
      <x:c r="E362" s="14" t="str">
        <x:f>INDEX(Roster!$B$6:$B$108,MATCH(D362,Roster!$A$6:$A$108,0))</x:f>
      </x:c>
      <x:c r="F362" s="14" t="str">
        <x:f>INDEX(Roster!$F$6:$F$108,MATCH(D362,Roster!$A$6:$A$108,0))</x:f>
        <x:v>No</x:v>
      </x:c>
      <x:c r="G362" s="14" t="n">
        <x:f>INDEX(Inputs!$B$7:$D$7,1,MATCH(A362,Inputs!$B$6:$D$6,0))</x:f>
        <x:v>13</x:v>
      </x:c>
      <x:c r="H362" s="14" t="n">
        <x:f>MIN(=INDEX(Inputs!$B$7:$D$7,1,MATCH(A362,Inputs!$B$6:$D$6,0)),MAX(0,INDEX(Inputs!$B$14:$D$14,1,MATCH(A362,Inputs!$B$6:$D$6,0))-(C362-1)*=INDEX(Inputs!$B$7:$D$7,1,MATCH(A362,Inputs!$B$6:$D$6,0))))</x:f>
        <x:v>13</x:v>
      </x:c>
      <x:c r="I362" s="20" t="n">
        <x:f>INDEX(Inputs!$B$8:$D$8,1,MATCH(A362,Inputs!$B$6:$D$6,0))</x:f>
        <x:v>2395</x:v>
      </x:c>
      <x:c r="J362" s="20" t="n">
        <x:f>INDEX(Roster!$C$6:$C$108,MATCH(D362,Roster!$A$6:$A$108,0))*(1+INDEX(Inputs!$B$9:$D$9,1,MATCH(A362,Inputs!$B$6:$D$6,0)))</x:f>
        <x:v>60</x:v>
      </x:c>
      <x:c r="K362" s="20" t="n">
        <x:f>IF(=INDEX(Roster!$F$6:$F$108,MATCH(D362,Roster!$A$6:$A$108,0))="Yes",0,=INDEX(Inputs!$B$8:$D$8,1,MATCH(A362,Inputs!$B$6:$D$6,0))*IF(=INDEX(Roster!$B$6:$B$108,MATCH(D362,Roster!$A$6:$A$108,0))="Principal",INDEX(Inputs!$B$10:$D$10,1,MATCH(A362,Inputs!$B$6:$D$6,0)),IF(=INDEX(Roster!$B$6:$B$108,MATCH(D362,Roster!$A$6:$A$108,0))="Associate Principal",INDEX(Inputs!$B$11:$D$11,1,MATCH(A362,Inputs!$B$6:$D$6,0)),IF(=INDEX(Roster!$B$6:$B$108,MATCH(D362,Roster!$A$6:$A$108,0))="Assistant Principal",INDEX(Inputs!$B$12:$D$12,1,MATCH(A362,Inputs!$B$6:$D$6,0)),0))))</x:f>
        <x:v>0</x:v>
      </x:c>
      <x:c r="L362" s="20" t="n">
        <x:f>IF(INDEX(Roster!$D$6:$D$108,MATCH(D362,Roster!$A$6:$A$108,0))&gt;=25,INDEX(Inputs!$B$19:$D$19,1,MATCH(A362,Inputs!$B$6:$D$6,0)),IF(INDEX(Roster!$D$6:$D$108,MATCH(D362,Roster!$A$6:$A$108,0))&gt;=20,INDEX(Inputs!$B$18:$D$18,1,MATCH(A362,Inputs!$B$6:$D$6,0)),IF(INDEX(Roster!$D$6:$D$108,MATCH(D362,Roster!$A$6:$A$108,0))&gt;=15,INDEX(Inputs!$B$17:$D$17,1,MATCH(A362,Inputs!$B$6:$D$6,0)),IF(INDEX(Roster!$D$6:$D$108,MATCH(D362,Roster!$A$6:$A$108,0))&gt;=10,INDEX(Inputs!$B$16:$D$16,1,MATCH(A362,Inputs!$B$6:$D$6,0)),IF(INDEX(Roster!$D$6:$D$108,MATCH(D362,Roster!$A$6:$A$108,0))&gt;=5,INDEX(Inputs!$B$15:$D$15,1,MATCH(A362,Inputs!$B$6:$D$6,0)),0)))))</x:f>
        <x:v>90</x:v>
      </x:c>
      <x:c r="M362" s="20" t="n">
        <x:f>G362*I362</x:f>
        <x:v>31135</x:v>
      </x:c>
      <x:c r="N362" s="20" t="n">
        <x:f>G362*J362</x:f>
        <x:v>780</x:v>
      </x:c>
      <x:c r="O362" s="20" t="n">
        <x:f>G362*K362</x:f>
        <x:v>0</x:v>
      </x:c>
      <x:c r="P362" s="20" t="n">
        <x:f>G362*L362</x:f>
        <x:v>1170</x:v>
      </x:c>
      <x:c r="Q362" s="20" t="n">
        <x:f>H362*INDEX(Inputs!$B$13:$D$13,1,MATCH(A362,Inputs!$B$6:$D$6,0))</x:f>
        <x:v>390</x:v>
      </x:c>
      <x:c r="R362" s="20" t="n">
        <x:f>SUM(M362:Q362)</x:f>
        <x:v>33475</x:v>
      </x:c>
      <x:c r="S362" s="20" t="n">
        <x:f>IF(AND(A361=A362,D361=D362),S361+R362,R362)</x:f>
        <x:v>33475</x:v>
      </x:c>
      <x:c r="T362" s="20" t="n">
        <x:f>MIN(S362,INDEX(Inputs!$B$20:$D$20,1,MATCH(A362,Inputs!$B$6:$D$6,0)))*INDEX(Inputs!$B$22:$D$22,1,MATCH(A362,Inputs!$B$6:$D$6,0))+MAX(MIN(S362,INDEX(Inputs!$B$21:$D$21,1,MATCH(A362,Inputs!$B$6:$D$6,0)))-INDEX(Inputs!$B$20:$D$20,1,MATCH(A362,Inputs!$B$6:$D$6,0)),0)*INDEX(Inputs!$B$23:$D$23,1,MATCH(A362,Inputs!$B$6:$D$6,0))+MAX(S362-INDEX(Inputs!$B$21:$D$21,1,MATCH(A362,Inputs!$B$6:$D$6,0)),0)*INDEX(Inputs!$B$24:$D$24,1,MATCH(A362,Inputs!$B$6:$D$6,0))</x:f>
        <x:v>3050.8374999999996</x:v>
      </x:c>
      <x:c r="U362" s="20" t="n">
        <x:f>IF(AND(A361=A362,D361=D362),T361,0)</x:f>
        <x:v>0</x:v>
      </x:c>
      <x:c r="V362" s="20" t="n">
        <x:f>T362-U362</x:f>
        <x:v>3050.8374999999996</x:v>
      </x:c>
      <x:c r="W362" s="20" t="n">
        <x:f>R362+V362</x:f>
        <x:v>36525.8375</x:v>
      </x:c>
      <x:c r="X362" s="14" t="str">
        <x:f>IF(ABS(W362-SUM(M362:Q362)-V362)&lt;0.01,"OK","Check")</x:f>
        <x:v>OK</x:v>
      </x:c>
    </x:row>
    <x:row r="363">
      <x:c r="A363" s="14" t="n">
        <x:v>2026</x:v>
      </x:c>
      <x:c r="B363" s="14" t="str">
        <x:v>Q2</x:v>
      </x:c>
      <x:c r="C363" s="14" t="n">
        <x:v>2</x:v>
      </x:c>
      <x:c r="D363" s="14" t="n">
        <x:v>90</x:v>
      </x:c>
      <x:c r="E363" s="14" t="str">
        <x:f>INDEX(Roster!$B$6:$B$108,MATCH(D363,Roster!$A$6:$A$108,0))</x:f>
      </x:c>
      <x:c r="F363" s="14" t="str">
        <x:f>INDEX(Roster!$F$6:$F$108,MATCH(D363,Roster!$A$6:$A$108,0))</x:f>
        <x:v>No</x:v>
      </x:c>
      <x:c r="G363" s="14" t="n">
        <x:f>INDEX(Inputs!$B$7:$D$7,1,MATCH(A363,Inputs!$B$6:$D$6,0))</x:f>
        <x:v>13</x:v>
      </x:c>
      <x:c r="H363" s="14" t="n">
        <x:f>MIN(=INDEX(Inputs!$B$7:$D$7,1,MATCH(A363,Inputs!$B$6:$D$6,0)),MAX(0,INDEX(Inputs!$B$14:$D$14,1,MATCH(A363,Inputs!$B$6:$D$6,0))-(C363-1)*=INDEX(Inputs!$B$7:$D$7,1,MATCH(A363,Inputs!$B$6:$D$6,0))))</x:f>
        <x:v>13</x:v>
      </x:c>
      <x:c r="I363" s="20" t="n">
        <x:f>INDEX(Inputs!$B$8:$D$8,1,MATCH(A363,Inputs!$B$6:$D$6,0))</x:f>
        <x:v>2395</x:v>
      </x:c>
      <x:c r="J363" s="20" t="n">
        <x:f>INDEX(Roster!$C$6:$C$108,MATCH(D363,Roster!$A$6:$A$108,0))*(1+INDEX(Inputs!$B$9:$D$9,1,MATCH(A363,Inputs!$B$6:$D$6,0)))</x:f>
        <x:v>60</x:v>
      </x:c>
      <x:c r="K363" s="20" t="n">
        <x:f>IF(=INDEX(Roster!$F$6:$F$108,MATCH(D363,Roster!$A$6:$A$108,0))="Yes",0,=INDEX(Inputs!$B$8:$D$8,1,MATCH(A363,Inputs!$B$6:$D$6,0))*IF(=INDEX(Roster!$B$6:$B$108,MATCH(D363,Roster!$A$6:$A$108,0))="Principal",INDEX(Inputs!$B$10:$D$10,1,MATCH(A363,Inputs!$B$6:$D$6,0)),IF(=INDEX(Roster!$B$6:$B$108,MATCH(D363,Roster!$A$6:$A$108,0))="Associate Principal",INDEX(Inputs!$B$11:$D$11,1,MATCH(A363,Inputs!$B$6:$D$6,0)),IF(=INDEX(Roster!$B$6:$B$108,MATCH(D363,Roster!$A$6:$A$108,0))="Assistant Principal",INDEX(Inputs!$B$12:$D$12,1,MATCH(A363,Inputs!$B$6:$D$6,0)),0))))</x:f>
        <x:v>0</x:v>
      </x:c>
      <x:c r="L363" s="20" t="n">
        <x:f>IF(INDEX(Roster!$D$6:$D$108,MATCH(D363,Roster!$A$6:$A$108,0))&gt;=25,INDEX(Inputs!$B$19:$D$19,1,MATCH(A363,Inputs!$B$6:$D$6,0)),IF(INDEX(Roster!$D$6:$D$108,MATCH(D363,Roster!$A$6:$A$108,0))&gt;=20,INDEX(Inputs!$B$18:$D$18,1,MATCH(A363,Inputs!$B$6:$D$6,0)),IF(INDEX(Roster!$D$6:$D$108,MATCH(D363,Roster!$A$6:$A$108,0))&gt;=15,INDEX(Inputs!$B$17:$D$17,1,MATCH(A363,Inputs!$B$6:$D$6,0)),IF(INDEX(Roster!$D$6:$D$108,MATCH(D363,Roster!$A$6:$A$108,0))&gt;=10,INDEX(Inputs!$B$16:$D$16,1,MATCH(A363,Inputs!$B$6:$D$6,0)),IF(INDEX(Roster!$D$6:$D$108,MATCH(D363,Roster!$A$6:$A$108,0))&gt;=5,INDEX(Inputs!$B$15:$D$15,1,MATCH(A363,Inputs!$B$6:$D$6,0)),0)))))</x:f>
        <x:v>90</x:v>
      </x:c>
      <x:c r="M363" s="20" t="n">
        <x:f>G363*I363</x:f>
        <x:v>31135</x:v>
      </x:c>
      <x:c r="N363" s="20" t="n">
        <x:f>G363*J363</x:f>
        <x:v>780</x:v>
      </x:c>
      <x:c r="O363" s="20" t="n">
        <x:f>G363*K363</x:f>
        <x:v>0</x:v>
      </x:c>
      <x:c r="P363" s="20" t="n">
        <x:f>G363*L363</x:f>
        <x:v>1170</x:v>
      </x:c>
      <x:c r="Q363" s="20" t="n">
        <x:f>H363*INDEX(Inputs!$B$13:$D$13,1,MATCH(A363,Inputs!$B$6:$D$6,0))</x:f>
        <x:v>390</x:v>
      </x:c>
      <x:c r="R363" s="20" t="n">
        <x:f>SUM(M363:Q363)</x:f>
        <x:v>33475</x:v>
      </x:c>
      <x:c r="S363" s="20" t="n">
        <x:f>IF(AND(A362=A363,D362=D363),S362+R363,R363)</x:f>
        <x:v>66950</x:v>
      </x:c>
      <x:c r="T363" s="20" t="n">
        <x:f>MIN(S363,INDEX(Inputs!$B$20:$D$20,1,MATCH(A363,Inputs!$B$6:$D$6,0)))*INDEX(Inputs!$B$22:$D$22,1,MATCH(A363,Inputs!$B$6:$D$6,0))+MAX(MIN(S363,INDEX(Inputs!$B$21:$D$21,1,MATCH(A363,Inputs!$B$6:$D$6,0)))-INDEX(Inputs!$B$20:$D$20,1,MATCH(A363,Inputs!$B$6:$D$6,0)),0)*INDEX(Inputs!$B$23:$D$23,1,MATCH(A363,Inputs!$B$6:$D$6,0))+MAX(S363-INDEX(Inputs!$B$21:$D$21,1,MATCH(A363,Inputs!$B$6:$D$6,0)),0)*INDEX(Inputs!$B$24:$D$24,1,MATCH(A363,Inputs!$B$6:$D$6,0))</x:f>
        <x:v>5611.675</x:v>
      </x:c>
      <x:c r="U363" s="20" t="n">
        <x:f>IF(AND(A362=A363,D362=D363),T362,0)</x:f>
        <x:v>3050.8374999999996</x:v>
      </x:c>
      <x:c r="V363" s="20" t="n">
        <x:f>T363-U363</x:f>
        <x:v>2560.8375000000005</x:v>
      </x:c>
      <x:c r="W363" s="20" t="n">
        <x:f>R363+V363</x:f>
        <x:v>36035.8375</x:v>
      </x:c>
      <x:c r="X363" s="14" t="str">
        <x:f>IF(ABS(W363-SUM(M363:Q363)-V363)&lt;0.01,"OK","Check")</x:f>
        <x:v>OK</x:v>
      </x:c>
    </x:row>
    <x:row r="364">
      <x:c r="A364" s="14" t="n">
        <x:v>2026</x:v>
      </x:c>
      <x:c r="B364" s="14" t="str">
        <x:v>Q3</x:v>
      </x:c>
      <x:c r="C364" s="14" t="n">
        <x:v>3</x:v>
      </x:c>
      <x:c r="D364" s="14" t="n">
        <x:v>90</x:v>
      </x:c>
      <x:c r="E364" s="14" t="str">
        <x:f>INDEX(Roster!$B$6:$B$108,MATCH(D364,Roster!$A$6:$A$108,0))</x:f>
      </x:c>
      <x:c r="F364" s="14" t="str">
        <x:f>INDEX(Roster!$F$6:$F$108,MATCH(D364,Roster!$A$6:$A$108,0))</x:f>
        <x:v>No</x:v>
      </x:c>
      <x:c r="G364" s="14" t="n">
        <x:f>INDEX(Inputs!$B$7:$D$7,1,MATCH(A364,Inputs!$B$6:$D$6,0))</x:f>
        <x:v>13</x:v>
      </x:c>
      <x:c r="H364" s="14" t="n">
        <x:f>MIN(=INDEX(Inputs!$B$7:$D$7,1,MATCH(A364,Inputs!$B$6:$D$6,0)),MAX(0,INDEX(Inputs!$B$14:$D$14,1,MATCH(A364,Inputs!$B$6:$D$6,0))-(C364-1)*=INDEX(Inputs!$B$7:$D$7,1,MATCH(A364,Inputs!$B$6:$D$6,0))))</x:f>
        <x:v>13</x:v>
      </x:c>
      <x:c r="I364" s="20" t="n">
        <x:f>INDEX(Inputs!$B$8:$D$8,1,MATCH(A364,Inputs!$B$6:$D$6,0))</x:f>
        <x:v>2395</x:v>
      </x:c>
      <x:c r="J364" s="20" t="n">
        <x:f>INDEX(Roster!$C$6:$C$108,MATCH(D364,Roster!$A$6:$A$108,0))*(1+INDEX(Inputs!$B$9:$D$9,1,MATCH(A364,Inputs!$B$6:$D$6,0)))</x:f>
        <x:v>60</x:v>
      </x:c>
      <x:c r="K364" s="20" t="n">
        <x:f>IF(=INDEX(Roster!$F$6:$F$108,MATCH(D364,Roster!$A$6:$A$108,0))="Yes",0,=INDEX(Inputs!$B$8:$D$8,1,MATCH(A364,Inputs!$B$6:$D$6,0))*IF(=INDEX(Roster!$B$6:$B$108,MATCH(D364,Roster!$A$6:$A$108,0))="Principal",INDEX(Inputs!$B$10:$D$10,1,MATCH(A364,Inputs!$B$6:$D$6,0)),IF(=INDEX(Roster!$B$6:$B$108,MATCH(D364,Roster!$A$6:$A$108,0))="Associate Principal",INDEX(Inputs!$B$11:$D$11,1,MATCH(A364,Inputs!$B$6:$D$6,0)),IF(=INDEX(Roster!$B$6:$B$108,MATCH(D364,Roster!$A$6:$A$108,0))="Assistant Principal",INDEX(Inputs!$B$12:$D$12,1,MATCH(A364,Inputs!$B$6:$D$6,0)),0))))</x:f>
        <x:v>0</x:v>
      </x:c>
      <x:c r="L364" s="20" t="n">
        <x:f>IF(INDEX(Roster!$D$6:$D$108,MATCH(D364,Roster!$A$6:$A$108,0))&gt;=25,INDEX(Inputs!$B$19:$D$19,1,MATCH(A364,Inputs!$B$6:$D$6,0)),IF(INDEX(Roster!$D$6:$D$108,MATCH(D364,Roster!$A$6:$A$108,0))&gt;=20,INDEX(Inputs!$B$18:$D$18,1,MATCH(A364,Inputs!$B$6:$D$6,0)),IF(INDEX(Roster!$D$6:$D$108,MATCH(D364,Roster!$A$6:$A$108,0))&gt;=15,INDEX(Inputs!$B$17:$D$17,1,MATCH(A364,Inputs!$B$6:$D$6,0)),IF(INDEX(Roster!$D$6:$D$108,MATCH(D364,Roster!$A$6:$A$108,0))&gt;=10,INDEX(Inputs!$B$16:$D$16,1,MATCH(A364,Inputs!$B$6:$D$6,0)),IF(INDEX(Roster!$D$6:$D$108,MATCH(D364,Roster!$A$6:$A$108,0))&gt;=5,INDEX(Inputs!$B$15:$D$15,1,MATCH(A364,Inputs!$B$6:$D$6,0)),0)))))</x:f>
        <x:v>90</x:v>
      </x:c>
      <x:c r="M364" s="20" t="n">
        <x:f>G364*I364</x:f>
        <x:v>31135</x:v>
      </x:c>
      <x:c r="N364" s="20" t="n">
        <x:f>G364*J364</x:f>
        <x:v>780</x:v>
      </x:c>
      <x:c r="O364" s="20" t="n">
        <x:f>G364*K364</x:f>
        <x:v>0</x:v>
      </x:c>
      <x:c r="P364" s="20" t="n">
        <x:f>G364*L364</x:f>
        <x:v>1170</x:v>
      </x:c>
      <x:c r="Q364" s="20" t="n">
        <x:f>H364*INDEX(Inputs!$B$13:$D$13,1,MATCH(A364,Inputs!$B$6:$D$6,0))</x:f>
        <x:v>390</x:v>
      </x:c>
      <x:c r="R364" s="20" t="n">
        <x:f>SUM(M364:Q364)</x:f>
        <x:v>33475</x:v>
      </x:c>
      <x:c r="S364" s="20" t="n">
        <x:f>IF(AND(A363=A364,D363=D364),S363+R364,R364)</x:f>
        <x:v>100425</x:v>
      </x:c>
      <x:c r="T364" s="20" t="n">
        <x:f>MIN(S364,INDEX(Inputs!$B$20:$D$20,1,MATCH(A364,Inputs!$B$6:$D$6,0)))*INDEX(Inputs!$B$22:$D$22,1,MATCH(A364,Inputs!$B$6:$D$6,0))+MAX(MIN(S364,INDEX(Inputs!$B$21:$D$21,1,MATCH(A364,Inputs!$B$6:$D$6,0)))-INDEX(Inputs!$B$20:$D$20,1,MATCH(A364,Inputs!$B$6:$D$6,0)),0)*INDEX(Inputs!$B$23:$D$23,1,MATCH(A364,Inputs!$B$6:$D$6,0))+MAX(S364-INDEX(Inputs!$B$21:$D$21,1,MATCH(A364,Inputs!$B$6:$D$6,0)),0)*INDEX(Inputs!$B$24:$D$24,1,MATCH(A364,Inputs!$B$6:$D$6,0))</x:f>
        <x:v>8172.5125</x:v>
      </x:c>
      <x:c r="U364" s="20" t="n">
        <x:f>IF(AND(A363=A364,D363=D364),T363,0)</x:f>
        <x:v>5611.675</x:v>
      </x:c>
      <x:c r="V364" s="20" t="n">
        <x:f>T364-U364</x:f>
        <x:v>2560.8374999999996</x:v>
      </x:c>
      <x:c r="W364" s="20" t="n">
        <x:f>R364+V364</x:f>
        <x:v>36035.8375</x:v>
      </x:c>
      <x:c r="X364" s="14" t="str">
        <x:f>IF(ABS(W364-SUM(M364:Q364)-V364)&lt;0.01,"OK","Check")</x:f>
        <x:v>OK</x:v>
      </x:c>
    </x:row>
    <x:row r="365">
      <x:c r="A365" s="14" t="n">
        <x:v>2026</x:v>
      </x:c>
      <x:c r="B365" s="14" t="str">
        <x:v>Q4</x:v>
      </x:c>
      <x:c r="C365" s="14" t="n">
        <x:v>4</x:v>
      </x:c>
      <x:c r="D365" s="14" t="n">
        <x:v>90</x:v>
      </x:c>
      <x:c r="E365" s="14" t="str">
        <x:f>INDEX(Roster!$B$6:$B$108,MATCH(D365,Roster!$A$6:$A$108,0))</x:f>
      </x:c>
      <x:c r="F365" s="14" t="str">
        <x:f>INDEX(Roster!$F$6:$F$108,MATCH(D365,Roster!$A$6:$A$108,0))</x:f>
        <x:v>No</x:v>
      </x:c>
      <x:c r="G365" s="14" t="n">
        <x:f>INDEX(Inputs!$B$7:$D$7,1,MATCH(A365,Inputs!$B$6:$D$6,0))</x:f>
        <x:v>13</x:v>
      </x:c>
      <x:c r="H365" s="14" t="n">
        <x:f>MIN(=INDEX(Inputs!$B$7:$D$7,1,MATCH(A365,Inputs!$B$6:$D$6,0)),MAX(0,INDEX(Inputs!$B$14:$D$14,1,MATCH(A365,Inputs!$B$6:$D$6,0))-(C365-1)*=INDEX(Inputs!$B$7:$D$7,1,MATCH(A365,Inputs!$B$6:$D$6,0))))</x:f>
        <x:v>0</x:v>
      </x:c>
      <x:c r="I365" s="20" t="n">
        <x:f>INDEX(Inputs!$B$8:$D$8,1,MATCH(A365,Inputs!$B$6:$D$6,0))</x:f>
        <x:v>2395</x:v>
      </x:c>
      <x:c r="J365" s="20" t="n">
        <x:f>INDEX(Roster!$C$6:$C$108,MATCH(D365,Roster!$A$6:$A$108,0))*(1+INDEX(Inputs!$B$9:$D$9,1,MATCH(A365,Inputs!$B$6:$D$6,0)))</x:f>
        <x:v>60</x:v>
      </x:c>
      <x:c r="K365" s="20" t="n">
        <x:f>IF(=INDEX(Roster!$F$6:$F$108,MATCH(D365,Roster!$A$6:$A$108,0))="Yes",0,=INDEX(Inputs!$B$8:$D$8,1,MATCH(A365,Inputs!$B$6:$D$6,0))*IF(=INDEX(Roster!$B$6:$B$108,MATCH(D365,Roster!$A$6:$A$108,0))="Principal",INDEX(Inputs!$B$10:$D$10,1,MATCH(A365,Inputs!$B$6:$D$6,0)),IF(=INDEX(Roster!$B$6:$B$108,MATCH(D365,Roster!$A$6:$A$108,0))="Associate Principal",INDEX(Inputs!$B$11:$D$11,1,MATCH(A365,Inputs!$B$6:$D$6,0)),IF(=INDEX(Roster!$B$6:$B$108,MATCH(D365,Roster!$A$6:$A$108,0))="Assistant Principal",INDEX(Inputs!$B$12:$D$12,1,MATCH(A365,Inputs!$B$6:$D$6,0)),0))))</x:f>
        <x:v>0</x:v>
      </x:c>
      <x:c r="L365" s="20" t="n">
        <x:f>IF(INDEX(Roster!$D$6:$D$108,MATCH(D365,Roster!$A$6:$A$108,0))&gt;=25,INDEX(Inputs!$B$19:$D$19,1,MATCH(A365,Inputs!$B$6:$D$6,0)),IF(INDEX(Roster!$D$6:$D$108,MATCH(D365,Roster!$A$6:$A$108,0))&gt;=20,INDEX(Inputs!$B$18:$D$18,1,MATCH(A365,Inputs!$B$6:$D$6,0)),IF(INDEX(Roster!$D$6:$D$108,MATCH(D365,Roster!$A$6:$A$108,0))&gt;=15,INDEX(Inputs!$B$17:$D$17,1,MATCH(A365,Inputs!$B$6:$D$6,0)),IF(INDEX(Roster!$D$6:$D$108,MATCH(D365,Roster!$A$6:$A$108,0))&gt;=10,INDEX(Inputs!$B$16:$D$16,1,MATCH(A365,Inputs!$B$6:$D$6,0)),IF(INDEX(Roster!$D$6:$D$108,MATCH(D365,Roster!$A$6:$A$108,0))&gt;=5,INDEX(Inputs!$B$15:$D$15,1,MATCH(A365,Inputs!$B$6:$D$6,0)),0)))))</x:f>
        <x:v>90</x:v>
      </x:c>
      <x:c r="M365" s="20" t="n">
        <x:f>G365*I365</x:f>
        <x:v>31135</x:v>
      </x:c>
      <x:c r="N365" s="20" t="n">
        <x:f>G365*J365</x:f>
        <x:v>780</x:v>
      </x:c>
      <x:c r="O365" s="20" t="n">
        <x:f>G365*K365</x:f>
        <x:v>0</x:v>
      </x:c>
      <x:c r="P365" s="20" t="n">
        <x:f>G365*L365</x:f>
        <x:v>1170</x:v>
      </x:c>
      <x:c r="Q365" s="20" t="n">
        <x:f>H365*INDEX(Inputs!$B$13:$D$13,1,MATCH(A365,Inputs!$B$6:$D$6,0))</x:f>
        <x:v>0</x:v>
      </x:c>
      <x:c r="R365" s="20" t="n">
        <x:f>SUM(M365:Q365)</x:f>
        <x:v>33085</x:v>
      </x:c>
      <x:c r="S365" s="20" t="n">
        <x:f>IF(AND(A364=A365,D364=D365),S364+R365,R365)</x:f>
        <x:v>133510</x:v>
      </x:c>
      <x:c r="T365" s="20" t="n">
        <x:f>MIN(S365,INDEX(Inputs!$B$20:$D$20,1,MATCH(A365,Inputs!$B$6:$D$6,0)))*INDEX(Inputs!$B$22:$D$22,1,MATCH(A365,Inputs!$B$6:$D$6,0))+MAX(MIN(S365,INDEX(Inputs!$B$21:$D$21,1,MATCH(A365,Inputs!$B$6:$D$6,0)))-INDEX(Inputs!$B$20:$D$20,1,MATCH(A365,Inputs!$B$6:$D$6,0)),0)*INDEX(Inputs!$B$23:$D$23,1,MATCH(A365,Inputs!$B$6:$D$6,0))+MAX(S365-INDEX(Inputs!$B$21:$D$21,1,MATCH(A365,Inputs!$B$6:$D$6,0)),0)*INDEX(Inputs!$B$24:$D$24,1,MATCH(A365,Inputs!$B$6:$D$6,0))</x:f>
        <x:v>9849.837</x:v>
      </x:c>
      <x:c r="U365" s="20" t="n">
        <x:f>IF(AND(A364=A365,D364=D365),T364,0)</x:f>
        <x:v>8172.5125</x:v>
      </x:c>
      <x:c r="V365" s="20" t="n">
        <x:f>T365-U365</x:f>
        <x:v>1677.3244999999997</x:v>
      </x:c>
      <x:c r="W365" s="20" t="n">
        <x:f>R365+V365</x:f>
        <x:v>34762.3245</x:v>
      </x:c>
      <x:c r="X365" s="14" t="str">
        <x:f>IF(ABS(W365-SUM(M365:Q365)-V365)&lt;0.01,"OK","Check")</x:f>
        <x:v>OK</x:v>
      </x:c>
    </x:row>
    <x:row r="366">
      <x:c r="A366" s="14" t="n">
        <x:v>2026</x:v>
      </x:c>
      <x:c r="B366" s="14" t="str">
        <x:v>Q1</x:v>
      </x:c>
      <x:c r="C366" s="14" t="n">
        <x:v>1</x:v>
      </x:c>
      <x:c r="D366" s="14" t="n">
        <x:v>91</x:v>
      </x:c>
      <x:c r="E366" s="14" t="str">
        <x:f>INDEX(Roster!$B$6:$B$108,MATCH(D366,Roster!$A$6:$A$108,0))</x:f>
        <x:v>Principal</x:v>
      </x:c>
      <x:c r="F366" s="14" t="str">
        <x:f>INDEX(Roster!$F$6:$F$108,MATCH(D366,Roster!$A$6:$A$108,0))</x:f>
        <x:v>Yes</x:v>
      </x:c>
      <x:c r="G366" s="14" t="n">
        <x:f>INDEX(Inputs!$B$7:$D$7,1,MATCH(A366,Inputs!$B$6:$D$6,0))</x:f>
        <x:v>13</x:v>
      </x:c>
      <x:c r="H366" s="14" t="n">
        <x:f>MIN(=INDEX(Inputs!$B$7:$D$7,1,MATCH(A366,Inputs!$B$6:$D$6,0)),MAX(0,INDEX(Inputs!$B$14:$D$14,1,MATCH(A366,Inputs!$B$6:$D$6,0))-(C366-1)*=INDEX(Inputs!$B$7:$D$7,1,MATCH(A366,Inputs!$B$6:$D$6,0))))</x:f>
        <x:v>13</x:v>
      </x:c>
      <x:c r="I366" s="20" t="n">
        <x:f>INDEX(Inputs!$B$8:$D$8,1,MATCH(A366,Inputs!$B$6:$D$6,0))</x:f>
        <x:v>2395</x:v>
      </x:c>
      <x:c r="J366" s="20" t="n">
        <x:f>INDEX(Roster!$C$6:$C$108,MATCH(D366,Roster!$A$6:$A$108,0))*(1+INDEX(Inputs!$B$9:$D$9,1,MATCH(A366,Inputs!$B$6:$D$6,0)))</x:f>
        <x:v>1700</x:v>
      </x:c>
      <x:c r="K366" s="20" t="n">
        <x:f>IF(=INDEX(Roster!$F$6:$F$108,MATCH(D366,Roster!$A$6:$A$108,0))="Yes",0,=INDEX(Inputs!$B$8:$D$8,1,MATCH(A366,Inputs!$B$6:$D$6,0))*IF(=INDEX(Roster!$B$6:$B$108,MATCH(D366,Roster!$A$6:$A$108,0))="Principal",INDEX(Inputs!$B$10:$D$10,1,MATCH(A366,Inputs!$B$6:$D$6,0)),IF(=INDEX(Roster!$B$6:$B$108,MATCH(D366,Roster!$A$6:$A$108,0))="Associate Principal",INDEX(Inputs!$B$11:$D$11,1,MATCH(A366,Inputs!$B$6:$D$6,0)),IF(=INDEX(Roster!$B$6:$B$108,MATCH(D366,Roster!$A$6:$A$108,0))="Assistant Principal",INDEX(Inputs!$B$12:$D$12,1,MATCH(A366,Inputs!$B$6:$D$6,0)),0))))</x:f>
        <x:v>0</x:v>
      </x:c>
      <x:c r="L366" s="20" t="n">
        <x:f>IF(INDEX(Roster!$D$6:$D$108,MATCH(D366,Roster!$A$6:$A$108,0))&gt;=25,INDEX(Inputs!$B$19:$D$19,1,MATCH(A366,Inputs!$B$6:$D$6,0)),IF(INDEX(Roster!$D$6:$D$108,MATCH(D366,Roster!$A$6:$A$108,0))&gt;=20,INDEX(Inputs!$B$18:$D$18,1,MATCH(A366,Inputs!$B$6:$D$6,0)),IF(INDEX(Roster!$D$6:$D$108,MATCH(D366,Roster!$A$6:$A$108,0))&gt;=15,INDEX(Inputs!$B$17:$D$17,1,MATCH(A366,Inputs!$B$6:$D$6,0)),IF(INDEX(Roster!$D$6:$D$108,MATCH(D366,Roster!$A$6:$A$108,0))&gt;=10,INDEX(Inputs!$B$16:$D$16,1,MATCH(A366,Inputs!$B$6:$D$6,0)),IF(INDEX(Roster!$D$6:$D$108,MATCH(D366,Roster!$A$6:$A$108,0))&gt;=5,INDEX(Inputs!$B$15:$D$15,1,MATCH(A366,Inputs!$B$6:$D$6,0)),0)))))</x:f>
        <x:v>50</x:v>
      </x:c>
      <x:c r="M366" s="20" t="n">
        <x:f>G366*I366</x:f>
        <x:v>31135</x:v>
      </x:c>
      <x:c r="N366" s="20" t="n">
        <x:f>G366*J366</x:f>
        <x:v>22100</x:v>
      </x:c>
      <x:c r="O366" s="20" t="n">
        <x:f>G366*K366</x:f>
        <x:v>0</x:v>
      </x:c>
      <x:c r="P366" s="20" t="n">
        <x:f>G366*L366</x:f>
        <x:v>650</x:v>
      </x:c>
      <x:c r="Q366" s="20" t="n">
        <x:f>H366*INDEX(Inputs!$B$13:$D$13,1,MATCH(A366,Inputs!$B$6:$D$6,0))</x:f>
        <x:v>390</x:v>
      </x:c>
      <x:c r="R366" s="20" t="n">
        <x:f>SUM(M366:Q366)</x:f>
        <x:v>54275</x:v>
      </x:c>
      <x:c r="S366" s="20" t="n">
        <x:f>IF(AND(A365=A366,D365=D366),S365+R366,R366)</x:f>
        <x:v>54275</x:v>
      </x:c>
      <x:c r="T366" s="20" t="n">
        <x:f>MIN(S366,INDEX(Inputs!$B$20:$D$20,1,MATCH(A366,Inputs!$B$6:$D$6,0)))*INDEX(Inputs!$B$22:$D$22,1,MATCH(A366,Inputs!$B$6:$D$6,0))+MAX(MIN(S366,INDEX(Inputs!$B$21:$D$21,1,MATCH(A366,Inputs!$B$6:$D$6,0)))-INDEX(Inputs!$B$20:$D$20,1,MATCH(A366,Inputs!$B$6:$D$6,0)),0)*INDEX(Inputs!$B$23:$D$23,1,MATCH(A366,Inputs!$B$6:$D$6,0))+MAX(S366-INDEX(Inputs!$B$21:$D$21,1,MATCH(A366,Inputs!$B$6:$D$6,0)),0)*INDEX(Inputs!$B$24:$D$24,1,MATCH(A366,Inputs!$B$6:$D$6,0))</x:f>
        <x:v>4642.0375</x:v>
      </x:c>
      <x:c r="U366" s="20" t="n">
        <x:f>IF(AND(A365=A366,D365=D366),T365,0)</x:f>
        <x:v>0</x:v>
      </x:c>
      <x:c r="V366" s="20" t="n">
        <x:f>T366-U366</x:f>
        <x:v>4642.0375</x:v>
      </x:c>
      <x:c r="W366" s="20" t="n">
        <x:f>R366+V366</x:f>
        <x:v>58917.0375</x:v>
      </x:c>
      <x:c r="X366" s="14" t="str">
        <x:f>IF(ABS(W366-SUM(M366:Q366)-V366)&lt;0.01,"OK","Check")</x:f>
        <x:v>OK</x:v>
      </x:c>
    </x:row>
    <x:row r="367">
      <x:c r="A367" s="14" t="n">
        <x:v>2026</x:v>
      </x:c>
      <x:c r="B367" s="14" t="str">
        <x:v>Q2</x:v>
      </x:c>
      <x:c r="C367" s="14" t="n">
        <x:v>2</x:v>
      </x:c>
      <x:c r="D367" s="14" t="n">
        <x:v>91</x:v>
      </x:c>
      <x:c r="E367" s="14" t="str">
        <x:f>INDEX(Roster!$B$6:$B$108,MATCH(D367,Roster!$A$6:$A$108,0))</x:f>
        <x:v>Principal</x:v>
      </x:c>
      <x:c r="F367" s="14" t="str">
        <x:f>INDEX(Roster!$F$6:$F$108,MATCH(D367,Roster!$A$6:$A$108,0))</x:f>
        <x:v>Yes</x:v>
      </x:c>
      <x:c r="G367" s="14" t="n">
        <x:f>INDEX(Inputs!$B$7:$D$7,1,MATCH(A367,Inputs!$B$6:$D$6,0))</x:f>
        <x:v>13</x:v>
      </x:c>
      <x:c r="H367" s="14" t="n">
        <x:f>MIN(=INDEX(Inputs!$B$7:$D$7,1,MATCH(A367,Inputs!$B$6:$D$6,0)),MAX(0,INDEX(Inputs!$B$14:$D$14,1,MATCH(A367,Inputs!$B$6:$D$6,0))-(C367-1)*=INDEX(Inputs!$B$7:$D$7,1,MATCH(A367,Inputs!$B$6:$D$6,0))))</x:f>
        <x:v>13</x:v>
      </x:c>
      <x:c r="I367" s="20" t="n">
        <x:f>INDEX(Inputs!$B$8:$D$8,1,MATCH(A367,Inputs!$B$6:$D$6,0))</x:f>
        <x:v>2395</x:v>
      </x:c>
      <x:c r="J367" s="20" t="n">
        <x:f>INDEX(Roster!$C$6:$C$108,MATCH(D367,Roster!$A$6:$A$108,0))*(1+INDEX(Inputs!$B$9:$D$9,1,MATCH(A367,Inputs!$B$6:$D$6,0)))</x:f>
        <x:v>1700</x:v>
      </x:c>
      <x:c r="K367" s="20" t="n">
        <x:f>IF(=INDEX(Roster!$F$6:$F$108,MATCH(D367,Roster!$A$6:$A$108,0))="Yes",0,=INDEX(Inputs!$B$8:$D$8,1,MATCH(A367,Inputs!$B$6:$D$6,0))*IF(=INDEX(Roster!$B$6:$B$108,MATCH(D367,Roster!$A$6:$A$108,0))="Principal",INDEX(Inputs!$B$10:$D$10,1,MATCH(A367,Inputs!$B$6:$D$6,0)),IF(=INDEX(Roster!$B$6:$B$108,MATCH(D367,Roster!$A$6:$A$108,0))="Associate Principal",INDEX(Inputs!$B$11:$D$11,1,MATCH(A367,Inputs!$B$6:$D$6,0)),IF(=INDEX(Roster!$B$6:$B$108,MATCH(D367,Roster!$A$6:$A$108,0))="Assistant Principal",INDEX(Inputs!$B$12:$D$12,1,MATCH(A367,Inputs!$B$6:$D$6,0)),0))))</x:f>
        <x:v>0</x:v>
      </x:c>
      <x:c r="L367" s="20" t="n">
        <x:f>IF(INDEX(Roster!$D$6:$D$108,MATCH(D367,Roster!$A$6:$A$108,0))&gt;=25,INDEX(Inputs!$B$19:$D$19,1,MATCH(A367,Inputs!$B$6:$D$6,0)),IF(INDEX(Roster!$D$6:$D$108,MATCH(D367,Roster!$A$6:$A$108,0))&gt;=20,INDEX(Inputs!$B$18:$D$18,1,MATCH(A367,Inputs!$B$6:$D$6,0)),IF(INDEX(Roster!$D$6:$D$108,MATCH(D367,Roster!$A$6:$A$108,0))&gt;=15,INDEX(Inputs!$B$17:$D$17,1,MATCH(A367,Inputs!$B$6:$D$6,0)),IF(INDEX(Roster!$D$6:$D$108,MATCH(D367,Roster!$A$6:$A$108,0))&gt;=10,INDEX(Inputs!$B$16:$D$16,1,MATCH(A367,Inputs!$B$6:$D$6,0)),IF(INDEX(Roster!$D$6:$D$108,MATCH(D367,Roster!$A$6:$A$108,0))&gt;=5,INDEX(Inputs!$B$15:$D$15,1,MATCH(A367,Inputs!$B$6:$D$6,0)),0)))))</x:f>
        <x:v>50</x:v>
      </x:c>
      <x:c r="M367" s="20" t="n">
        <x:f>G367*I367</x:f>
        <x:v>31135</x:v>
      </x:c>
      <x:c r="N367" s="20" t="n">
        <x:f>G367*J367</x:f>
        <x:v>22100</x:v>
      </x:c>
      <x:c r="O367" s="20" t="n">
        <x:f>G367*K367</x:f>
        <x:v>0</x:v>
      </x:c>
      <x:c r="P367" s="20" t="n">
        <x:f>G367*L367</x:f>
        <x:v>650</x:v>
      </x:c>
      <x:c r="Q367" s="20" t="n">
        <x:f>H367*INDEX(Inputs!$B$13:$D$13,1,MATCH(A367,Inputs!$B$6:$D$6,0))</x:f>
        <x:v>390</x:v>
      </x:c>
      <x:c r="R367" s="20" t="n">
        <x:f>SUM(M367:Q367)</x:f>
        <x:v>54275</x:v>
      </x:c>
      <x:c r="S367" s="20" t="n">
        <x:f>IF(AND(A366=A367,D366=D367),S366+R367,R367)</x:f>
        <x:v>108550</x:v>
      </x:c>
      <x:c r="T367" s="20" t="n">
        <x:f>MIN(S367,INDEX(Inputs!$B$20:$D$20,1,MATCH(A367,Inputs!$B$6:$D$6,0)))*INDEX(Inputs!$B$22:$D$22,1,MATCH(A367,Inputs!$B$6:$D$6,0))+MAX(MIN(S367,INDEX(Inputs!$B$21:$D$21,1,MATCH(A367,Inputs!$B$6:$D$6,0)))-INDEX(Inputs!$B$20:$D$20,1,MATCH(A367,Inputs!$B$6:$D$6,0)),0)*INDEX(Inputs!$B$23:$D$23,1,MATCH(A367,Inputs!$B$6:$D$6,0))+MAX(S367-INDEX(Inputs!$B$21:$D$21,1,MATCH(A367,Inputs!$B$6:$D$6,0)),0)*INDEX(Inputs!$B$24:$D$24,1,MATCH(A367,Inputs!$B$6:$D$6,0))</x:f>
        <x:v>8794.075</x:v>
      </x:c>
      <x:c r="U367" s="20" t="n">
        <x:f>IF(AND(A366=A367,D366=D367),T366,0)</x:f>
        <x:v>4642.0375</x:v>
      </x:c>
      <x:c r="V367" s="20" t="n">
        <x:f>T367-U367</x:f>
        <x:v>4152.0375</x:v>
      </x:c>
      <x:c r="W367" s="20" t="n">
        <x:f>R367+V367</x:f>
        <x:v>58427.0375</x:v>
      </x:c>
      <x:c r="X367" s="14" t="str">
        <x:f>IF(ABS(W367-SUM(M367:Q367)-V367)&lt;0.01,"OK","Check")</x:f>
        <x:v>OK</x:v>
      </x:c>
    </x:row>
    <x:row r="368">
      <x:c r="A368" s="14" t="n">
        <x:v>2026</x:v>
      </x:c>
      <x:c r="B368" s="14" t="str">
        <x:v>Q3</x:v>
      </x:c>
      <x:c r="C368" s="14" t="n">
        <x:v>3</x:v>
      </x:c>
      <x:c r="D368" s="14" t="n">
        <x:v>91</x:v>
      </x:c>
      <x:c r="E368" s="14" t="str">
        <x:f>INDEX(Roster!$B$6:$B$108,MATCH(D368,Roster!$A$6:$A$108,0))</x:f>
        <x:v>Principal</x:v>
      </x:c>
      <x:c r="F368" s="14" t="str">
        <x:f>INDEX(Roster!$F$6:$F$108,MATCH(D368,Roster!$A$6:$A$108,0))</x:f>
        <x:v>Yes</x:v>
      </x:c>
      <x:c r="G368" s="14" t="n">
        <x:f>INDEX(Inputs!$B$7:$D$7,1,MATCH(A368,Inputs!$B$6:$D$6,0))</x:f>
        <x:v>13</x:v>
      </x:c>
      <x:c r="H368" s="14" t="n">
        <x:f>MIN(=INDEX(Inputs!$B$7:$D$7,1,MATCH(A368,Inputs!$B$6:$D$6,0)),MAX(0,INDEX(Inputs!$B$14:$D$14,1,MATCH(A368,Inputs!$B$6:$D$6,0))-(C368-1)*=INDEX(Inputs!$B$7:$D$7,1,MATCH(A368,Inputs!$B$6:$D$6,0))))</x:f>
        <x:v>13</x:v>
      </x:c>
      <x:c r="I368" s="20" t="n">
        <x:f>INDEX(Inputs!$B$8:$D$8,1,MATCH(A368,Inputs!$B$6:$D$6,0))</x:f>
        <x:v>2395</x:v>
      </x:c>
      <x:c r="J368" s="20" t="n">
        <x:f>INDEX(Roster!$C$6:$C$108,MATCH(D368,Roster!$A$6:$A$108,0))*(1+INDEX(Inputs!$B$9:$D$9,1,MATCH(A368,Inputs!$B$6:$D$6,0)))</x:f>
        <x:v>1700</x:v>
      </x:c>
      <x:c r="K368" s="20" t="n">
        <x:f>IF(=INDEX(Roster!$F$6:$F$108,MATCH(D368,Roster!$A$6:$A$108,0))="Yes",0,=INDEX(Inputs!$B$8:$D$8,1,MATCH(A368,Inputs!$B$6:$D$6,0))*IF(=INDEX(Roster!$B$6:$B$108,MATCH(D368,Roster!$A$6:$A$108,0))="Principal",INDEX(Inputs!$B$10:$D$10,1,MATCH(A368,Inputs!$B$6:$D$6,0)),IF(=INDEX(Roster!$B$6:$B$108,MATCH(D368,Roster!$A$6:$A$108,0))="Associate Principal",INDEX(Inputs!$B$11:$D$11,1,MATCH(A368,Inputs!$B$6:$D$6,0)),IF(=INDEX(Roster!$B$6:$B$108,MATCH(D368,Roster!$A$6:$A$108,0))="Assistant Principal",INDEX(Inputs!$B$12:$D$12,1,MATCH(A368,Inputs!$B$6:$D$6,0)),0))))</x:f>
        <x:v>0</x:v>
      </x:c>
      <x:c r="L368" s="20" t="n">
        <x:f>IF(INDEX(Roster!$D$6:$D$108,MATCH(D368,Roster!$A$6:$A$108,0))&gt;=25,INDEX(Inputs!$B$19:$D$19,1,MATCH(A368,Inputs!$B$6:$D$6,0)),IF(INDEX(Roster!$D$6:$D$108,MATCH(D368,Roster!$A$6:$A$108,0))&gt;=20,INDEX(Inputs!$B$18:$D$18,1,MATCH(A368,Inputs!$B$6:$D$6,0)),IF(INDEX(Roster!$D$6:$D$108,MATCH(D368,Roster!$A$6:$A$108,0))&gt;=15,INDEX(Inputs!$B$17:$D$17,1,MATCH(A368,Inputs!$B$6:$D$6,0)),IF(INDEX(Roster!$D$6:$D$108,MATCH(D368,Roster!$A$6:$A$108,0))&gt;=10,INDEX(Inputs!$B$16:$D$16,1,MATCH(A368,Inputs!$B$6:$D$6,0)),IF(INDEX(Roster!$D$6:$D$108,MATCH(D368,Roster!$A$6:$A$108,0))&gt;=5,INDEX(Inputs!$B$15:$D$15,1,MATCH(A368,Inputs!$B$6:$D$6,0)),0)))))</x:f>
        <x:v>50</x:v>
      </x:c>
      <x:c r="M368" s="20" t="n">
        <x:f>G368*I368</x:f>
        <x:v>31135</x:v>
      </x:c>
      <x:c r="N368" s="20" t="n">
        <x:f>G368*J368</x:f>
        <x:v>22100</x:v>
      </x:c>
      <x:c r="O368" s="20" t="n">
        <x:f>G368*K368</x:f>
        <x:v>0</x:v>
      </x:c>
      <x:c r="P368" s="20" t="n">
        <x:f>G368*L368</x:f>
        <x:v>650</x:v>
      </x:c>
      <x:c r="Q368" s="20" t="n">
        <x:f>H368*INDEX(Inputs!$B$13:$D$13,1,MATCH(A368,Inputs!$B$6:$D$6,0))</x:f>
        <x:v>390</x:v>
      </x:c>
      <x:c r="R368" s="20" t="n">
        <x:f>SUM(M368:Q368)</x:f>
        <x:v>54275</x:v>
      </x:c>
      <x:c r="S368" s="20" t="n">
        <x:f>IF(AND(A367=A368,D367=D368),S367+R368,R368)</x:f>
        <x:v>162825</x:v>
      </x:c>
      <x:c r="T368" s="20" t="n">
        <x:f>MIN(S368,INDEX(Inputs!$B$20:$D$20,1,MATCH(A368,Inputs!$B$6:$D$6,0)))*INDEX(Inputs!$B$22:$D$22,1,MATCH(A368,Inputs!$B$6:$D$6,0))+MAX(MIN(S368,INDEX(Inputs!$B$21:$D$21,1,MATCH(A368,Inputs!$B$6:$D$6,0)))-INDEX(Inputs!$B$20:$D$20,1,MATCH(A368,Inputs!$B$6:$D$6,0)),0)*INDEX(Inputs!$B$23:$D$23,1,MATCH(A368,Inputs!$B$6:$D$6,0))+MAX(S368-INDEX(Inputs!$B$21:$D$21,1,MATCH(A368,Inputs!$B$6:$D$6,0)),0)*INDEX(Inputs!$B$24:$D$24,1,MATCH(A368,Inputs!$B$6:$D$6,0))</x:f>
        <x:v>10274.9045</x:v>
      </x:c>
      <x:c r="U368" s="20" t="n">
        <x:f>IF(AND(A367=A368,D367=D368),T367,0)</x:f>
        <x:v>8794.075</x:v>
      </x:c>
      <x:c r="V368" s="20" t="n">
        <x:f>T368-U368</x:f>
        <x:v>1480.8294999999998</x:v>
      </x:c>
      <x:c r="W368" s="20" t="n">
        <x:f>R368+V368</x:f>
        <x:v>55755.8295</x:v>
      </x:c>
      <x:c r="X368" s="14" t="str">
        <x:f>IF(ABS(W368-SUM(M368:Q368)-V368)&lt;0.01,"OK","Check")</x:f>
        <x:v>OK</x:v>
      </x:c>
    </x:row>
    <x:row r="369">
      <x:c r="A369" s="14" t="n">
        <x:v>2026</x:v>
      </x:c>
      <x:c r="B369" s="14" t="str">
        <x:v>Q4</x:v>
      </x:c>
      <x:c r="C369" s="14" t="n">
        <x:v>4</x:v>
      </x:c>
      <x:c r="D369" s="14" t="n">
        <x:v>91</x:v>
      </x:c>
      <x:c r="E369" s="14" t="str">
        <x:f>INDEX(Roster!$B$6:$B$108,MATCH(D369,Roster!$A$6:$A$108,0))</x:f>
        <x:v>Principal</x:v>
      </x:c>
      <x:c r="F369" s="14" t="str">
        <x:f>INDEX(Roster!$F$6:$F$108,MATCH(D369,Roster!$A$6:$A$108,0))</x:f>
        <x:v>Yes</x:v>
      </x:c>
      <x:c r="G369" s="14" t="n">
        <x:f>INDEX(Inputs!$B$7:$D$7,1,MATCH(A369,Inputs!$B$6:$D$6,0))</x:f>
        <x:v>13</x:v>
      </x:c>
      <x:c r="H369" s="14" t="n">
        <x:f>MIN(=INDEX(Inputs!$B$7:$D$7,1,MATCH(A369,Inputs!$B$6:$D$6,0)),MAX(0,INDEX(Inputs!$B$14:$D$14,1,MATCH(A369,Inputs!$B$6:$D$6,0))-(C369-1)*=INDEX(Inputs!$B$7:$D$7,1,MATCH(A369,Inputs!$B$6:$D$6,0))))</x:f>
        <x:v>0</x:v>
      </x:c>
      <x:c r="I369" s="20" t="n">
        <x:f>INDEX(Inputs!$B$8:$D$8,1,MATCH(A369,Inputs!$B$6:$D$6,0))</x:f>
        <x:v>2395</x:v>
      </x:c>
      <x:c r="J369" s="20" t="n">
        <x:f>INDEX(Roster!$C$6:$C$108,MATCH(D369,Roster!$A$6:$A$108,0))*(1+INDEX(Inputs!$B$9:$D$9,1,MATCH(A369,Inputs!$B$6:$D$6,0)))</x:f>
        <x:v>1700</x:v>
      </x:c>
      <x:c r="K369" s="20" t="n">
        <x:f>IF(=INDEX(Roster!$F$6:$F$108,MATCH(D369,Roster!$A$6:$A$108,0))="Yes",0,=INDEX(Inputs!$B$8:$D$8,1,MATCH(A369,Inputs!$B$6:$D$6,0))*IF(=INDEX(Roster!$B$6:$B$108,MATCH(D369,Roster!$A$6:$A$108,0))="Principal",INDEX(Inputs!$B$10:$D$10,1,MATCH(A369,Inputs!$B$6:$D$6,0)),IF(=INDEX(Roster!$B$6:$B$108,MATCH(D369,Roster!$A$6:$A$108,0))="Associate Principal",INDEX(Inputs!$B$11:$D$11,1,MATCH(A369,Inputs!$B$6:$D$6,0)),IF(=INDEX(Roster!$B$6:$B$108,MATCH(D369,Roster!$A$6:$A$108,0))="Assistant Principal",INDEX(Inputs!$B$12:$D$12,1,MATCH(A369,Inputs!$B$6:$D$6,0)),0))))</x:f>
        <x:v>0</x:v>
      </x:c>
      <x:c r="L369" s="20" t="n">
        <x:f>IF(INDEX(Roster!$D$6:$D$108,MATCH(D369,Roster!$A$6:$A$108,0))&gt;=25,INDEX(Inputs!$B$19:$D$19,1,MATCH(A369,Inputs!$B$6:$D$6,0)),IF(INDEX(Roster!$D$6:$D$108,MATCH(D369,Roster!$A$6:$A$108,0))&gt;=20,INDEX(Inputs!$B$18:$D$18,1,MATCH(A369,Inputs!$B$6:$D$6,0)),IF(INDEX(Roster!$D$6:$D$108,MATCH(D369,Roster!$A$6:$A$108,0))&gt;=15,INDEX(Inputs!$B$17:$D$17,1,MATCH(A369,Inputs!$B$6:$D$6,0)),IF(INDEX(Roster!$D$6:$D$108,MATCH(D369,Roster!$A$6:$A$108,0))&gt;=10,INDEX(Inputs!$B$16:$D$16,1,MATCH(A369,Inputs!$B$6:$D$6,0)),IF(INDEX(Roster!$D$6:$D$108,MATCH(D369,Roster!$A$6:$A$108,0))&gt;=5,INDEX(Inputs!$B$15:$D$15,1,MATCH(A369,Inputs!$B$6:$D$6,0)),0)))))</x:f>
        <x:v>50</x:v>
      </x:c>
      <x:c r="M369" s="20" t="n">
        <x:f>G369*I369</x:f>
        <x:v>31135</x:v>
      </x:c>
      <x:c r="N369" s="20" t="n">
        <x:f>G369*J369</x:f>
        <x:v>22100</x:v>
      </x:c>
      <x:c r="O369" s="20" t="n">
        <x:f>G369*K369</x:f>
        <x:v>0</x:v>
      </x:c>
      <x:c r="P369" s="20" t="n">
        <x:f>G369*L369</x:f>
        <x:v>650</x:v>
      </x:c>
      <x:c r="Q369" s="20" t="n">
        <x:f>H369*INDEX(Inputs!$B$13:$D$13,1,MATCH(A369,Inputs!$B$6:$D$6,0))</x:f>
        <x:v>0</x:v>
      </x:c>
      <x:c r="R369" s="20" t="n">
        <x:f>SUM(M369:Q369)</x:f>
        <x:v>53885</x:v>
      </x:c>
      <x:c r="S369" s="20" t="n">
        <x:f>IF(AND(A368=A369,D368=D369),S368+R369,R369)</x:f>
        <x:v>216710</x:v>
      </x:c>
      <x:c r="T369" s="20" t="n">
        <x:f>MIN(S369,INDEX(Inputs!$B$20:$D$20,1,MATCH(A369,Inputs!$B$6:$D$6,0)))*INDEX(Inputs!$B$22:$D$22,1,MATCH(A369,Inputs!$B$6:$D$6,0))+MAX(MIN(S369,INDEX(Inputs!$B$21:$D$21,1,MATCH(A369,Inputs!$B$6:$D$6,0)))-INDEX(Inputs!$B$20:$D$20,1,MATCH(A369,Inputs!$B$6:$D$6,0)),0)*INDEX(Inputs!$B$23:$D$23,1,MATCH(A369,Inputs!$B$6:$D$6,0))+MAX(S369-INDEX(Inputs!$B$21:$D$21,1,MATCH(A369,Inputs!$B$6:$D$6,0)),0)*INDEX(Inputs!$B$24:$D$24,1,MATCH(A369,Inputs!$B$6:$D$6,0))</x:f>
        <x:v>11056.237</x:v>
      </x:c>
      <x:c r="U369" s="20" t="n">
        <x:f>IF(AND(A368=A369,D368=D369),T368,0)</x:f>
        <x:v>10274.9045</x:v>
      </x:c>
      <x:c r="V369" s="20" t="n">
        <x:f>T369-U369</x:f>
        <x:v>781.3324999999986</x:v>
      </x:c>
      <x:c r="W369" s="20" t="n">
        <x:f>R369+V369</x:f>
        <x:v>54666.3325</x:v>
      </x:c>
      <x:c r="X369" s="14" t="str">
        <x:f>IF(ABS(W369-SUM(M369:Q369)-V369)&lt;0.01,"OK","Check")</x:f>
        <x:v>OK</x:v>
      </x:c>
    </x:row>
    <x:row r="370">
      <x:c r="A370" s="14" t="n">
        <x:v>2026</x:v>
      </x:c>
      <x:c r="B370" s="14" t="str">
        <x:v>Q1</x:v>
      </x:c>
      <x:c r="C370" s="14" t="n">
        <x:v>1</x:v>
      </x:c>
      <x:c r="D370" s="14" t="n">
        <x:v>92</x:v>
      </x:c>
      <x:c r="E370" s="14" t="str">
        <x:f>INDEX(Roster!$B$6:$B$108,MATCH(D370,Roster!$A$6:$A$108,0))</x:f>
        <x:v>Associate Principal</x:v>
      </x:c>
      <x:c r="F370" s="14" t="str">
        <x:f>INDEX(Roster!$F$6:$F$108,MATCH(D370,Roster!$A$6:$A$108,0))</x:f>
        <x:v>Yes</x:v>
      </x:c>
      <x:c r="G370" s="14" t="n">
        <x:f>INDEX(Inputs!$B$7:$D$7,1,MATCH(A370,Inputs!$B$6:$D$6,0))</x:f>
        <x:v>13</x:v>
      </x:c>
      <x:c r="H370" s="14" t="n">
        <x:f>MIN(=INDEX(Inputs!$B$7:$D$7,1,MATCH(A370,Inputs!$B$6:$D$6,0)),MAX(0,INDEX(Inputs!$B$14:$D$14,1,MATCH(A370,Inputs!$B$6:$D$6,0))-(C370-1)*=INDEX(Inputs!$B$7:$D$7,1,MATCH(A370,Inputs!$B$6:$D$6,0))))</x:f>
        <x:v>13</x:v>
      </x:c>
      <x:c r="I370" s="20" t="n">
        <x:f>INDEX(Inputs!$B$8:$D$8,1,MATCH(A370,Inputs!$B$6:$D$6,0))</x:f>
        <x:v>2395</x:v>
      </x:c>
      <x:c r="J370" s="20" t="n">
        <x:f>INDEX(Roster!$C$6:$C$108,MATCH(D370,Roster!$A$6:$A$108,0))*(1+INDEX(Inputs!$B$9:$D$9,1,MATCH(A370,Inputs!$B$6:$D$6,0)))</x:f>
        <x:v>400</x:v>
      </x:c>
      <x:c r="K370" s="20" t="n">
        <x:f>IF(=INDEX(Roster!$F$6:$F$108,MATCH(D370,Roster!$A$6:$A$108,0))="Yes",0,=INDEX(Inputs!$B$8:$D$8,1,MATCH(A370,Inputs!$B$6:$D$6,0))*IF(=INDEX(Roster!$B$6:$B$108,MATCH(D370,Roster!$A$6:$A$108,0))="Principal",INDEX(Inputs!$B$10:$D$10,1,MATCH(A370,Inputs!$B$6:$D$6,0)),IF(=INDEX(Roster!$B$6:$B$108,MATCH(D370,Roster!$A$6:$A$108,0))="Associate Principal",INDEX(Inputs!$B$11:$D$11,1,MATCH(A370,Inputs!$B$6:$D$6,0)),IF(=INDEX(Roster!$B$6:$B$108,MATCH(D370,Roster!$A$6:$A$108,0))="Assistant Principal",INDEX(Inputs!$B$12:$D$12,1,MATCH(A370,Inputs!$B$6:$D$6,0)),0))))</x:f>
        <x:v>0</x:v>
      </x:c>
      <x:c r="L370" s="20" t="n">
        <x:f>IF(INDEX(Roster!$D$6:$D$108,MATCH(D370,Roster!$A$6:$A$108,0))&gt;=25,INDEX(Inputs!$B$19:$D$19,1,MATCH(A370,Inputs!$B$6:$D$6,0)),IF(INDEX(Roster!$D$6:$D$108,MATCH(D370,Roster!$A$6:$A$108,0))&gt;=20,INDEX(Inputs!$B$18:$D$18,1,MATCH(A370,Inputs!$B$6:$D$6,0)),IF(INDEX(Roster!$D$6:$D$108,MATCH(D370,Roster!$A$6:$A$108,0))&gt;=15,INDEX(Inputs!$B$17:$D$17,1,MATCH(A370,Inputs!$B$6:$D$6,0)),IF(INDEX(Roster!$D$6:$D$108,MATCH(D370,Roster!$A$6:$A$108,0))&gt;=10,INDEX(Inputs!$B$16:$D$16,1,MATCH(A370,Inputs!$B$6:$D$6,0)),IF(INDEX(Roster!$D$6:$D$108,MATCH(D370,Roster!$A$6:$A$108,0))&gt;=5,INDEX(Inputs!$B$15:$D$15,1,MATCH(A370,Inputs!$B$6:$D$6,0)),0)))))</x:f>
        <x:v>90</x:v>
      </x:c>
      <x:c r="M370" s="20" t="n">
        <x:f>G370*I370</x:f>
        <x:v>31135</x:v>
      </x:c>
      <x:c r="N370" s="20" t="n">
        <x:f>G370*J370</x:f>
        <x:v>5200</x:v>
      </x:c>
      <x:c r="O370" s="20" t="n">
        <x:f>G370*K370</x:f>
        <x:v>0</x:v>
      </x:c>
      <x:c r="P370" s="20" t="n">
        <x:f>G370*L370</x:f>
        <x:v>1170</x:v>
      </x:c>
      <x:c r="Q370" s="20" t="n">
        <x:f>H370*INDEX(Inputs!$B$13:$D$13,1,MATCH(A370,Inputs!$B$6:$D$6,0))</x:f>
        <x:v>390</x:v>
      </x:c>
      <x:c r="R370" s="20" t="n">
        <x:f>SUM(M370:Q370)</x:f>
        <x:v>37895</x:v>
      </x:c>
      <x:c r="S370" s="20" t="n">
        <x:f>IF(AND(A369=A370,D369=D370),S369+R370,R370)</x:f>
        <x:v>37895</x:v>
      </x:c>
      <x:c r="T370" s="20" t="n">
        <x:f>MIN(S370,INDEX(Inputs!$B$20:$D$20,1,MATCH(A370,Inputs!$B$6:$D$6,0)))*INDEX(Inputs!$B$22:$D$22,1,MATCH(A370,Inputs!$B$6:$D$6,0))+MAX(MIN(S370,INDEX(Inputs!$B$21:$D$21,1,MATCH(A370,Inputs!$B$6:$D$6,0)))-INDEX(Inputs!$B$20:$D$20,1,MATCH(A370,Inputs!$B$6:$D$6,0)),0)*INDEX(Inputs!$B$23:$D$23,1,MATCH(A370,Inputs!$B$6:$D$6,0))+MAX(S370-INDEX(Inputs!$B$21:$D$21,1,MATCH(A370,Inputs!$B$6:$D$6,0)),0)*INDEX(Inputs!$B$24:$D$24,1,MATCH(A370,Inputs!$B$6:$D$6,0))</x:f>
        <x:v>3388.9674999999997</x:v>
      </x:c>
      <x:c r="U370" s="20" t="n">
        <x:f>IF(AND(A369=A370,D369=D370),T369,0)</x:f>
        <x:v>0</x:v>
      </x:c>
      <x:c r="V370" s="20" t="n">
        <x:f>T370-U370</x:f>
        <x:v>3388.9674999999997</x:v>
      </x:c>
      <x:c r="W370" s="20" t="n">
        <x:f>R370+V370</x:f>
        <x:v>41283.9675</x:v>
      </x:c>
      <x:c r="X370" s="14" t="str">
        <x:f>IF(ABS(W370-SUM(M370:Q370)-V370)&lt;0.01,"OK","Check")</x:f>
        <x:v>OK</x:v>
      </x:c>
    </x:row>
    <x:row r="371">
      <x:c r="A371" s="14" t="n">
        <x:v>2026</x:v>
      </x:c>
      <x:c r="B371" s="14" t="str">
        <x:v>Q2</x:v>
      </x:c>
      <x:c r="C371" s="14" t="n">
        <x:v>2</x:v>
      </x:c>
      <x:c r="D371" s="14" t="n">
        <x:v>92</x:v>
      </x:c>
      <x:c r="E371" s="14" t="str">
        <x:f>INDEX(Roster!$B$6:$B$108,MATCH(D371,Roster!$A$6:$A$108,0))</x:f>
        <x:v>Associate Principal</x:v>
      </x:c>
      <x:c r="F371" s="14" t="str">
        <x:f>INDEX(Roster!$F$6:$F$108,MATCH(D371,Roster!$A$6:$A$108,0))</x:f>
        <x:v>Yes</x:v>
      </x:c>
      <x:c r="G371" s="14" t="n">
        <x:f>INDEX(Inputs!$B$7:$D$7,1,MATCH(A371,Inputs!$B$6:$D$6,0))</x:f>
        <x:v>13</x:v>
      </x:c>
      <x:c r="H371" s="14" t="n">
        <x:f>MIN(=INDEX(Inputs!$B$7:$D$7,1,MATCH(A371,Inputs!$B$6:$D$6,0)),MAX(0,INDEX(Inputs!$B$14:$D$14,1,MATCH(A371,Inputs!$B$6:$D$6,0))-(C371-1)*=INDEX(Inputs!$B$7:$D$7,1,MATCH(A371,Inputs!$B$6:$D$6,0))))</x:f>
        <x:v>13</x:v>
      </x:c>
      <x:c r="I371" s="20" t="n">
        <x:f>INDEX(Inputs!$B$8:$D$8,1,MATCH(A371,Inputs!$B$6:$D$6,0))</x:f>
        <x:v>2395</x:v>
      </x:c>
      <x:c r="J371" s="20" t="n">
        <x:f>INDEX(Roster!$C$6:$C$108,MATCH(D371,Roster!$A$6:$A$108,0))*(1+INDEX(Inputs!$B$9:$D$9,1,MATCH(A371,Inputs!$B$6:$D$6,0)))</x:f>
        <x:v>400</x:v>
      </x:c>
      <x:c r="K371" s="20" t="n">
        <x:f>IF(=INDEX(Roster!$F$6:$F$108,MATCH(D371,Roster!$A$6:$A$108,0))="Yes",0,=INDEX(Inputs!$B$8:$D$8,1,MATCH(A371,Inputs!$B$6:$D$6,0))*IF(=INDEX(Roster!$B$6:$B$108,MATCH(D371,Roster!$A$6:$A$108,0))="Principal",INDEX(Inputs!$B$10:$D$10,1,MATCH(A371,Inputs!$B$6:$D$6,0)),IF(=INDEX(Roster!$B$6:$B$108,MATCH(D371,Roster!$A$6:$A$108,0))="Associate Principal",INDEX(Inputs!$B$11:$D$11,1,MATCH(A371,Inputs!$B$6:$D$6,0)),IF(=INDEX(Roster!$B$6:$B$108,MATCH(D371,Roster!$A$6:$A$108,0))="Assistant Principal",INDEX(Inputs!$B$12:$D$12,1,MATCH(A371,Inputs!$B$6:$D$6,0)),0))))</x:f>
        <x:v>0</x:v>
      </x:c>
      <x:c r="L371" s="20" t="n">
        <x:f>IF(INDEX(Roster!$D$6:$D$108,MATCH(D371,Roster!$A$6:$A$108,0))&gt;=25,INDEX(Inputs!$B$19:$D$19,1,MATCH(A371,Inputs!$B$6:$D$6,0)),IF(INDEX(Roster!$D$6:$D$108,MATCH(D371,Roster!$A$6:$A$108,0))&gt;=20,INDEX(Inputs!$B$18:$D$18,1,MATCH(A371,Inputs!$B$6:$D$6,0)),IF(INDEX(Roster!$D$6:$D$108,MATCH(D371,Roster!$A$6:$A$108,0))&gt;=15,INDEX(Inputs!$B$17:$D$17,1,MATCH(A371,Inputs!$B$6:$D$6,0)),IF(INDEX(Roster!$D$6:$D$108,MATCH(D371,Roster!$A$6:$A$108,0))&gt;=10,INDEX(Inputs!$B$16:$D$16,1,MATCH(A371,Inputs!$B$6:$D$6,0)),IF(INDEX(Roster!$D$6:$D$108,MATCH(D371,Roster!$A$6:$A$108,0))&gt;=5,INDEX(Inputs!$B$15:$D$15,1,MATCH(A371,Inputs!$B$6:$D$6,0)),0)))))</x:f>
        <x:v>90</x:v>
      </x:c>
      <x:c r="M371" s="20" t="n">
        <x:f>G371*I371</x:f>
        <x:v>31135</x:v>
      </x:c>
      <x:c r="N371" s="20" t="n">
        <x:f>G371*J371</x:f>
        <x:v>5200</x:v>
      </x:c>
      <x:c r="O371" s="20" t="n">
        <x:f>G371*K371</x:f>
        <x:v>0</x:v>
      </x:c>
      <x:c r="P371" s="20" t="n">
        <x:f>G371*L371</x:f>
        <x:v>1170</x:v>
      </x:c>
      <x:c r="Q371" s="20" t="n">
        <x:f>H371*INDEX(Inputs!$B$13:$D$13,1,MATCH(A371,Inputs!$B$6:$D$6,0))</x:f>
        <x:v>390</x:v>
      </x:c>
      <x:c r="R371" s="20" t="n">
        <x:f>SUM(M371:Q371)</x:f>
        <x:v>37895</x:v>
      </x:c>
      <x:c r="S371" s="20" t="n">
        <x:f>IF(AND(A370=A371,D370=D371),S370+R371,R371)</x:f>
        <x:v>75790</x:v>
      </x:c>
      <x:c r="T371" s="20" t="n">
        <x:f>MIN(S371,INDEX(Inputs!$B$20:$D$20,1,MATCH(A371,Inputs!$B$6:$D$6,0)))*INDEX(Inputs!$B$22:$D$22,1,MATCH(A371,Inputs!$B$6:$D$6,0))+MAX(MIN(S371,INDEX(Inputs!$B$21:$D$21,1,MATCH(A371,Inputs!$B$6:$D$6,0)))-INDEX(Inputs!$B$20:$D$20,1,MATCH(A371,Inputs!$B$6:$D$6,0)),0)*INDEX(Inputs!$B$23:$D$23,1,MATCH(A371,Inputs!$B$6:$D$6,0))+MAX(S371-INDEX(Inputs!$B$21:$D$21,1,MATCH(A371,Inputs!$B$6:$D$6,0)),0)*INDEX(Inputs!$B$24:$D$24,1,MATCH(A371,Inputs!$B$6:$D$6,0))</x:f>
        <x:v>6287.9349999999995</x:v>
      </x:c>
      <x:c r="U371" s="20" t="n">
        <x:f>IF(AND(A370=A371,D370=D371),T370,0)</x:f>
        <x:v>3388.9674999999997</x:v>
      </x:c>
      <x:c r="V371" s="20" t="n">
        <x:f>T371-U371</x:f>
        <x:v>2898.9674999999997</x:v>
      </x:c>
      <x:c r="W371" s="20" t="n">
        <x:f>R371+V371</x:f>
        <x:v>40793.9675</x:v>
      </x:c>
      <x:c r="X371" s="14" t="str">
        <x:f>IF(ABS(W371-SUM(M371:Q371)-V371)&lt;0.01,"OK","Check")</x:f>
        <x:v>OK</x:v>
      </x:c>
    </x:row>
    <x:row r="372">
      <x:c r="A372" s="14" t="n">
        <x:v>2026</x:v>
      </x:c>
      <x:c r="B372" s="14" t="str">
        <x:v>Q3</x:v>
      </x:c>
      <x:c r="C372" s="14" t="n">
        <x:v>3</x:v>
      </x:c>
      <x:c r="D372" s="14" t="n">
        <x:v>92</x:v>
      </x:c>
      <x:c r="E372" s="14" t="str">
        <x:f>INDEX(Roster!$B$6:$B$108,MATCH(D372,Roster!$A$6:$A$108,0))</x:f>
        <x:v>Associate Principal</x:v>
      </x:c>
      <x:c r="F372" s="14" t="str">
        <x:f>INDEX(Roster!$F$6:$F$108,MATCH(D372,Roster!$A$6:$A$108,0))</x:f>
        <x:v>Yes</x:v>
      </x:c>
      <x:c r="G372" s="14" t="n">
        <x:f>INDEX(Inputs!$B$7:$D$7,1,MATCH(A372,Inputs!$B$6:$D$6,0))</x:f>
        <x:v>13</x:v>
      </x:c>
      <x:c r="H372" s="14" t="n">
        <x:f>MIN(=INDEX(Inputs!$B$7:$D$7,1,MATCH(A372,Inputs!$B$6:$D$6,0)),MAX(0,INDEX(Inputs!$B$14:$D$14,1,MATCH(A372,Inputs!$B$6:$D$6,0))-(C372-1)*=INDEX(Inputs!$B$7:$D$7,1,MATCH(A372,Inputs!$B$6:$D$6,0))))</x:f>
        <x:v>13</x:v>
      </x:c>
      <x:c r="I372" s="20" t="n">
        <x:f>INDEX(Inputs!$B$8:$D$8,1,MATCH(A372,Inputs!$B$6:$D$6,0))</x:f>
        <x:v>2395</x:v>
      </x:c>
      <x:c r="J372" s="20" t="n">
        <x:f>INDEX(Roster!$C$6:$C$108,MATCH(D372,Roster!$A$6:$A$108,0))*(1+INDEX(Inputs!$B$9:$D$9,1,MATCH(A372,Inputs!$B$6:$D$6,0)))</x:f>
        <x:v>400</x:v>
      </x:c>
      <x:c r="K372" s="20" t="n">
        <x:f>IF(=INDEX(Roster!$F$6:$F$108,MATCH(D372,Roster!$A$6:$A$108,0))="Yes",0,=INDEX(Inputs!$B$8:$D$8,1,MATCH(A372,Inputs!$B$6:$D$6,0))*IF(=INDEX(Roster!$B$6:$B$108,MATCH(D372,Roster!$A$6:$A$108,0))="Principal",INDEX(Inputs!$B$10:$D$10,1,MATCH(A372,Inputs!$B$6:$D$6,0)),IF(=INDEX(Roster!$B$6:$B$108,MATCH(D372,Roster!$A$6:$A$108,0))="Associate Principal",INDEX(Inputs!$B$11:$D$11,1,MATCH(A372,Inputs!$B$6:$D$6,0)),IF(=INDEX(Roster!$B$6:$B$108,MATCH(D372,Roster!$A$6:$A$108,0))="Assistant Principal",INDEX(Inputs!$B$12:$D$12,1,MATCH(A372,Inputs!$B$6:$D$6,0)),0))))</x:f>
        <x:v>0</x:v>
      </x:c>
      <x:c r="L372" s="20" t="n">
        <x:f>IF(INDEX(Roster!$D$6:$D$108,MATCH(D372,Roster!$A$6:$A$108,0))&gt;=25,INDEX(Inputs!$B$19:$D$19,1,MATCH(A372,Inputs!$B$6:$D$6,0)),IF(INDEX(Roster!$D$6:$D$108,MATCH(D372,Roster!$A$6:$A$108,0))&gt;=20,INDEX(Inputs!$B$18:$D$18,1,MATCH(A372,Inputs!$B$6:$D$6,0)),IF(INDEX(Roster!$D$6:$D$108,MATCH(D372,Roster!$A$6:$A$108,0))&gt;=15,INDEX(Inputs!$B$17:$D$17,1,MATCH(A372,Inputs!$B$6:$D$6,0)),IF(INDEX(Roster!$D$6:$D$108,MATCH(D372,Roster!$A$6:$A$108,0))&gt;=10,INDEX(Inputs!$B$16:$D$16,1,MATCH(A372,Inputs!$B$6:$D$6,0)),IF(INDEX(Roster!$D$6:$D$108,MATCH(D372,Roster!$A$6:$A$108,0))&gt;=5,INDEX(Inputs!$B$15:$D$15,1,MATCH(A372,Inputs!$B$6:$D$6,0)),0)))))</x:f>
        <x:v>90</x:v>
      </x:c>
      <x:c r="M372" s="20" t="n">
        <x:f>G372*I372</x:f>
        <x:v>31135</x:v>
      </x:c>
      <x:c r="N372" s="20" t="n">
        <x:f>G372*J372</x:f>
        <x:v>5200</x:v>
      </x:c>
      <x:c r="O372" s="20" t="n">
        <x:f>G372*K372</x:f>
        <x:v>0</x:v>
      </x:c>
      <x:c r="P372" s="20" t="n">
        <x:f>G372*L372</x:f>
        <x:v>1170</x:v>
      </x:c>
      <x:c r="Q372" s="20" t="n">
        <x:f>H372*INDEX(Inputs!$B$13:$D$13,1,MATCH(A372,Inputs!$B$6:$D$6,0))</x:f>
        <x:v>390</x:v>
      </x:c>
      <x:c r="R372" s="20" t="n">
        <x:f>SUM(M372:Q372)</x:f>
        <x:v>37895</x:v>
      </x:c>
      <x:c r="S372" s="20" t="n">
        <x:f>IF(AND(A371=A372,D371=D372),S371+R372,R372)</x:f>
        <x:v>113685</x:v>
      </x:c>
      <x:c r="T372" s="20" t="n">
        <x:f>MIN(S372,INDEX(Inputs!$B$20:$D$20,1,MATCH(A372,Inputs!$B$6:$D$6,0)))*INDEX(Inputs!$B$22:$D$22,1,MATCH(A372,Inputs!$B$6:$D$6,0))+MAX(MIN(S372,INDEX(Inputs!$B$21:$D$21,1,MATCH(A372,Inputs!$B$6:$D$6,0)))-INDEX(Inputs!$B$20:$D$20,1,MATCH(A372,Inputs!$B$6:$D$6,0)),0)*INDEX(Inputs!$B$23:$D$23,1,MATCH(A372,Inputs!$B$6:$D$6,0))+MAX(S372-INDEX(Inputs!$B$21:$D$21,1,MATCH(A372,Inputs!$B$6:$D$6,0)),0)*INDEX(Inputs!$B$24:$D$24,1,MATCH(A372,Inputs!$B$6:$D$6,0))</x:f>
        <x:v>9186.9025</x:v>
      </x:c>
      <x:c r="U372" s="20" t="n">
        <x:f>IF(AND(A371=A372,D371=D372),T371,0)</x:f>
        <x:v>6287.9349999999995</x:v>
      </x:c>
      <x:c r="V372" s="20" t="n">
        <x:f>T372-U372</x:f>
        <x:v>2898.9675000000007</x:v>
      </x:c>
      <x:c r="W372" s="20" t="n">
        <x:f>R372+V372</x:f>
        <x:v>40793.9675</x:v>
      </x:c>
      <x:c r="X372" s="14" t="str">
        <x:f>IF(ABS(W372-SUM(M372:Q372)-V372)&lt;0.01,"OK","Check")</x:f>
        <x:v>OK</x:v>
      </x:c>
    </x:row>
    <x:row r="373">
      <x:c r="A373" s="14" t="n">
        <x:v>2026</x:v>
      </x:c>
      <x:c r="B373" s="14" t="str">
        <x:v>Q4</x:v>
      </x:c>
      <x:c r="C373" s="14" t="n">
        <x:v>4</x:v>
      </x:c>
      <x:c r="D373" s="14" t="n">
        <x:v>92</x:v>
      </x:c>
      <x:c r="E373" s="14" t="str">
        <x:f>INDEX(Roster!$B$6:$B$108,MATCH(D373,Roster!$A$6:$A$108,0))</x:f>
        <x:v>Associate Principal</x:v>
      </x:c>
      <x:c r="F373" s="14" t="str">
        <x:f>INDEX(Roster!$F$6:$F$108,MATCH(D373,Roster!$A$6:$A$108,0))</x:f>
        <x:v>Yes</x:v>
      </x:c>
      <x:c r="G373" s="14" t="n">
        <x:f>INDEX(Inputs!$B$7:$D$7,1,MATCH(A373,Inputs!$B$6:$D$6,0))</x:f>
        <x:v>13</x:v>
      </x:c>
      <x:c r="H373" s="14" t="n">
        <x:f>MIN(=INDEX(Inputs!$B$7:$D$7,1,MATCH(A373,Inputs!$B$6:$D$6,0)),MAX(0,INDEX(Inputs!$B$14:$D$14,1,MATCH(A373,Inputs!$B$6:$D$6,0))-(C373-1)*=INDEX(Inputs!$B$7:$D$7,1,MATCH(A373,Inputs!$B$6:$D$6,0))))</x:f>
        <x:v>0</x:v>
      </x:c>
      <x:c r="I373" s="20" t="n">
        <x:f>INDEX(Inputs!$B$8:$D$8,1,MATCH(A373,Inputs!$B$6:$D$6,0))</x:f>
        <x:v>2395</x:v>
      </x:c>
      <x:c r="J373" s="20" t="n">
        <x:f>INDEX(Roster!$C$6:$C$108,MATCH(D373,Roster!$A$6:$A$108,0))*(1+INDEX(Inputs!$B$9:$D$9,1,MATCH(A373,Inputs!$B$6:$D$6,0)))</x:f>
        <x:v>400</x:v>
      </x:c>
      <x:c r="K373" s="20" t="n">
        <x:f>IF(=INDEX(Roster!$F$6:$F$108,MATCH(D373,Roster!$A$6:$A$108,0))="Yes",0,=INDEX(Inputs!$B$8:$D$8,1,MATCH(A373,Inputs!$B$6:$D$6,0))*IF(=INDEX(Roster!$B$6:$B$108,MATCH(D373,Roster!$A$6:$A$108,0))="Principal",INDEX(Inputs!$B$10:$D$10,1,MATCH(A373,Inputs!$B$6:$D$6,0)),IF(=INDEX(Roster!$B$6:$B$108,MATCH(D373,Roster!$A$6:$A$108,0))="Associate Principal",INDEX(Inputs!$B$11:$D$11,1,MATCH(A373,Inputs!$B$6:$D$6,0)),IF(=INDEX(Roster!$B$6:$B$108,MATCH(D373,Roster!$A$6:$A$108,0))="Assistant Principal",INDEX(Inputs!$B$12:$D$12,1,MATCH(A373,Inputs!$B$6:$D$6,0)),0))))</x:f>
        <x:v>0</x:v>
      </x:c>
      <x:c r="L373" s="20" t="n">
        <x:f>IF(INDEX(Roster!$D$6:$D$108,MATCH(D373,Roster!$A$6:$A$108,0))&gt;=25,INDEX(Inputs!$B$19:$D$19,1,MATCH(A373,Inputs!$B$6:$D$6,0)),IF(INDEX(Roster!$D$6:$D$108,MATCH(D373,Roster!$A$6:$A$108,0))&gt;=20,INDEX(Inputs!$B$18:$D$18,1,MATCH(A373,Inputs!$B$6:$D$6,0)),IF(INDEX(Roster!$D$6:$D$108,MATCH(D373,Roster!$A$6:$A$108,0))&gt;=15,INDEX(Inputs!$B$17:$D$17,1,MATCH(A373,Inputs!$B$6:$D$6,0)),IF(INDEX(Roster!$D$6:$D$108,MATCH(D373,Roster!$A$6:$A$108,0))&gt;=10,INDEX(Inputs!$B$16:$D$16,1,MATCH(A373,Inputs!$B$6:$D$6,0)),IF(INDEX(Roster!$D$6:$D$108,MATCH(D373,Roster!$A$6:$A$108,0))&gt;=5,INDEX(Inputs!$B$15:$D$15,1,MATCH(A373,Inputs!$B$6:$D$6,0)),0)))))</x:f>
        <x:v>90</x:v>
      </x:c>
      <x:c r="M373" s="20" t="n">
        <x:f>G373*I373</x:f>
        <x:v>31135</x:v>
      </x:c>
      <x:c r="N373" s="20" t="n">
        <x:f>G373*J373</x:f>
        <x:v>5200</x:v>
      </x:c>
      <x:c r="O373" s="20" t="n">
        <x:f>G373*K373</x:f>
        <x:v>0</x:v>
      </x:c>
      <x:c r="P373" s="20" t="n">
        <x:f>G373*L373</x:f>
        <x:v>1170</x:v>
      </x:c>
      <x:c r="Q373" s="20" t="n">
        <x:f>H373*INDEX(Inputs!$B$13:$D$13,1,MATCH(A373,Inputs!$B$6:$D$6,0))</x:f>
        <x:v>0</x:v>
      </x:c>
      <x:c r="R373" s="20" t="n">
        <x:f>SUM(M373:Q373)</x:f>
        <x:v>37505</x:v>
      </x:c>
      <x:c r="S373" s="20" t="n">
        <x:f>IF(AND(A372=A373,D372=D373),S372+R373,R373)</x:f>
        <x:v>151190</x:v>
      </x:c>
      <x:c r="T373" s="20" t="n">
        <x:f>MIN(S373,INDEX(Inputs!$B$20:$D$20,1,MATCH(A373,Inputs!$B$6:$D$6,0)))*INDEX(Inputs!$B$22:$D$22,1,MATCH(A373,Inputs!$B$6:$D$6,0))+MAX(MIN(S373,INDEX(Inputs!$B$21:$D$21,1,MATCH(A373,Inputs!$B$6:$D$6,0)))-INDEX(Inputs!$B$20:$D$20,1,MATCH(A373,Inputs!$B$6:$D$6,0)),0)*INDEX(Inputs!$B$23:$D$23,1,MATCH(A373,Inputs!$B$6:$D$6,0))+MAX(S373-INDEX(Inputs!$B$21:$D$21,1,MATCH(A373,Inputs!$B$6:$D$6,0)),0)*INDEX(Inputs!$B$24:$D$24,1,MATCH(A373,Inputs!$B$6:$D$6,0))</x:f>
        <x:v>10106.197</x:v>
      </x:c>
      <x:c r="U373" s="20" t="n">
        <x:f>IF(AND(A372=A373,D372=D373),T372,0)</x:f>
        <x:v>9186.9025</x:v>
      </x:c>
      <x:c r="V373" s="20" t="n">
        <x:f>T373-U373</x:f>
        <x:v>919.2945</x:v>
      </x:c>
      <x:c r="W373" s="20" t="n">
        <x:f>R373+V373</x:f>
        <x:v>38424.2945</x:v>
      </x:c>
      <x:c r="X373" s="14" t="str">
        <x:f>IF(ABS(W373-SUM(M373:Q373)-V373)&lt;0.01,"OK","Check")</x:f>
        <x:v>OK</x:v>
      </x:c>
    </x:row>
    <x:row r="374">
      <x:c r="A374" s="14" t="n">
        <x:v>2026</x:v>
      </x:c>
      <x:c r="B374" s="14" t="str">
        <x:v>Q1</x:v>
      </x:c>
      <x:c r="C374" s="14" t="n">
        <x:v>1</x:v>
      </x:c>
      <x:c r="D374" s="14" t="n">
        <x:v>93</x:v>
      </x:c>
      <x:c r="E374" s="14" t="str">
        <x:f>INDEX(Roster!$B$6:$B$108,MATCH(D374,Roster!$A$6:$A$108,0))</x:f>
        <x:v>Principal</x:v>
      </x:c>
      <x:c r="F374" s="14" t="str">
        <x:f>INDEX(Roster!$F$6:$F$108,MATCH(D374,Roster!$A$6:$A$108,0))</x:f>
        <x:v>Yes</x:v>
      </x:c>
      <x:c r="G374" s="14" t="n">
        <x:f>INDEX(Inputs!$B$7:$D$7,1,MATCH(A374,Inputs!$B$6:$D$6,0))</x:f>
        <x:v>13</x:v>
      </x:c>
      <x:c r="H374" s="14" t="n">
        <x:f>MIN(=INDEX(Inputs!$B$7:$D$7,1,MATCH(A374,Inputs!$B$6:$D$6,0)),MAX(0,INDEX(Inputs!$B$14:$D$14,1,MATCH(A374,Inputs!$B$6:$D$6,0))-(C374-1)*=INDEX(Inputs!$B$7:$D$7,1,MATCH(A374,Inputs!$B$6:$D$6,0))))</x:f>
        <x:v>13</x:v>
      </x:c>
      <x:c r="I374" s="20" t="n">
        <x:f>INDEX(Inputs!$B$8:$D$8,1,MATCH(A374,Inputs!$B$6:$D$6,0))</x:f>
        <x:v>2395</x:v>
      </x:c>
      <x:c r="J374" s="20" t="n">
        <x:f>INDEX(Roster!$C$6:$C$108,MATCH(D374,Roster!$A$6:$A$108,0))*(1+INDEX(Inputs!$B$9:$D$9,1,MATCH(A374,Inputs!$B$6:$D$6,0)))</x:f>
        <x:v>1400</x:v>
      </x:c>
      <x:c r="K374" s="20" t="n">
        <x:f>IF(=INDEX(Roster!$F$6:$F$108,MATCH(D374,Roster!$A$6:$A$108,0))="Yes",0,=INDEX(Inputs!$B$8:$D$8,1,MATCH(A374,Inputs!$B$6:$D$6,0))*IF(=INDEX(Roster!$B$6:$B$108,MATCH(D374,Roster!$A$6:$A$108,0))="Principal",INDEX(Inputs!$B$10:$D$10,1,MATCH(A374,Inputs!$B$6:$D$6,0)),IF(=INDEX(Roster!$B$6:$B$108,MATCH(D374,Roster!$A$6:$A$108,0))="Associate Principal",INDEX(Inputs!$B$11:$D$11,1,MATCH(A374,Inputs!$B$6:$D$6,0)),IF(=INDEX(Roster!$B$6:$B$108,MATCH(D374,Roster!$A$6:$A$108,0))="Assistant Principal",INDEX(Inputs!$B$12:$D$12,1,MATCH(A374,Inputs!$B$6:$D$6,0)),0))))</x:f>
        <x:v>0</x:v>
      </x:c>
      <x:c r="L374" s="20" t="n">
        <x:f>IF(INDEX(Roster!$D$6:$D$108,MATCH(D374,Roster!$A$6:$A$108,0))&gt;=25,INDEX(Inputs!$B$19:$D$19,1,MATCH(A374,Inputs!$B$6:$D$6,0)),IF(INDEX(Roster!$D$6:$D$108,MATCH(D374,Roster!$A$6:$A$108,0))&gt;=20,INDEX(Inputs!$B$18:$D$18,1,MATCH(A374,Inputs!$B$6:$D$6,0)),IF(INDEX(Roster!$D$6:$D$108,MATCH(D374,Roster!$A$6:$A$108,0))&gt;=15,INDEX(Inputs!$B$17:$D$17,1,MATCH(A374,Inputs!$B$6:$D$6,0)),IF(INDEX(Roster!$D$6:$D$108,MATCH(D374,Roster!$A$6:$A$108,0))&gt;=10,INDEX(Inputs!$B$16:$D$16,1,MATCH(A374,Inputs!$B$6:$D$6,0)),IF(INDEX(Roster!$D$6:$D$108,MATCH(D374,Roster!$A$6:$A$108,0))&gt;=5,INDEX(Inputs!$B$15:$D$15,1,MATCH(A374,Inputs!$B$6:$D$6,0)),0)))))</x:f>
        <x:v>90</x:v>
      </x:c>
      <x:c r="M374" s="20" t="n">
        <x:f>G374*I374</x:f>
        <x:v>31135</x:v>
      </x:c>
      <x:c r="N374" s="20" t="n">
        <x:f>G374*J374</x:f>
        <x:v>18200</x:v>
      </x:c>
      <x:c r="O374" s="20" t="n">
        <x:f>G374*K374</x:f>
        <x:v>0</x:v>
      </x:c>
      <x:c r="P374" s="20" t="n">
        <x:f>G374*L374</x:f>
        <x:v>1170</x:v>
      </x:c>
      <x:c r="Q374" s="20" t="n">
        <x:f>H374*INDEX(Inputs!$B$13:$D$13,1,MATCH(A374,Inputs!$B$6:$D$6,0))</x:f>
        <x:v>390</x:v>
      </x:c>
      <x:c r="R374" s="20" t="n">
        <x:f>SUM(M374:Q374)</x:f>
        <x:v>50895</x:v>
      </x:c>
      <x:c r="S374" s="20" t="n">
        <x:f>IF(AND(A373=A374,D373=D374),S373+R374,R374)</x:f>
        <x:v>50895</x:v>
      </x:c>
      <x:c r="T374" s="20" t="n">
        <x:f>MIN(S374,INDEX(Inputs!$B$20:$D$20,1,MATCH(A374,Inputs!$B$6:$D$6,0)))*INDEX(Inputs!$B$22:$D$22,1,MATCH(A374,Inputs!$B$6:$D$6,0))+MAX(MIN(S374,INDEX(Inputs!$B$21:$D$21,1,MATCH(A374,Inputs!$B$6:$D$6,0)))-INDEX(Inputs!$B$20:$D$20,1,MATCH(A374,Inputs!$B$6:$D$6,0)),0)*INDEX(Inputs!$B$23:$D$23,1,MATCH(A374,Inputs!$B$6:$D$6,0))+MAX(S374-INDEX(Inputs!$B$21:$D$21,1,MATCH(A374,Inputs!$B$6:$D$6,0)),0)*INDEX(Inputs!$B$24:$D$24,1,MATCH(A374,Inputs!$B$6:$D$6,0))</x:f>
        <x:v>4383.4675</x:v>
      </x:c>
      <x:c r="U374" s="20" t="n">
        <x:f>IF(AND(A373=A374,D373=D374),T373,0)</x:f>
        <x:v>0</x:v>
      </x:c>
      <x:c r="V374" s="20" t="n">
        <x:f>T374-U374</x:f>
        <x:v>4383.4675</x:v>
      </x:c>
      <x:c r="W374" s="20" t="n">
        <x:f>R374+V374</x:f>
        <x:v>55278.4675</x:v>
      </x:c>
      <x:c r="X374" s="14" t="str">
        <x:f>IF(ABS(W374-SUM(M374:Q374)-V374)&lt;0.01,"OK","Check")</x:f>
        <x:v>OK</x:v>
      </x:c>
    </x:row>
    <x:row r="375">
      <x:c r="A375" s="14" t="n">
        <x:v>2026</x:v>
      </x:c>
      <x:c r="B375" s="14" t="str">
        <x:v>Q2</x:v>
      </x:c>
      <x:c r="C375" s="14" t="n">
        <x:v>2</x:v>
      </x:c>
      <x:c r="D375" s="14" t="n">
        <x:v>93</x:v>
      </x:c>
      <x:c r="E375" s="14" t="str">
        <x:f>INDEX(Roster!$B$6:$B$108,MATCH(D375,Roster!$A$6:$A$108,0))</x:f>
        <x:v>Principal</x:v>
      </x:c>
      <x:c r="F375" s="14" t="str">
        <x:f>INDEX(Roster!$F$6:$F$108,MATCH(D375,Roster!$A$6:$A$108,0))</x:f>
        <x:v>Yes</x:v>
      </x:c>
      <x:c r="G375" s="14" t="n">
        <x:f>INDEX(Inputs!$B$7:$D$7,1,MATCH(A375,Inputs!$B$6:$D$6,0))</x:f>
        <x:v>13</x:v>
      </x:c>
      <x:c r="H375" s="14" t="n">
        <x:f>MIN(=INDEX(Inputs!$B$7:$D$7,1,MATCH(A375,Inputs!$B$6:$D$6,0)),MAX(0,INDEX(Inputs!$B$14:$D$14,1,MATCH(A375,Inputs!$B$6:$D$6,0))-(C375-1)*=INDEX(Inputs!$B$7:$D$7,1,MATCH(A375,Inputs!$B$6:$D$6,0))))</x:f>
        <x:v>13</x:v>
      </x:c>
      <x:c r="I375" s="20" t="n">
        <x:f>INDEX(Inputs!$B$8:$D$8,1,MATCH(A375,Inputs!$B$6:$D$6,0))</x:f>
        <x:v>2395</x:v>
      </x:c>
      <x:c r="J375" s="20" t="n">
        <x:f>INDEX(Roster!$C$6:$C$108,MATCH(D375,Roster!$A$6:$A$108,0))*(1+INDEX(Inputs!$B$9:$D$9,1,MATCH(A375,Inputs!$B$6:$D$6,0)))</x:f>
        <x:v>1400</x:v>
      </x:c>
      <x:c r="K375" s="20" t="n">
        <x:f>IF(=INDEX(Roster!$F$6:$F$108,MATCH(D375,Roster!$A$6:$A$108,0))="Yes",0,=INDEX(Inputs!$B$8:$D$8,1,MATCH(A375,Inputs!$B$6:$D$6,0))*IF(=INDEX(Roster!$B$6:$B$108,MATCH(D375,Roster!$A$6:$A$108,0))="Principal",INDEX(Inputs!$B$10:$D$10,1,MATCH(A375,Inputs!$B$6:$D$6,0)),IF(=INDEX(Roster!$B$6:$B$108,MATCH(D375,Roster!$A$6:$A$108,0))="Associate Principal",INDEX(Inputs!$B$11:$D$11,1,MATCH(A375,Inputs!$B$6:$D$6,0)),IF(=INDEX(Roster!$B$6:$B$108,MATCH(D375,Roster!$A$6:$A$108,0))="Assistant Principal",INDEX(Inputs!$B$12:$D$12,1,MATCH(A375,Inputs!$B$6:$D$6,0)),0))))</x:f>
        <x:v>0</x:v>
      </x:c>
      <x:c r="L375" s="20" t="n">
        <x:f>IF(INDEX(Roster!$D$6:$D$108,MATCH(D375,Roster!$A$6:$A$108,0))&gt;=25,INDEX(Inputs!$B$19:$D$19,1,MATCH(A375,Inputs!$B$6:$D$6,0)),IF(INDEX(Roster!$D$6:$D$108,MATCH(D375,Roster!$A$6:$A$108,0))&gt;=20,INDEX(Inputs!$B$18:$D$18,1,MATCH(A375,Inputs!$B$6:$D$6,0)),IF(INDEX(Roster!$D$6:$D$108,MATCH(D375,Roster!$A$6:$A$108,0))&gt;=15,INDEX(Inputs!$B$17:$D$17,1,MATCH(A375,Inputs!$B$6:$D$6,0)),IF(INDEX(Roster!$D$6:$D$108,MATCH(D375,Roster!$A$6:$A$108,0))&gt;=10,INDEX(Inputs!$B$16:$D$16,1,MATCH(A375,Inputs!$B$6:$D$6,0)),IF(INDEX(Roster!$D$6:$D$108,MATCH(D375,Roster!$A$6:$A$108,0))&gt;=5,INDEX(Inputs!$B$15:$D$15,1,MATCH(A375,Inputs!$B$6:$D$6,0)),0)))))</x:f>
        <x:v>90</x:v>
      </x:c>
      <x:c r="M375" s="20" t="n">
        <x:f>G375*I375</x:f>
        <x:v>31135</x:v>
      </x:c>
      <x:c r="N375" s="20" t="n">
        <x:f>G375*J375</x:f>
        <x:v>18200</x:v>
      </x:c>
      <x:c r="O375" s="20" t="n">
        <x:f>G375*K375</x:f>
        <x:v>0</x:v>
      </x:c>
      <x:c r="P375" s="20" t="n">
        <x:f>G375*L375</x:f>
        <x:v>1170</x:v>
      </x:c>
      <x:c r="Q375" s="20" t="n">
        <x:f>H375*INDEX(Inputs!$B$13:$D$13,1,MATCH(A375,Inputs!$B$6:$D$6,0))</x:f>
        <x:v>390</x:v>
      </x:c>
      <x:c r="R375" s="20" t="n">
        <x:f>SUM(M375:Q375)</x:f>
        <x:v>50895</x:v>
      </x:c>
      <x:c r="S375" s="20" t="n">
        <x:f>IF(AND(A374=A375,D374=D375),S374+R375,R375)</x:f>
        <x:v>101790</x:v>
      </x:c>
      <x:c r="T375" s="20" t="n">
        <x:f>MIN(S375,INDEX(Inputs!$B$20:$D$20,1,MATCH(A375,Inputs!$B$6:$D$6,0)))*INDEX(Inputs!$B$22:$D$22,1,MATCH(A375,Inputs!$B$6:$D$6,0))+MAX(MIN(S375,INDEX(Inputs!$B$21:$D$21,1,MATCH(A375,Inputs!$B$6:$D$6,0)))-INDEX(Inputs!$B$20:$D$20,1,MATCH(A375,Inputs!$B$6:$D$6,0)),0)*INDEX(Inputs!$B$23:$D$23,1,MATCH(A375,Inputs!$B$6:$D$6,0))+MAX(S375-INDEX(Inputs!$B$21:$D$21,1,MATCH(A375,Inputs!$B$6:$D$6,0)),0)*INDEX(Inputs!$B$24:$D$24,1,MATCH(A375,Inputs!$B$6:$D$6,0))</x:f>
        <x:v>8276.935</x:v>
      </x:c>
      <x:c r="U375" s="20" t="n">
        <x:f>IF(AND(A374=A375,D374=D375),T374,0)</x:f>
        <x:v>4383.4675</x:v>
      </x:c>
      <x:c r="V375" s="20" t="n">
        <x:f>T375-U375</x:f>
        <x:v>3893.4674999999997</x:v>
      </x:c>
      <x:c r="W375" s="20" t="n">
        <x:f>R375+V375</x:f>
        <x:v>54788.4675</x:v>
      </x:c>
      <x:c r="X375" s="14" t="str">
        <x:f>IF(ABS(W375-SUM(M375:Q375)-V375)&lt;0.01,"OK","Check")</x:f>
        <x:v>OK</x:v>
      </x:c>
    </x:row>
    <x:row r="376">
      <x:c r="A376" s="14" t="n">
        <x:v>2026</x:v>
      </x:c>
      <x:c r="B376" s="14" t="str">
        <x:v>Q3</x:v>
      </x:c>
      <x:c r="C376" s="14" t="n">
        <x:v>3</x:v>
      </x:c>
      <x:c r="D376" s="14" t="n">
        <x:v>93</x:v>
      </x:c>
      <x:c r="E376" s="14" t="str">
        <x:f>INDEX(Roster!$B$6:$B$108,MATCH(D376,Roster!$A$6:$A$108,0))</x:f>
        <x:v>Principal</x:v>
      </x:c>
      <x:c r="F376" s="14" t="str">
        <x:f>INDEX(Roster!$F$6:$F$108,MATCH(D376,Roster!$A$6:$A$108,0))</x:f>
        <x:v>Yes</x:v>
      </x:c>
      <x:c r="G376" s="14" t="n">
        <x:f>INDEX(Inputs!$B$7:$D$7,1,MATCH(A376,Inputs!$B$6:$D$6,0))</x:f>
        <x:v>13</x:v>
      </x:c>
      <x:c r="H376" s="14" t="n">
        <x:f>MIN(=INDEX(Inputs!$B$7:$D$7,1,MATCH(A376,Inputs!$B$6:$D$6,0)),MAX(0,INDEX(Inputs!$B$14:$D$14,1,MATCH(A376,Inputs!$B$6:$D$6,0))-(C376-1)*=INDEX(Inputs!$B$7:$D$7,1,MATCH(A376,Inputs!$B$6:$D$6,0))))</x:f>
        <x:v>13</x:v>
      </x:c>
      <x:c r="I376" s="20" t="n">
        <x:f>INDEX(Inputs!$B$8:$D$8,1,MATCH(A376,Inputs!$B$6:$D$6,0))</x:f>
        <x:v>2395</x:v>
      </x:c>
      <x:c r="J376" s="20" t="n">
        <x:f>INDEX(Roster!$C$6:$C$108,MATCH(D376,Roster!$A$6:$A$108,0))*(1+INDEX(Inputs!$B$9:$D$9,1,MATCH(A376,Inputs!$B$6:$D$6,0)))</x:f>
        <x:v>1400</x:v>
      </x:c>
      <x:c r="K376" s="20" t="n">
        <x:f>IF(=INDEX(Roster!$F$6:$F$108,MATCH(D376,Roster!$A$6:$A$108,0))="Yes",0,=INDEX(Inputs!$B$8:$D$8,1,MATCH(A376,Inputs!$B$6:$D$6,0))*IF(=INDEX(Roster!$B$6:$B$108,MATCH(D376,Roster!$A$6:$A$108,0))="Principal",INDEX(Inputs!$B$10:$D$10,1,MATCH(A376,Inputs!$B$6:$D$6,0)),IF(=INDEX(Roster!$B$6:$B$108,MATCH(D376,Roster!$A$6:$A$108,0))="Associate Principal",INDEX(Inputs!$B$11:$D$11,1,MATCH(A376,Inputs!$B$6:$D$6,0)),IF(=INDEX(Roster!$B$6:$B$108,MATCH(D376,Roster!$A$6:$A$108,0))="Assistant Principal",INDEX(Inputs!$B$12:$D$12,1,MATCH(A376,Inputs!$B$6:$D$6,0)),0))))</x:f>
        <x:v>0</x:v>
      </x:c>
      <x:c r="L376" s="20" t="n">
        <x:f>IF(INDEX(Roster!$D$6:$D$108,MATCH(D376,Roster!$A$6:$A$108,0))&gt;=25,INDEX(Inputs!$B$19:$D$19,1,MATCH(A376,Inputs!$B$6:$D$6,0)),IF(INDEX(Roster!$D$6:$D$108,MATCH(D376,Roster!$A$6:$A$108,0))&gt;=20,INDEX(Inputs!$B$18:$D$18,1,MATCH(A376,Inputs!$B$6:$D$6,0)),IF(INDEX(Roster!$D$6:$D$108,MATCH(D376,Roster!$A$6:$A$108,0))&gt;=15,INDEX(Inputs!$B$17:$D$17,1,MATCH(A376,Inputs!$B$6:$D$6,0)),IF(INDEX(Roster!$D$6:$D$108,MATCH(D376,Roster!$A$6:$A$108,0))&gt;=10,INDEX(Inputs!$B$16:$D$16,1,MATCH(A376,Inputs!$B$6:$D$6,0)),IF(INDEX(Roster!$D$6:$D$108,MATCH(D376,Roster!$A$6:$A$108,0))&gt;=5,INDEX(Inputs!$B$15:$D$15,1,MATCH(A376,Inputs!$B$6:$D$6,0)),0)))))</x:f>
        <x:v>90</x:v>
      </x:c>
      <x:c r="M376" s="20" t="n">
        <x:f>G376*I376</x:f>
        <x:v>31135</x:v>
      </x:c>
      <x:c r="N376" s="20" t="n">
        <x:f>G376*J376</x:f>
        <x:v>18200</x:v>
      </x:c>
      <x:c r="O376" s="20" t="n">
        <x:f>G376*K376</x:f>
        <x:v>0</x:v>
      </x:c>
      <x:c r="P376" s="20" t="n">
        <x:f>G376*L376</x:f>
        <x:v>1170</x:v>
      </x:c>
      <x:c r="Q376" s="20" t="n">
        <x:f>H376*INDEX(Inputs!$B$13:$D$13,1,MATCH(A376,Inputs!$B$6:$D$6,0))</x:f>
        <x:v>390</x:v>
      </x:c>
      <x:c r="R376" s="20" t="n">
        <x:f>SUM(M376:Q376)</x:f>
        <x:v>50895</x:v>
      </x:c>
      <x:c r="S376" s="20" t="n">
        <x:f>IF(AND(A375=A376,D375=D376),S375+R376,R376)</x:f>
        <x:v>152685</x:v>
      </x:c>
      <x:c r="T376" s="20" t="n">
        <x:f>MIN(S376,INDEX(Inputs!$B$20:$D$20,1,MATCH(A376,Inputs!$B$6:$D$6,0)))*INDEX(Inputs!$B$22:$D$22,1,MATCH(A376,Inputs!$B$6:$D$6,0))+MAX(MIN(S376,INDEX(Inputs!$B$21:$D$21,1,MATCH(A376,Inputs!$B$6:$D$6,0)))-INDEX(Inputs!$B$20:$D$20,1,MATCH(A376,Inputs!$B$6:$D$6,0)),0)*INDEX(Inputs!$B$23:$D$23,1,MATCH(A376,Inputs!$B$6:$D$6,0))+MAX(S376-INDEX(Inputs!$B$21:$D$21,1,MATCH(A376,Inputs!$B$6:$D$6,0)),0)*INDEX(Inputs!$B$24:$D$24,1,MATCH(A376,Inputs!$B$6:$D$6,0))</x:f>
        <x:v>10127.8745</x:v>
      </x:c>
      <x:c r="U376" s="20" t="n">
        <x:f>IF(AND(A375=A376,D375=D376),T375,0)</x:f>
        <x:v>8276.935</x:v>
      </x:c>
      <x:c r="V376" s="20" t="n">
        <x:f>T376-U376</x:f>
        <x:v>1850.9395000000004</x:v>
      </x:c>
      <x:c r="W376" s="20" t="n">
        <x:f>R376+V376</x:f>
        <x:v>52745.9395</x:v>
      </x:c>
      <x:c r="X376" s="14" t="str">
        <x:f>IF(ABS(W376-SUM(M376:Q376)-V376)&lt;0.01,"OK","Check")</x:f>
        <x:v>OK</x:v>
      </x:c>
    </x:row>
    <x:row r="377">
      <x:c r="A377" s="14" t="n">
        <x:v>2026</x:v>
      </x:c>
      <x:c r="B377" s="14" t="str">
        <x:v>Q4</x:v>
      </x:c>
      <x:c r="C377" s="14" t="n">
        <x:v>4</x:v>
      </x:c>
      <x:c r="D377" s="14" t="n">
        <x:v>93</x:v>
      </x:c>
      <x:c r="E377" s="14" t="str">
        <x:f>INDEX(Roster!$B$6:$B$108,MATCH(D377,Roster!$A$6:$A$108,0))</x:f>
        <x:v>Principal</x:v>
      </x:c>
      <x:c r="F377" s="14" t="str">
        <x:f>INDEX(Roster!$F$6:$F$108,MATCH(D377,Roster!$A$6:$A$108,0))</x:f>
        <x:v>Yes</x:v>
      </x:c>
      <x:c r="G377" s="14" t="n">
        <x:f>INDEX(Inputs!$B$7:$D$7,1,MATCH(A377,Inputs!$B$6:$D$6,0))</x:f>
        <x:v>13</x:v>
      </x:c>
      <x:c r="H377" s="14" t="n">
        <x:f>MIN(=INDEX(Inputs!$B$7:$D$7,1,MATCH(A377,Inputs!$B$6:$D$6,0)),MAX(0,INDEX(Inputs!$B$14:$D$14,1,MATCH(A377,Inputs!$B$6:$D$6,0))-(C377-1)*=INDEX(Inputs!$B$7:$D$7,1,MATCH(A377,Inputs!$B$6:$D$6,0))))</x:f>
        <x:v>0</x:v>
      </x:c>
      <x:c r="I377" s="20" t="n">
        <x:f>INDEX(Inputs!$B$8:$D$8,1,MATCH(A377,Inputs!$B$6:$D$6,0))</x:f>
        <x:v>2395</x:v>
      </x:c>
      <x:c r="J377" s="20" t="n">
        <x:f>INDEX(Roster!$C$6:$C$108,MATCH(D377,Roster!$A$6:$A$108,0))*(1+INDEX(Inputs!$B$9:$D$9,1,MATCH(A377,Inputs!$B$6:$D$6,0)))</x:f>
        <x:v>1400</x:v>
      </x:c>
      <x:c r="K377" s="20" t="n">
        <x:f>IF(=INDEX(Roster!$F$6:$F$108,MATCH(D377,Roster!$A$6:$A$108,0))="Yes",0,=INDEX(Inputs!$B$8:$D$8,1,MATCH(A377,Inputs!$B$6:$D$6,0))*IF(=INDEX(Roster!$B$6:$B$108,MATCH(D377,Roster!$A$6:$A$108,0))="Principal",INDEX(Inputs!$B$10:$D$10,1,MATCH(A377,Inputs!$B$6:$D$6,0)),IF(=INDEX(Roster!$B$6:$B$108,MATCH(D377,Roster!$A$6:$A$108,0))="Associate Principal",INDEX(Inputs!$B$11:$D$11,1,MATCH(A377,Inputs!$B$6:$D$6,0)),IF(=INDEX(Roster!$B$6:$B$108,MATCH(D377,Roster!$A$6:$A$108,0))="Assistant Principal",INDEX(Inputs!$B$12:$D$12,1,MATCH(A377,Inputs!$B$6:$D$6,0)),0))))</x:f>
        <x:v>0</x:v>
      </x:c>
      <x:c r="L377" s="20" t="n">
        <x:f>IF(INDEX(Roster!$D$6:$D$108,MATCH(D377,Roster!$A$6:$A$108,0))&gt;=25,INDEX(Inputs!$B$19:$D$19,1,MATCH(A377,Inputs!$B$6:$D$6,0)),IF(INDEX(Roster!$D$6:$D$108,MATCH(D377,Roster!$A$6:$A$108,0))&gt;=20,INDEX(Inputs!$B$18:$D$18,1,MATCH(A377,Inputs!$B$6:$D$6,0)),IF(INDEX(Roster!$D$6:$D$108,MATCH(D377,Roster!$A$6:$A$108,0))&gt;=15,INDEX(Inputs!$B$17:$D$17,1,MATCH(A377,Inputs!$B$6:$D$6,0)),IF(INDEX(Roster!$D$6:$D$108,MATCH(D377,Roster!$A$6:$A$108,0))&gt;=10,INDEX(Inputs!$B$16:$D$16,1,MATCH(A377,Inputs!$B$6:$D$6,0)),IF(INDEX(Roster!$D$6:$D$108,MATCH(D377,Roster!$A$6:$A$108,0))&gt;=5,INDEX(Inputs!$B$15:$D$15,1,MATCH(A377,Inputs!$B$6:$D$6,0)),0)))))</x:f>
        <x:v>90</x:v>
      </x:c>
      <x:c r="M377" s="20" t="n">
        <x:f>G377*I377</x:f>
        <x:v>31135</x:v>
      </x:c>
      <x:c r="N377" s="20" t="n">
        <x:f>G377*J377</x:f>
        <x:v>18200</x:v>
      </x:c>
      <x:c r="O377" s="20" t="n">
        <x:f>G377*K377</x:f>
        <x:v>0</x:v>
      </x:c>
      <x:c r="P377" s="20" t="n">
        <x:f>G377*L377</x:f>
        <x:v>1170</x:v>
      </x:c>
      <x:c r="Q377" s="20" t="n">
        <x:f>H377*INDEX(Inputs!$B$13:$D$13,1,MATCH(A377,Inputs!$B$6:$D$6,0))</x:f>
        <x:v>0</x:v>
      </x:c>
      <x:c r="R377" s="20" t="n">
        <x:f>SUM(M377:Q377)</x:f>
        <x:v>50505</x:v>
      </x:c>
      <x:c r="S377" s="20" t="n">
        <x:f>IF(AND(A376=A377,D376=D377),S376+R377,R377)</x:f>
        <x:v>203190</x:v>
      </x:c>
      <x:c r="T377" s="20" t="n">
        <x:f>MIN(S377,INDEX(Inputs!$B$20:$D$20,1,MATCH(A377,Inputs!$B$6:$D$6,0)))*INDEX(Inputs!$B$22:$D$22,1,MATCH(A377,Inputs!$B$6:$D$6,0))+MAX(MIN(S377,INDEX(Inputs!$B$21:$D$21,1,MATCH(A377,Inputs!$B$6:$D$6,0)))-INDEX(Inputs!$B$20:$D$20,1,MATCH(A377,Inputs!$B$6:$D$6,0)),0)*INDEX(Inputs!$B$23:$D$23,1,MATCH(A377,Inputs!$B$6:$D$6,0))+MAX(S377-INDEX(Inputs!$B$21:$D$21,1,MATCH(A377,Inputs!$B$6:$D$6,0)),0)*INDEX(Inputs!$B$24:$D$24,1,MATCH(A377,Inputs!$B$6:$D$6,0))</x:f>
        <x:v>10860.197</x:v>
      </x:c>
      <x:c r="U377" s="20" t="n">
        <x:f>IF(AND(A376=A377,D376=D377),T376,0)</x:f>
        <x:v>10127.8745</x:v>
      </x:c>
      <x:c r="V377" s="20" t="n">
        <x:f>T377-U377</x:f>
        <x:v>732.3225000000002</x:v>
      </x:c>
      <x:c r="W377" s="20" t="n">
        <x:f>R377+V377</x:f>
        <x:v>51237.3225</x:v>
      </x:c>
      <x:c r="X377" s="14" t="str">
        <x:f>IF(ABS(W377-SUM(M377:Q377)-V377)&lt;0.01,"OK","Check")</x:f>
        <x:v>OK</x:v>
      </x:c>
    </x:row>
    <x:row r="378">
      <x:c r="A378" s="14" t="n">
        <x:v>2026</x:v>
      </x:c>
      <x:c r="B378" s="14" t="str">
        <x:v>Q1</x:v>
      </x:c>
      <x:c r="C378" s="14" t="n">
        <x:v>1</x:v>
      </x:c>
      <x:c r="D378" s="14" t="n">
        <x:v>94</x:v>
      </x:c>
      <x:c r="E378" s="14" t="str">
        <x:f>INDEX(Roster!$B$6:$B$108,MATCH(D378,Roster!$A$6:$A$108,0))</x:f>
      </x:c>
      <x:c r="F378" s="14" t="str">
        <x:f>INDEX(Roster!$F$6:$F$108,MATCH(D378,Roster!$A$6:$A$108,0))</x:f>
        <x:v>No</x:v>
      </x:c>
      <x:c r="G378" s="14" t="n">
        <x:f>INDEX(Inputs!$B$7:$D$7,1,MATCH(A378,Inputs!$B$6:$D$6,0))</x:f>
        <x:v>13</x:v>
      </x:c>
      <x:c r="H378" s="14" t="n">
        <x:f>MIN(=INDEX(Inputs!$B$7:$D$7,1,MATCH(A378,Inputs!$B$6:$D$6,0)),MAX(0,INDEX(Inputs!$B$14:$D$14,1,MATCH(A378,Inputs!$B$6:$D$6,0))-(C378-1)*=INDEX(Inputs!$B$7:$D$7,1,MATCH(A378,Inputs!$B$6:$D$6,0))))</x:f>
        <x:v>13</x:v>
      </x:c>
      <x:c r="I378" s="20" t="n">
        <x:f>INDEX(Inputs!$B$8:$D$8,1,MATCH(A378,Inputs!$B$6:$D$6,0))</x:f>
        <x:v>2395</x:v>
      </x:c>
      <x:c r="J378" s="20" t="n">
        <x:f>INDEX(Roster!$C$6:$C$108,MATCH(D378,Roster!$A$6:$A$108,0))*(1+INDEX(Inputs!$B$9:$D$9,1,MATCH(A378,Inputs!$B$6:$D$6,0)))</x:f>
        <x:v>110</x:v>
      </x:c>
      <x:c r="K378" s="20" t="n">
        <x:f>IF(=INDEX(Roster!$F$6:$F$108,MATCH(D378,Roster!$A$6:$A$108,0))="Yes",0,=INDEX(Inputs!$B$8:$D$8,1,MATCH(A378,Inputs!$B$6:$D$6,0))*IF(=INDEX(Roster!$B$6:$B$108,MATCH(D378,Roster!$A$6:$A$108,0))="Principal",INDEX(Inputs!$B$10:$D$10,1,MATCH(A378,Inputs!$B$6:$D$6,0)),IF(=INDEX(Roster!$B$6:$B$108,MATCH(D378,Roster!$A$6:$A$108,0))="Associate Principal",INDEX(Inputs!$B$11:$D$11,1,MATCH(A378,Inputs!$B$6:$D$6,0)),IF(=INDEX(Roster!$B$6:$B$108,MATCH(D378,Roster!$A$6:$A$108,0))="Assistant Principal",INDEX(Inputs!$B$12:$D$12,1,MATCH(A378,Inputs!$B$6:$D$6,0)),0))))</x:f>
        <x:v>0</x:v>
      </x:c>
      <x:c r="L378" s="20" t="n">
        <x:f>IF(INDEX(Roster!$D$6:$D$108,MATCH(D378,Roster!$A$6:$A$108,0))&gt;=25,INDEX(Inputs!$B$19:$D$19,1,MATCH(A378,Inputs!$B$6:$D$6,0)),IF(INDEX(Roster!$D$6:$D$108,MATCH(D378,Roster!$A$6:$A$108,0))&gt;=20,INDEX(Inputs!$B$18:$D$18,1,MATCH(A378,Inputs!$B$6:$D$6,0)),IF(INDEX(Roster!$D$6:$D$108,MATCH(D378,Roster!$A$6:$A$108,0))&gt;=15,INDEX(Inputs!$B$17:$D$17,1,MATCH(A378,Inputs!$B$6:$D$6,0)),IF(INDEX(Roster!$D$6:$D$108,MATCH(D378,Roster!$A$6:$A$108,0))&gt;=10,INDEX(Inputs!$B$16:$D$16,1,MATCH(A378,Inputs!$B$6:$D$6,0)),IF(INDEX(Roster!$D$6:$D$108,MATCH(D378,Roster!$A$6:$A$108,0))&gt;=5,INDEX(Inputs!$B$15:$D$15,1,MATCH(A378,Inputs!$B$6:$D$6,0)),0)))))</x:f>
        <x:v>80</x:v>
      </x:c>
      <x:c r="M378" s="20" t="n">
        <x:f>G378*I378</x:f>
        <x:v>31135</x:v>
      </x:c>
      <x:c r="N378" s="20" t="n">
        <x:f>G378*J378</x:f>
        <x:v>1430</x:v>
      </x:c>
      <x:c r="O378" s="20" t="n">
        <x:f>G378*K378</x:f>
        <x:v>0</x:v>
      </x:c>
      <x:c r="P378" s="20" t="n">
        <x:f>G378*L378</x:f>
        <x:v>1040</x:v>
      </x:c>
      <x:c r="Q378" s="20" t="n">
        <x:f>H378*INDEX(Inputs!$B$13:$D$13,1,MATCH(A378,Inputs!$B$6:$D$6,0))</x:f>
        <x:v>390</x:v>
      </x:c>
      <x:c r="R378" s="20" t="n">
        <x:f>SUM(M378:Q378)</x:f>
        <x:v>33995</x:v>
      </x:c>
      <x:c r="S378" s="20" t="n">
        <x:f>IF(AND(A377=A378,D377=D378),S377+R378,R378)</x:f>
        <x:v>33995</x:v>
      </x:c>
      <x:c r="T378" s="20" t="n">
        <x:f>MIN(S378,INDEX(Inputs!$B$20:$D$20,1,MATCH(A378,Inputs!$B$6:$D$6,0)))*INDEX(Inputs!$B$22:$D$22,1,MATCH(A378,Inputs!$B$6:$D$6,0))+MAX(MIN(S378,INDEX(Inputs!$B$21:$D$21,1,MATCH(A378,Inputs!$B$6:$D$6,0)))-INDEX(Inputs!$B$20:$D$20,1,MATCH(A378,Inputs!$B$6:$D$6,0)),0)*INDEX(Inputs!$B$23:$D$23,1,MATCH(A378,Inputs!$B$6:$D$6,0))+MAX(S378-INDEX(Inputs!$B$21:$D$21,1,MATCH(A378,Inputs!$B$6:$D$6,0)),0)*INDEX(Inputs!$B$24:$D$24,1,MATCH(A378,Inputs!$B$6:$D$6,0))</x:f>
        <x:v>3090.6175</x:v>
      </x:c>
      <x:c r="U378" s="20" t="n">
        <x:f>IF(AND(A377=A378,D377=D378),T377,0)</x:f>
        <x:v>0</x:v>
      </x:c>
      <x:c r="V378" s="20" t="n">
        <x:f>T378-U378</x:f>
        <x:v>3090.6175</x:v>
      </x:c>
      <x:c r="W378" s="20" t="n">
        <x:f>R378+V378</x:f>
        <x:v>37085.6175</x:v>
      </x:c>
      <x:c r="X378" s="14" t="str">
        <x:f>IF(ABS(W378-SUM(M378:Q378)-V378)&lt;0.01,"OK","Check")</x:f>
        <x:v>OK</x:v>
      </x:c>
    </x:row>
    <x:row r="379">
      <x:c r="A379" s="14" t="n">
        <x:v>2026</x:v>
      </x:c>
      <x:c r="B379" s="14" t="str">
        <x:v>Q2</x:v>
      </x:c>
      <x:c r="C379" s="14" t="n">
        <x:v>2</x:v>
      </x:c>
      <x:c r="D379" s="14" t="n">
        <x:v>94</x:v>
      </x:c>
      <x:c r="E379" s="14" t="str">
        <x:f>INDEX(Roster!$B$6:$B$108,MATCH(D379,Roster!$A$6:$A$108,0))</x:f>
      </x:c>
      <x:c r="F379" s="14" t="str">
        <x:f>INDEX(Roster!$F$6:$F$108,MATCH(D379,Roster!$A$6:$A$108,0))</x:f>
        <x:v>No</x:v>
      </x:c>
      <x:c r="G379" s="14" t="n">
        <x:f>INDEX(Inputs!$B$7:$D$7,1,MATCH(A379,Inputs!$B$6:$D$6,0))</x:f>
        <x:v>13</x:v>
      </x:c>
      <x:c r="H379" s="14" t="n">
        <x:f>MIN(=INDEX(Inputs!$B$7:$D$7,1,MATCH(A379,Inputs!$B$6:$D$6,0)),MAX(0,INDEX(Inputs!$B$14:$D$14,1,MATCH(A379,Inputs!$B$6:$D$6,0))-(C379-1)*=INDEX(Inputs!$B$7:$D$7,1,MATCH(A379,Inputs!$B$6:$D$6,0))))</x:f>
        <x:v>13</x:v>
      </x:c>
      <x:c r="I379" s="20" t="n">
        <x:f>INDEX(Inputs!$B$8:$D$8,1,MATCH(A379,Inputs!$B$6:$D$6,0))</x:f>
        <x:v>2395</x:v>
      </x:c>
      <x:c r="J379" s="20" t="n">
        <x:f>INDEX(Roster!$C$6:$C$108,MATCH(D379,Roster!$A$6:$A$108,0))*(1+INDEX(Inputs!$B$9:$D$9,1,MATCH(A379,Inputs!$B$6:$D$6,0)))</x:f>
        <x:v>110</x:v>
      </x:c>
      <x:c r="K379" s="20" t="n">
        <x:f>IF(=INDEX(Roster!$F$6:$F$108,MATCH(D379,Roster!$A$6:$A$108,0))="Yes",0,=INDEX(Inputs!$B$8:$D$8,1,MATCH(A379,Inputs!$B$6:$D$6,0))*IF(=INDEX(Roster!$B$6:$B$108,MATCH(D379,Roster!$A$6:$A$108,0))="Principal",INDEX(Inputs!$B$10:$D$10,1,MATCH(A379,Inputs!$B$6:$D$6,0)),IF(=INDEX(Roster!$B$6:$B$108,MATCH(D379,Roster!$A$6:$A$108,0))="Associate Principal",INDEX(Inputs!$B$11:$D$11,1,MATCH(A379,Inputs!$B$6:$D$6,0)),IF(=INDEX(Roster!$B$6:$B$108,MATCH(D379,Roster!$A$6:$A$108,0))="Assistant Principal",INDEX(Inputs!$B$12:$D$12,1,MATCH(A379,Inputs!$B$6:$D$6,0)),0))))</x:f>
        <x:v>0</x:v>
      </x:c>
      <x:c r="L379" s="20" t="n">
        <x:f>IF(INDEX(Roster!$D$6:$D$108,MATCH(D379,Roster!$A$6:$A$108,0))&gt;=25,INDEX(Inputs!$B$19:$D$19,1,MATCH(A379,Inputs!$B$6:$D$6,0)),IF(INDEX(Roster!$D$6:$D$108,MATCH(D379,Roster!$A$6:$A$108,0))&gt;=20,INDEX(Inputs!$B$18:$D$18,1,MATCH(A379,Inputs!$B$6:$D$6,0)),IF(INDEX(Roster!$D$6:$D$108,MATCH(D379,Roster!$A$6:$A$108,0))&gt;=15,INDEX(Inputs!$B$17:$D$17,1,MATCH(A379,Inputs!$B$6:$D$6,0)),IF(INDEX(Roster!$D$6:$D$108,MATCH(D379,Roster!$A$6:$A$108,0))&gt;=10,INDEX(Inputs!$B$16:$D$16,1,MATCH(A379,Inputs!$B$6:$D$6,0)),IF(INDEX(Roster!$D$6:$D$108,MATCH(D379,Roster!$A$6:$A$108,0))&gt;=5,INDEX(Inputs!$B$15:$D$15,1,MATCH(A379,Inputs!$B$6:$D$6,0)),0)))))</x:f>
        <x:v>80</x:v>
      </x:c>
      <x:c r="M379" s="20" t="n">
        <x:f>G379*I379</x:f>
        <x:v>31135</x:v>
      </x:c>
      <x:c r="N379" s="20" t="n">
        <x:f>G379*J379</x:f>
        <x:v>1430</x:v>
      </x:c>
      <x:c r="O379" s="20" t="n">
        <x:f>G379*K379</x:f>
        <x:v>0</x:v>
      </x:c>
      <x:c r="P379" s="20" t="n">
        <x:f>G379*L379</x:f>
        <x:v>1040</x:v>
      </x:c>
      <x:c r="Q379" s="20" t="n">
        <x:f>H379*INDEX(Inputs!$B$13:$D$13,1,MATCH(A379,Inputs!$B$6:$D$6,0))</x:f>
        <x:v>390</x:v>
      </x:c>
      <x:c r="R379" s="20" t="n">
        <x:f>SUM(M379:Q379)</x:f>
        <x:v>33995</x:v>
      </x:c>
      <x:c r="S379" s="20" t="n">
        <x:f>IF(AND(A378=A379,D378=D379),S378+R379,R379)</x:f>
        <x:v>67990</x:v>
      </x:c>
      <x:c r="T379" s="20" t="n">
        <x:f>MIN(S379,INDEX(Inputs!$B$20:$D$20,1,MATCH(A379,Inputs!$B$6:$D$6,0)))*INDEX(Inputs!$B$22:$D$22,1,MATCH(A379,Inputs!$B$6:$D$6,0))+MAX(MIN(S379,INDEX(Inputs!$B$21:$D$21,1,MATCH(A379,Inputs!$B$6:$D$6,0)))-INDEX(Inputs!$B$20:$D$20,1,MATCH(A379,Inputs!$B$6:$D$6,0)),0)*INDEX(Inputs!$B$23:$D$23,1,MATCH(A379,Inputs!$B$6:$D$6,0))+MAX(S379-INDEX(Inputs!$B$21:$D$21,1,MATCH(A379,Inputs!$B$6:$D$6,0)),0)*INDEX(Inputs!$B$24:$D$24,1,MATCH(A379,Inputs!$B$6:$D$6,0))</x:f>
        <x:v>5691.235</x:v>
      </x:c>
      <x:c r="U379" s="20" t="n">
        <x:f>IF(AND(A378=A379,D378=D379),T378,0)</x:f>
        <x:v>3090.6175</x:v>
      </x:c>
      <x:c r="V379" s="20" t="n">
        <x:f>T379-U379</x:f>
        <x:v>2600.6175</x:v>
      </x:c>
      <x:c r="W379" s="20" t="n">
        <x:f>R379+V379</x:f>
        <x:v>36595.6175</x:v>
      </x:c>
      <x:c r="X379" s="14" t="str">
        <x:f>IF(ABS(W379-SUM(M379:Q379)-V379)&lt;0.01,"OK","Check")</x:f>
        <x:v>OK</x:v>
      </x:c>
    </x:row>
    <x:row r="380">
      <x:c r="A380" s="14" t="n">
        <x:v>2026</x:v>
      </x:c>
      <x:c r="B380" s="14" t="str">
        <x:v>Q3</x:v>
      </x:c>
      <x:c r="C380" s="14" t="n">
        <x:v>3</x:v>
      </x:c>
      <x:c r="D380" s="14" t="n">
        <x:v>94</x:v>
      </x:c>
      <x:c r="E380" s="14" t="str">
        <x:f>INDEX(Roster!$B$6:$B$108,MATCH(D380,Roster!$A$6:$A$108,0))</x:f>
      </x:c>
      <x:c r="F380" s="14" t="str">
        <x:f>INDEX(Roster!$F$6:$F$108,MATCH(D380,Roster!$A$6:$A$108,0))</x:f>
        <x:v>No</x:v>
      </x:c>
      <x:c r="G380" s="14" t="n">
        <x:f>INDEX(Inputs!$B$7:$D$7,1,MATCH(A380,Inputs!$B$6:$D$6,0))</x:f>
        <x:v>13</x:v>
      </x:c>
      <x:c r="H380" s="14" t="n">
        <x:f>MIN(=INDEX(Inputs!$B$7:$D$7,1,MATCH(A380,Inputs!$B$6:$D$6,0)),MAX(0,INDEX(Inputs!$B$14:$D$14,1,MATCH(A380,Inputs!$B$6:$D$6,0))-(C380-1)*=INDEX(Inputs!$B$7:$D$7,1,MATCH(A380,Inputs!$B$6:$D$6,0))))</x:f>
        <x:v>13</x:v>
      </x:c>
      <x:c r="I380" s="20" t="n">
        <x:f>INDEX(Inputs!$B$8:$D$8,1,MATCH(A380,Inputs!$B$6:$D$6,0))</x:f>
        <x:v>2395</x:v>
      </x:c>
      <x:c r="J380" s="20" t="n">
        <x:f>INDEX(Roster!$C$6:$C$108,MATCH(D380,Roster!$A$6:$A$108,0))*(1+INDEX(Inputs!$B$9:$D$9,1,MATCH(A380,Inputs!$B$6:$D$6,0)))</x:f>
        <x:v>110</x:v>
      </x:c>
      <x:c r="K380" s="20" t="n">
        <x:f>IF(=INDEX(Roster!$F$6:$F$108,MATCH(D380,Roster!$A$6:$A$108,0))="Yes",0,=INDEX(Inputs!$B$8:$D$8,1,MATCH(A380,Inputs!$B$6:$D$6,0))*IF(=INDEX(Roster!$B$6:$B$108,MATCH(D380,Roster!$A$6:$A$108,0))="Principal",INDEX(Inputs!$B$10:$D$10,1,MATCH(A380,Inputs!$B$6:$D$6,0)),IF(=INDEX(Roster!$B$6:$B$108,MATCH(D380,Roster!$A$6:$A$108,0))="Associate Principal",INDEX(Inputs!$B$11:$D$11,1,MATCH(A380,Inputs!$B$6:$D$6,0)),IF(=INDEX(Roster!$B$6:$B$108,MATCH(D380,Roster!$A$6:$A$108,0))="Assistant Principal",INDEX(Inputs!$B$12:$D$12,1,MATCH(A380,Inputs!$B$6:$D$6,0)),0))))</x:f>
        <x:v>0</x:v>
      </x:c>
      <x:c r="L380" s="20" t="n">
        <x:f>IF(INDEX(Roster!$D$6:$D$108,MATCH(D380,Roster!$A$6:$A$108,0))&gt;=25,INDEX(Inputs!$B$19:$D$19,1,MATCH(A380,Inputs!$B$6:$D$6,0)),IF(INDEX(Roster!$D$6:$D$108,MATCH(D380,Roster!$A$6:$A$108,0))&gt;=20,INDEX(Inputs!$B$18:$D$18,1,MATCH(A380,Inputs!$B$6:$D$6,0)),IF(INDEX(Roster!$D$6:$D$108,MATCH(D380,Roster!$A$6:$A$108,0))&gt;=15,INDEX(Inputs!$B$17:$D$17,1,MATCH(A380,Inputs!$B$6:$D$6,0)),IF(INDEX(Roster!$D$6:$D$108,MATCH(D380,Roster!$A$6:$A$108,0))&gt;=10,INDEX(Inputs!$B$16:$D$16,1,MATCH(A380,Inputs!$B$6:$D$6,0)),IF(INDEX(Roster!$D$6:$D$108,MATCH(D380,Roster!$A$6:$A$108,0))&gt;=5,INDEX(Inputs!$B$15:$D$15,1,MATCH(A380,Inputs!$B$6:$D$6,0)),0)))))</x:f>
        <x:v>80</x:v>
      </x:c>
      <x:c r="M380" s="20" t="n">
        <x:f>G380*I380</x:f>
        <x:v>31135</x:v>
      </x:c>
      <x:c r="N380" s="20" t="n">
        <x:f>G380*J380</x:f>
        <x:v>1430</x:v>
      </x:c>
      <x:c r="O380" s="20" t="n">
        <x:f>G380*K380</x:f>
        <x:v>0</x:v>
      </x:c>
      <x:c r="P380" s="20" t="n">
        <x:f>G380*L380</x:f>
        <x:v>1040</x:v>
      </x:c>
      <x:c r="Q380" s="20" t="n">
        <x:f>H380*INDEX(Inputs!$B$13:$D$13,1,MATCH(A380,Inputs!$B$6:$D$6,0))</x:f>
        <x:v>390</x:v>
      </x:c>
      <x:c r="R380" s="20" t="n">
        <x:f>SUM(M380:Q380)</x:f>
        <x:v>33995</x:v>
      </x:c>
      <x:c r="S380" s="20" t="n">
        <x:f>IF(AND(A379=A380,D379=D380),S379+R380,R380)</x:f>
        <x:v>101985</x:v>
      </x:c>
      <x:c r="T380" s="20" t="n">
        <x:f>MIN(S380,INDEX(Inputs!$B$20:$D$20,1,MATCH(A380,Inputs!$B$6:$D$6,0)))*INDEX(Inputs!$B$22:$D$22,1,MATCH(A380,Inputs!$B$6:$D$6,0))+MAX(MIN(S380,INDEX(Inputs!$B$21:$D$21,1,MATCH(A380,Inputs!$B$6:$D$6,0)))-INDEX(Inputs!$B$20:$D$20,1,MATCH(A380,Inputs!$B$6:$D$6,0)),0)*INDEX(Inputs!$B$23:$D$23,1,MATCH(A380,Inputs!$B$6:$D$6,0))+MAX(S380-INDEX(Inputs!$B$21:$D$21,1,MATCH(A380,Inputs!$B$6:$D$6,0)),0)*INDEX(Inputs!$B$24:$D$24,1,MATCH(A380,Inputs!$B$6:$D$6,0))</x:f>
        <x:v>8291.8525</x:v>
      </x:c>
      <x:c r="U380" s="20" t="n">
        <x:f>IF(AND(A379=A380,D379=D380),T379,0)</x:f>
        <x:v>5691.235</x:v>
      </x:c>
      <x:c r="V380" s="20" t="n">
        <x:f>T380-U380</x:f>
        <x:v>2600.617500000001</x:v>
      </x:c>
      <x:c r="W380" s="20" t="n">
        <x:f>R380+V380</x:f>
        <x:v>36595.6175</x:v>
      </x:c>
      <x:c r="X380" s="14" t="str">
        <x:f>IF(ABS(W380-SUM(M380:Q380)-V380)&lt;0.01,"OK","Check")</x:f>
        <x:v>OK</x:v>
      </x:c>
    </x:row>
    <x:row r="381">
      <x:c r="A381" s="14" t="n">
        <x:v>2026</x:v>
      </x:c>
      <x:c r="B381" s="14" t="str">
        <x:v>Q4</x:v>
      </x:c>
      <x:c r="C381" s="14" t="n">
        <x:v>4</x:v>
      </x:c>
      <x:c r="D381" s="14" t="n">
        <x:v>94</x:v>
      </x:c>
      <x:c r="E381" s="14" t="str">
        <x:f>INDEX(Roster!$B$6:$B$108,MATCH(D381,Roster!$A$6:$A$108,0))</x:f>
      </x:c>
      <x:c r="F381" s="14" t="str">
        <x:f>INDEX(Roster!$F$6:$F$108,MATCH(D381,Roster!$A$6:$A$108,0))</x:f>
        <x:v>No</x:v>
      </x:c>
      <x:c r="G381" s="14" t="n">
        <x:f>INDEX(Inputs!$B$7:$D$7,1,MATCH(A381,Inputs!$B$6:$D$6,0))</x:f>
        <x:v>13</x:v>
      </x:c>
      <x:c r="H381" s="14" t="n">
        <x:f>MIN(=INDEX(Inputs!$B$7:$D$7,1,MATCH(A381,Inputs!$B$6:$D$6,0)),MAX(0,INDEX(Inputs!$B$14:$D$14,1,MATCH(A381,Inputs!$B$6:$D$6,0))-(C381-1)*=INDEX(Inputs!$B$7:$D$7,1,MATCH(A381,Inputs!$B$6:$D$6,0))))</x:f>
        <x:v>0</x:v>
      </x:c>
      <x:c r="I381" s="20" t="n">
        <x:f>INDEX(Inputs!$B$8:$D$8,1,MATCH(A381,Inputs!$B$6:$D$6,0))</x:f>
        <x:v>2395</x:v>
      </x:c>
      <x:c r="J381" s="20" t="n">
        <x:f>INDEX(Roster!$C$6:$C$108,MATCH(D381,Roster!$A$6:$A$108,0))*(1+INDEX(Inputs!$B$9:$D$9,1,MATCH(A381,Inputs!$B$6:$D$6,0)))</x:f>
        <x:v>110</x:v>
      </x:c>
      <x:c r="K381" s="20" t="n">
        <x:f>IF(=INDEX(Roster!$F$6:$F$108,MATCH(D381,Roster!$A$6:$A$108,0))="Yes",0,=INDEX(Inputs!$B$8:$D$8,1,MATCH(A381,Inputs!$B$6:$D$6,0))*IF(=INDEX(Roster!$B$6:$B$108,MATCH(D381,Roster!$A$6:$A$108,0))="Principal",INDEX(Inputs!$B$10:$D$10,1,MATCH(A381,Inputs!$B$6:$D$6,0)),IF(=INDEX(Roster!$B$6:$B$108,MATCH(D381,Roster!$A$6:$A$108,0))="Associate Principal",INDEX(Inputs!$B$11:$D$11,1,MATCH(A381,Inputs!$B$6:$D$6,0)),IF(=INDEX(Roster!$B$6:$B$108,MATCH(D381,Roster!$A$6:$A$108,0))="Assistant Principal",INDEX(Inputs!$B$12:$D$12,1,MATCH(A381,Inputs!$B$6:$D$6,0)),0))))</x:f>
        <x:v>0</x:v>
      </x:c>
      <x:c r="L381" s="20" t="n">
        <x:f>IF(INDEX(Roster!$D$6:$D$108,MATCH(D381,Roster!$A$6:$A$108,0))&gt;=25,INDEX(Inputs!$B$19:$D$19,1,MATCH(A381,Inputs!$B$6:$D$6,0)),IF(INDEX(Roster!$D$6:$D$108,MATCH(D381,Roster!$A$6:$A$108,0))&gt;=20,INDEX(Inputs!$B$18:$D$18,1,MATCH(A381,Inputs!$B$6:$D$6,0)),IF(INDEX(Roster!$D$6:$D$108,MATCH(D381,Roster!$A$6:$A$108,0))&gt;=15,INDEX(Inputs!$B$17:$D$17,1,MATCH(A381,Inputs!$B$6:$D$6,0)),IF(INDEX(Roster!$D$6:$D$108,MATCH(D381,Roster!$A$6:$A$108,0))&gt;=10,INDEX(Inputs!$B$16:$D$16,1,MATCH(A381,Inputs!$B$6:$D$6,0)),IF(INDEX(Roster!$D$6:$D$108,MATCH(D381,Roster!$A$6:$A$108,0))&gt;=5,INDEX(Inputs!$B$15:$D$15,1,MATCH(A381,Inputs!$B$6:$D$6,0)),0)))))</x:f>
        <x:v>80</x:v>
      </x:c>
      <x:c r="M381" s="20" t="n">
        <x:f>G381*I381</x:f>
        <x:v>31135</x:v>
      </x:c>
      <x:c r="N381" s="20" t="n">
        <x:f>G381*J381</x:f>
        <x:v>1430</x:v>
      </x:c>
      <x:c r="O381" s="20" t="n">
        <x:f>G381*K381</x:f>
        <x:v>0</x:v>
      </x:c>
      <x:c r="P381" s="20" t="n">
        <x:f>G381*L381</x:f>
        <x:v>1040</x:v>
      </x:c>
      <x:c r="Q381" s="20" t="n">
        <x:f>H381*INDEX(Inputs!$B$13:$D$13,1,MATCH(A381,Inputs!$B$6:$D$6,0))</x:f>
        <x:v>0</x:v>
      </x:c>
      <x:c r="R381" s="20" t="n">
        <x:f>SUM(M381:Q381)</x:f>
        <x:v>33605</x:v>
      </x:c>
      <x:c r="S381" s="20" t="n">
        <x:f>IF(AND(A380=A381,D380=D381),S380+R381,R381)</x:f>
        <x:v>135590</x:v>
      </x:c>
      <x:c r="T381" s="20" t="n">
        <x:f>MIN(S381,INDEX(Inputs!$B$20:$D$20,1,MATCH(A381,Inputs!$B$6:$D$6,0)))*INDEX(Inputs!$B$22:$D$22,1,MATCH(A381,Inputs!$B$6:$D$6,0))+MAX(MIN(S381,INDEX(Inputs!$B$21:$D$21,1,MATCH(A381,Inputs!$B$6:$D$6,0)))-INDEX(Inputs!$B$20:$D$20,1,MATCH(A381,Inputs!$B$6:$D$6,0)),0)*INDEX(Inputs!$B$23:$D$23,1,MATCH(A381,Inputs!$B$6:$D$6,0))+MAX(S381-INDEX(Inputs!$B$21:$D$21,1,MATCH(A381,Inputs!$B$6:$D$6,0)),0)*INDEX(Inputs!$B$24:$D$24,1,MATCH(A381,Inputs!$B$6:$D$6,0))</x:f>
        <x:v>9879.997</x:v>
      </x:c>
      <x:c r="U381" s="20" t="n">
        <x:f>IF(AND(A380=A381,D380=D381),T380,0)</x:f>
        <x:v>8291.8525</x:v>
      </x:c>
      <x:c r="V381" s="20" t="n">
        <x:f>T381-U381</x:f>
        <x:v>1588.1444999999985</x:v>
      </x:c>
      <x:c r="W381" s="20" t="n">
        <x:f>R381+V381</x:f>
        <x:v>35193.144499999995</x:v>
      </x:c>
      <x:c r="X381" s="14" t="str">
        <x:f>IF(ABS(W381-SUM(M381:Q381)-V381)&lt;0.01,"OK","Check")</x:f>
        <x:v>OK</x:v>
      </x:c>
    </x:row>
    <x:row r="382">
      <x:c r="A382" s="14" t="n">
        <x:v>2026</x:v>
      </x:c>
      <x:c r="B382" s="14" t="str">
        <x:v>Q1</x:v>
      </x:c>
      <x:c r="C382" s="14" t="n">
        <x:v>1</x:v>
      </x:c>
      <x:c r="D382" s="14" t="n">
        <x:v>95</x:v>
      </x:c>
      <x:c r="E382" s="14" t="str">
        <x:f>INDEX(Roster!$B$6:$B$108,MATCH(D382,Roster!$A$6:$A$108,0))</x:f>
      </x:c>
      <x:c r="F382" s="14" t="str">
        <x:f>INDEX(Roster!$F$6:$F$108,MATCH(D382,Roster!$A$6:$A$108,0))</x:f>
        <x:v>No</x:v>
      </x:c>
      <x:c r="G382" s="14" t="n">
        <x:f>INDEX(Inputs!$B$7:$D$7,1,MATCH(A382,Inputs!$B$6:$D$6,0))</x:f>
        <x:v>13</x:v>
      </x:c>
      <x:c r="H382" s="14" t="n">
        <x:f>MIN(=INDEX(Inputs!$B$7:$D$7,1,MATCH(A382,Inputs!$B$6:$D$6,0)),MAX(0,INDEX(Inputs!$B$14:$D$14,1,MATCH(A382,Inputs!$B$6:$D$6,0))-(C382-1)*=INDEX(Inputs!$B$7:$D$7,1,MATCH(A382,Inputs!$B$6:$D$6,0))))</x:f>
        <x:v>13</x:v>
      </x:c>
      <x:c r="I382" s="20" t="n">
        <x:f>INDEX(Inputs!$B$8:$D$8,1,MATCH(A382,Inputs!$B$6:$D$6,0))</x:f>
        <x:v>2395</x:v>
      </x:c>
      <x:c r="J382" s="20" t="n">
        <x:f>INDEX(Roster!$C$6:$C$108,MATCH(D382,Roster!$A$6:$A$108,0))*(1+INDEX(Inputs!$B$9:$D$9,1,MATCH(A382,Inputs!$B$6:$D$6,0)))</x:f>
        <x:v>200</x:v>
      </x:c>
      <x:c r="K382" s="20" t="n">
        <x:f>IF(=INDEX(Roster!$F$6:$F$108,MATCH(D382,Roster!$A$6:$A$108,0))="Yes",0,=INDEX(Inputs!$B$8:$D$8,1,MATCH(A382,Inputs!$B$6:$D$6,0))*IF(=INDEX(Roster!$B$6:$B$108,MATCH(D382,Roster!$A$6:$A$108,0))="Principal",INDEX(Inputs!$B$10:$D$10,1,MATCH(A382,Inputs!$B$6:$D$6,0)),IF(=INDEX(Roster!$B$6:$B$108,MATCH(D382,Roster!$A$6:$A$108,0))="Associate Principal",INDEX(Inputs!$B$11:$D$11,1,MATCH(A382,Inputs!$B$6:$D$6,0)),IF(=INDEX(Roster!$B$6:$B$108,MATCH(D382,Roster!$A$6:$A$108,0))="Assistant Principal",INDEX(Inputs!$B$12:$D$12,1,MATCH(A382,Inputs!$B$6:$D$6,0)),0))))</x:f>
        <x:v>0</x:v>
      </x:c>
      <x:c r="L382" s="20" t="n">
        <x:f>IF(INDEX(Roster!$D$6:$D$108,MATCH(D382,Roster!$A$6:$A$108,0))&gt;=25,INDEX(Inputs!$B$19:$D$19,1,MATCH(A382,Inputs!$B$6:$D$6,0)),IF(INDEX(Roster!$D$6:$D$108,MATCH(D382,Roster!$A$6:$A$108,0))&gt;=20,INDEX(Inputs!$B$18:$D$18,1,MATCH(A382,Inputs!$B$6:$D$6,0)),IF(INDEX(Roster!$D$6:$D$108,MATCH(D382,Roster!$A$6:$A$108,0))&gt;=15,INDEX(Inputs!$B$17:$D$17,1,MATCH(A382,Inputs!$B$6:$D$6,0)),IF(INDEX(Roster!$D$6:$D$108,MATCH(D382,Roster!$A$6:$A$108,0))&gt;=10,INDEX(Inputs!$B$16:$D$16,1,MATCH(A382,Inputs!$B$6:$D$6,0)),IF(INDEX(Roster!$D$6:$D$108,MATCH(D382,Roster!$A$6:$A$108,0))&gt;=5,INDEX(Inputs!$B$15:$D$15,1,MATCH(A382,Inputs!$B$6:$D$6,0)),0)))))</x:f>
        <x:v>80</x:v>
      </x:c>
      <x:c r="M382" s="20" t="n">
        <x:f>G382*I382</x:f>
        <x:v>31135</x:v>
      </x:c>
      <x:c r="N382" s="20" t="n">
        <x:f>G382*J382</x:f>
        <x:v>2600</x:v>
      </x:c>
      <x:c r="O382" s="20" t="n">
        <x:f>G382*K382</x:f>
        <x:v>0</x:v>
      </x:c>
      <x:c r="P382" s="20" t="n">
        <x:f>G382*L382</x:f>
        <x:v>1040</x:v>
      </x:c>
      <x:c r="Q382" s="20" t="n">
        <x:f>H382*INDEX(Inputs!$B$13:$D$13,1,MATCH(A382,Inputs!$B$6:$D$6,0))</x:f>
        <x:v>390</x:v>
      </x:c>
      <x:c r="R382" s="20" t="n">
        <x:f>SUM(M382:Q382)</x:f>
        <x:v>35165</x:v>
      </x:c>
      <x:c r="S382" s="20" t="n">
        <x:f>IF(AND(A381=A382,D381=D382),S381+R382,R382)</x:f>
        <x:v>35165</x:v>
      </x:c>
      <x:c r="T382" s="20" t="n">
        <x:f>MIN(S382,INDEX(Inputs!$B$20:$D$20,1,MATCH(A382,Inputs!$B$6:$D$6,0)))*INDEX(Inputs!$B$22:$D$22,1,MATCH(A382,Inputs!$B$6:$D$6,0))+MAX(MIN(S382,INDEX(Inputs!$B$21:$D$21,1,MATCH(A382,Inputs!$B$6:$D$6,0)))-INDEX(Inputs!$B$20:$D$20,1,MATCH(A382,Inputs!$B$6:$D$6,0)),0)*INDEX(Inputs!$B$23:$D$23,1,MATCH(A382,Inputs!$B$6:$D$6,0))+MAX(S382-INDEX(Inputs!$B$21:$D$21,1,MATCH(A382,Inputs!$B$6:$D$6,0)),0)*INDEX(Inputs!$B$24:$D$24,1,MATCH(A382,Inputs!$B$6:$D$6,0))</x:f>
        <x:v>3180.1225</x:v>
      </x:c>
      <x:c r="U382" s="20" t="n">
        <x:f>IF(AND(A381=A382,D381=D382),T381,0)</x:f>
        <x:v>0</x:v>
      </x:c>
      <x:c r="V382" s="20" t="n">
        <x:f>T382-U382</x:f>
        <x:v>3180.1225</x:v>
      </x:c>
      <x:c r="W382" s="20" t="n">
        <x:f>R382+V382</x:f>
        <x:v>38345.1225</x:v>
      </x:c>
      <x:c r="X382" s="14" t="str">
        <x:f>IF(ABS(W382-SUM(M382:Q382)-V382)&lt;0.01,"OK","Check")</x:f>
        <x:v>OK</x:v>
      </x:c>
    </x:row>
    <x:row r="383">
      <x:c r="A383" s="14" t="n">
        <x:v>2026</x:v>
      </x:c>
      <x:c r="B383" s="14" t="str">
        <x:v>Q2</x:v>
      </x:c>
      <x:c r="C383" s="14" t="n">
        <x:v>2</x:v>
      </x:c>
      <x:c r="D383" s="14" t="n">
        <x:v>95</x:v>
      </x:c>
      <x:c r="E383" s="14" t="str">
        <x:f>INDEX(Roster!$B$6:$B$108,MATCH(D383,Roster!$A$6:$A$108,0))</x:f>
      </x:c>
      <x:c r="F383" s="14" t="str">
        <x:f>INDEX(Roster!$F$6:$F$108,MATCH(D383,Roster!$A$6:$A$108,0))</x:f>
        <x:v>No</x:v>
      </x:c>
      <x:c r="G383" s="14" t="n">
        <x:f>INDEX(Inputs!$B$7:$D$7,1,MATCH(A383,Inputs!$B$6:$D$6,0))</x:f>
        <x:v>13</x:v>
      </x:c>
      <x:c r="H383" s="14" t="n">
        <x:f>MIN(=INDEX(Inputs!$B$7:$D$7,1,MATCH(A383,Inputs!$B$6:$D$6,0)),MAX(0,INDEX(Inputs!$B$14:$D$14,1,MATCH(A383,Inputs!$B$6:$D$6,0))-(C383-1)*=INDEX(Inputs!$B$7:$D$7,1,MATCH(A383,Inputs!$B$6:$D$6,0))))</x:f>
        <x:v>13</x:v>
      </x:c>
      <x:c r="I383" s="20" t="n">
        <x:f>INDEX(Inputs!$B$8:$D$8,1,MATCH(A383,Inputs!$B$6:$D$6,0))</x:f>
        <x:v>2395</x:v>
      </x:c>
      <x:c r="J383" s="20" t="n">
        <x:f>INDEX(Roster!$C$6:$C$108,MATCH(D383,Roster!$A$6:$A$108,0))*(1+INDEX(Inputs!$B$9:$D$9,1,MATCH(A383,Inputs!$B$6:$D$6,0)))</x:f>
        <x:v>200</x:v>
      </x:c>
      <x:c r="K383" s="20" t="n">
        <x:f>IF(=INDEX(Roster!$F$6:$F$108,MATCH(D383,Roster!$A$6:$A$108,0))="Yes",0,=INDEX(Inputs!$B$8:$D$8,1,MATCH(A383,Inputs!$B$6:$D$6,0))*IF(=INDEX(Roster!$B$6:$B$108,MATCH(D383,Roster!$A$6:$A$108,0))="Principal",INDEX(Inputs!$B$10:$D$10,1,MATCH(A383,Inputs!$B$6:$D$6,0)),IF(=INDEX(Roster!$B$6:$B$108,MATCH(D383,Roster!$A$6:$A$108,0))="Associate Principal",INDEX(Inputs!$B$11:$D$11,1,MATCH(A383,Inputs!$B$6:$D$6,0)),IF(=INDEX(Roster!$B$6:$B$108,MATCH(D383,Roster!$A$6:$A$108,0))="Assistant Principal",INDEX(Inputs!$B$12:$D$12,1,MATCH(A383,Inputs!$B$6:$D$6,0)),0))))</x:f>
        <x:v>0</x:v>
      </x:c>
      <x:c r="L383" s="20" t="n">
        <x:f>IF(INDEX(Roster!$D$6:$D$108,MATCH(D383,Roster!$A$6:$A$108,0))&gt;=25,INDEX(Inputs!$B$19:$D$19,1,MATCH(A383,Inputs!$B$6:$D$6,0)),IF(INDEX(Roster!$D$6:$D$108,MATCH(D383,Roster!$A$6:$A$108,0))&gt;=20,INDEX(Inputs!$B$18:$D$18,1,MATCH(A383,Inputs!$B$6:$D$6,0)),IF(INDEX(Roster!$D$6:$D$108,MATCH(D383,Roster!$A$6:$A$108,0))&gt;=15,INDEX(Inputs!$B$17:$D$17,1,MATCH(A383,Inputs!$B$6:$D$6,0)),IF(INDEX(Roster!$D$6:$D$108,MATCH(D383,Roster!$A$6:$A$108,0))&gt;=10,INDEX(Inputs!$B$16:$D$16,1,MATCH(A383,Inputs!$B$6:$D$6,0)),IF(INDEX(Roster!$D$6:$D$108,MATCH(D383,Roster!$A$6:$A$108,0))&gt;=5,INDEX(Inputs!$B$15:$D$15,1,MATCH(A383,Inputs!$B$6:$D$6,0)),0)))))</x:f>
        <x:v>80</x:v>
      </x:c>
      <x:c r="M383" s="20" t="n">
        <x:f>G383*I383</x:f>
        <x:v>31135</x:v>
      </x:c>
      <x:c r="N383" s="20" t="n">
        <x:f>G383*J383</x:f>
        <x:v>2600</x:v>
      </x:c>
      <x:c r="O383" s="20" t="n">
        <x:f>G383*K383</x:f>
        <x:v>0</x:v>
      </x:c>
      <x:c r="P383" s="20" t="n">
        <x:f>G383*L383</x:f>
        <x:v>1040</x:v>
      </x:c>
      <x:c r="Q383" s="20" t="n">
        <x:f>H383*INDEX(Inputs!$B$13:$D$13,1,MATCH(A383,Inputs!$B$6:$D$6,0))</x:f>
        <x:v>390</x:v>
      </x:c>
      <x:c r="R383" s="20" t="n">
        <x:f>SUM(M383:Q383)</x:f>
        <x:v>35165</x:v>
      </x:c>
      <x:c r="S383" s="20" t="n">
        <x:f>IF(AND(A382=A383,D382=D383),S382+R383,R383)</x:f>
        <x:v>70330</x:v>
      </x:c>
      <x:c r="T383" s="20" t="n">
        <x:f>MIN(S383,INDEX(Inputs!$B$20:$D$20,1,MATCH(A383,Inputs!$B$6:$D$6,0)))*INDEX(Inputs!$B$22:$D$22,1,MATCH(A383,Inputs!$B$6:$D$6,0))+MAX(MIN(S383,INDEX(Inputs!$B$21:$D$21,1,MATCH(A383,Inputs!$B$6:$D$6,0)))-INDEX(Inputs!$B$20:$D$20,1,MATCH(A383,Inputs!$B$6:$D$6,0)),0)*INDEX(Inputs!$B$23:$D$23,1,MATCH(A383,Inputs!$B$6:$D$6,0))+MAX(S383-INDEX(Inputs!$B$21:$D$21,1,MATCH(A383,Inputs!$B$6:$D$6,0)),0)*INDEX(Inputs!$B$24:$D$24,1,MATCH(A383,Inputs!$B$6:$D$6,0))</x:f>
        <x:v>5870.245</x:v>
      </x:c>
      <x:c r="U383" s="20" t="n">
        <x:f>IF(AND(A382=A383,D382=D383),T382,0)</x:f>
        <x:v>3180.1225</x:v>
      </x:c>
      <x:c r="V383" s="20" t="n">
        <x:f>T383-U383</x:f>
        <x:v>2690.1225</x:v>
      </x:c>
      <x:c r="W383" s="20" t="n">
        <x:f>R383+V383</x:f>
        <x:v>37855.1225</x:v>
      </x:c>
      <x:c r="X383" s="14" t="str">
        <x:f>IF(ABS(W383-SUM(M383:Q383)-V383)&lt;0.01,"OK","Check")</x:f>
        <x:v>OK</x:v>
      </x:c>
    </x:row>
    <x:row r="384">
      <x:c r="A384" s="14" t="n">
        <x:v>2026</x:v>
      </x:c>
      <x:c r="B384" s="14" t="str">
        <x:v>Q3</x:v>
      </x:c>
      <x:c r="C384" s="14" t="n">
        <x:v>3</x:v>
      </x:c>
      <x:c r="D384" s="14" t="n">
        <x:v>95</x:v>
      </x:c>
      <x:c r="E384" s="14" t="str">
        <x:f>INDEX(Roster!$B$6:$B$108,MATCH(D384,Roster!$A$6:$A$108,0))</x:f>
      </x:c>
      <x:c r="F384" s="14" t="str">
        <x:f>INDEX(Roster!$F$6:$F$108,MATCH(D384,Roster!$A$6:$A$108,0))</x:f>
        <x:v>No</x:v>
      </x:c>
      <x:c r="G384" s="14" t="n">
        <x:f>INDEX(Inputs!$B$7:$D$7,1,MATCH(A384,Inputs!$B$6:$D$6,0))</x:f>
        <x:v>13</x:v>
      </x:c>
      <x:c r="H384" s="14" t="n">
        <x:f>MIN(=INDEX(Inputs!$B$7:$D$7,1,MATCH(A384,Inputs!$B$6:$D$6,0)),MAX(0,INDEX(Inputs!$B$14:$D$14,1,MATCH(A384,Inputs!$B$6:$D$6,0))-(C384-1)*=INDEX(Inputs!$B$7:$D$7,1,MATCH(A384,Inputs!$B$6:$D$6,0))))</x:f>
        <x:v>13</x:v>
      </x:c>
      <x:c r="I384" s="20" t="n">
        <x:f>INDEX(Inputs!$B$8:$D$8,1,MATCH(A384,Inputs!$B$6:$D$6,0))</x:f>
        <x:v>2395</x:v>
      </x:c>
      <x:c r="J384" s="20" t="n">
        <x:f>INDEX(Roster!$C$6:$C$108,MATCH(D384,Roster!$A$6:$A$108,0))*(1+INDEX(Inputs!$B$9:$D$9,1,MATCH(A384,Inputs!$B$6:$D$6,0)))</x:f>
        <x:v>200</x:v>
      </x:c>
      <x:c r="K384" s="20" t="n">
        <x:f>IF(=INDEX(Roster!$F$6:$F$108,MATCH(D384,Roster!$A$6:$A$108,0))="Yes",0,=INDEX(Inputs!$B$8:$D$8,1,MATCH(A384,Inputs!$B$6:$D$6,0))*IF(=INDEX(Roster!$B$6:$B$108,MATCH(D384,Roster!$A$6:$A$108,0))="Principal",INDEX(Inputs!$B$10:$D$10,1,MATCH(A384,Inputs!$B$6:$D$6,0)),IF(=INDEX(Roster!$B$6:$B$108,MATCH(D384,Roster!$A$6:$A$108,0))="Associate Principal",INDEX(Inputs!$B$11:$D$11,1,MATCH(A384,Inputs!$B$6:$D$6,0)),IF(=INDEX(Roster!$B$6:$B$108,MATCH(D384,Roster!$A$6:$A$108,0))="Assistant Principal",INDEX(Inputs!$B$12:$D$12,1,MATCH(A384,Inputs!$B$6:$D$6,0)),0))))</x:f>
        <x:v>0</x:v>
      </x:c>
      <x:c r="L384" s="20" t="n">
        <x:f>IF(INDEX(Roster!$D$6:$D$108,MATCH(D384,Roster!$A$6:$A$108,0))&gt;=25,INDEX(Inputs!$B$19:$D$19,1,MATCH(A384,Inputs!$B$6:$D$6,0)),IF(INDEX(Roster!$D$6:$D$108,MATCH(D384,Roster!$A$6:$A$108,0))&gt;=20,INDEX(Inputs!$B$18:$D$18,1,MATCH(A384,Inputs!$B$6:$D$6,0)),IF(INDEX(Roster!$D$6:$D$108,MATCH(D384,Roster!$A$6:$A$108,0))&gt;=15,INDEX(Inputs!$B$17:$D$17,1,MATCH(A384,Inputs!$B$6:$D$6,0)),IF(INDEX(Roster!$D$6:$D$108,MATCH(D384,Roster!$A$6:$A$108,0))&gt;=10,INDEX(Inputs!$B$16:$D$16,1,MATCH(A384,Inputs!$B$6:$D$6,0)),IF(INDEX(Roster!$D$6:$D$108,MATCH(D384,Roster!$A$6:$A$108,0))&gt;=5,INDEX(Inputs!$B$15:$D$15,1,MATCH(A384,Inputs!$B$6:$D$6,0)),0)))))</x:f>
        <x:v>80</x:v>
      </x:c>
      <x:c r="M384" s="20" t="n">
        <x:f>G384*I384</x:f>
        <x:v>31135</x:v>
      </x:c>
      <x:c r="N384" s="20" t="n">
        <x:f>G384*J384</x:f>
        <x:v>2600</x:v>
      </x:c>
      <x:c r="O384" s="20" t="n">
        <x:f>G384*K384</x:f>
        <x:v>0</x:v>
      </x:c>
      <x:c r="P384" s="20" t="n">
        <x:f>G384*L384</x:f>
        <x:v>1040</x:v>
      </x:c>
      <x:c r="Q384" s="20" t="n">
        <x:f>H384*INDEX(Inputs!$B$13:$D$13,1,MATCH(A384,Inputs!$B$6:$D$6,0))</x:f>
        <x:v>390</x:v>
      </x:c>
      <x:c r="R384" s="20" t="n">
        <x:f>SUM(M384:Q384)</x:f>
        <x:v>35165</x:v>
      </x:c>
      <x:c r="S384" s="20" t="n">
        <x:f>IF(AND(A383=A384,D383=D384),S383+R384,R384)</x:f>
        <x:v>105495</x:v>
      </x:c>
      <x:c r="T384" s="20" t="n">
        <x:f>MIN(S384,INDEX(Inputs!$B$20:$D$20,1,MATCH(A384,Inputs!$B$6:$D$6,0)))*INDEX(Inputs!$B$22:$D$22,1,MATCH(A384,Inputs!$B$6:$D$6,0))+MAX(MIN(S384,INDEX(Inputs!$B$21:$D$21,1,MATCH(A384,Inputs!$B$6:$D$6,0)))-INDEX(Inputs!$B$20:$D$20,1,MATCH(A384,Inputs!$B$6:$D$6,0)),0)*INDEX(Inputs!$B$23:$D$23,1,MATCH(A384,Inputs!$B$6:$D$6,0))+MAX(S384-INDEX(Inputs!$B$21:$D$21,1,MATCH(A384,Inputs!$B$6:$D$6,0)),0)*INDEX(Inputs!$B$24:$D$24,1,MATCH(A384,Inputs!$B$6:$D$6,0))</x:f>
        <x:v>8560.3675</x:v>
      </x:c>
      <x:c r="U384" s="20" t="n">
        <x:f>IF(AND(A383=A384,D383=D384),T383,0)</x:f>
        <x:v>5870.245</x:v>
      </x:c>
      <x:c r="V384" s="20" t="n">
        <x:f>T384-U384</x:f>
        <x:v>2690.1225000000004</x:v>
      </x:c>
      <x:c r="W384" s="20" t="n">
        <x:f>R384+V384</x:f>
        <x:v>37855.1225</x:v>
      </x:c>
      <x:c r="X384" s="14" t="str">
        <x:f>IF(ABS(W384-SUM(M384:Q384)-V384)&lt;0.01,"OK","Check")</x:f>
        <x:v>OK</x:v>
      </x:c>
    </x:row>
    <x:row r="385">
      <x:c r="A385" s="14" t="n">
        <x:v>2026</x:v>
      </x:c>
      <x:c r="B385" s="14" t="str">
        <x:v>Q4</x:v>
      </x:c>
      <x:c r="C385" s="14" t="n">
        <x:v>4</x:v>
      </x:c>
      <x:c r="D385" s="14" t="n">
        <x:v>95</x:v>
      </x:c>
      <x:c r="E385" s="14" t="str">
        <x:f>INDEX(Roster!$B$6:$B$108,MATCH(D385,Roster!$A$6:$A$108,0))</x:f>
      </x:c>
      <x:c r="F385" s="14" t="str">
        <x:f>INDEX(Roster!$F$6:$F$108,MATCH(D385,Roster!$A$6:$A$108,0))</x:f>
        <x:v>No</x:v>
      </x:c>
      <x:c r="G385" s="14" t="n">
        <x:f>INDEX(Inputs!$B$7:$D$7,1,MATCH(A385,Inputs!$B$6:$D$6,0))</x:f>
        <x:v>13</x:v>
      </x:c>
      <x:c r="H385" s="14" t="n">
        <x:f>MIN(=INDEX(Inputs!$B$7:$D$7,1,MATCH(A385,Inputs!$B$6:$D$6,0)),MAX(0,INDEX(Inputs!$B$14:$D$14,1,MATCH(A385,Inputs!$B$6:$D$6,0))-(C385-1)*=INDEX(Inputs!$B$7:$D$7,1,MATCH(A385,Inputs!$B$6:$D$6,0))))</x:f>
        <x:v>0</x:v>
      </x:c>
      <x:c r="I385" s="20" t="n">
        <x:f>INDEX(Inputs!$B$8:$D$8,1,MATCH(A385,Inputs!$B$6:$D$6,0))</x:f>
        <x:v>2395</x:v>
      </x:c>
      <x:c r="J385" s="20" t="n">
        <x:f>INDEX(Roster!$C$6:$C$108,MATCH(D385,Roster!$A$6:$A$108,0))*(1+INDEX(Inputs!$B$9:$D$9,1,MATCH(A385,Inputs!$B$6:$D$6,0)))</x:f>
        <x:v>200</x:v>
      </x:c>
      <x:c r="K385" s="20" t="n">
        <x:f>IF(=INDEX(Roster!$F$6:$F$108,MATCH(D385,Roster!$A$6:$A$108,0))="Yes",0,=INDEX(Inputs!$B$8:$D$8,1,MATCH(A385,Inputs!$B$6:$D$6,0))*IF(=INDEX(Roster!$B$6:$B$108,MATCH(D385,Roster!$A$6:$A$108,0))="Principal",INDEX(Inputs!$B$10:$D$10,1,MATCH(A385,Inputs!$B$6:$D$6,0)),IF(=INDEX(Roster!$B$6:$B$108,MATCH(D385,Roster!$A$6:$A$108,0))="Associate Principal",INDEX(Inputs!$B$11:$D$11,1,MATCH(A385,Inputs!$B$6:$D$6,0)),IF(=INDEX(Roster!$B$6:$B$108,MATCH(D385,Roster!$A$6:$A$108,0))="Assistant Principal",INDEX(Inputs!$B$12:$D$12,1,MATCH(A385,Inputs!$B$6:$D$6,0)),0))))</x:f>
        <x:v>0</x:v>
      </x:c>
      <x:c r="L385" s="20" t="n">
        <x:f>IF(INDEX(Roster!$D$6:$D$108,MATCH(D385,Roster!$A$6:$A$108,0))&gt;=25,INDEX(Inputs!$B$19:$D$19,1,MATCH(A385,Inputs!$B$6:$D$6,0)),IF(INDEX(Roster!$D$6:$D$108,MATCH(D385,Roster!$A$6:$A$108,0))&gt;=20,INDEX(Inputs!$B$18:$D$18,1,MATCH(A385,Inputs!$B$6:$D$6,0)),IF(INDEX(Roster!$D$6:$D$108,MATCH(D385,Roster!$A$6:$A$108,0))&gt;=15,INDEX(Inputs!$B$17:$D$17,1,MATCH(A385,Inputs!$B$6:$D$6,0)),IF(INDEX(Roster!$D$6:$D$108,MATCH(D385,Roster!$A$6:$A$108,0))&gt;=10,INDEX(Inputs!$B$16:$D$16,1,MATCH(A385,Inputs!$B$6:$D$6,0)),IF(INDEX(Roster!$D$6:$D$108,MATCH(D385,Roster!$A$6:$A$108,0))&gt;=5,INDEX(Inputs!$B$15:$D$15,1,MATCH(A385,Inputs!$B$6:$D$6,0)),0)))))</x:f>
        <x:v>80</x:v>
      </x:c>
      <x:c r="M385" s="20" t="n">
        <x:f>G385*I385</x:f>
        <x:v>31135</x:v>
      </x:c>
      <x:c r="N385" s="20" t="n">
        <x:f>G385*J385</x:f>
        <x:v>2600</x:v>
      </x:c>
      <x:c r="O385" s="20" t="n">
        <x:f>G385*K385</x:f>
        <x:v>0</x:v>
      </x:c>
      <x:c r="P385" s="20" t="n">
        <x:f>G385*L385</x:f>
        <x:v>1040</x:v>
      </x:c>
      <x:c r="Q385" s="20" t="n">
        <x:f>H385*INDEX(Inputs!$B$13:$D$13,1,MATCH(A385,Inputs!$B$6:$D$6,0))</x:f>
        <x:v>0</x:v>
      </x:c>
      <x:c r="R385" s="20" t="n">
        <x:f>SUM(M385:Q385)</x:f>
        <x:v>34775</x:v>
      </x:c>
      <x:c r="S385" s="20" t="n">
        <x:f>IF(AND(A384=A385,D384=D385),S384+R385,R385)</x:f>
        <x:v>140270</x:v>
      </x:c>
      <x:c r="T385" s="20" t="n">
        <x:f>MIN(S385,INDEX(Inputs!$B$20:$D$20,1,MATCH(A385,Inputs!$B$6:$D$6,0)))*INDEX(Inputs!$B$22:$D$22,1,MATCH(A385,Inputs!$B$6:$D$6,0))+MAX(MIN(S385,INDEX(Inputs!$B$21:$D$21,1,MATCH(A385,Inputs!$B$6:$D$6,0)))-INDEX(Inputs!$B$20:$D$20,1,MATCH(A385,Inputs!$B$6:$D$6,0)),0)*INDEX(Inputs!$B$23:$D$23,1,MATCH(A385,Inputs!$B$6:$D$6,0))+MAX(S385-INDEX(Inputs!$B$21:$D$21,1,MATCH(A385,Inputs!$B$6:$D$6,0)),0)*INDEX(Inputs!$B$24:$D$24,1,MATCH(A385,Inputs!$B$6:$D$6,0))</x:f>
        <x:v>9947.857</x:v>
      </x:c>
      <x:c r="U385" s="20" t="n">
        <x:f>IF(AND(A384=A385,D384=D385),T384,0)</x:f>
        <x:v>8560.3675</x:v>
      </x:c>
      <x:c r="V385" s="20" t="n">
        <x:f>T385-U385</x:f>
        <x:v>1387.4894999999997</x:v>
      </x:c>
      <x:c r="W385" s="20" t="n">
        <x:f>R385+V385</x:f>
        <x:v>36162.489499999996</x:v>
      </x:c>
      <x:c r="X385" s="14" t="str">
        <x:f>IF(ABS(W385-SUM(M385:Q385)-V385)&lt;0.01,"OK","Check")</x:f>
        <x:v>OK</x:v>
      </x:c>
    </x:row>
    <x:row r="386">
      <x:c r="A386" s="14" t="n">
        <x:v>2026</x:v>
      </x:c>
      <x:c r="B386" s="14" t="str">
        <x:v>Q1</x:v>
      </x:c>
      <x:c r="C386" s="14" t="n">
        <x:v>1</x:v>
      </x:c>
      <x:c r="D386" s="14" t="n">
        <x:v>96</x:v>
      </x:c>
      <x:c r="E386" s="14" t="str">
        <x:f>INDEX(Roster!$B$6:$B$108,MATCH(D386,Roster!$A$6:$A$108,0))</x:f>
      </x:c>
      <x:c r="F386" s="14" t="str">
        <x:f>INDEX(Roster!$F$6:$F$108,MATCH(D386,Roster!$A$6:$A$108,0))</x:f>
        <x:v>No</x:v>
      </x:c>
      <x:c r="G386" s="14" t="n">
        <x:f>INDEX(Inputs!$B$7:$D$7,1,MATCH(A386,Inputs!$B$6:$D$6,0))</x:f>
        <x:v>13</x:v>
      </x:c>
      <x:c r="H386" s="14" t="n">
        <x:f>MIN(=INDEX(Inputs!$B$7:$D$7,1,MATCH(A386,Inputs!$B$6:$D$6,0)),MAX(0,INDEX(Inputs!$B$14:$D$14,1,MATCH(A386,Inputs!$B$6:$D$6,0))-(C386-1)*=INDEX(Inputs!$B$7:$D$7,1,MATCH(A386,Inputs!$B$6:$D$6,0))))</x:f>
        <x:v>13</x:v>
      </x:c>
      <x:c r="I386" s="20" t="n">
        <x:f>INDEX(Inputs!$B$8:$D$8,1,MATCH(A386,Inputs!$B$6:$D$6,0))</x:f>
        <x:v>2395</x:v>
      </x:c>
      <x:c r="J386" s="20" t="n">
        <x:f>INDEX(Roster!$C$6:$C$108,MATCH(D386,Roster!$A$6:$A$108,0))*(1+INDEX(Inputs!$B$9:$D$9,1,MATCH(A386,Inputs!$B$6:$D$6,0)))</x:f>
        <x:v>120</x:v>
      </x:c>
      <x:c r="K386" s="20" t="n">
        <x:f>IF(=INDEX(Roster!$F$6:$F$108,MATCH(D386,Roster!$A$6:$A$108,0))="Yes",0,=INDEX(Inputs!$B$8:$D$8,1,MATCH(A386,Inputs!$B$6:$D$6,0))*IF(=INDEX(Roster!$B$6:$B$108,MATCH(D386,Roster!$A$6:$A$108,0))="Principal",INDEX(Inputs!$B$10:$D$10,1,MATCH(A386,Inputs!$B$6:$D$6,0)),IF(=INDEX(Roster!$B$6:$B$108,MATCH(D386,Roster!$A$6:$A$108,0))="Associate Principal",INDEX(Inputs!$B$11:$D$11,1,MATCH(A386,Inputs!$B$6:$D$6,0)),IF(=INDEX(Roster!$B$6:$B$108,MATCH(D386,Roster!$A$6:$A$108,0))="Assistant Principal",INDEX(Inputs!$B$12:$D$12,1,MATCH(A386,Inputs!$B$6:$D$6,0)),0))))</x:f>
        <x:v>0</x:v>
      </x:c>
      <x:c r="L386" s="20" t="n">
        <x:f>IF(INDEX(Roster!$D$6:$D$108,MATCH(D386,Roster!$A$6:$A$108,0))&gt;=25,INDEX(Inputs!$B$19:$D$19,1,MATCH(A386,Inputs!$B$6:$D$6,0)),IF(INDEX(Roster!$D$6:$D$108,MATCH(D386,Roster!$A$6:$A$108,0))&gt;=20,INDEX(Inputs!$B$18:$D$18,1,MATCH(A386,Inputs!$B$6:$D$6,0)),IF(INDEX(Roster!$D$6:$D$108,MATCH(D386,Roster!$A$6:$A$108,0))&gt;=15,INDEX(Inputs!$B$17:$D$17,1,MATCH(A386,Inputs!$B$6:$D$6,0)),IF(INDEX(Roster!$D$6:$D$108,MATCH(D386,Roster!$A$6:$A$108,0))&gt;=10,INDEX(Inputs!$B$16:$D$16,1,MATCH(A386,Inputs!$B$6:$D$6,0)),IF(INDEX(Roster!$D$6:$D$108,MATCH(D386,Roster!$A$6:$A$108,0))&gt;=5,INDEX(Inputs!$B$15:$D$15,1,MATCH(A386,Inputs!$B$6:$D$6,0)),0)))))</x:f>
        <x:v>70</x:v>
      </x:c>
      <x:c r="M386" s="20" t="n">
        <x:f>G386*I386</x:f>
        <x:v>31135</x:v>
      </x:c>
      <x:c r="N386" s="20" t="n">
        <x:f>G386*J386</x:f>
        <x:v>1560</x:v>
      </x:c>
      <x:c r="O386" s="20" t="n">
        <x:f>G386*K386</x:f>
        <x:v>0</x:v>
      </x:c>
      <x:c r="P386" s="20" t="n">
        <x:f>G386*L386</x:f>
        <x:v>910</x:v>
      </x:c>
      <x:c r="Q386" s="20" t="n">
        <x:f>H386*INDEX(Inputs!$B$13:$D$13,1,MATCH(A386,Inputs!$B$6:$D$6,0))</x:f>
        <x:v>390</x:v>
      </x:c>
      <x:c r="R386" s="20" t="n">
        <x:f>SUM(M386:Q386)</x:f>
        <x:v>33995</x:v>
      </x:c>
      <x:c r="S386" s="20" t="n">
        <x:f>IF(AND(A385=A386,D385=D386),S385+R386,R386)</x:f>
        <x:v>33995</x:v>
      </x:c>
      <x:c r="T386" s="20" t="n">
        <x:f>MIN(S386,INDEX(Inputs!$B$20:$D$20,1,MATCH(A386,Inputs!$B$6:$D$6,0)))*INDEX(Inputs!$B$22:$D$22,1,MATCH(A386,Inputs!$B$6:$D$6,0))+MAX(MIN(S386,INDEX(Inputs!$B$21:$D$21,1,MATCH(A386,Inputs!$B$6:$D$6,0)))-INDEX(Inputs!$B$20:$D$20,1,MATCH(A386,Inputs!$B$6:$D$6,0)),0)*INDEX(Inputs!$B$23:$D$23,1,MATCH(A386,Inputs!$B$6:$D$6,0))+MAX(S386-INDEX(Inputs!$B$21:$D$21,1,MATCH(A386,Inputs!$B$6:$D$6,0)),0)*INDEX(Inputs!$B$24:$D$24,1,MATCH(A386,Inputs!$B$6:$D$6,0))</x:f>
        <x:v>3090.6175</x:v>
      </x:c>
      <x:c r="U386" s="20" t="n">
        <x:f>IF(AND(A385=A386,D385=D386),T385,0)</x:f>
        <x:v>0</x:v>
      </x:c>
      <x:c r="V386" s="20" t="n">
        <x:f>T386-U386</x:f>
        <x:v>3090.6175</x:v>
      </x:c>
      <x:c r="W386" s="20" t="n">
        <x:f>R386+V386</x:f>
        <x:v>37085.6175</x:v>
      </x:c>
      <x:c r="X386" s="14" t="str">
        <x:f>IF(ABS(W386-SUM(M386:Q386)-V386)&lt;0.01,"OK","Check")</x:f>
        <x:v>OK</x:v>
      </x:c>
    </x:row>
    <x:row r="387">
      <x:c r="A387" s="14" t="n">
        <x:v>2026</x:v>
      </x:c>
      <x:c r="B387" s="14" t="str">
        <x:v>Q2</x:v>
      </x:c>
      <x:c r="C387" s="14" t="n">
        <x:v>2</x:v>
      </x:c>
      <x:c r="D387" s="14" t="n">
        <x:v>96</x:v>
      </x:c>
      <x:c r="E387" s="14" t="str">
        <x:f>INDEX(Roster!$B$6:$B$108,MATCH(D387,Roster!$A$6:$A$108,0))</x:f>
      </x:c>
      <x:c r="F387" s="14" t="str">
        <x:f>INDEX(Roster!$F$6:$F$108,MATCH(D387,Roster!$A$6:$A$108,0))</x:f>
        <x:v>No</x:v>
      </x:c>
      <x:c r="G387" s="14" t="n">
        <x:f>INDEX(Inputs!$B$7:$D$7,1,MATCH(A387,Inputs!$B$6:$D$6,0))</x:f>
        <x:v>13</x:v>
      </x:c>
      <x:c r="H387" s="14" t="n">
        <x:f>MIN(=INDEX(Inputs!$B$7:$D$7,1,MATCH(A387,Inputs!$B$6:$D$6,0)),MAX(0,INDEX(Inputs!$B$14:$D$14,1,MATCH(A387,Inputs!$B$6:$D$6,0))-(C387-1)*=INDEX(Inputs!$B$7:$D$7,1,MATCH(A387,Inputs!$B$6:$D$6,0))))</x:f>
        <x:v>13</x:v>
      </x:c>
      <x:c r="I387" s="20" t="n">
        <x:f>INDEX(Inputs!$B$8:$D$8,1,MATCH(A387,Inputs!$B$6:$D$6,0))</x:f>
        <x:v>2395</x:v>
      </x:c>
      <x:c r="J387" s="20" t="n">
        <x:f>INDEX(Roster!$C$6:$C$108,MATCH(D387,Roster!$A$6:$A$108,0))*(1+INDEX(Inputs!$B$9:$D$9,1,MATCH(A387,Inputs!$B$6:$D$6,0)))</x:f>
        <x:v>120</x:v>
      </x:c>
      <x:c r="K387" s="20" t="n">
        <x:f>IF(=INDEX(Roster!$F$6:$F$108,MATCH(D387,Roster!$A$6:$A$108,0))="Yes",0,=INDEX(Inputs!$B$8:$D$8,1,MATCH(A387,Inputs!$B$6:$D$6,0))*IF(=INDEX(Roster!$B$6:$B$108,MATCH(D387,Roster!$A$6:$A$108,0))="Principal",INDEX(Inputs!$B$10:$D$10,1,MATCH(A387,Inputs!$B$6:$D$6,0)),IF(=INDEX(Roster!$B$6:$B$108,MATCH(D387,Roster!$A$6:$A$108,0))="Associate Principal",INDEX(Inputs!$B$11:$D$11,1,MATCH(A387,Inputs!$B$6:$D$6,0)),IF(=INDEX(Roster!$B$6:$B$108,MATCH(D387,Roster!$A$6:$A$108,0))="Assistant Principal",INDEX(Inputs!$B$12:$D$12,1,MATCH(A387,Inputs!$B$6:$D$6,0)),0))))</x:f>
        <x:v>0</x:v>
      </x:c>
      <x:c r="L387" s="20" t="n">
        <x:f>IF(INDEX(Roster!$D$6:$D$108,MATCH(D387,Roster!$A$6:$A$108,0))&gt;=25,INDEX(Inputs!$B$19:$D$19,1,MATCH(A387,Inputs!$B$6:$D$6,0)),IF(INDEX(Roster!$D$6:$D$108,MATCH(D387,Roster!$A$6:$A$108,0))&gt;=20,INDEX(Inputs!$B$18:$D$18,1,MATCH(A387,Inputs!$B$6:$D$6,0)),IF(INDEX(Roster!$D$6:$D$108,MATCH(D387,Roster!$A$6:$A$108,0))&gt;=15,INDEX(Inputs!$B$17:$D$17,1,MATCH(A387,Inputs!$B$6:$D$6,0)),IF(INDEX(Roster!$D$6:$D$108,MATCH(D387,Roster!$A$6:$A$108,0))&gt;=10,INDEX(Inputs!$B$16:$D$16,1,MATCH(A387,Inputs!$B$6:$D$6,0)),IF(INDEX(Roster!$D$6:$D$108,MATCH(D387,Roster!$A$6:$A$108,0))&gt;=5,INDEX(Inputs!$B$15:$D$15,1,MATCH(A387,Inputs!$B$6:$D$6,0)),0)))))</x:f>
        <x:v>70</x:v>
      </x:c>
      <x:c r="M387" s="20" t="n">
        <x:f>G387*I387</x:f>
        <x:v>31135</x:v>
      </x:c>
      <x:c r="N387" s="20" t="n">
        <x:f>G387*J387</x:f>
        <x:v>1560</x:v>
      </x:c>
      <x:c r="O387" s="20" t="n">
        <x:f>G387*K387</x:f>
        <x:v>0</x:v>
      </x:c>
      <x:c r="P387" s="20" t="n">
        <x:f>G387*L387</x:f>
        <x:v>910</x:v>
      </x:c>
      <x:c r="Q387" s="20" t="n">
        <x:f>H387*INDEX(Inputs!$B$13:$D$13,1,MATCH(A387,Inputs!$B$6:$D$6,0))</x:f>
        <x:v>390</x:v>
      </x:c>
      <x:c r="R387" s="20" t="n">
        <x:f>SUM(M387:Q387)</x:f>
        <x:v>33995</x:v>
      </x:c>
      <x:c r="S387" s="20" t="n">
        <x:f>IF(AND(A386=A387,D386=D387),S386+R387,R387)</x:f>
        <x:v>67990</x:v>
      </x:c>
      <x:c r="T387" s="20" t="n">
        <x:f>MIN(S387,INDEX(Inputs!$B$20:$D$20,1,MATCH(A387,Inputs!$B$6:$D$6,0)))*INDEX(Inputs!$B$22:$D$22,1,MATCH(A387,Inputs!$B$6:$D$6,0))+MAX(MIN(S387,INDEX(Inputs!$B$21:$D$21,1,MATCH(A387,Inputs!$B$6:$D$6,0)))-INDEX(Inputs!$B$20:$D$20,1,MATCH(A387,Inputs!$B$6:$D$6,0)),0)*INDEX(Inputs!$B$23:$D$23,1,MATCH(A387,Inputs!$B$6:$D$6,0))+MAX(S387-INDEX(Inputs!$B$21:$D$21,1,MATCH(A387,Inputs!$B$6:$D$6,0)),0)*INDEX(Inputs!$B$24:$D$24,1,MATCH(A387,Inputs!$B$6:$D$6,0))</x:f>
        <x:v>5691.235</x:v>
      </x:c>
      <x:c r="U387" s="20" t="n">
        <x:f>IF(AND(A386=A387,D386=D387),T386,0)</x:f>
        <x:v>3090.6175</x:v>
      </x:c>
      <x:c r="V387" s="20" t="n">
        <x:f>T387-U387</x:f>
        <x:v>2600.6175</x:v>
      </x:c>
      <x:c r="W387" s="20" t="n">
        <x:f>R387+V387</x:f>
        <x:v>36595.6175</x:v>
      </x:c>
      <x:c r="X387" s="14" t="str">
        <x:f>IF(ABS(W387-SUM(M387:Q387)-V387)&lt;0.01,"OK","Check")</x:f>
        <x:v>OK</x:v>
      </x:c>
    </x:row>
    <x:row r="388">
      <x:c r="A388" s="14" t="n">
        <x:v>2026</x:v>
      </x:c>
      <x:c r="B388" s="14" t="str">
        <x:v>Q3</x:v>
      </x:c>
      <x:c r="C388" s="14" t="n">
        <x:v>3</x:v>
      </x:c>
      <x:c r="D388" s="14" t="n">
        <x:v>96</x:v>
      </x:c>
      <x:c r="E388" s="14" t="str">
        <x:f>INDEX(Roster!$B$6:$B$108,MATCH(D388,Roster!$A$6:$A$108,0))</x:f>
      </x:c>
      <x:c r="F388" s="14" t="str">
        <x:f>INDEX(Roster!$F$6:$F$108,MATCH(D388,Roster!$A$6:$A$108,0))</x:f>
        <x:v>No</x:v>
      </x:c>
      <x:c r="G388" s="14" t="n">
        <x:f>INDEX(Inputs!$B$7:$D$7,1,MATCH(A388,Inputs!$B$6:$D$6,0))</x:f>
        <x:v>13</x:v>
      </x:c>
      <x:c r="H388" s="14" t="n">
        <x:f>MIN(=INDEX(Inputs!$B$7:$D$7,1,MATCH(A388,Inputs!$B$6:$D$6,0)),MAX(0,INDEX(Inputs!$B$14:$D$14,1,MATCH(A388,Inputs!$B$6:$D$6,0))-(C388-1)*=INDEX(Inputs!$B$7:$D$7,1,MATCH(A388,Inputs!$B$6:$D$6,0))))</x:f>
        <x:v>13</x:v>
      </x:c>
      <x:c r="I388" s="20" t="n">
        <x:f>INDEX(Inputs!$B$8:$D$8,1,MATCH(A388,Inputs!$B$6:$D$6,0))</x:f>
        <x:v>2395</x:v>
      </x:c>
      <x:c r="J388" s="20" t="n">
        <x:f>INDEX(Roster!$C$6:$C$108,MATCH(D388,Roster!$A$6:$A$108,0))*(1+INDEX(Inputs!$B$9:$D$9,1,MATCH(A388,Inputs!$B$6:$D$6,0)))</x:f>
        <x:v>120</x:v>
      </x:c>
      <x:c r="K388" s="20" t="n">
        <x:f>IF(=INDEX(Roster!$F$6:$F$108,MATCH(D388,Roster!$A$6:$A$108,0))="Yes",0,=INDEX(Inputs!$B$8:$D$8,1,MATCH(A388,Inputs!$B$6:$D$6,0))*IF(=INDEX(Roster!$B$6:$B$108,MATCH(D388,Roster!$A$6:$A$108,0))="Principal",INDEX(Inputs!$B$10:$D$10,1,MATCH(A388,Inputs!$B$6:$D$6,0)),IF(=INDEX(Roster!$B$6:$B$108,MATCH(D388,Roster!$A$6:$A$108,0))="Associate Principal",INDEX(Inputs!$B$11:$D$11,1,MATCH(A388,Inputs!$B$6:$D$6,0)),IF(=INDEX(Roster!$B$6:$B$108,MATCH(D388,Roster!$A$6:$A$108,0))="Assistant Principal",INDEX(Inputs!$B$12:$D$12,1,MATCH(A388,Inputs!$B$6:$D$6,0)),0))))</x:f>
        <x:v>0</x:v>
      </x:c>
      <x:c r="L388" s="20" t="n">
        <x:f>IF(INDEX(Roster!$D$6:$D$108,MATCH(D388,Roster!$A$6:$A$108,0))&gt;=25,INDEX(Inputs!$B$19:$D$19,1,MATCH(A388,Inputs!$B$6:$D$6,0)),IF(INDEX(Roster!$D$6:$D$108,MATCH(D388,Roster!$A$6:$A$108,0))&gt;=20,INDEX(Inputs!$B$18:$D$18,1,MATCH(A388,Inputs!$B$6:$D$6,0)),IF(INDEX(Roster!$D$6:$D$108,MATCH(D388,Roster!$A$6:$A$108,0))&gt;=15,INDEX(Inputs!$B$17:$D$17,1,MATCH(A388,Inputs!$B$6:$D$6,0)),IF(INDEX(Roster!$D$6:$D$108,MATCH(D388,Roster!$A$6:$A$108,0))&gt;=10,INDEX(Inputs!$B$16:$D$16,1,MATCH(A388,Inputs!$B$6:$D$6,0)),IF(INDEX(Roster!$D$6:$D$108,MATCH(D388,Roster!$A$6:$A$108,0))&gt;=5,INDEX(Inputs!$B$15:$D$15,1,MATCH(A388,Inputs!$B$6:$D$6,0)),0)))))</x:f>
        <x:v>70</x:v>
      </x:c>
      <x:c r="M388" s="20" t="n">
        <x:f>G388*I388</x:f>
        <x:v>31135</x:v>
      </x:c>
      <x:c r="N388" s="20" t="n">
        <x:f>G388*J388</x:f>
        <x:v>1560</x:v>
      </x:c>
      <x:c r="O388" s="20" t="n">
        <x:f>G388*K388</x:f>
        <x:v>0</x:v>
      </x:c>
      <x:c r="P388" s="20" t="n">
        <x:f>G388*L388</x:f>
        <x:v>910</x:v>
      </x:c>
      <x:c r="Q388" s="20" t="n">
        <x:f>H388*INDEX(Inputs!$B$13:$D$13,1,MATCH(A388,Inputs!$B$6:$D$6,0))</x:f>
        <x:v>390</x:v>
      </x:c>
      <x:c r="R388" s="20" t="n">
        <x:f>SUM(M388:Q388)</x:f>
        <x:v>33995</x:v>
      </x:c>
      <x:c r="S388" s="20" t="n">
        <x:f>IF(AND(A387=A388,D387=D388),S387+R388,R388)</x:f>
        <x:v>101985</x:v>
      </x:c>
      <x:c r="T388" s="20" t="n">
        <x:f>MIN(S388,INDEX(Inputs!$B$20:$D$20,1,MATCH(A388,Inputs!$B$6:$D$6,0)))*INDEX(Inputs!$B$22:$D$22,1,MATCH(A388,Inputs!$B$6:$D$6,0))+MAX(MIN(S388,INDEX(Inputs!$B$21:$D$21,1,MATCH(A388,Inputs!$B$6:$D$6,0)))-INDEX(Inputs!$B$20:$D$20,1,MATCH(A388,Inputs!$B$6:$D$6,0)),0)*INDEX(Inputs!$B$23:$D$23,1,MATCH(A388,Inputs!$B$6:$D$6,0))+MAX(S388-INDEX(Inputs!$B$21:$D$21,1,MATCH(A388,Inputs!$B$6:$D$6,0)),0)*INDEX(Inputs!$B$24:$D$24,1,MATCH(A388,Inputs!$B$6:$D$6,0))</x:f>
        <x:v>8291.8525</x:v>
      </x:c>
      <x:c r="U388" s="20" t="n">
        <x:f>IF(AND(A387=A388,D387=D388),T387,0)</x:f>
        <x:v>5691.235</x:v>
      </x:c>
      <x:c r="V388" s="20" t="n">
        <x:f>T388-U388</x:f>
        <x:v>2600.617500000001</x:v>
      </x:c>
      <x:c r="W388" s="20" t="n">
        <x:f>R388+V388</x:f>
        <x:v>36595.6175</x:v>
      </x:c>
      <x:c r="X388" s="14" t="str">
        <x:f>IF(ABS(W388-SUM(M388:Q388)-V388)&lt;0.01,"OK","Check")</x:f>
        <x:v>OK</x:v>
      </x:c>
    </x:row>
    <x:row r="389">
      <x:c r="A389" s="14" t="n">
        <x:v>2026</x:v>
      </x:c>
      <x:c r="B389" s="14" t="str">
        <x:v>Q4</x:v>
      </x:c>
      <x:c r="C389" s="14" t="n">
        <x:v>4</x:v>
      </x:c>
      <x:c r="D389" s="14" t="n">
        <x:v>96</x:v>
      </x:c>
      <x:c r="E389" s="14" t="str">
        <x:f>INDEX(Roster!$B$6:$B$108,MATCH(D389,Roster!$A$6:$A$108,0))</x:f>
      </x:c>
      <x:c r="F389" s="14" t="str">
        <x:f>INDEX(Roster!$F$6:$F$108,MATCH(D389,Roster!$A$6:$A$108,0))</x:f>
        <x:v>No</x:v>
      </x:c>
      <x:c r="G389" s="14" t="n">
        <x:f>INDEX(Inputs!$B$7:$D$7,1,MATCH(A389,Inputs!$B$6:$D$6,0))</x:f>
        <x:v>13</x:v>
      </x:c>
      <x:c r="H389" s="14" t="n">
        <x:f>MIN(=INDEX(Inputs!$B$7:$D$7,1,MATCH(A389,Inputs!$B$6:$D$6,0)),MAX(0,INDEX(Inputs!$B$14:$D$14,1,MATCH(A389,Inputs!$B$6:$D$6,0))-(C389-1)*=INDEX(Inputs!$B$7:$D$7,1,MATCH(A389,Inputs!$B$6:$D$6,0))))</x:f>
        <x:v>0</x:v>
      </x:c>
      <x:c r="I389" s="20" t="n">
        <x:f>INDEX(Inputs!$B$8:$D$8,1,MATCH(A389,Inputs!$B$6:$D$6,0))</x:f>
        <x:v>2395</x:v>
      </x:c>
      <x:c r="J389" s="20" t="n">
        <x:f>INDEX(Roster!$C$6:$C$108,MATCH(D389,Roster!$A$6:$A$108,0))*(1+INDEX(Inputs!$B$9:$D$9,1,MATCH(A389,Inputs!$B$6:$D$6,0)))</x:f>
        <x:v>120</x:v>
      </x:c>
      <x:c r="K389" s="20" t="n">
        <x:f>IF(=INDEX(Roster!$F$6:$F$108,MATCH(D389,Roster!$A$6:$A$108,0))="Yes",0,=INDEX(Inputs!$B$8:$D$8,1,MATCH(A389,Inputs!$B$6:$D$6,0))*IF(=INDEX(Roster!$B$6:$B$108,MATCH(D389,Roster!$A$6:$A$108,0))="Principal",INDEX(Inputs!$B$10:$D$10,1,MATCH(A389,Inputs!$B$6:$D$6,0)),IF(=INDEX(Roster!$B$6:$B$108,MATCH(D389,Roster!$A$6:$A$108,0))="Associate Principal",INDEX(Inputs!$B$11:$D$11,1,MATCH(A389,Inputs!$B$6:$D$6,0)),IF(=INDEX(Roster!$B$6:$B$108,MATCH(D389,Roster!$A$6:$A$108,0))="Assistant Principal",INDEX(Inputs!$B$12:$D$12,1,MATCH(A389,Inputs!$B$6:$D$6,0)),0))))</x:f>
        <x:v>0</x:v>
      </x:c>
      <x:c r="L389" s="20" t="n">
        <x:f>IF(INDEX(Roster!$D$6:$D$108,MATCH(D389,Roster!$A$6:$A$108,0))&gt;=25,INDEX(Inputs!$B$19:$D$19,1,MATCH(A389,Inputs!$B$6:$D$6,0)),IF(INDEX(Roster!$D$6:$D$108,MATCH(D389,Roster!$A$6:$A$108,0))&gt;=20,INDEX(Inputs!$B$18:$D$18,1,MATCH(A389,Inputs!$B$6:$D$6,0)),IF(INDEX(Roster!$D$6:$D$108,MATCH(D389,Roster!$A$6:$A$108,0))&gt;=15,INDEX(Inputs!$B$17:$D$17,1,MATCH(A389,Inputs!$B$6:$D$6,0)),IF(INDEX(Roster!$D$6:$D$108,MATCH(D389,Roster!$A$6:$A$108,0))&gt;=10,INDEX(Inputs!$B$16:$D$16,1,MATCH(A389,Inputs!$B$6:$D$6,0)),IF(INDEX(Roster!$D$6:$D$108,MATCH(D389,Roster!$A$6:$A$108,0))&gt;=5,INDEX(Inputs!$B$15:$D$15,1,MATCH(A389,Inputs!$B$6:$D$6,0)),0)))))</x:f>
        <x:v>70</x:v>
      </x:c>
      <x:c r="M389" s="20" t="n">
        <x:f>G389*I389</x:f>
        <x:v>31135</x:v>
      </x:c>
      <x:c r="N389" s="20" t="n">
        <x:f>G389*J389</x:f>
        <x:v>1560</x:v>
      </x:c>
      <x:c r="O389" s="20" t="n">
        <x:f>G389*K389</x:f>
        <x:v>0</x:v>
      </x:c>
      <x:c r="P389" s="20" t="n">
        <x:f>G389*L389</x:f>
        <x:v>910</x:v>
      </x:c>
      <x:c r="Q389" s="20" t="n">
        <x:f>H389*INDEX(Inputs!$B$13:$D$13,1,MATCH(A389,Inputs!$B$6:$D$6,0))</x:f>
        <x:v>0</x:v>
      </x:c>
      <x:c r="R389" s="20" t="n">
        <x:f>SUM(M389:Q389)</x:f>
        <x:v>33605</x:v>
      </x:c>
      <x:c r="S389" s="20" t="n">
        <x:f>IF(AND(A388=A389,D388=D389),S388+R389,R389)</x:f>
        <x:v>135590</x:v>
      </x:c>
      <x:c r="T389" s="20" t="n">
        <x:f>MIN(S389,INDEX(Inputs!$B$20:$D$20,1,MATCH(A389,Inputs!$B$6:$D$6,0)))*INDEX(Inputs!$B$22:$D$22,1,MATCH(A389,Inputs!$B$6:$D$6,0))+MAX(MIN(S389,INDEX(Inputs!$B$21:$D$21,1,MATCH(A389,Inputs!$B$6:$D$6,0)))-INDEX(Inputs!$B$20:$D$20,1,MATCH(A389,Inputs!$B$6:$D$6,0)),0)*INDEX(Inputs!$B$23:$D$23,1,MATCH(A389,Inputs!$B$6:$D$6,0))+MAX(S389-INDEX(Inputs!$B$21:$D$21,1,MATCH(A389,Inputs!$B$6:$D$6,0)),0)*INDEX(Inputs!$B$24:$D$24,1,MATCH(A389,Inputs!$B$6:$D$6,0))</x:f>
        <x:v>9879.997</x:v>
      </x:c>
      <x:c r="U389" s="20" t="n">
        <x:f>IF(AND(A388=A389,D388=D389),T388,0)</x:f>
        <x:v>8291.8525</x:v>
      </x:c>
      <x:c r="V389" s="20" t="n">
        <x:f>T389-U389</x:f>
        <x:v>1588.1444999999985</x:v>
      </x:c>
      <x:c r="W389" s="20" t="n">
        <x:f>R389+V389</x:f>
        <x:v>35193.144499999995</x:v>
      </x:c>
      <x:c r="X389" s="14" t="str">
        <x:f>IF(ABS(W389-SUM(M389:Q389)-V389)&lt;0.01,"OK","Check")</x:f>
        <x:v>OK</x:v>
      </x:c>
    </x:row>
    <x:row r="390">
      <x:c r="A390" s="14" t="n">
        <x:v>2026</x:v>
      </x:c>
      <x:c r="B390" s="14" t="str">
        <x:v>Q1</x:v>
      </x:c>
      <x:c r="C390" s="14" t="n">
        <x:v>1</x:v>
      </x:c>
      <x:c r="D390" s="14" t="n">
        <x:v>97</x:v>
      </x:c>
      <x:c r="E390" s="14" t="str">
        <x:f>INDEX(Roster!$B$6:$B$108,MATCH(D390,Roster!$A$6:$A$108,0))</x:f>
      </x:c>
      <x:c r="F390" s="14" t="str">
        <x:f>INDEX(Roster!$F$6:$F$108,MATCH(D390,Roster!$A$6:$A$108,0))</x:f>
        <x:v>No</x:v>
      </x:c>
      <x:c r="G390" s="14" t="n">
        <x:f>INDEX(Inputs!$B$7:$D$7,1,MATCH(A390,Inputs!$B$6:$D$6,0))</x:f>
        <x:v>13</x:v>
      </x:c>
      <x:c r="H390" s="14" t="n">
        <x:f>MIN(=INDEX(Inputs!$B$7:$D$7,1,MATCH(A390,Inputs!$B$6:$D$6,0)),MAX(0,INDEX(Inputs!$B$14:$D$14,1,MATCH(A390,Inputs!$B$6:$D$6,0))-(C390-1)*=INDEX(Inputs!$B$7:$D$7,1,MATCH(A390,Inputs!$B$6:$D$6,0))))</x:f>
        <x:v>13</x:v>
      </x:c>
      <x:c r="I390" s="20" t="n">
        <x:f>INDEX(Inputs!$B$8:$D$8,1,MATCH(A390,Inputs!$B$6:$D$6,0))</x:f>
        <x:v>2395</x:v>
      </x:c>
      <x:c r="J390" s="20" t="n">
        <x:f>INDEX(Roster!$C$6:$C$108,MATCH(D390,Roster!$A$6:$A$108,0))*(1+INDEX(Inputs!$B$9:$D$9,1,MATCH(A390,Inputs!$B$6:$D$6,0)))</x:f>
        <x:v>75</x:v>
      </x:c>
      <x:c r="K390" s="20" t="n">
        <x:f>IF(=INDEX(Roster!$F$6:$F$108,MATCH(D390,Roster!$A$6:$A$108,0))="Yes",0,=INDEX(Inputs!$B$8:$D$8,1,MATCH(A390,Inputs!$B$6:$D$6,0))*IF(=INDEX(Roster!$B$6:$B$108,MATCH(D390,Roster!$A$6:$A$108,0))="Principal",INDEX(Inputs!$B$10:$D$10,1,MATCH(A390,Inputs!$B$6:$D$6,0)),IF(=INDEX(Roster!$B$6:$B$108,MATCH(D390,Roster!$A$6:$A$108,0))="Associate Principal",INDEX(Inputs!$B$11:$D$11,1,MATCH(A390,Inputs!$B$6:$D$6,0)),IF(=INDEX(Roster!$B$6:$B$108,MATCH(D390,Roster!$A$6:$A$108,0))="Assistant Principal",INDEX(Inputs!$B$12:$D$12,1,MATCH(A390,Inputs!$B$6:$D$6,0)),0))))</x:f>
        <x:v>0</x:v>
      </x:c>
      <x:c r="L390" s="20" t="n">
        <x:f>IF(INDEX(Roster!$D$6:$D$108,MATCH(D390,Roster!$A$6:$A$108,0))&gt;=25,INDEX(Inputs!$B$19:$D$19,1,MATCH(A390,Inputs!$B$6:$D$6,0)),IF(INDEX(Roster!$D$6:$D$108,MATCH(D390,Roster!$A$6:$A$108,0))&gt;=20,INDEX(Inputs!$B$18:$D$18,1,MATCH(A390,Inputs!$B$6:$D$6,0)),IF(INDEX(Roster!$D$6:$D$108,MATCH(D390,Roster!$A$6:$A$108,0))&gt;=15,INDEX(Inputs!$B$17:$D$17,1,MATCH(A390,Inputs!$B$6:$D$6,0)),IF(INDEX(Roster!$D$6:$D$108,MATCH(D390,Roster!$A$6:$A$108,0))&gt;=10,INDEX(Inputs!$B$16:$D$16,1,MATCH(A390,Inputs!$B$6:$D$6,0)),IF(INDEX(Roster!$D$6:$D$108,MATCH(D390,Roster!$A$6:$A$108,0))&gt;=5,INDEX(Inputs!$B$15:$D$15,1,MATCH(A390,Inputs!$B$6:$D$6,0)),0)))))</x:f>
        <x:v>90</x:v>
      </x:c>
      <x:c r="M390" s="20" t="n">
        <x:f>G390*I390</x:f>
        <x:v>31135</x:v>
      </x:c>
      <x:c r="N390" s="20" t="n">
        <x:f>G390*J390</x:f>
        <x:v>975</x:v>
      </x:c>
      <x:c r="O390" s="20" t="n">
        <x:f>G390*K390</x:f>
        <x:v>0</x:v>
      </x:c>
      <x:c r="P390" s="20" t="n">
        <x:f>G390*L390</x:f>
        <x:v>1170</x:v>
      </x:c>
      <x:c r="Q390" s="20" t="n">
        <x:f>H390*INDEX(Inputs!$B$13:$D$13,1,MATCH(A390,Inputs!$B$6:$D$6,0))</x:f>
        <x:v>390</x:v>
      </x:c>
      <x:c r="R390" s="20" t="n">
        <x:f>SUM(M390:Q390)</x:f>
        <x:v>33670</x:v>
      </x:c>
      <x:c r="S390" s="20" t="n">
        <x:f>IF(AND(A389=A390,D389=D390),S389+R390,R390)</x:f>
        <x:v>33670</x:v>
      </x:c>
      <x:c r="T390" s="20" t="n">
        <x:f>MIN(S390,INDEX(Inputs!$B$20:$D$20,1,MATCH(A390,Inputs!$B$6:$D$6,0)))*INDEX(Inputs!$B$22:$D$22,1,MATCH(A390,Inputs!$B$6:$D$6,0))+MAX(MIN(S390,INDEX(Inputs!$B$21:$D$21,1,MATCH(A390,Inputs!$B$6:$D$6,0)))-INDEX(Inputs!$B$20:$D$20,1,MATCH(A390,Inputs!$B$6:$D$6,0)),0)*INDEX(Inputs!$B$23:$D$23,1,MATCH(A390,Inputs!$B$6:$D$6,0))+MAX(S390-INDEX(Inputs!$B$21:$D$21,1,MATCH(A390,Inputs!$B$6:$D$6,0)),0)*INDEX(Inputs!$B$24:$D$24,1,MATCH(A390,Inputs!$B$6:$D$6,0))</x:f>
        <x:v>3065.755</x:v>
      </x:c>
      <x:c r="U390" s="20" t="n">
        <x:f>IF(AND(A389=A390,D389=D390),T389,0)</x:f>
        <x:v>0</x:v>
      </x:c>
      <x:c r="V390" s="20" t="n">
        <x:f>T390-U390</x:f>
        <x:v>3065.755</x:v>
      </x:c>
      <x:c r="W390" s="20" t="n">
        <x:f>R390+V390</x:f>
        <x:v>36735.755</x:v>
      </x:c>
      <x:c r="X390" s="14" t="str">
        <x:f>IF(ABS(W390-SUM(M390:Q390)-V390)&lt;0.01,"OK","Check")</x:f>
        <x:v>OK</x:v>
      </x:c>
    </x:row>
    <x:row r="391">
      <x:c r="A391" s="14" t="n">
        <x:v>2026</x:v>
      </x:c>
      <x:c r="B391" s="14" t="str">
        <x:v>Q2</x:v>
      </x:c>
      <x:c r="C391" s="14" t="n">
        <x:v>2</x:v>
      </x:c>
      <x:c r="D391" s="14" t="n">
        <x:v>97</x:v>
      </x:c>
      <x:c r="E391" s="14" t="str">
        <x:f>INDEX(Roster!$B$6:$B$108,MATCH(D391,Roster!$A$6:$A$108,0))</x:f>
      </x:c>
      <x:c r="F391" s="14" t="str">
        <x:f>INDEX(Roster!$F$6:$F$108,MATCH(D391,Roster!$A$6:$A$108,0))</x:f>
        <x:v>No</x:v>
      </x:c>
      <x:c r="G391" s="14" t="n">
        <x:f>INDEX(Inputs!$B$7:$D$7,1,MATCH(A391,Inputs!$B$6:$D$6,0))</x:f>
        <x:v>13</x:v>
      </x:c>
      <x:c r="H391" s="14" t="n">
        <x:f>MIN(=INDEX(Inputs!$B$7:$D$7,1,MATCH(A391,Inputs!$B$6:$D$6,0)),MAX(0,INDEX(Inputs!$B$14:$D$14,1,MATCH(A391,Inputs!$B$6:$D$6,0))-(C391-1)*=INDEX(Inputs!$B$7:$D$7,1,MATCH(A391,Inputs!$B$6:$D$6,0))))</x:f>
        <x:v>13</x:v>
      </x:c>
      <x:c r="I391" s="20" t="n">
        <x:f>INDEX(Inputs!$B$8:$D$8,1,MATCH(A391,Inputs!$B$6:$D$6,0))</x:f>
        <x:v>2395</x:v>
      </x:c>
      <x:c r="J391" s="20" t="n">
        <x:f>INDEX(Roster!$C$6:$C$108,MATCH(D391,Roster!$A$6:$A$108,0))*(1+INDEX(Inputs!$B$9:$D$9,1,MATCH(A391,Inputs!$B$6:$D$6,0)))</x:f>
        <x:v>75</x:v>
      </x:c>
      <x:c r="K391" s="20" t="n">
        <x:f>IF(=INDEX(Roster!$F$6:$F$108,MATCH(D391,Roster!$A$6:$A$108,0))="Yes",0,=INDEX(Inputs!$B$8:$D$8,1,MATCH(A391,Inputs!$B$6:$D$6,0))*IF(=INDEX(Roster!$B$6:$B$108,MATCH(D391,Roster!$A$6:$A$108,0))="Principal",INDEX(Inputs!$B$10:$D$10,1,MATCH(A391,Inputs!$B$6:$D$6,0)),IF(=INDEX(Roster!$B$6:$B$108,MATCH(D391,Roster!$A$6:$A$108,0))="Associate Principal",INDEX(Inputs!$B$11:$D$11,1,MATCH(A391,Inputs!$B$6:$D$6,0)),IF(=INDEX(Roster!$B$6:$B$108,MATCH(D391,Roster!$A$6:$A$108,0))="Assistant Principal",INDEX(Inputs!$B$12:$D$12,1,MATCH(A391,Inputs!$B$6:$D$6,0)),0))))</x:f>
        <x:v>0</x:v>
      </x:c>
      <x:c r="L391" s="20" t="n">
        <x:f>IF(INDEX(Roster!$D$6:$D$108,MATCH(D391,Roster!$A$6:$A$108,0))&gt;=25,INDEX(Inputs!$B$19:$D$19,1,MATCH(A391,Inputs!$B$6:$D$6,0)),IF(INDEX(Roster!$D$6:$D$108,MATCH(D391,Roster!$A$6:$A$108,0))&gt;=20,INDEX(Inputs!$B$18:$D$18,1,MATCH(A391,Inputs!$B$6:$D$6,0)),IF(INDEX(Roster!$D$6:$D$108,MATCH(D391,Roster!$A$6:$A$108,0))&gt;=15,INDEX(Inputs!$B$17:$D$17,1,MATCH(A391,Inputs!$B$6:$D$6,0)),IF(INDEX(Roster!$D$6:$D$108,MATCH(D391,Roster!$A$6:$A$108,0))&gt;=10,INDEX(Inputs!$B$16:$D$16,1,MATCH(A391,Inputs!$B$6:$D$6,0)),IF(INDEX(Roster!$D$6:$D$108,MATCH(D391,Roster!$A$6:$A$108,0))&gt;=5,INDEX(Inputs!$B$15:$D$15,1,MATCH(A391,Inputs!$B$6:$D$6,0)),0)))))</x:f>
        <x:v>90</x:v>
      </x:c>
      <x:c r="M391" s="20" t="n">
        <x:f>G391*I391</x:f>
        <x:v>31135</x:v>
      </x:c>
      <x:c r="N391" s="20" t="n">
        <x:f>G391*J391</x:f>
        <x:v>975</x:v>
      </x:c>
      <x:c r="O391" s="20" t="n">
        <x:f>G391*K391</x:f>
        <x:v>0</x:v>
      </x:c>
      <x:c r="P391" s="20" t="n">
        <x:f>G391*L391</x:f>
        <x:v>1170</x:v>
      </x:c>
      <x:c r="Q391" s="20" t="n">
        <x:f>H391*INDEX(Inputs!$B$13:$D$13,1,MATCH(A391,Inputs!$B$6:$D$6,0))</x:f>
        <x:v>390</x:v>
      </x:c>
      <x:c r="R391" s="20" t="n">
        <x:f>SUM(M391:Q391)</x:f>
        <x:v>33670</x:v>
      </x:c>
      <x:c r="S391" s="20" t="n">
        <x:f>IF(AND(A390=A391,D390=D391),S390+R391,R391)</x:f>
        <x:v>67340</x:v>
      </x:c>
      <x:c r="T391" s="20" t="n">
        <x:f>MIN(S391,INDEX(Inputs!$B$20:$D$20,1,MATCH(A391,Inputs!$B$6:$D$6,0)))*INDEX(Inputs!$B$22:$D$22,1,MATCH(A391,Inputs!$B$6:$D$6,0))+MAX(MIN(S391,INDEX(Inputs!$B$21:$D$21,1,MATCH(A391,Inputs!$B$6:$D$6,0)))-INDEX(Inputs!$B$20:$D$20,1,MATCH(A391,Inputs!$B$6:$D$6,0)),0)*INDEX(Inputs!$B$23:$D$23,1,MATCH(A391,Inputs!$B$6:$D$6,0))+MAX(S391-INDEX(Inputs!$B$21:$D$21,1,MATCH(A391,Inputs!$B$6:$D$6,0)),0)*INDEX(Inputs!$B$24:$D$24,1,MATCH(A391,Inputs!$B$6:$D$6,0))</x:f>
        <x:v>5641.51</x:v>
      </x:c>
      <x:c r="U391" s="20" t="n">
        <x:f>IF(AND(A390=A391,D390=D391),T390,0)</x:f>
        <x:v>3065.755</x:v>
      </x:c>
      <x:c r="V391" s="20" t="n">
        <x:f>T391-U391</x:f>
        <x:v>2575.755</x:v>
      </x:c>
      <x:c r="W391" s="20" t="n">
        <x:f>R391+V391</x:f>
        <x:v>36245.755</x:v>
      </x:c>
      <x:c r="X391" s="14" t="str">
        <x:f>IF(ABS(W391-SUM(M391:Q391)-V391)&lt;0.01,"OK","Check")</x:f>
        <x:v>OK</x:v>
      </x:c>
    </x:row>
    <x:row r="392">
      <x:c r="A392" s="14" t="n">
        <x:v>2026</x:v>
      </x:c>
      <x:c r="B392" s="14" t="str">
        <x:v>Q3</x:v>
      </x:c>
      <x:c r="C392" s="14" t="n">
        <x:v>3</x:v>
      </x:c>
      <x:c r="D392" s="14" t="n">
        <x:v>97</x:v>
      </x:c>
      <x:c r="E392" s="14" t="str">
        <x:f>INDEX(Roster!$B$6:$B$108,MATCH(D392,Roster!$A$6:$A$108,0))</x:f>
      </x:c>
      <x:c r="F392" s="14" t="str">
        <x:f>INDEX(Roster!$F$6:$F$108,MATCH(D392,Roster!$A$6:$A$108,0))</x:f>
        <x:v>No</x:v>
      </x:c>
      <x:c r="G392" s="14" t="n">
        <x:f>INDEX(Inputs!$B$7:$D$7,1,MATCH(A392,Inputs!$B$6:$D$6,0))</x:f>
        <x:v>13</x:v>
      </x:c>
      <x:c r="H392" s="14" t="n">
        <x:f>MIN(=INDEX(Inputs!$B$7:$D$7,1,MATCH(A392,Inputs!$B$6:$D$6,0)),MAX(0,INDEX(Inputs!$B$14:$D$14,1,MATCH(A392,Inputs!$B$6:$D$6,0))-(C392-1)*=INDEX(Inputs!$B$7:$D$7,1,MATCH(A392,Inputs!$B$6:$D$6,0))))</x:f>
        <x:v>13</x:v>
      </x:c>
      <x:c r="I392" s="20" t="n">
        <x:f>INDEX(Inputs!$B$8:$D$8,1,MATCH(A392,Inputs!$B$6:$D$6,0))</x:f>
        <x:v>2395</x:v>
      </x:c>
      <x:c r="J392" s="20" t="n">
        <x:f>INDEX(Roster!$C$6:$C$108,MATCH(D392,Roster!$A$6:$A$108,0))*(1+INDEX(Inputs!$B$9:$D$9,1,MATCH(A392,Inputs!$B$6:$D$6,0)))</x:f>
        <x:v>75</x:v>
      </x:c>
      <x:c r="K392" s="20" t="n">
        <x:f>IF(=INDEX(Roster!$F$6:$F$108,MATCH(D392,Roster!$A$6:$A$108,0))="Yes",0,=INDEX(Inputs!$B$8:$D$8,1,MATCH(A392,Inputs!$B$6:$D$6,0))*IF(=INDEX(Roster!$B$6:$B$108,MATCH(D392,Roster!$A$6:$A$108,0))="Principal",INDEX(Inputs!$B$10:$D$10,1,MATCH(A392,Inputs!$B$6:$D$6,0)),IF(=INDEX(Roster!$B$6:$B$108,MATCH(D392,Roster!$A$6:$A$108,0))="Associate Principal",INDEX(Inputs!$B$11:$D$11,1,MATCH(A392,Inputs!$B$6:$D$6,0)),IF(=INDEX(Roster!$B$6:$B$108,MATCH(D392,Roster!$A$6:$A$108,0))="Assistant Principal",INDEX(Inputs!$B$12:$D$12,1,MATCH(A392,Inputs!$B$6:$D$6,0)),0))))</x:f>
        <x:v>0</x:v>
      </x:c>
      <x:c r="L392" s="20" t="n">
        <x:f>IF(INDEX(Roster!$D$6:$D$108,MATCH(D392,Roster!$A$6:$A$108,0))&gt;=25,INDEX(Inputs!$B$19:$D$19,1,MATCH(A392,Inputs!$B$6:$D$6,0)),IF(INDEX(Roster!$D$6:$D$108,MATCH(D392,Roster!$A$6:$A$108,0))&gt;=20,INDEX(Inputs!$B$18:$D$18,1,MATCH(A392,Inputs!$B$6:$D$6,0)),IF(INDEX(Roster!$D$6:$D$108,MATCH(D392,Roster!$A$6:$A$108,0))&gt;=15,INDEX(Inputs!$B$17:$D$17,1,MATCH(A392,Inputs!$B$6:$D$6,0)),IF(INDEX(Roster!$D$6:$D$108,MATCH(D392,Roster!$A$6:$A$108,0))&gt;=10,INDEX(Inputs!$B$16:$D$16,1,MATCH(A392,Inputs!$B$6:$D$6,0)),IF(INDEX(Roster!$D$6:$D$108,MATCH(D392,Roster!$A$6:$A$108,0))&gt;=5,INDEX(Inputs!$B$15:$D$15,1,MATCH(A392,Inputs!$B$6:$D$6,0)),0)))))</x:f>
        <x:v>90</x:v>
      </x:c>
      <x:c r="M392" s="20" t="n">
        <x:f>G392*I392</x:f>
        <x:v>31135</x:v>
      </x:c>
      <x:c r="N392" s="20" t="n">
        <x:f>G392*J392</x:f>
        <x:v>975</x:v>
      </x:c>
      <x:c r="O392" s="20" t="n">
        <x:f>G392*K392</x:f>
        <x:v>0</x:v>
      </x:c>
      <x:c r="P392" s="20" t="n">
        <x:f>G392*L392</x:f>
        <x:v>1170</x:v>
      </x:c>
      <x:c r="Q392" s="20" t="n">
        <x:f>H392*INDEX(Inputs!$B$13:$D$13,1,MATCH(A392,Inputs!$B$6:$D$6,0))</x:f>
        <x:v>390</x:v>
      </x:c>
      <x:c r="R392" s="20" t="n">
        <x:f>SUM(M392:Q392)</x:f>
        <x:v>33670</x:v>
      </x:c>
      <x:c r="S392" s="20" t="n">
        <x:f>IF(AND(A391=A392,D391=D392),S391+R392,R392)</x:f>
        <x:v>101010</x:v>
      </x:c>
      <x:c r="T392" s="20" t="n">
        <x:f>MIN(S392,INDEX(Inputs!$B$20:$D$20,1,MATCH(A392,Inputs!$B$6:$D$6,0)))*INDEX(Inputs!$B$22:$D$22,1,MATCH(A392,Inputs!$B$6:$D$6,0))+MAX(MIN(S392,INDEX(Inputs!$B$21:$D$21,1,MATCH(A392,Inputs!$B$6:$D$6,0)))-INDEX(Inputs!$B$20:$D$20,1,MATCH(A392,Inputs!$B$6:$D$6,0)),0)*INDEX(Inputs!$B$23:$D$23,1,MATCH(A392,Inputs!$B$6:$D$6,0))+MAX(S392-INDEX(Inputs!$B$21:$D$21,1,MATCH(A392,Inputs!$B$6:$D$6,0)),0)*INDEX(Inputs!$B$24:$D$24,1,MATCH(A392,Inputs!$B$6:$D$6,0))</x:f>
        <x:v>8217.265</x:v>
      </x:c>
      <x:c r="U392" s="20" t="n">
        <x:f>IF(AND(A391=A392,D391=D392),T391,0)</x:f>
        <x:v>5641.51</x:v>
      </x:c>
      <x:c r="V392" s="20" t="n">
        <x:f>T392-U392</x:f>
        <x:v>2575.754999999999</x:v>
      </x:c>
      <x:c r="W392" s="20" t="n">
        <x:f>R392+V392</x:f>
        <x:v>36245.755</x:v>
      </x:c>
      <x:c r="X392" s="14" t="str">
        <x:f>IF(ABS(W392-SUM(M392:Q392)-V392)&lt;0.01,"OK","Check")</x:f>
        <x:v>OK</x:v>
      </x:c>
    </x:row>
    <x:row r="393">
      <x:c r="A393" s="14" t="n">
        <x:v>2026</x:v>
      </x:c>
      <x:c r="B393" s="14" t="str">
        <x:v>Q4</x:v>
      </x:c>
      <x:c r="C393" s="14" t="n">
        <x:v>4</x:v>
      </x:c>
      <x:c r="D393" s="14" t="n">
        <x:v>97</x:v>
      </x:c>
      <x:c r="E393" s="14" t="str">
        <x:f>INDEX(Roster!$B$6:$B$108,MATCH(D393,Roster!$A$6:$A$108,0))</x:f>
      </x:c>
      <x:c r="F393" s="14" t="str">
        <x:f>INDEX(Roster!$F$6:$F$108,MATCH(D393,Roster!$A$6:$A$108,0))</x:f>
        <x:v>No</x:v>
      </x:c>
      <x:c r="G393" s="14" t="n">
        <x:f>INDEX(Inputs!$B$7:$D$7,1,MATCH(A393,Inputs!$B$6:$D$6,0))</x:f>
        <x:v>13</x:v>
      </x:c>
      <x:c r="H393" s="14" t="n">
        <x:f>MIN(=INDEX(Inputs!$B$7:$D$7,1,MATCH(A393,Inputs!$B$6:$D$6,0)),MAX(0,INDEX(Inputs!$B$14:$D$14,1,MATCH(A393,Inputs!$B$6:$D$6,0))-(C393-1)*=INDEX(Inputs!$B$7:$D$7,1,MATCH(A393,Inputs!$B$6:$D$6,0))))</x:f>
        <x:v>0</x:v>
      </x:c>
      <x:c r="I393" s="20" t="n">
        <x:f>INDEX(Inputs!$B$8:$D$8,1,MATCH(A393,Inputs!$B$6:$D$6,0))</x:f>
        <x:v>2395</x:v>
      </x:c>
      <x:c r="J393" s="20" t="n">
        <x:f>INDEX(Roster!$C$6:$C$108,MATCH(D393,Roster!$A$6:$A$108,0))*(1+INDEX(Inputs!$B$9:$D$9,1,MATCH(A393,Inputs!$B$6:$D$6,0)))</x:f>
        <x:v>75</x:v>
      </x:c>
      <x:c r="K393" s="20" t="n">
        <x:f>IF(=INDEX(Roster!$F$6:$F$108,MATCH(D393,Roster!$A$6:$A$108,0))="Yes",0,=INDEX(Inputs!$B$8:$D$8,1,MATCH(A393,Inputs!$B$6:$D$6,0))*IF(=INDEX(Roster!$B$6:$B$108,MATCH(D393,Roster!$A$6:$A$108,0))="Principal",INDEX(Inputs!$B$10:$D$10,1,MATCH(A393,Inputs!$B$6:$D$6,0)),IF(=INDEX(Roster!$B$6:$B$108,MATCH(D393,Roster!$A$6:$A$108,0))="Associate Principal",INDEX(Inputs!$B$11:$D$11,1,MATCH(A393,Inputs!$B$6:$D$6,0)),IF(=INDEX(Roster!$B$6:$B$108,MATCH(D393,Roster!$A$6:$A$108,0))="Assistant Principal",INDEX(Inputs!$B$12:$D$12,1,MATCH(A393,Inputs!$B$6:$D$6,0)),0))))</x:f>
        <x:v>0</x:v>
      </x:c>
      <x:c r="L393" s="20" t="n">
        <x:f>IF(INDEX(Roster!$D$6:$D$108,MATCH(D393,Roster!$A$6:$A$108,0))&gt;=25,INDEX(Inputs!$B$19:$D$19,1,MATCH(A393,Inputs!$B$6:$D$6,0)),IF(INDEX(Roster!$D$6:$D$108,MATCH(D393,Roster!$A$6:$A$108,0))&gt;=20,INDEX(Inputs!$B$18:$D$18,1,MATCH(A393,Inputs!$B$6:$D$6,0)),IF(INDEX(Roster!$D$6:$D$108,MATCH(D393,Roster!$A$6:$A$108,0))&gt;=15,INDEX(Inputs!$B$17:$D$17,1,MATCH(A393,Inputs!$B$6:$D$6,0)),IF(INDEX(Roster!$D$6:$D$108,MATCH(D393,Roster!$A$6:$A$108,0))&gt;=10,INDEX(Inputs!$B$16:$D$16,1,MATCH(A393,Inputs!$B$6:$D$6,0)),IF(INDEX(Roster!$D$6:$D$108,MATCH(D393,Roster!$A$6:$A$108,0))&gt;=5,INDEX(Inputs!$B$15:$D$15,1,MATCH(A393,Inputs!$B$6:$D$6,0)),0)))))</x:f>
        <x:v>90</x:v>
      </x:c>
      <x:c r="M393" s="20" t="n">
        <x:f>G393*I393</x:f>
        <x:v>31135</x:v>
      </x:c>
      <x:c r="N393" s="20" t="n">
        <x:f>G393*J393</x:f>
        <x:v>975</x:v>
      </x:c>
      <x:c r="O393" s="20" t="n">
        <x:f>G393*K393</x:f>
        <x:v>0</x:v>
      </x:c>
      <x:c r="P393" s="20" t="n">
        <x:f>G393*L393</x:f>
        <x:v>1170</x:v>
      </x:c>
      <x:c r="Q393" s="20" t="n">
        <x:f>H393*INDEX(Inputs!$B$13:$D$13,1,MATCH(A393,Inputs!$B$6:$D$6,0))</x:f>
        <x:v>0</x:v>
      </x:c>
      <x:c r="R393" s="20" t="n">
        <x:f>SUM(M393:Q393)</x:f>
        <x:v>33280</x:v>
      </x:c>
      <x:c r="S393" s="20" t="n">
        <x:f>IF(AND(A392=A393,D392=D393),S392+R393,R393)</x:f>
        <x:v>134290</x:v>
      </x:c>
      <x:c r="T393" s="20" t="n">
        <x:f>MIN(S393,INDEX(Inputs!$B$20:$D$20,1,MATCH(A393,Inputs!$B$6:$D$6,0)))*INDEX(Inputs!$B$22:$D$22,1,MATCH(A393,Inputs!$B$6:$D$6,0))+MAX(MIN(S393,INDEX(Inputs!$B$21:$D$21,1,MATCH(A393,Inputs!$B$6:$D$6,0)))-INDEX(Inputs!$B$20:$D$20,1,MATCH(A393,Inputs!$B$6:$D$6,0)),0)*INDEX(Inputs!$B$23:$D$23,1,MATCH(A393,Inputs!$B$6:$D$6,0))+MAX(S393-INDEX(Inputs!$B$21:$D$21,1,MATCH(A393,Inputs!$B$6:$D$6,0)),0)*INDEX(Inputs!$B$24:$D$24,1,MATCH(A393,Inputs!$B$6:$D$6,0))</x:f>
        <x:v>9861.146999999999</x:v>
      </x:c>
      <x:c r="U393" s="20" t="n">
        <x:f>IF(AND(A392=A393,D392=D393),T392,0)</x:f>
        <x:v>8217.265</x:v>
      </x:c>
      <x:c r="V393" s="20" t="n">
        <x:f>T393-U393</x:f>
        <x:v>1643.8819999999996</x:v>
      </x:c>
      <x:c r="W393" s="20" t="n">
        <x:f>R393+V393</x:f>
        <x:v>34923.882</x:v>
      </x:c>
      <x:c r="X393" s="14" t="str">
        <x:f>IF(ABS(W393-SUM(M393:Q393)-V393)&lt;0.01,"OK","Check")</x:f>
        <x:v>OK</x:v>
      </x:c>
    </x:row>
    <x:row r="394">
      <x:c r="A394" s="14" t="n">
        <x:v>2026</x:v>
      </x:c>
      <x:c r="B394" s="14" t="str">
        <x:v>Q1</x:v>
      </x:c>
      <x:c r="C394" s="14" t="n">
        <x:v>1</x:v>
      </x:c>
      <x:c r="D394" s="14" t="n">
        <x:v>98</x:v>
      </x:c>
      <x:c r="E394" s="14" t="str">
        <x:f>INDEX(Roster!$B$6:$B$108,MATCH(D394,Roster!$A$6:$A$108,0))</x:f>
        <x:v>Principal</x:v>
      </x:c>
      <x:c r="F394" s="14" t="str">
        <x:f>INDEX(Roster!$F$6:$F$108,MATCH(D394,Roster!$A$6:$A$108,0))</x:f>
        <x:v>Yes</x:v>
      </x:c>
      <x:c r="G394" s="14" t="n">
        <x:f>INDEX(Inputs!$B$7:$D$7,1,MATCH(A394,Inputs!$B$6:$D$6,0))</x:f>
        <x:v>13</x:v>
      </x:c>
      <x:c r="H394" s="14" t="n">
        <x:f>MIN(=INDEX(Inputs!$B$7:$D$7,1,MATCH(A394,Inputs!$B$6:$D$6,0)),MAX(0,INDEX(Inputs!$B$14:$D$14,1,MATCH(A394,Inputs!$B$6:$D$6,0))-(C394-1)*=INDEX(Inputs!$B$7:$D$7,1,MATCH(A394,Inputs!$B$6:$D$6,0))))</x:f>
        <x:v>13</x:v>
      </x:c>
      <x:c r="I394" s="20" t="n">
        <x:f>INDEX(Inputs!$B$8:$D$8,1,MATCH(A394,Inputs!$B$6:$D$6,0))</x:f>
        <x:v>2395</x:v>
      </x:c>
      <x:c r="J394" s="20" t="n">
        <x:f>INDEX(Roster!$C$6:$C$108,MATCH(D394,Roster!$A$6:$A$108,0))*(1+INDEX(Inputs!$B$9:$D$9,1,MATCH(A394,Inputs!$B$6:$D$6,0)))</x:f>
        <x:v>800</x:v>
      </x:c>
      <x:c r="K394" s="20" t="n">
        <x:f>IF(=INDEX(Roster!$F$6:$F$108,MATCH(D394,Roster!$A$6:$A$108,0))="Yes",0,=INDEX(Inputs!$B$8:$D$8,1,MATCH(A394,Inputs!$B$6:$D$6,0))*IF(=INDEX(Roster!$B$6:$B$108,MATCH(D394,Roster!$A$6:$A$108,0))="Principal",INDEX(Inputs!$B$10:$D$10,1,MATCH(A394,Inputs!$B$6:$D$6,0)),IF(=INDEX(Roster!$B$6:$B$108,MATCH(D394,Roster!$A$6:$A$108,0))="Associate Principal",INDEX(Inputs!$B$11:$D$11,1,MATCH(A394,Inputs!$B$6:$D$6,0)),IF(=INDEX(Roster!$B$6:$B$108,MATCH(D394,Roster!$A$6:$A$108,0))="Assistant Principal",INDEX(Inputs!$B$12:$D$12,1,MATCH(A394,Inputs!$B$6:$D$6,0)),0))))</x:f>
        <x:v>0</x:v>
      </x:c>
      <x:c r="L394" s="20" t="n">
        <x:f>IF(INDEX(Roster!$D$6:$D$108,MATCH(D394,Roster!$A$6:$A$108,0))&gt;=25,INDEX(Inputs!$B$19:$D$19,1,MATCH(A394,Inputs!$B$6:$D$6,0)),IF(INDEX(Roster!$D$6:$D$108,MATCH(D394,Roster!$A$6:$A$108,0))&gt;=20,INDEX(Inputs!$B$18:$D$18,1,MATCH(A394,Inputs!$B$6:$D$6,0)),IF(INDEX(Roster!$D$6:$D$108,MATCH(D394,Roster!$A$6:$A$108,0))&gt;=15,INDEX(Inputs!$B$17:$D$17,1,MATCH(A394,Inputs!$B$6:$D$6,0)),IF(INDEX(Roster!$D$6:$D$108,MATCH(D394,Roster!$A$6:$A$108,0))&gt;=10,INDEX(Inputs!$B$16:$D$16,1,MATCH(A394,Inputs!$B$6:$D$6,0)),IF(INDEX(Roster!$D$6:$D$108,MATCH(D394,Roster!$A$6:$A$108,0))&gt;=5,INDEX(Inputs!$B$15:$D$15,1,MATCH(A394,Inputs!$B$6:$D$6,0)),0)))))</x:f>
        <x:v>60</x:v>
      </x:c>
      <x:c r="M394" s="20" t="n">
        <x:f>G394*I394</x:f>
        <x:v>31135</x:v>
      </x:c>
      <x:c r="N394" s="20" t="n">
        <x:f>G394*J394</x:f>
        <x:v>10400</x:v>
      </x:c>
      <x:c r="O394" s="20" t="n">
        <x:f>G394*K394</x:f>
        <x:v>0</x:v>
      </x:c>
      <x:c r="P394" s="20" t="n">
        <x:f>G394*L394</x:f>
        <x:v>780</x:v>
      </x:c>
      <x:c r="Q394" s="20" t="n">
        <x:f>H394*INDEX(Inputs!$B$13:$D$13,1,MATCH(A394,Inputs!$B$6:$D$6,0))</x:f>
        <x:v>390</x:v>
      </x:c>
      <x:c r="R394" s="20" t="n">
        <x:f>SUM(M394:Q394)</x:f>
        <x:v>42705</x:v>
      </x:c>
      <x:c r="S394" s="20" t="n">
        <x:f>IF(AND(A393=A394,D393=D394),S393+R394,R394)</x:f>
        <x:v>42705</x:v>
      </x:c>
      <x:c r="T394" s="20" t="n">
        <x:f>MIN(S394,INDEX(Inputs!$B$20:$D$20,1,MATCH(A394,Inputs!$B$6:$D$6,0)))*INDEX(Inputs!$B$22:$D$22,1,MATCH(A394,Inputs!$B$6:$D$6,0))+MAX(MIN(S394,INDEX(Inputs!$B$21:$D$21,1,MATCH(A394,Inputs!$B$6:$D$6,0)))-INDEX(Inputs!$B$20:$D$20,1,MATCH(A394,Inputs!$B$6:$D$6,0)),0)*INDEX(Inputs!$B$23:$D$23,1,MATCH(A394,Inputs!$B$6:$D$6,0))+MAX(S394-INDEX(Inputs!$B$21:$D$21,1,MATCH(A394,Inputs!$B$6:$D$6,0)),0)*INDEX(Inputs!$B$24:$D$24,1,MATCH(A394,Inputs!$B$6:$D$6,0))</x:f>
        <x:v>3756.9325</x:v>
      </x:c>
      <x:c r="U394" s="20" t="n">
        <x:f>IF(AND(A393=A394,D393=D394),T393,0)</x:f>
        <x:v>0</x:v>
      </x:c>
      <x:c r="V394" s="20" t="n">
        <x:f>T394-U394</x:f>
        <x:v>3756.9325</x:v>
      </x:c>
      <x:c r="W394" s="20" t="n">
        <x:f>R394+V394</x:f>
        <x:v>46461.9325</x:v>
      </x:c>
      <x:c r="X394" s="14" t="str">
        <x:f>IF(ABS(W394-SUM(M394:Q394)-V394)&lt;0.01,"OK","Check")</x:f>
        <x:v>OK</x:v>
      </x:c>
    </x:row>
    <x:row r="395">
      <x:c r="A395" s="14" t="n">
        <x:v>2026</x:v>
      </x:c>
      <x:c r="B395" s="14" t="str">
        <x:v>Q2</x:v>
      </x:c>
      <x:c r="C395" s="14" t="n">
        <x:v>2</x:v>
      </x:c>
      <x:c r="D395" s="14" t="n">
        <x:v>98</x:v>
      </x:c>
      <x:c r="E395" s="14" t="str">
        <x:f>INDEX(Roster!$B$6:$B$108,MATCH(D395,Roster!$A$6:$A$108,0))</x:f>
        <x:v>Principal</x:v>
      </x:c>
      <x:c r="F395" s="14" t="str">
        <x:f>INDEX(Roster!$F$6:$F$108,MATCH(D395,Roster!$A$6:$A$108,0))</x:f>
        <x:v>Yes</x:v>
      </x:c>
      <x:c r="G395" s="14" t="n">
        <x:f>INDEX(Inputs!$B$7:$D$7,1,MATCH(A395,Inputs!$B$6:$D$6,0))</x:f>
        <x:v>13</x:v>
      </x:c>
      <x:c r="H395" s="14" t="n">
        <x:f>MIN(=INDEX(Inputs!$B$7:$D$7,1,MATCH(A395,Inputs!$B$6:$D$6,0)),MAX(0,INDEX(Inputs!$B$14:$D$14,1,MATCH(A395,Inputs!$B$6:$D$6,0))-(C395-1)*=INDEX(Inputs!$B$7:$D$7,1,MATCH(A395,Inputs!$B$6:$D$6,0))))</x:f>
        <x:v>13</x:v>
      </x:c>
      <x:c r="I395" s="20" t="n">
        <x:f>INDEX(Inputs!$B$8:$D$8,1,MATCH(A395,Inputs!$B$6:$D$6,0))</x:f>
        <x:v>2395</x:v>
      </x:c>
      <x:c r="J395" s="20" t="n">
        <x:f>INDEX(Roster!$C$6:$C$108,MATCH(D395,Roster!$A$6:$A$108,0))*(1+INDEX(Inputs!$B$9:$D$9,1,MATCH(A395,Inputs!$B$6:$D$6,0)))</x:f>
        <x:v>800</x:v>
      </x:c>
      <x:c r="K395" s="20" t="n">
        <x:f>IF(=INDEX(Roster!$F$6:$F$108,MATCH(D395,Roster!$A$6:$A$108,0))="Yes",0,=INDEX(Inputs!$B$8:$D$8,1,MATCH(A395,Inputs!$B$6:$D$6,0))*IF(=INDEX(Roster!$B$6:$B$108,MATCH(D395,Roster!$A$6:$A$108,0))="Principal",INDEX(Inputs!$B$10:$D$10,1,MATCH(A395,Inputs!$B$6:$D$6,0)),IF(=INDEX(Roster!$B$6:$B$108,MATCH(D395,Roster!$A$6:$A$108,0))="Associate Principal",INDEX(Inputs!$B$11:$D$11,1,MATCH(A395,Inputs!$B$6:$D$6,0)),IF(=INDEX(Roster!$B$6:$B$108,MATCH(D395,Roster!$A$6:$A$108,0))="Assistant Principal",INDEX(Inputs!$B$12:$D$12,1,MATCH(A395,Inputs!$B$6:$D$6,0)),0))))</x:f>
        <x:v>0</x:v>
      </x:c>
      <x:c r="L395" s="20" t="n">
        <x:f>IF(INDEX(Roster!$D$6:$D$108,MATCH(D395,Roster!$A$6:$A$108,0))&gt;=25,INDEX(Inputs!$B$19:$D$19,1,MATCH(A395,Inputs!$B$6:$D$6,0)),IF(INDEX(Roster!$D$6:$D$108,MATCH(D395,Roster!$A$6:$A$108,0))&gt;=20,INDEX(Inputs!$B$18:$D$18,1,MATCH(A395,Inputs!$B$6:$D$6,0)),IF(INDEX(Roster!$D$6:$D$108,MATCH(D395,Roster!$A$6:$A$108,0))&gt;=15,INDEX(Inputs!$B$17:$D$17,1,MATCH(A395,Inputs!$B$6:$D$6,0)),IF(INDEX(Roster!$D$6:$D$108,MATCH(D395,Roster!$A$6:$A$108,0))&gt;=10,INDEX(Inputs!$B$16:$D$16,1,MATCH(A395,Inputs!$B$6:$D$6,0)),IF(INDEX(Roster!$D$6:$D$108,MATCH(D395,Roster!$A$6:$A$108,0))&gt;=5,INDEX(Inputs!$B$15:$D$15,1,MATCH(A395,Inputs!$B$6:$D$6,0)),0)))))</x:f>
        <x:v>60</x:v>
      </x:c>
      <x:c r="M395" s="20" t="n">
        <x:f>G395*I395</x:f>
        <x:v>31135</x:v>
      </x:c>
      <x:c r="N395" s="20" t="n">
        <x:f>G395*J395</x:f>
        <x:v>10400</x:v>
      </x:c>
      <x:c r="O395" s="20" t="n">
        <x:f>G395*K395</x:f>
        <x:v>0</x:v>
      </x:c>
      <x:c r="P395" s="20" t="n">
        <x:f>G395*L395</x:f>
        <x:v>780</x:v>
      </x:c>
      <x:c r="Q395" s="20" t="n">
        <x:f>H395*INDEX(Inputs!$B$13:$D$13,1,MATCH(A395,Inputs!$B$6:$D$6,0))</x:f>
        <x:v>390</x:v>
      </x:c>
      <x:c r="R395" s="20" t="n">
        <x:f>SUM(M395:Q395)</x:f>
        <x:v>42705</x:v>
      </x:c>
      <x:c r="S395" s="20" t="n">
        <x:f>IF(AND(A394=A395,D394=D395),S394+R395,R395)</x:f>
        <x:v>85410</x:v>
      </x:c>
      <x:c r="T395" s="20" t="n">
        <x:f>MIN(S395,INDEX(Inputs!$B$20:$D$20,1,MATCH(A395,Inputs!$B$6:$D$6,0)))*INDEX(Inputs!$B$22:$D$22,1,MATCH(A395,Inputs!$B$6:$D$6,0))+MAX(MIN(S395,INDEX(Inputs!$B$21:$D$21,1,MATCH(A395,Inputs!$B$6:$D$6,0)))-INDEX(Inputs!$B$20:$D$20,1,MATCH(A395,Inputs!$B$6:$D$6,0)),0)*INDEX(Inputs!$B$23:$D$23,1,MATCH(A395,Inputs!$B$6:$D$6,0))+MAX(S395-INDEX(Inputs!$B$21:$D$21,1,MATCH(A395,Inputs!$B$6:$D$6,0)),0)*INDEX(Inputs!$B$24:$D$24,1,MATCH(A395,Inputs!$B$6:$D$6,0))</x:f>
        <x:v>7023.865</x:v>
      </x:c>
      <x:c r="U395" s="20" t="n">
        <x:f>IF(AND(A394=A395,D394=D395),T394,0)</x:f>
        <x:v>3756.9325</x:v>
      </x:c>
      <x:c r="V395" s="20" t="n">
        <x:f>T395-U395</x:f>
        <x:v>3266.9325</x:v>
      </x:c>
      <x:c r="W395" s="20" t="n">
        <x:f>R395+V395</x:f>
        <x:v>45971.9325</x:v>
      </x:c>
      <x:c r="X395" s="14" t="str">
        <x:f>IF(ABS(W395-SUM(M395:Q395)-V395)&lt;0.01,"OK","Check")</x:f>
        <x:v>OK</x:v>
      </x:c>
    </x:row>
    <x:row r="396">
      <x:c r="A396" s="14" t="n">
        <x:v>2026</x:v>
      </x:c>
      <x:c r="B396" s="14" t="str">
        <x:v>Q3</x:v>
      </x:c>
      <x:c r="C396" s="14" t="n">
        <x:v>3</x:v>
      </x:c>
      <x:c r="D396" s="14" t="n">
        <x:v>98</x:v>
      </x:c>
      <x:c r="E396" s="14" t="str">
        <x:f>INDEX(Roster!$B$6:$B$108,MATCH(D396,Roster!$A$6:$A$108,0))</x:f>
        <x:v>Principal</x:v>
      </x:c>
      <x:c r="F396" s="14" t="str">
        <x:f>INDEX(Roster!$F$6:$F$108,MATCH(D396,Roster!$A$6:$A$108,0))</x:f>
        <x:v>Yes</x:v>
      </x:c>
      <x:c r="G396" s="14" t="n">
        <x:f>INDEX(Inputs!$B$7:$D$7,1,MATCH(A396,Inputs!$B$6:$D$6,0))</x:f>
        <x:v>13</x:v>
      </x:c>
      <x:c r="H396" s="14" t="n">
        <x:f>MIN(=INDEX(Inputs!$B$7:$D$7,1,MATCH(A396,Inputs!$B$6:$D$6,0)),MAX(0,INDEX(Inputs!$B$14:$D$14,1,MATCH(A396,Inputs!$B$6:$D$6,0))-(C396-1)*=INDEX(Inputs!$B$7:$D$7,1,MATCH(A396,Inputs!$B$6:$D$6,0))))</x:f>
        <x:v>13</x:v>
      </x:c>
      <x:c r="I396" s="20" t="n">
        <x:f>INDEX(Inputs!$B$8:$D$8,1,MATCH(A396,Inputs!$B$6:$D$6,0))</x:f>
        <x:v>2395</x:v>
      </x:c>
      <x:c r="J396" s="20" t="n">
        <x:f>INDEX(Roster!$C$6:$C$108,MATCH(D396,Roster!$A$6:$A$108,0))*(1+INDEX(Inputs!$B$9:$D$9,1,MATCH(A396,Inputs!$B$6:$D$6,0)))</x:f>
        <x:v>800</x:v>
      </x:c>
      <x:c r="K396" s="20" t="n">
        <x:f>IF(=INDEX(Roster!$F$6:$F$108,MATCH(D396,Roster!$A$6:$A$108,0))="Yes",0,=INDEX(Inputs!$B$8:$D$8,1,MATCH(A396,Inputs!$B$6:$D$6,0))*IF(=INDEX(Roster!$B$6:$B$108,MATCH(D396,Roster!$A$6:$A$108,0))="Principal",INDEX(Inputs!$B$10:$D$10,1,MATCH(A396,Inputs!$B$6:$D$6,0)),IF(=INDEX(Roster!$B$6:$B$108,MATCH(D396,Roster!$A$6:$A$108,0))="Associate Principal",INDEX(Inputs!$B$11:$D$11,1,MATCH(A396,Inputs!$B$6:$D$6,0)),IF(=INDEX(Roster!$B$6:$B$108,MATCH(D396,Roster!$A$6:$A$108,0))="Assistant Principal",INDEX(Inputs!$B$12:$D$12,1,MATCH(A396,Inputs!$B$6:$D$6,0)),0))))</x:f>
        <x:v>0</x:v>
      </x:c>
      <x:c r="L396" s="20" t="n">
        <x:f>IF(INDEX(Roster!$D$6:$D$108,MATCH(D396,Roster!$A$6:$A$108,0))&gt;=25,INDEX(Inputs!$B$19:$D$19,1,MATCH(A396,Inputs!$B$6:$D$6,0)),IF(INDEX(Roster!$D$6:$D$108,MATCH(D396,Roster!$A$6:$A$108,0))&gt;=20,INDEX(Inputs!$B$18:$D$18,1,MATCH(A396,Inputs!$B$6:$D$6,0)),IF(INDEX(Roster!$D$6:$D$108,MATCH(D396,Roster!$A$6:$A$108,0))&gt;=15,INDEX(Inputs!$B$17:$D$17,1,MATCH(A396,Inputs!$B$6:$D$6,0)),IF(INDEX(Roster!$D$6:$D$108,MATCH(D396,Roster!$A$6:$A$108,0))&gt;=10,INDEX(Inputs!$B$16:$D$16,1,MATCH(A396,Inputs!$B$6:$D$6,0)),IF(INDEX(Roster!$D$6:$D$108,MATCH(D396,Roster!$A$6:$A$108,0))&gt;=5,INDEX(Inputs!$B$15:$D$15,1,MATCH(A396,Inputs!$B$6:$D$6,0)),0)))))</x:f>
        <x:v>60</x:v>
      </x:c>
      <x:c r="M396" s="20" t="n">
        <x:f>G396*I396</x:f>
        <x:v>31135</x:v>
      </x:c>
      <x:c r="N396" s="20" t="n">
        <x:f>G396*J396</x:f>
        <x:v>10400</x:v>
      </x:c>
      <x:c r="O396" s="20" t="n">
        <x:f>G396*K396</x:f>
        <x:v>0</x:v>
      </x:c>
      <x:c r="P396" s="20" t="n">
        <x:f>G396*L396</x:f>
        <x:v>780</x:v>
      </x:c>
      <x:c r="Q396" s="20" t="n">
        <x:f>H396*INDEX(Inputs!$B$13:$D$13,1,MATCH(A396,Inputs!$B$6:$D$6,0))</x:f>
        <x:v>390</x:v>
      </x:c>
      <x:c r="R396" s="20" t="n">
        <x:f>SUM(M396:Q396)</x:f>
        <x:v>42705</x:v>
      </x:c>
      <x:c r="S396" s="20" t="n">
        <x:f>IF(AND(A395=A396,D395=D396),S395+R396,R396)</x:f>
        <x:v>128115</x:v>
      </x:c>
      <x:c r="T396" s="20" t="n">
        <x:f>MIN(S396,INDEX(Inputs!$B$20:$D$20,1,MATCH(A396,Inputs!$B$6:$D$6,0)))*INDEX(Inputs!$B$22:$D$22,1,MATCH(A396,Inputs!$B$6:$D$6,0))+MAX(MIN(S396,INDEX(Inputs!$B$21:$D$21,1,MATCH(A396,Inputs!$B$6:$D$6,0)))-INDEX(Inputs!$B$20:$D$20,1,MATCH(A396,Inputs!$B$6:$D$6,0)),0)*INDEX(Inputs!$B$23:$D$23,1,MATCH(A396,Inputs!$B$6:$D$6,0))+MAX(S396-INDEX(Inputs!$B$21:$D$21,1,MATCH(A396,Inputs!$B$6:$D$6,0)),0)*INDEX(Inputs!$B$24:$D$24,1,MATCH(A396,Inputs!$B$6:$D$6,0))</x:f>
        <x:v>9771.6095</x:v>
      </x:c>
      <x:c r="U396" s="20" t="n">
        <x:f>IF(AND(A395=A396,D395=D396),T395,0)</x:f>
        <x:v>7023.865</x:v>
      </x:c>
      <x:c r="V396" s="20" t="n">
        <x:f>T396-U396</x:f>
        <x:v>2747.7445000000007</x:v>
      </x:c>
      <x:c r="W396" s="20" t="n">
        <x:f>R396+V396</x:f>
        <x:v>45452.7445</x:v>
      </x:c>
      <x:c r="X396" s="14" t="str">
        <x:f>IF(ABS(W396-SUM(M396:Q396)-V396)&lt;0.01,"OK","Check")</x:f>
        <x:v>OK</x:v>
      </x:c>
    </x:row>
    <x:row r="397">
      <x:c r="A397" s="14" t="n">
        <x:v>2026</x:v>
      </x:c>
      <x:c r="B397" s="14" t="str">
        <x:v>Q4</x:v>
      </x:c>
      <x:c r="C397" s="14" t="n">
        <x:v>4</x:v>
      </x:c>
      <x:c r="D397" s="14" t="n">
        <x:v>98</x:v>
      </x:c>
      <x:c r="E397" s="14" t="str">
        <x:f>INDEX(Roster!$B$6:$B$108,MATCH(D397,Roster!$A$6:$A$108,0))</x:f>
        <x:v>Principal</x:v>
      </x:c>
      <x:c r="F397" s="14" t="str">
        <x:f>INDEX(Roster!$F$6:$F$108,MATCH(D397,Roster!$A$6:$A$108,0))</x:f>
        <x:v>Yes</x:v>
      </x:c>
      <x:c r="G397" s="14" t="n">
        <x:f>INDEX(Inputs!$B$7:$D$7,1,MATCH(A397,Inputs!$B$6:$D$6,0))</x:f>
        <x:v>13</x:v>
      </x:c>
      <x:c r="H397" s="14" t="n">
        <x:f>MIN(=INDEX(Inputs!$B$7:$D$7,1,MATCH(A397,Inputs!$B$6:$D$6,0)),MAX(0,INDEX(Inputs!$B$14:$D$14,1,MATCH(A397,Inputs!$B$6:$D$6,0))-(C397-1)*=INDEX(Inputs!$B$7:$D$7,1,MATCH(A397,Inputs!$B$6:$D$6,0))))</x:f>
        <x:v>0</x:v>
      </x:c>
      <x:c r="I397" s="20" t="n">
        <x:f>INDEX(Inputs!$B$8:$D$8,1,MATCH(A397,Inputs!$B$6:$D$6,0))</x:f>
        <x:v>2395</x:v>
      </x:c>
      <x:c r="J397" s="20" t="n">
        <x:f>INDEX(Roster!$C$6:$C$108,MATCH(D397,Roster!$A$6:$A$108,0))*(1+INDEX(Inputs!$B$9:$D$9,1,MATCH(A397,Inputs!$B$6:$D$6,0)))</x:f>
        <x:v>800</x:v>
      </x:c>
      <x:c r="K397" s="20" t="n">
        <x:f>IF(=INDEX(Roster!$F$6:$F$108,MATCH(D397,Roster!$A$6:$A$108,0))="Yes",0,=INDEX(Inputs!$B$8:$D$8,1,MATCH(A397,Inputs!$B$6:$D$6,0))*IF(=INDEX(Roster!$B$6:$B$108,MATCH(D397,Roster!$A$6:$A$108,0))="Principal",INDEX(Inputs!$B$10:$D$10,1,MATCH(A397,Inputs!$B$6:$D$6,0)),IF(=INDEX(Roster!$B$6:$B$108,MATCH(D397,Roster!$A$6:$A$108,0))="Associate Principal",INDEX(Inputs!$B$11:$D$11,1,MATCH(A397,Inputs!$B$6:$D$6,0)),IF(=INDEX(Roster!$B$6:$B$108,MATCH(D397,Roster!$A$6:$A$108,0))="Assistant Principal",INDEX(Inputs!$B$12:$D$12,1,MATCH(A397,Inputs!$B$6:$D$6,0)),0))))</x:f>
        <x:v>0</x:v>
      </x:c>
      <x:c r="L397" s="20" t="n">
        <x:f>IF(INDEX(Roster!$D$6:$D$108,MATCH(D397,Roster!$A$6:$A$108,0))&gt;=25,INDEX(Inputs!$B$19:$D$19,1,MATCH(A397,Inputs!$B$6:$D$6,0)),IF(INDEX(Roster!$D$6:$D$108,MATCH(D397,Roster!$A$6:$A$108,0))&gt;=20,INDEX(Inputs!$B$18:$D$18,1,MATCH(A397,Inputs!$B$6:$D$6,0)),IF(INDEX(Roster!$D$6:$D$108,MATCH(D397,Roster!$A$6:$A$108,0))&gt;=15,INDEX(Inputs!$B$17:$D$17,1,MATCH(A397,Inputs!$B$6:$D$6,0)),IF(INDEX(Roster!$D$6:$D$108,MATCH(D397,Roster!$A$6:$A$108,0))&gt;=10,INDEX(Inputs!$B$16:$D$16,1,MATCH(A397,Inputs!$B$6:$D$6,0)),IF(INDEX(Roster!$D$6:$D$108,MATCH(D397,Roster!$A$6:$A$108,0))&gt;=5,INDEX(Inputs!$B$15:$D$15,1,MATCH(A397,Inputs!$B$6:$D$6,0)),0)))))</x:f>
        <x:v>60</x:v>
      </x:c>
      <x:c r="M397" s="20" t="n">
        <x:f>G397*I397</x:f>
        <x:v>31135</x:v>
      </x:c>
      <x:c r="N397" s="20" t="n">
        <x:f>G397*J397</x:f>
        <x:v>10400</x:v>
      </x:c>
      <x:c r="O397" s="20" t="n">
        <x:f>G397*K397</x:f>
        <x:v>0</x:v>
      </x:c>
      <x:c r="P397" s="20" t="n">
        <x:f>G397*L397</x:f>
        <x:v>780</x:v>
      </x:c>
      <x:c r="Q397" s="20" t="n">
        <x:f>H397*INDEX(Inputs!$B$13:$D$13,1,MATCH(A397,Inputs!$B$6:$D$6,0))</x:f>
        <x:v>0</x:v>
      </x:c>
      <x:c r="R397" s="20" t="n">
        <x:f>SUM(M397:Q397)</x:f>
        <x:v>42315</x:v>
      </x:c>
      <x:c r="S397" s="20" t="n">
        <x:f>IF(AND(A396=A397,D396=D397),S396+R397,R397)</x:f>
        <x:v>170430</x:v>
      </x:c>
      <x:c r="T397" s="20" t="n">
        <x:f>MIN(S397,INDEX(Inputs!$B$20:$D$20,1,MATCH(A397,Inputs!$B$6:$D$6,0)))*INDEX(Inputs!$B$22:$D$22,1,MATCH(A397,Inputs!$B$6:$D$6,0))+MAX(MIN(S397,INDEX(Inputs!$B$21:$D$21,1,MATCH(A397,Inputs!$B$6:$D$6,0)))-INDEX(Inputs!$B$20:$D$20,1,MATCH(A397,Inputs!$B$6:$D$6,0)),0)*INDEX(Inputs!$B$23:$D$23,1,MATCH(A397,Inputs!$B$6:$D$6,0))+MAX(S397-INDEX(Inputs!$B$21:$D$21,1,MATCH(A397,Inputs!$B$6:$D$6,0)),0)*INDEX(Inputs!$B$24:$D$24,1,MATCH(A397,Inputs!$B$6:$D$6,0))</x:f>
        <x:v>10385.177</x:v>
      </x:c>
      <x:c r="U397" s="20" t="n">
        <x:f>IF(AND(A396=A397,D396=D397),T396,0)</x:f>
        <x:v>9771.6095</x:v>
      </x:c>
      <x:c r="V397" s="20" t="n">
        <x:f>T397-U397</x:f>
        <x:v>613.5674999999992</x:v>
      </x:c>
      <x:c r="W397" s="20" t="n">
        <x:f>R397+V397</x:f>
        <x:v>42928.5675</x:v>
      </x:c>
      <x:c r="X397" s="14" t="str">
        <x:f>IF(ABS(W397-SUM(M397:Q397)-V397)&lt;0.01,"OK","Check")</x:f>
        <x:v>OK</x:v>
      </x:c>
    </x:row>
    <x:row r="398">
      <x:c r="A398" s="14" t="n">
        <x:v>2026</x:v>
      </x:c>
      <x:c r="B398" s="14" t="str">
        <x:v>Q1</x:v>
      </x:c>
      <x:c r="C398" s="14" t="n">
        <x:v>1</x:v>
      </x:c>
      <x:c r="D398" s="14" t="n">
        <x:v>99</x:v>
      </x:c>
      <x:c r="E398" s="14" t="str">
        <x:f>INDEX(Roster!$B$6:$B$108,MATCH(D398,Roster!$A$6:$A$108,0))</x:f>
        <x:v>Associate Principal</x:v>
      </x:c>
      <x:c r="F398" s="14" t="str">
        <x:f>INDEX(Roster!$F$6:$F$108,MATCH(D398,Roster!$A$6:$A$108,0))</x:f>
        <x:v>Yes</x:v>
      </x:c>
      <x:c r="G398" s="14" t="n">
        <x:f>INDEX(Inputs!$B$7:$D$7,1,MATCH(A398,Inputs!$B$6:$D$6,0))</x:f>
        <x:v>13</x:v>
      </x:c>
      <x:c r="H398" s="14" t="n">
        <x:f>MIN(=INDEX(Inputs!$B$7:$D$7,1,MATCH(A398,Inputs!$B$6:$D$6,0)),MAX(0,INDEX(Inputs!$B$14:$D$14,1,MATCH(A398,Inputs!$B$6:$D$6,0))-(C398-1)*=INDEX(Inputs!$B$7:$D$7,1,MATCH(A398,Inputs!$B$6:$D$6,0))))</x:f>
        <x:v>13</x:v>
      </x:c>
      <x:c r="I398" s="20" t="n">
        <x:f>INDEX(Inputs!$B$8:$D$8,1,MATCH(A398,Inputs!$B$6:$D$6,0))</x:f>
        <x:v>2395</x:v>
      </x:c>
      <x:c r="J398" s="20" t="n">
        <x:f>INDEX(Roster!$C$6:$C$108,MATCH(D398,Roster!$A$6:$A$108,0))*(1+INDEX(Inputs!$B$9:$D$9,1,MATCH(A398,Inputs!$B$6:$D$6,0)))</x:f>
        <x:v>753.46</x:v>
      </x:c>
      <x:c r="K398" s="20" t="n">
        <x:f>IF(=INDEX(Roster!$F$6:$F$108,MATCH(D398,Roster!$A$6:$A$108,0))="Yes",0,=INDEX(Inputs!$B$8:$D$8,1,MATCH(A398,Inputs!$B$6:$D$6,0))*IF(=INDEX(Roster!$B$6:$B$108,MATCH(D398,Roster!$A$6:$A$108,0))="Principal",INDEX(Inputs!$B$10:$D$10,1,MATCH(A398,Inputs!$B$6:$D$6,0)),IF(=INDEX(Roster!$B$6:$B$108,MATCH(D398,Roster!$A$6:$A$108,0))="Associate Principal",INDEX(Inputs!$B$11:$D$11,1,MATCH(A398,Inputs!$B$6:$D$6,0)),IF(=INDEX(Roster!$B$6:$B$108,MATCH(D398,Roster!$A$6:$A$108,0))="Assistant Principal",INDEX(Inputs!$B$12:$D$12,1,MATCH(A398,Inputs!$B$6:$D$6,0)),0))))</x:f>
        <x:v>0</x:v>
      </x:c>
      <x:c r="L398" s="20" t="n">
        <x:f>IF(INDEX(Roster!$D$6:$D$108,MATCH(D398,Roster!$A$6:$A$108,0))&gt;=25,INDEX(Inputs!$B$19:$D$19,1,MATCH(A398,Inputs!$B$6:$D$6,0)),IF(INDEX(Roster!$D$6:$D$108,MATCH(D398,Roster!$A$6:$A$108,0))&gt;=20,INDEX(Inputs!$B$18:$D$18,1,MATCH(A398,Inputs!$B$6:$D$6,0)),IF(INDEX(Roster!$D$6:$D$108,MATCH(D398,Roster!$A$6:$A$108,0))&gt;=15,INDEX(Inputs!$B$17:$D$17,1,MATCH(A398,Inputs!$B$6:$D$6,0)),IF(INDEX(Roster!$D$6:$D$108,MATCH(D398,Roster!$A$6:$A$108,0))&gt;=10,INDEX(Inputs!$B$16:$D$16,1,MATCH(A398,Inputs!$B$6:$D$6,0)),IF(INDEX(Roster!$D$6:$D$108,MATCH(D398,Roster!$A$6:$A$108,0))&gt;=5,INDEX(Inputs!$B$15:$D$15,1,MATCH(A398,Inputs!$B$6:$D$6,0)),0)))))</x:f>
        <x:v>60</x:v>
      </x:c>
      <x:c r="M398" s="20" t="n">
        <x:f>G398*I398</x:f>
        <x:v>31135</x:v>
      </x:c>
      <x:c r="N398" s="20" t="n">
        <x:f>G398*J398</x:f>
        <x:v>9794.98</x:v>
      </x:c>
      <x:c r="O398" s="20" t="n">
        <x:f>G398*K398</x:f>
        <x:v>0</x:v>
      </x:c>
      <x:c r="P398" s="20" t="n">
        <x:f>G398*L398</x:f>
        <x:v>780</x:v>
      </x:c>
      <x:c r="Q398" s="20" t="n">
        <x:f>H398*INDEX(Inputs!$B$13:$D$13,1,MATCH(A398,Inputs!$B$6:$D$6,0))</x:f>
        <x:v>390</x:v>
      </x:c>
      <x:c r="R398" s="20" t="n">
        <x:f>SUM(M398:Q398)</x:f>
        <x:v>42099.979999999996</x:v>
      </x:c>
      <x:c r="S398" s="20" t="n">
        <x:f>IF(AND(A397=A398,D397=D398),S397+R398,R398)</x:f>
        <x:v>42099.979999999996</x:v>
      </x:c>
      <x:c r="T398" s="20" t="n">
        <x:f>MIN(S398,INDEX(Inputs!$B$20:$D$20,1,MATCH(A398,Inputs!$B$6:$D$6,0)))*INDEX(Inputs!$B$22:$D$22,1,MATCH(A398,Inputs!$B$6:$D$6,0))+MAX(MIN(S398,INDEX(Inputs!$B$21:$D$21,1,MATCH(A398,Inputs!$B$6:$D$6,0)))-INDEX(Inputs!$B$20:$D$20,1,MATCH(A398,Inputs!$B$6:$D$6,0)),0)*INDEX(Inputs!$B$23:$D$23,1,MATCH(A398,Inputs!$B$6:$D$6,0))+MAX(S398-INDEX(Inputs!$B$21:$D$21,1,MATCH(A398,Inputs!$B$6:$D$6,0)),0)*INDEX(Inputs!$B$24:$D$24,1,MATCH(A398,Inputs!$B$6:$D$6,0))</x:f>
        <x:v>3710.6484699999996</x:v>
      </x:c>
      <x:c r="U398" s="20" t="n">
        <x:f>IF(AND(A397=A398,D397=D398),T397,0)</x:f>
        <x:v>0</x:v>
      </x:c>
      <x:c r="V398" s="20" t="n">
        <x:f>T398-U398</x:f>
        <x:v>3710.6484699999996</x:v>
      </x:c>
      <x:c r="W398" s="20" t="n">
        <x:f>R398+V398</x:f>
        <x:v>45810.628469999996</x:v>
      </x:c>
      <x:c r="X398" s="14" t="str">
        <x:f>IF(ABS(W398-SUM(M398:Q398)-V398)&lt;0.01,"OK","Check")</x:f>
        <x:v>OK</x:v>
      </x:c>
    </x:row>
    <x:row r="399">
      <x:c r="A399" s="14" t="n">
        <x:v>2026</x:v>
      </x:c>
      <x:c r="B399" s="14" t="str">
        <x:v>Q2</x:v>
      </x:c>
      <x:c r="C399" s="14" t="n">
        <x:v>2</x:v>
      </x:c>
      <x:c r="D399" s="14" t="n">
        <x:v>99</x:v>
      </x:c>
      <x:c r="E399" s="14" t="str">
        <x:f>INDEX(Roster!$B$6:$B$108,MATCH(D399,Roster!$A$6:$A$108,0))</x:f>
        <x:v>Associate Principal</x:v>
      </x:c>
      <x:c r="F399" s="14" t="str">
        <x:f>INDEX(Roster!$F$6:$F$108,MATCH(D399,Roster!$A$6:$A$108,0))</x:f>
        <x:v>Yes</x:v>
      </x:c>
      <x:c r="G399" s="14" t="n">
        <x:f>INDEX(Inputs!$B$7:$D$7,1,MATCH(A399,Inputs!$B$6:$D$6,0))</x:f>
        <x:v>13</x:v>
      </x:c>
      <x:c r="H399" s="14" t="n">
        <x:f>MIN(=INDEX(Inputs!$B$7:$D$7,1,MATCH(A399,Inputs!$B$6:$D$6,0)),MAX(0,INDEX(Inputs!$B$14:$D$14,1,MATCH(A399,Inputs!$B$6:$D$6,0))-(C399-1)*=INDEX(Inputs!$B$7:$D$7,1,MATCH(A399,Inputs!$B$6:$D$6,0))))</x:f>
        <x:v>13</x:v>
      </x:c>
      <x:c r="I399" s="20" t="n">
        <x:f>INDEX(Inputs!$B$8:$D$8,1,MATCH(A399,Inputs!$B$6:$D$6,0))</x:f>
        <x:v>2395</x:v>
      </x:c>
      <x:c r="J399" s="20" t="n">
        <x:f>INDEX(Roster!$C$6:$C$108,MATCH(D399,Roster!$A$6:$A$108,0))*(1+INDEX(Inputs!$B$9:$D$9,1,MATCH(A399,Inputs!$B$6:$D$6,0)))</x:f>
        <x:v>753.46</x:v>
      </x:c>
      <x:c r="K399" s="20" t="n">
        <x:f>IF(=INDEX(Roster!$F$6:$F$108,MATCH(D399,Roster!$A$6:$A$108,0))="Yes",0,=INDEX(Inputs!$B$8:$D$8,1,MATCH(A399,Inputs!$B$6:$D$6,0))*IF(=INDEX(Roster!$B$6:$B$108,MATCH(D399,Roster!$A$6:$A$108,0))="Principal",INDEX(Inputs!$B$10:$D$10,1,MATCH(A399,Inputs!$B$6:$D$6,0)),IF(=INDEX(Roster!$B$6:$B$108,MATCH(D399,Roster!$A$6:$A$108,0))="Associate Principal",INDEX(Inputs!$B$11:$D$11,1,MATCH(A399,Inputs!$B$6:$D$6,0)),IF(=INDEX(Roster!$B$6:$B$108,MATCH(D399,Roster!$A$6:$A$108,0))="Assistant Principal",INDEX(Inputs!$B$12:$D$12,1,MATCH(A399,Inputs!$B$6:$D$6,0)),0))))</x:f>
        <x:v>0</x:v>
      </x:c>
      <x:c r="L399" s="20" t="n">
        <x:f>IF(INDEX(Roster!$D$6:$D$108,MATCH(D399,Roster!$A$6:$A$108,0))&gt;=25,INDEX(Inputs!$B$19:$D$19,1,MATCH(A399,Inputs!$B$6:$D$6,0)),IF(INDEX(Roster!$D$6:$D$108,MATCH(D399,Roster!$A$6:$A$108,0))&gt;=20,INDEX(Inputs!$B$18:$D$18,1,MATCH(A399,Inputs!$B$6:$D$6,0)),IF(INDEX(Roster!$D$6:$D$108,MATCH(D399,Roster!$A$6:$A$108,0))&gt;=15,INDEX(Inputs!$B$17:$D$17,1,MATCH(A399,Inputs!$B$6:$D$6,0)),IF(INDEX(Roster!$D$6:$D$108,MATCH(D399,Roster!$A$6:$A$108,0))&gt;=10,INDEX(Inputs!$B$16:$D$16,1,MATCH(A399,Inputs!$B$6:$D$6,0)),IF(INDEX(Roster!$D$6:$D$108,MATCH(D399,Roster!$A$6:$A$108,0))&gt;=5,INDEX(Inputs!$B$15:$D$15,1,MATCH(A399,Inputs!$B$6:$D$6,0)),0)))))</x:f>
        <x:v>60</x:v>
      </x:c>
      <x:c r="M399" s="20" t="n">
        <x:f>G399*I399</x:f>
        <x:v>31135</x:v>
      </x:c>
      <x:c r="N399" s="20" t="n">
        <x:f>G399*J399</x:f>
        <x:v>9794.98</x:v>
      </x:c>
      <x:c r="O399" s="20" t="n">
        <x:f>G399*K399</x:f>
        <x:v>0</x:v>
      </x:c>
      <x:c r="P399" s="20" t="n">
        <x:f>G399*L399</x:f>
        <x:v>780</x:v>
      </x:c>
      <x:c r="Q399" s="20" t="n">
        <x:f>H399*INDEX(Inputs!$B$13:$D$13,1,MATCH(A399,Inputs!$B$6:$D$6,0))</x:f>
        <x:v>390</x:v>
      </x:c>
      <x:c r="R399" s="20" t="n">
        <x:f>SUM(M399:Q399)</x:f>
        <x:v>42099.979999999996</x:v>
      </x:c>
      <x:c r="S399" s="20" t="n">
        <x:f>IF(AND(A398=A399,D398=D399),S398+R399,R399)</x:f>
        <x:v>84199.95999999999</x:v>
      </x:c>
      <x:c r="T399" s="20" t="n">
        <x:f>MIN(S399,INDEX(Inputs!$B$20:$D$20,1,MATCH(A399,Inputs!$B$6:$D$6,0)))*INDEX(Inputs!$B$22:$D$22,1,MATCH(A399,Inputs!$B$6:$D$6,0))+MAX(MIN(S399,INDEX(Inputs!$B$21:$D$21,1,MATCH(A399,Inputs!$B$6:$D$6,0)))-INDEX(Inputs!$B$20:$D$20,1,MATCH(A399,Inputs!$B$6:$D$6,0)),0)*INDEX(Inputs!$B$23:$D$23,1,MATCH(A399,Inputs!$B$6:$D$6,0))+MAX(S399-INDEX(Inputs!$B$21:$D$21,1,MATCH(A399,Inputs!$B$6:$D$6,0)),0)*INDEX(Inputs!$B$24:$D$24,1,MATCH(A399,Inputs!$B$6:$D$6,0))</x:f>
        <x:v>6931.296939999999</x:v>
      </x:c>
      <x:c r="U399" s="20" t="n">
        <x:f>IF(AND(A398=A399,D398=D399),T398,0)</x:f>
        <x:v>3710.6484699999996</x:v>
      </x:c>
      <x:c r="V399" s="20" t="n">
        <x:f>T399-U399</x:f>
        <x:v>3220.6484699999996</x:v>
      </x:c>
      <x:c r="W399" s="20" t="n">
        <x:f>R399+V399</x:f>
        <x:v>45320.628469999996</x:v>
      </x:c>
      <x:c r="X399" s="14" t="str">
        <x:f>IF(ABS(W399-SUM(M399:Q399)-V399)&lt;0.01,"OK","Check")</x:f>
        <x:v>OK</x:v>
      </x:c>
    </x:row>
    <x:row r="400">
      <x:c r="A400" s="14" t="n">
        <x:v>2026</x:v>
      </x:c>
      <x:c r="B400" s="14" t="str">
        <x:v>Q3</x:v>
      </x:c>
      <x:c r="C400" s="14" t="n">
        <x:v>3</x:v>
      </x:c>
      <x:c r="D400" s="14" t="n">
        <x:v>99</x:v>
      </x:c>
      <x:c r="E400" s="14" t="str">
        <x:f>INDEX(Roster!$B$6:$B$108,MATCH(D400,Roster!$A$6:$A$108,0))</x:f>
        <x:v>Associate Principal</x:v>
      </x:c>
      <x:c r="F400" s="14" t="str">
        <x:f>INDEX(Roster!$F$6:$F$108,MATCH(D400,Roster!$A$6:$A$108,0))</x:f>
        <x:v>Yes</x:v>
      </x:c>
      <x:c r="G400" s="14" t="n">
        <x:f>INDEX(Inputs!$B$7:$D$7,1,MATCH(A400,Inputs!$B$6:$D$6,0))</x:f>
        <x:v>13</x:v>
      </x:c>
      <x:c r="H400" s="14" t="n">
        <x:f>MIN(=INDEX(Inputs!$B$7:$D$7,1,MATCH(A400,Inputs!$B$6:$D$6,0)),MAX(0,INDEX(Inputs!$B$14:$D$14,1,MATCH(A400,Inputs!$B$6:$D$6,0))-(C400-1)*=INDEX(Inputs!$B$7:$D$7,1,MATCH(A400,Inputs!$B$6:$D$6,0))))</x:f>
        <x:v>13</x:v>
      </x:c>
      <x:c r="I400" s="20" t="n">
        <x:f>INDEX(Inputs!$B$8:$D$8,1,MATCH(A400,Inputs!$B$6:$D$6,0))</x:f>
        <x:v>2395</x:v>
      </x:c>
      <x:c r="J400" s="20" t="n">
        <x:f>INDEX(Roster!$C$6:$C$108,MATCH(D400,Roster!$A$6:$A$108,0))*(1+INDEX(Inputs!$B$9:$D$9,1,MATCH(A400,Inputs!$B$6:$D$6,0)))</x:f>
        <x:v>753.46</x:v>
      </x:c>
      <x:c r="K400" s="20" t="n">
        <x:f>IF(=INDEX(Roster!$F$6:$F$108,MATCH(D400,Roster!$A$6:$A$108,0))="Yes",0,=INDEX(Inputs!$B$8:$D$8,1,MATCH(A400,Inputs!$B$6:$D$6,0))*IF(=INDEX(Roster!$B$6:$B$108,MATCH(D400,Roster!$A$6:$A$108,0))="Principal",INDEX(Inputs!$B$10:$D$10,1,MATCH(A400,Inputs!$B$6:$D$6,0)),IF(=INDEX(Roster!$B$6:$B$108,MATCH(D400,Roster!$A$6:$A$108,0))="Associate Principal",INDEX(Inputs!$B$11:$D$11,1,MATCH(A400,Inputs!$B$6:$D$6,0)),IF(=INDEX(Roster!$B$6:$B$108,MATCH(D400,Roster!$A$6:$A$108,0))="Assistant Principal",INDEX(Inputs!$B$12:$D$12,1,MATCH(A400,Inputs!$B$6:$D$6,0)),0))))</x:f>
        <x:v>0</x:v>
      </x:c>
      <x:c r="L400" s="20" t="n">
        <x:f>IF(INDEX(Roster!$D$6:$D$108,MATCH(D400,Roster!$A$6:$A$108,0))&gt;=25,INDEX(Inputs!$B$19:$D$19,1,MATCH(A400,Inputs!$B$6:$D$6,0)),IF(INDEX(Roster!$D$6:$D$108,MATCH(D400,Roster!$A$6:$A$108,0))&gt;=20,INDEX(Inputs!$B$18:$D$18,1,MATCH(A400,Inputs!$B$6:$D$6,0)),IF(INDEX(Roster!$D$6:$D$108,MATCH(D400,Roster!$A$6:$A$108,0))&gt;=15,INDEX(Inputs!$B$17:$D$17,1,MATCH(A400,Inputs!$B$6:$D$6,0)),IF(INDEX(Roster!$D$6:$D$108,MATCH(D400,Roster!$A$6:$A$108,0))&gt;=10,INDEX(Inputs!$B$16:$D$16,1,MATCH(A400,Inputs!$B$6:$D$6,0)),IF(INDEX(Roster!$D$6:$D$108,MATCH(D400,Roster!$A$6:$A$108,0))&gt;=5,INDEX(Inputs!$B$15:$D$15,1,MATCH(A400,Inputs!$B$6:$D$6,0)),0)))))</x:f>
        <x:v>60</x:v>
      </x:c>
      <x:c r="M400" s="20" t="n">
        <x:f>G400*I400</x:f>
        <x:v>31135</x:v>
      </x:c>
      <x:c r="N400" s="20" t="n">
        <x:f>G400*J400</x:f>
        <x:v>9794.98</x:v>
      </x:c>
      <x:c r="O400" s="20" t="n">
        <x:f>G400*K400</x:f>
        <x:v>0</x:v>
      </x:c>
      <x:c r="P400" s="20" t="n">
        <x:f>G400*L400</x:f>
        <x:v>780</x:v>
      </x:c>
      <x:c r="Q400" s="20" t="n">
        <x:f>H400*INDEX(Inputs!$B$13:$D$13,1,MATCH(A400,Inputs!$B$6:$D$6,0))</x:f>
        <x:v>390</x:v>
      </x:c>
      <x:c r="R400" s="20" t="n">
        <x:f>SUM(M400:Q400)</x:f>
        <x:v>42099.979999999996</x:v>
      </x:c>
      <x:c r="S400" s="20" t="n">
        <x:f>IF(AND(A399=A400,D399=D400),S399+R400,R400)</x:f>
        <x:v>126299.93999999999</x:v>
      </x:c>
      <x:c r="T400" s="20" t="n">
        <x:f>MIN(S400,INDEX(Inputs!$B$20:$D$20,1,MATCH(A400,Inputs!$B$6:$D$6,0)))*INDEX(Inputs!$B$22:$D$22,1,MATCH(A400,Inputs!$B$6:$D$6,0))+MAX(MIN(S400,INDEX(Inputs!$B$21:$D$21,1,MATCH(A400,Inputs!$B$6:$D$6,0)))-INDEX(Inputs!$B$20:$D$20,1,MATCH(A400,Inputs!$B$6:$D$6,0)),0)*INDEX(Inputs!$B$23:$D$23,1,MATCH(A400,Inputs!$B$6:$D$6,0))+MAX(S400-INDEX(Inputs!$B$21:$D$21,1,MATCH(A400,Inputs!$B$6:$D$6,0)),0)*INDEX(Inputs!$B$24:$D$24,1,MATCH(A400,Inputs!$B$6:$D$6,0))</x:f>
        <x:v>9745.29113</x:v>
      </x:c>
      <x:c r="U400" s="20" t="n">
        <x:f>IF(AND(A399=A400,D399=D400),T399,0)</x:f>
        <x:v>6931.296939999999</x:v>
      </x:c>
      <x:c r="V400" s="20" t="n">
        <x:f>T400-U400</x:f>
        <x:v>2813.9941900000003</x:v>
      </x:c>
      <x:c r="W400" s="20" t="n">
        <x:f>R400+V400</x:f>
        <x:v>44913.97418999999</x:v>
      </x:c>
      <x:c r="X400" s="14" t="str">
        <x:f>IF(ABS(W400-SUM(M400:Q400)-V400)&lt;0.01,"OK","Check")</x:f>
        <x:v>OK</x:v>
      </x:c>
    </x:row>
    <x:row r="401">
      <x:c r="A401" s="14" t="n">
        <x:v>2026</x:v>
      </x:c>
      <x:c r="B401" s="14" t="str">
        <x:v>Q4</x:v>
      </x:c>
      <x:c r="C401" s="14" t="n">
        <x:v>4</x:v>
      </x:c>
      <x:c r="D401" s="14" t="n">
        <x:v>99</x:v>
      </x:c>
      <x:c r="E401" s="14" t="str">
        <x:f>INDEX(Roster!$B$6:$B$108,MATCH(D401,Roster!$A$6:$A$108,0))</x:f>
        <x:v>Associate Principal</x:v>
      </x:c>
      <x:c r="F401" s="14" t="str">
        <x:f>INDEX(Roster!$F$6:$F$108,MATCH(D401,Roster!$A$6:$A$108,0))</x:f>
        <x:v>Yes</x:v>
      </x:c>
      <x:c r="G401" s="14" t="n">
        <x:f>INDEX(Inputs!$B$7:$D$7,1,MATCH(A401,Inputs!$B$6:$D$6,0))</x:f>
        <x:v>13</x:v>
      </x:c>
      <x:c r="H401" s="14" t="n">
        <x:f>MIN(=INDEX(Inputs!$B$7:$D$7,1,MATCH(A401,Inputs!$B$6:$D$6,0)),MAX(0,INDEX(Inputs!$B$14:$D$14,1,MATCH(A401,Inputs!$B$6:$D$6,0))-(C401-1)*=INDEX(Inputs!$B$7:$D$7,1,MATCH(A401,Inputs!$B$6:$D$6,0))))</x:f>
        <x:v>0</x:v>
      </x:c>
      <x:c r="I401" s="20" t="n">
        <x:f>INDEX(Inputs!$B$8:$D$8,1,MATCH(A401,Inputs!$B$6:$D$6,0))</x:f>
        <x:v>2395</x:v>
      </x:c>
      <x:c r="J401" s="20" t="n">
        <x:f>INDEX(Roster!$C$6:$C$108,MATCH(D401,Roster!$A$6:$A$108,0))*(1+INDEX(Inputs!$B$9:$D$9,1,MATCH(A401,Inputs!$B$6:$D$6,0)))</x:f>
        <x:v>753.46</x:v>
      </x:c>
      <x:c r="K401" s="20" t="n">
        <x:f>IF(=INDEX(Roster!$F$6:$F$108,MATCH(D401,Roster!$A$6:$A$108,0))="Yes",0,=INDEX(Inputs!$B$8:$D$8,1,MATCH(A401,Inputs!$B$6:$D$6,0))*IF(=INDEX(Roster!$B$6:$B$108,MATCH(D401,Roster!$A$6:$A$108,0))="Principal",INDEX(Inputs!$B$10:$D$10,1,MATCH(A401,Inputs!$B$6:$D$6,0)),IF(=INDEX(Roster!$B$6:$B$108,MATCH(D401,Roster!$A$6:$A$108,0))="Associate Principal",INDEX(Inputs!$B$11:$D$11,1,MATCH(A401,Inputs!$B$6:$D$6,0)),IF(=INDEX(Roster!$B$6:$B$108,MATCH(D401,Roster!$A$6:$A$108,0))="Assistant Principal",INDEX(Inputs!$B$12:$D$12,1,MATCH(A401,Inputs!$B$6:$D$6,0)),0))))</x:f>
        <x:v>0</x:v>
      </x:c>
      <x:c r="L401" s="20" t="n">
        <x:f>IF(INDEX(Roster!$D$6:$D$108,MATCH(D401,Roster!$A$6:$A$108,0))&gt;=25,INDEX(Inputs!$B$19:$D$19,1,MATCH(A401,Inputs!$B$6:$D$6,0)),IF(INDEX(Roster!$D$6:$D$108,MATCH(D401,Roster!$A$6:$A$108,0))&gt;=20,INDEX(Inputs!$B$18:$D$18,1,MATCH(A401,Inputs!$B$6:$D$6,0)),IF(INDEX(Roster!$D$6:$D$108,MATCH(D401,Roster!$A$6:$A$108,0))&gt;=15,INDEX(Inputs!$B$17:$D$17,1,MATCH(A401,Inputs!$B$6:$D$6,0)),IF(INDEX(Roster!$D$6:$D$108,MATCH(D401,Roster!$A$6:$A$108,0))&gt;=10,INDEX(Inputs!$B$16:$D$16,1,MATCH(A401,Inputs!$B$6:$D$6,0)),IF(INDEX(Roster!$D$6:$D$108,MATCH(D401,Roster!$A$6:$A$108,0))&gt;=5,INDEX(Inputs!$B$15:$D$15,1,MATCH(A401,Inputs!$B$6:$D$6,0)),0)))))</x:f>
        <x:v>60</x:v>
      </x:c>
      <x:c r="M401" s="20" t="n">
        <x:f>G401*I401</x:f>
        <x:v>31135</x:v>
      </x:c>
      <x:c r="N401" s="20" t="n">
        <x:f>G401*J401</x:f>
        <x:v>9794.98</x:v>
      </x:c>
      <x:c r="O401" s="20" t="n">
        <x:f>G401*K401</x:f>
        <x:v>0</x:v>
      </x:c>
      <x:c r="P401" s="20" t="n">
        <x:f>G401*L401</x:f>
        <x:v>780</x:v>
      </x:c>
      <x:c r="Q401" s="20" t="n">
        <x:f>H401*INDEX(Inputs!$B$13:$D$13,1,MATCH(A401,Inputs!$B$6:$D$6,0))</x:f>
        <x:v>0</x:v>
      </x:c>
      <x:c r="R401" s="20" t="n">
        <x:f>SUM(M401:Q401)</x:f>
        <x:v>41709.979999999996</x:v>
      </x:c>
      <x:c r="S401" s="20" t="n">
        <x:f>IF(AND(A400=A401,D400=D401),S400+R401,R401)</x:f>
        <x:v>168009.91999999998</x:v>
      </x:c>
      <x:c r="T401" s="20" t="n">
        <x:f>MIN(S401,INDEX(Inputs!$B$20:$D$20,1,MATCH(A401,Inputs!$B$6:$D$6,0)))*INDEX(Inputs!$B$22:$D$22,1,MATCH(A401,Inputs!$B$6:$D$6,0))+MAX(MIN(S401,INDEX(Inputs!$B$21:$D$21,1,MATCH(A401,Inputs!$B$6:$D$6,0)))-INDEX(Inputs!$B$20:$D$20,1,MATCH(A401,Inputs!$B$6:$D$6,0)),0)*INDEX(Inputs!$B$23:$D$23,1,MATCH(A401,Inputs!$B$6:$D$6,0))+MAX(S401-INDEX(Inputs!$B$21:$D$21,1,MATCH(A401,Inputs!$B$6:$D$6,0)),0)*INDEX(Inputs!$B$24:$D$24,1,MATCH(A401,Inputs!$B$6:$D$6,0))</x:f>
        <x:v>10350.08584</x:v>
      </x:c>
      <x:c r="U401" s="20" t="n">
        <x:f>IF(AND(A400=A401,D400=D401),T400,0)</x:f>
        <x:v>9745.29113</x:v>
      </x:c>
      <x:c r="V401" s="20" t="n">
        <x:f>T401-U401</x:f>
        <x:v>604.7947100000001</x:v>
      </x:c>
      <x:c r="W401" s="20" t="n">
        <x:f>R401+V401</x:f>
        <x:v>42314.77471</x:v>
      </x:c>
      <x:c r="X401" s="14" t="str">
        <x:f>IF(ABS(W401-SUM(M401:Q401)-V401)&lt;0.01,"OK","Check")</x:f>
        <x:v>OK</x:v>
      </x:c>
    </x:row>
    <x:row r="402">
      <x:c r="A402" s="14" t="n">
        <x:v>2026</x:v>
      </x:c>
      <x:c r="B402" s="14" t="str">
        <x:v>Q1</x:v>
      </x:c>
      <x:c r="C402" s="14" t="n">
        <x:v>1</x:v>
      </x:c>
      <x:c r="D402" s="14" t="n">
        <x:v>100</x:v>
      </x:c>
      <x:c r="E402" s="14" t="str">
        <x:f>INDEX(Roster!$B$6:$B$108,MATCH(D402,Roster!$A$6:$A$108,0))</x:f>
        <x:v>Associate Principal</x:v>
      </x:c>
      <x:c r="F402" s="14" t="str">
        <x:f>INDEX(Roster!$F$6:$F$108,MATCH(D402,Roster!$A$6:$A$108,0))</x:f>
        <x:v>Yes</x:v>
      </x:c>
      <x:c r="G402" s="14" t="n">
        <x:f>INDEX(Inputs!$B$7:$D$7,1,MATCH(A402,Inputs!$B$6:$D$6,0))</x:f>
        <x:v>13</x:v>
      </x:c>
      <x:c r="H402" s="14" t="n">
        <x:f>MIN(=INDEX(Inputs!$B$7:$D$7,1,MATCH(A402,Inputs!$B$6:$D$6,0)),MAX(0,INDEX(Inputs!$B$14:$D$14,1,MATCH(A402,Inputs!$B$6:$D$6,0))-(C402-1)*=INDEX(Inputs!$B$7:$D$7,1,MATCH(A402,Inputs!$B$6:$D$6,0))))</x:f>
        <x:v>13</x:v>
      </x:c>
      <x:c r="I402" s="20" t="n">
        <x:f>INDEX(Inputs!$B$8:$D$8,1,MATCH(A402,Inputs!$B$6:$D$6,0))</x:f>
        <x:v>2395</x:v>
      </x:c>
      <x:c r="J402" s="20" t="n">
        <x:f>INDEX(Roster!$C$6:$C$108,MATCH(D402,Roster!$A$6:$A$108,0))*(1+INDEX(Inputs!$B$9:$D$9,1,MATCH(A402,Inputs!$B$6:$D$6,0)))</x:f>
        <x:v>600</x:v>
      </x:c>
      <x:c r="K402" s="20" t="n">
        <x:f>IF(=INDEX(Roster!$F$6:$F$108,MATCH(D402,Roster!$A$6:$A$108,0))="Yes",0,=INDEX(Inputs!$B$8:$D$8,1,MATCH(A402,Inputs!$B$6:$D$6,0))*IF(=INDEX(Roster!$B$6:$B$108,MATCH(D402,Roster!$A$6:$A$108,0))="Principal",INDEX(Inputs!$B$10:$D$10,1,MATCH(A402,Inputs!$B$6:$D$6,0)),IF(=INDEX(Roster!$B$6:$B$108,MATCH(D402,Roster!$A$6:$A$108,0))="Associate Principal",INDEX(Inputs!$B$11:$D$11,1,MATCH(A402,Inputs!$B$6:$D$6,0)),IF(=INDEX(Roster!$B$6:$B$108,MATCH(D402,Roster!$A$6:$A$108,0))="Assistant Principal",INDEX(Inputs!$B$12:$D$12,1,MATCH(A402,Inputs!$B$6:$D$6,0)),0))))</x:f>
        <x:v>0</x:v>
      </x:c>
      <x:c r="L402" s="20" t="n">
        <x:f>IF(INDEX(Roster!$D$6:$D$108,MATCH(D402,Roster!$A$6:$A$108,0))&gt;=25,INDEX(Inputs!$B$19:$D$19,1,MATCH(A402,Inputs!$B$6:$D$6,0)),IF(INDEX(Roster!$D$6:$D$108,MATCH(D402,Roster!$A$6:$A$108,0))&gt;=20,INDEX(Inputs!$B$18:$D$18,1,MATCH(A402,Inputs!$B$6:$D$6,0)),IF(INDEX(Roster!$D$6:$D$108,MATCH(D402,Roster!$A$6:$A$108,0))&gt;=15,INDEX(Inputs!$B$17:$D$17,1,MATCH(A402,Inputs!$B$6:$D$6,0)),IF(INDEX(Roster!$D$6:$D$108,MATCH(D402,Roster!$A$6:$A$108,0))&gt;=10,INDEX(Inputs!$B$16:$D$16,1,MATCH(A402,Inputs!$B$6:$D$6,0)),IF(INDEX(Roster!$D$6:$D$108,MATCH(D402,Roster!$A$6:$A$108,0))&gt;=5,INDEX(Inputs!$B$15:$D$15,1,MATCH(A402,Inputs!$B$6:$D$6,0)),0)))))</x:f>
        <x:v>50</x:v>
      </x:c>
      <x:c r="M402" s="20" t="n">
        <x:f>G402*I402</x:f>
        <x:v>31135</x:v>
      </x:c>
      <x:c r="N402" s="20" t="n">
        <x:f>G402*J402</x:f>
        <x:v>7800</x:v>
      </x:c>
      <x:c r="O402" s="20" t="n">
        <x:f>G402*K402</x:f>
        <x:v>0</x:v>
      </x:c>
      <x:c r="P402" s="20" t="n">
        <x:f>G402*L402</x:f>
        <x:v>650</x:v>
      </x:c>
      <x:c r="Q402" s="20" t="n">
        <x:f>H402*INDEX(Inputs!$B$13:$D$13,1,MATCH(A402,Inputs!$B$6:$D$6,0))</x:f>
        <x:v>390</x:v>
      </x:c>
      <x:c r="R402" s="20" t="n">
        <x:f>SUM(M402:Q402)</x:f>
        <x:v>39975</x:v>
      </x:c>
      <x:c r="S402" s="20" t="n">
        <x:f>IF(AND(A401=A402,D401=D402),S401+R402,R402)</x:f>
        <x:v>39975</x:v>
      </x:c>
      <x:c r="T402" s="20" t="n">
        <x:f>MIN(S402,INDEX(Inputs!$B$20:$D$20,1,MATCH(A402,Inputs!$B$6:$D$6,0)))*INDEX(Inputs!$B$22:$D$22,1,MATCH(A402,Inputs!$B$6:$D$6,0))+MAX(MIN(S402,INDEX(Inputs!$B$21:$D$21,1,MATCH(A402,Inputs!$B$6:$D$6,0)))-INDEX(Inputs!$B$20:$D$20,1,MATCH(A402,Inputs!$B$6:$D$6,0)),0)*INDEX(Inputs!$B$23:$D$23,1,MATCH(A402,Inputs!$B$6:$D$6,0))+MAX(S402-INDEX(Inputs!$B$21:$D$21,1,MATCH(A402,Inputs!$B$6:$D$6,0)),0)*INDEX(Inputs!$B$24:$D$24,1,MATCH(A402,Inputs!$B$6:$D$6,0))</x:f>
        <x:v>3548.0875</x:v>
      </x:c>
      <x:c r="U402" s="20" t="n">
        <x:f>IF(AND(A401=A402,D401=D402),T401,0)</x:f>
        <x:v>0</x:v>
      </x:c>
      <x:c r="V402" s="20" t="n">
        <x:f>T402-U402</x:f>
        <x:v>3548.0875</x:v>
      </x:c>
      <x:c r="W402" s="20" t="n">
        <x:f>R402+V402</x:f>
        <x:v>43523.0875</x:v>
      </x:c>
      <x:c r="X402" s="14" t="str">
        <x:f>IF(ABS(W402-SUM(M402:Q402)-V402)&lt;0.01,"OK","Check")</x:f>
        <x:v>OK</x:v>
      </x:c>
    </x:row>
    <x:row r="403">
      <x:c r="A403" s="14" t="n">
        <x:v>2026</x:v>
      </x:c>
      <x:c r="B403" s="14" t="str">
        <x:v>Q2</x:v>
      </x:c>
      <x:c r="C403" s="14" t="n">
        <x:v>2</x:v>
      </x:c>
      <x:c r="D403" s="14" t="n">
        <x:v>100</x:v>
      </x:c>
      <x:c r="E403" s="14" t="str">
        <x:f>INDEX(Roster!$B$6:$B$108,MATCH(D403,Roster!$A$6:$A$108,0))</x:f>
        <x:v>Associate Principal</x:v>
      </x:c>
      <x:c r="F403" s="14" t="str">
        <x:f>INDEX(Roster!$F$6:$F$108,MATCH(D403,Roster!$A$6:$A$108,0))</x:f>
        <x:v>Yes</x:v>
      </x:c>
      <x:c r="G403" s="14" t="n">
        <x:f>INDEX(Inputs!$B$7:$D$7,1,MATCH(A403,Inputs!$B$6:$D$6,0))</x:f>
        <x:v>13</x:v>
      </x:c>
      <x:c r="H403" s="14" t="n">
        <x:f>MIN(=INDEX(Inputs!$B$7:$D$7,1,MATCH(A403,Inputs!$B$6:$D$6,0)),MAX(0,INDEX(Inputs!$B$14:$D$14,1,MATCH(A403,Inputs!$B$6:$D$6,0))-(C403-1)*=INDEX(Inputs!$B$7:$D$7,1,MATCH(A403,Inputs!$B$6:$D$6,0))))</x:f>
        <x:v>13</x:v>
      </x:c>
      <x:c r="I403" s="20" t="n">
        <x:f>INDEX(Inputs!$B$8:$D$8,1,MATCH(A403,Inputs!$B$6:$D$6,0))</x:f>
        <x:v>2395</x:v>
      </x:c>
      <x:c r="J403" s="20" t="n">
        <x:f>INDEX(Roster!$C$6:$C$108,MATCH(D403,Roster!$A$6:$A$108,0))*(1+INDEX(Inputs!$B$9:$D$9,1,MATCH(A403,Inputs!$B$6:$D$6,0)))</x:f>
        <x:v>600</x:v>
      </x:c>
      <x:c r="K403" s="20" t="n">
        <x:f>IF(=INDEX(Roster!$F$6:$F$108,MATCH(D403,Roster!$A$6:$A$108,0))="Yes",0,=INDEX(Inputs!$B$8:$D$8,1,MATCH(A403,Inputs!$B$6:$D$6,0))*IF(=INDEX(Roster!$B$6:$B$108,MATCH(D403,Roster!$A$6:$A$108,0))="Principal",INDEX(Inputs!$B$10:$D$10,1,MATCH(A403,Inputs!$B$6:$D$6,0)),IF(=INDEX(Roster!$B$6:$B$108,MATCH(D403,Roster!$A$6:$A$108,0))="Associate Principal",INDEX(Inputs!$B$11:$D$11,1,MATCH(A403,Inputs!$B$6:$D$6,0)),IF(=INDEX(Roster!$B$6:$B$108,MATCH(D403,Roster!$A$6:$A$108,0))="Assistant Principal",INDEX(Inputs!$B$12:$D$12,1,MATCH(A403,Inputs!$B$6:$D$6,0)),0))))</x:f>
        <x:v>0</x:v>
      </x:c>
      <x:c r="L403" s="20" t="n">
        <x:f>IF(INDEX(Roster!$D$6:$D$108,MATCH(D403,Roster!$A$6:$A$108,0))&gt;=25,INDEX(Inputs!$B$19:$D$19,1,MATCH(A403,Inputs!$B$6:$D$6,0)),IF(INDEX(Roster!$D$6:$D$108,MATCH(D403,Roster!$A$6:$A$108,0))&gt;=20,INDEX(Inputs!$B$18:$D$18,1,MATCH(A403,Inputs!$B$6:$D$6,0)),IF(INDEX(Roster!$D$6:$D$108,MATCH(D403,Roster!$A$6:$A$108,0))&gt;=15,INDEX(Inputs!$B$17:$D$17,1,MATCH(A403,Inputs!$B$6:$D$6,0)),IF(INDEX(Roster!$D$6:$D$108,MATCH(D403,Roster!$A$6:$A$108,0))&gt;=10,INDEX(Inputs!$B$16:$D$16,1,MATCH(A403,Inputs!$B$6:$D$6,0)),IF(INDEX(Roster!$D$6:$D$108,MATCH(D403,Roster!$A$6:$A$108,0))&gt;=5,INDEX(Inputs!$B$15:$D$15,1,MATCH(A403,Inputs!$B$6:$D$6,0)),0)))))</x:f>
        <x:v>50</x:v>
      </x:c>
      <x:c r="M403" s="20" t="n">
        <x:f>G403*I403</x:f>
        <x:v>31135</x:v>
      </x:c>
      <x:c r="N403" s="20" t="n">
        <x:f>G403*J403</x:f>
        <x:v>7800</x:v>
      </x:c>
      <x:c r="O403" s="20" t="n">
        <x:f>G403*K403</x:f>
        <x:v>0</x:v>
      </x:c>
      <x:c r="P403" s="20" t="n">
        <x:f>G403*L403</x:f>
        <x:v>650</x:v>
      </x:c>
      <x:c r="Q403" s="20" t="n">
        <x:f>H403*INDEX(Inputs!$B$13:$D$13,1,MATCH(A403,Inputs!$B$6:$D$6,0))</x:f>
        <x:v>390</x:v>
      </x:c>
      <x:c r="R403" s="20" t="n">
        <x:f>SUM(M403:Q403)</x:f>
        <x:v>39975</x:v>
      </x:c>
      <x:c r="S403" s="20" t="n">
        <x:f>IF(AND(A402=A403,D402=D403),S402+R403,R403)</x:f>
        <x:v>79950</x:v>
      </x:c>
      <x:c r="T403" s="20" t="n">
        <x:f>MIN(S403,INDEX(Inputs!$B$20:$D$20,1,MATCH(A403,Inputs!$B$6:$D$6,0)))*INDEX(Inputs!$B$22:$D$22,1,MATCH(A403,Inputs!$B$6:$D$6,0))+MAX(MIN(S403,INDEX(Inputs!$B$21:$D$21,1,MATCH(A403,Inputs!$B$6:$D$6,0)))-INDEX(Inputs!$B$20:$D$20,1,MATCH(A403,Inputs!$B$6:$D$6,0)),0)*INDEX(Inputs!$B$23:$D$23,1,MATCH(A403,Inputs!$B$6:$D$6,0))+MAX(S403-INDEX(Inputs!$B$21:$D$21,1,MATCH(A403,Inputs!$B$6:$D$6,0)),0)*INDEX(Inputs!$B$24:$D$24,1,MATCH(A403,Inputs!$B$6:$D$6,0))</x:f>
        <x:v>6606.175</x:v>
      </x:c>
      <x:c r="U403" s="20" t="n">
        <x:f>IF(AND(A402=A403,D402=D403),T402,0)</x:f>
        <x:v>3548.0875</x:v>
      </x:c>
      <x:c r="V403" s="20" t="n">
        <x:f>T403-U403</x:f>
        <x:v>3058.0875</x:v>
      </x:c>
      <x:c r="W403" s="20" t="n">
        <x:f>R403+V403</x:f>
        <x:v>43033.0875</x:v>
      </x:c>
      <x:c r="X403" s="14" t="str">
        <x:f>IF(ABS(W403-SUM(M403:Q403)-V403)&lt;0.01,"OK","Check")</x:f>
        <x:v>OK</x:v>
      </x:c>
    </x:row>
    <x:row r="404">
      <x:c r="A404" s="14" t="n">
        <x:v>2026</x:v>
      </x:c>
      <x:c r="B404" s="14" t="str">
        <x:v>Q3</x:v>
      </x:c>
      <x:c r="C404" s="14" t="n">
        <x:v>3</x:v>
      </x:c>
      <x:c r="D404" s="14" t="n">
        <x:v>100</x:v>
      </x:c>
      <x:c r="E404" s="14" t="str">
        <x:f>INDEX(Roster!$B$6:$B$108,MATCH(D404,Roster!$A$6:$A$108,0))</x:f>
        <x:v>Associate Principal</x:v>
      </x:c>
      <x:c r="F404" s="14" t="str">
        <x:f>INDEX(Roster!$F$6:$F$108,MATCH(D404,Roster!$A$6:$A$108,0))</x:f>
        <x:v>Yes</x:v>
      </x:c>
      <x:c r="G404" s="14" t="n">
        <x:f>INDEX(Inputs!$B$7:$D$7,1,MATCH(A404,Inputs!$B$6:$D$6,0))</x:f>
        <x:v>13</x:v>
      </x:c>
      <x:c r="H404" s="14" t="n">
        <x:f>MIN(=INDEX(Inputs!$B$7:$D$7,1,MATCH(A404,Inputs!$B$6:$D$6,0)),MAX(0,INDEX(Inputs!$B$14:$D$14,1,MATCH(A404,Inputs!$B$6:$D$6,0))-(C404-1)*=INDEX(Inputs!$B$7:$D$7,1,MATCH(A404,Inputs!$B$6:$D$6,0))))</x:f>
        <x:v>13</x:v>
      </x:c>
      <x:c r="I404" s="20" t="n">
        <x:f>INDEX(Inputs!$B$8:$D$8,1,MATCH(A404,Inputs!$B$6:$D$6,0))</x:f>
        <x:v>2395</x:v>
      </x:c>
      <x:c r="J404" s="20" t="n">
        <x:f>INDEX(Roster!$C$6:$C$108,MATCH(D404,Roster!$A$6:$A$108,0))*(1+INDEX(Inputs!$B$9:$D$9,1,MATCH(A404,Inputs!$B$6:$D$6,0)))</x:f>
        <x:v>600</x:v>
      </x:c>
      <x:c r="K404" s="20" t="n">
        <x:f>IF(=INDEX(Roster!$F$6:$F$108,MATCH(D404,Roster!$A$6:$A$108,0))="Yes",0,=INDEX(Inputs!$B$8:$D$8,1,MATCH(A404,Inputs!$B$6:$D$6,0))*IF(=INDEX(Roster!$B$6:$B$108,MATCH(D404,Roster!$A$6:$A$108,0))="Principal",INDEX(Inputs!$B$10:$D$10,1,MATCH(A404,Inputs!$B$6:$D$6,0)),IF(=INDEX(Roster!$B$6:$B$108,MATCH(D404,Roster!$A$6:$A$108,0))="Associate Principal",INDEX(Inputs!$B$11:$D$11,1,MATCH(A404,Inputs!$B$6:$D$6,0)),IF(=INDEX(Roster!$B$6:$B$108,MATCH(D404,Roster!$A$6:$A$108,0))="Assistant Principal",INDEX(Inputs!$B$12:$D$12,1,MATCH(A404,Inputs!$B$6:$D$6,0)),0))))</x:f>
        <x:v>0</x:v>
      </x:c>
      <x:c r="L404" s="20" t="n">
        <x:f>IF(INDEX(Roster!$D$6:$D$108,MATCH(D404,Roster!$A$6:$A$108,0))&gt;=25,INDEX(Inputs!$B$19:$D$19,1,MATCH(A404,Inputs!$B$6:$D$6,0)),IF(INDEX(Roster!$D$6:$D$108,MATCH(D404,Roster!$A$6:$A$108,0))&gt;=20,INDEX(Inputs!$B$18:$D$18,1,MATCH(A404,Inputs!$B$6:$D$6,0)),IF(INDEX(Roster!$D$6:$D$108,MATCH(D404,Roster!$A$6:$A$108,0))&gt;=15,INDEX(Inputs!$B$17:$D$17,1,MATCH(A404,Inputs!$B$6:$D$6,0)),IF(INDEX(Roster!$D$6:$D$108,MATCH(D404,Roster!$A$6:$A$108,0))&gt;=10,INDEX(Inputs!$B$16:$D$16,1,MATCH(A404,Inputs!$B$6:$D$6,0)),IF(INDEX(Roster!$D$6:$D$108,MATCH(D404,Roster!$A$6:$A$108,0))&gt;=5,INDEX(Inputs!$B$15:$D$15,1,MATCH(A404,Inputs!$B$6:$D$6,0)),0)))))</x:f>
        <x:v>50</x:v>
      </x:c>
      <x:c r="M404" s="20" t="n">
        <x:f>G404*I404</x:f>
        <x:v>31135</x:v>
      </x:c>
      <x:c r="N404" s="20" t="n">
        <x:f>G404*J404</x:f>
        <x:v>7800</x:v>
      </x:c>
      <x:c r="O404" s="20" t="n">
        <x:f>G404*K404</x:f>
        <x:v>0</x:v>
      </x:c>
      <x:c r="P404" s="20" t="n">
        <x:f>G404*L404</x:f>
        <x:v>650</x:v>
      </x:c>
      <x:c r="Q404" s="20" t="n">
        <x:f>H404*INDEX(Inputs!$B$13:$D$13,1,MATCH(A404,Inputs!$B$6:$D$6,0))</x:f>
        <x:v>390</x:v>
      </x:c>
      <x:c r="R404" s="20" t="n">
        <x:f>SUM(M404:Q404)</x:f>
        <x:v>39975</x:v>
      </x:c>
      <x:c r="S404" s="20" t="n">
        <x:f>IF(AND(A403=A404,D403=D404),S403+R404,R404)</x:f>
        <x:v>119925</x:v>
      </x:c>
      <x:c r="T404" s="20" t="n">
        <x:f>MIN(S404,INDEX(Inputs!$B$20:$D$20,1,MATCH(A404,Inputs!$B$6:$D$6,0)))*INDEX(Inputs!$B$22:$D$22,1,MATCH(A404,Inputs!$B$6:$D$6,0))+MAX(MIN(S404,INDEX(Inputs!$B$21:$D$21,1,MATCH(A404,Inputs!$B$6:$D$6,0)))-INDEX(Inputs!$B$20:$D$20,1,MATCH(A404,Inputs!$B$6:$D$6,0)),0)*INDEX(Inputs!$B$23:$D$23,1,MATCH(A404,Inputs!$B$6:$D$6,0))+MAX(S404-INDEX(Inputs!$B$21:$D$21,1,MATCH(A404,Inputs!$B$6:$D$6,0)),0)*INDEX(Inputs!$B$24:$D$24,1,MATCH(A404,Inputs!$B$6:$D$6,0))</x:f>
        <x:v>9652.8545</x:v>
      </x:c>
      <x:c r="U404" s="20" t="n">
        <x:f>IF(AND(A403=A404,D403=D404),T403,0)</x:f>
        <x:v>6606.175</x:v>
      </x:c>
      <x:c r="V404" s="20" t="n">
        <x:f>T404-U404</x:f>
        <x:v>3046.6794999999993</x:v>
      </x:c>
      <x:c r="W404" s="20" t="n">
        <x:f>R404+V404</x:f>
        <x:v>43021.6795</x:v>
      </x:c>
      <x:c r="X404" s="14" t="str">
        <x:f>IF(ABS(W404-SUM(M404:Q404)-V404)&lt;0.01,"OK","Check")</x:f>
        <x:v>OK</x:v>
      </x:c>
    </x:row>
    <x:row r="405">
      <x:c r="A405" s="14" t="n">
        <x:v>2026</x:v>
      </x:c>
      <x:c r="B405" s="14" t="str">
        <x:v>Q4</x:v>
      </x:c>
      <x:c r="C405" s="14" t="n">
        <x:v>4</x:v>
      </x:c>
      <x:c r="D405" s="14" t="n">
        <x:v>100</x:v>
      </x:c>
      <x:c r="E405" s="14" t="str">
        <x:f>INDEX(Roster!$B$6:$B$108,MATCH(D405,Roster!$A$6:$A$108,0))</x:f>
        <x:v>Associate Principal</x:v>
      </x:c>
      <x:c r="F405" s="14" t="str">
        <x:f>INDEX(Roster!$F$6:$F$108,MATCH(D405,Roster!$A$6:$A$108,0))</x:f>
        <x:v>Yes</x:v>
      </x:c>
      <x:c r="G405" s="14" t="n">
        <x:f>INDEX(Inputs!$B$7:$D$7,1,MATCH(A405,Inputs!$B$6:$D$6,0))</x:f>
        <x:v>13</x:v>
      </x:c>
      <x:c r="H405" s="14" t="n">
        <x:f>MIN(=INDEX(Inputs!$B$7:$D$7,1,MATCH(A405,Inputs!$B$6:$D$6,0)),MAX(0,INDEX(Inputs!$B$14:$D$14,1,MATCH(A405,Inputs!$B$6:$D$6,0))-(C405-1)*=INDEX(Inputs!$B$7:$D$7,1,MATCH(A405,Inputs!$B$6:$D$6,0))))</x:f>
        <x:v>0</x:v>
      </x:c>
      <x:c r="I405" s="20" t="n">
        <x:f>INDEX(Inputs!$B$8:$D$8,1,MATCH(A405,Inputs!$B$6:$D$6,0))</x:f>
        <x:v>2395</x:v>
      </x:c>
      <x:c r="J405" s="20" t="n">
        <x:f>INDEX(Roster!$C$6:$C$108,MATCH(D405,Roster!$A$6:$A$108,0))*(1+INDEX(Inputs!$B$9:$D$9,1,MATCH(A405,Inputs!$B$6:$D$6,0)))</x:f>
        <x:v>600</x:v>
      </x:c>
      <x:c r="K405" s="20" t="n">
        <x:f>IF(=INDEX(Roster!$F$6:$F$108,MATCH(D405,Roster!$A$6:$A$108,0))="Yes",0,=INDEX(Inputs!$B$8:$D$8,1,MATCH(A405,Inputs!$B$6:$D$6,0))*IF(=INDEX(Roster!$B$6:$B$108,MATCH(D405,Roster!$A$6:$A$108,0))="Principal",INDEX(Inputs!$B$10:$D$10,1,MATCH(A405,Inputs!$B$6:$D$6,0)),IF(=INDEX(Roster!$B$6:$B$108,MATCH(D405,Roster!$A$6:$A$108,0))="Associate Principal",INDEX(Inputs!$B$11:$D$11,1,MATCH(A405,Inputs!$B$6:$D$6,0)),IF(=INDEX(Roster!$B$6:$B$108,MATCH(D405,Roster!$A$6:$A$108,0))="Assistant Principal",INDEX(Inputs!$B$12:$D$12,1,MATCH(A405,Inputs!$B$6:$D$6,0)),0))))</x:f>
        <x:v>0</x:v>
      </x:c>
      <x:c r="L405" s="20" t="n">
        <x:f>IF(INDEX(Roster!$D$6:$D$108,MATCH(D405,Roster!$A$6:$A$108,0))&gt;=25,INDEX(Inputs!$B$19:$D$19,1,MATCH(A405,Inputs!$B$6:$D$6,0)),IF(INDEX(Roster!$D$6:$D$108,MATCH(D405,Roster!$A$6:$A$108,0))&gt;=20,INDEX(Inputs!$B$18:$D$18,1,MATCH(A405,Inputs!$B$6:$D$6,0)),IF(INDEX(Roster!$D$6:$D$108,MATCH(D405,Roster!$A$6:$A$108,0))&gt;=15,INDEX(Inputs!$B$17:$D$17,1,MATCH(A405,Inputs!$B$6:$D$6,0)),IF(INDEX(Roster!$D$6:$D$108,MATCH(D405,Roster!$A$6:$A$108,0))&gt;=10,INDEX(Inputs!$B$16:$D$16,1,MATCH(A405,Inputs!$B$6:$D$6,0)),IF(INDEX(Roster!$D$6:$D$108,MATCH(D405,Roster!$A$6:$A$108,0))&gt;=5,INDEX(Inputs!$B$15:$D$15,1,MATCH(A405,Inputs!$B$6:$D$6,0)),0)))))</x:f>
        <x:v>50</x:v>
      </x:c>
      <x:c r="M405" s="20" t="n">
        <x:f>G405*I405</x:f>
        <x:v>31135</x:v>
      </x:c>
      <x:c r="N405" s="20" t="n">
        <x:f>G405*J405</x:f>
        <x:v>7800</x:v>
      </x:c>
      <x:c r="O405" s="20" t="n">
        <x:f>G405*K405</x:f>
        <x:v>0</x:v>
      </x:c>
      <x:c r="P405" s="20" t="n">
        <x:f>G405*L405</x:f>
        <x:v>650</x:v>
      </x:c>
      <x:c r="Q405" s="20" t="n">
        <x:f>H405*INDEX(Inputs!$B$13:$D$13,1,MATCH(A405,Inputs!$B$6:$D$6,0))</x:f>
        <x:v>0</x:v>
      </x:c>
      <x:c r="R405" s="20" t="n">
        <x:f>SUM(M405:Q405)</x:f>
        <x:v>39585</x:v>
      </x:c>
      <x:c r="S405" s="20" t="n">
        <x:f>IF(AND(A404=A405,D404=D405),S404+R405,R405)</x:f>
        <x:v>159510</x:v>
      </x:c>
      <x:c r="T405" s="20" t="n">
        <x:f>MIN(S405,INDEX(Inputs!$B$20:$D$20,1,MATCH(A405,Inputs!$B$6:$D$6,0)))*INDEX(Inputs!$B$22:$D$22,1,MATCH(A405,Inputs!$B$6:$D$6,0))+MAX(MIN(S405,INDEX(Inputs!$B$21:$D$21,1,MATCH(A405,Inputs!$B$6:$D$6,0)))-INDEX(Inputs!$B$20:$D$20,1,MATCH(A405,Inputs!$B$6:$D$6,0)),0)*INDEX(Inputs!$B$23:$D$23,1,MATCH(A405,Inputs!$B$6:$D$6,0))+MAX(S405-INDEX(Inputs!$B$21:$D$21,1,MATCH(A405,Inputs!$B$6:$D$6,0)),0)*INDEX(Inputs!$B$24:$D$24,1,MATCH(A405,Inputs!$B$6:$D$6,0))</x:f>
        <x:v>10226.837</x:v>
      </x:c>
      <x:c r="U405" s="20" t="n">
        <x:f>IF(AND(A404=A405,D404=D405),T404,0)</x:f>
        <x:v>9652.8545</x:v>
      </x:c>
      <x:c r="V405" s="20" t="n">
        <x:f>T405-U405</x:f>
        <x:v>573.9825000000001</x:v>
      </x:c>
      <x:c r="W405" s="20" t="n">
        <x:f>R405+V405</x:f>
        <x:v>40158.9825</x:v>
      </x:c>
      <x:c r="X405" s="14" t="str">
        <x:f>IF(ABS(W405-SUM(M405:Q405)-V405)&lt;0.01,"OK","Check")</x:f>
        <x:v>OK</x:v>
      </x:c>
    </x:row>
    <x:row r="406">
      <x:c r="A406" s="14" t="n">
        <x:v>2026</x:v>
      </x:c>
      <x:c r="B406" s="14" t="str">
        <x:v>Q1</x:v>
      </x:c>
      <x:c r="C406" s="14" t="n">
        <x:v>1</x:v>
      </x:c>
      <x:c r="D406" s="14" t="n">
        <x:v>101</x:v>
      </x:c>
      <x:c r="E406" s="14" t="str">
        <x:f>INDEX(Roster!$B$6:$B$108,MATCH(D406,Roster!$A$6:$A$108,0))</x:f>
      </x:c>
      <x:c r="F406" s="14" t="str">
        <x:f>INDEX(Roster!$F$6:$F$108,MATCH(D406,Roster!$A$6:$A$108,0))</x:f>
        <x:v>No</x:v>
      </x:c>
      <x:c r="G406" s="14" t="n">
        <x:f>INDEX(Inputs!$B$7:$D$7,1,MATCH(A406,Inputs!$B$6:$D$6,0))</x:f>
        <x:v>13</x:v>
      </x:c>
      <x:c r="H406" s="14" t="n">
        <x:f>MIN(=INDEX(Inputs!$B$7:$D$7,1,MATCH(A406,Inputs!$B$6:$D$6,0)),MAX(0,INDEX(Inputs!$B$14:$D$14,1,MATCH(A406,Inputs!$B$6:$D$6,0))-(C406-1)*=INDEX(Inputs!$B$7:$D$7,1,MATCH(A406,Inputs!$B$6:$D$6,0))))</x:f>
        <x:v>13</x:v>
      </x:c>
      <x:c r="I406" s="20" t="n">
        <x:f>INDEX(Inputs!$B$8:$D$8,1,MATCH(A406,Inputs!$B$6:$D$6,0))</x:f>
        <x:v>2395</x:v>
      </x:c>
      <x:c r="J406" s="20" t="n">
        <x:f>INDEX(Roster!$C$6:$C$108,MATCH(D406,Roster!$A$6:$A$108,0))*(1+INDEX(Inputs!$B$9:$D$9,1,MATCH(A406,Inputs!$B$6:$D$6,0)))</x:f>
        <x:v>30</x:v>
      </x:c>
      <x:c r="K406" s="20" t="n">
        <x:f>IF(=INDEX(Roster!$F$6:$F$108,MATCH(D406,Roster!$A$6:$A$108,0))="Yes",0,=INDEX(Inputs!$B$8:$D$8,1,MATCH(A406,Inputs!$B$6:$D$6,0))*IF(=INDEX(Roster!$B$6:$B$108,MATCH(D406,Roster!$A$6:$A$108,0))="Principal",INDEX(Inputs!$B$10:$D$10,1,MATCH(A406,Inputs!$B$6:$D$6,0)),IF(=INDEX(Roster!$B$6:$B$108,MATCH(D406,Roster!$A$6:$A$108,0))="Associate Principal",INDEX(Inputs!$B$11:$D$11,1,MATCH(A406,Inputs!$B$6:$D$6,0)),IF(=INDEX(Roster!$B$6:$B$108,MATCH(D406,Roster!$A$6:$A$108,0))="Assistant Principal",INDEX(Inputs!$B$12:$D$12,1,MATCH(A406,Inputs!$B$6:$D$6,0)),0))))</x:f>
        <x:v>0</x:v>
      </x:c>
      <x:c r="L406" s="20" t="n">
        <x:f>IF(INDEX(Roster!$D$6:$D$108,MATCH(D406,Roster!$A$6:$A$108,0))&gt;=25,INDEX(Inputs!$B$19:$D$19,1,MATCH(A406,Inputs!$B$6:$D$6,0)),IF(INDEX(Roster!$D$6:$D$108,MATCH(D406,Roster!$A$6:$A$108,0))&gt;=20,INDEX(Inputs!$B$18:$D$18,1,MATCH(A406,Inputs!$B$6:$D$6,0)),IF(INDEX(Roster!$D$6:$D$108,MATCH(D406,Roster!$A$6:$A$108,0))&gt;=15,INDEX(Inputs!$B$17:$D$17,1,MATCH(A406,Inputs!$B$6:$D$6,0)),IF(INDEX(Roster!$D$6:$D$108,MATCH(D406,Roster!$A$6:$A$108,0))&gt;=10,INDEX(Inputs!$B$16:$D$16,1,MATCH(A406,Inputs!$B$6:$D$6,0)),IF(INDEX(Roster!$D$6:$D$108,MATCH(D406,Roster!$A$6:$A$108,0))&gt;=5,INDEX(Inputs!$B$15:$D$15,1,MATCH(A406,Inputs!$B$6:$D$6,0)),0)))))</x:f>
        <x:v>0</x:v>
      </x:c>
      <x:c r="M406" s="20" t="n">
        <x:f>G406*I406</x:f>
        <x:v>31135</x:v>
      </x:c>
      <x:c r="N406" s="20" t="n">
        <x:f>G406*J406</x:f>
        <x:v>390</x:v>
      </x:c>
      <x:c r="O406" s="20" t="n">
        <x:f>G406*K406</x:f>
        <x:v>0</x:v>
      </x:c>
      <x:c r="P406" s="20" t="n">
        <x:f>G406*L406</x:f>
        <x:v>0</x:v>
      </x:c>
      <x:c r="Q406" s="20" t="n">
        <x:f>H406*INDEX(Inputs!$B$13:$D$13,1,MATCH(A406,Inputs!$B$6:$D$6,0))</x:f>
        <x:v>390</x:v>
      </x:c>
      <x:c r="R406" s="20" t="n">
        <x:f>SUM(M406:Q406)</x:f>
        <x:v>31915</x:v>
      </x:c>
      <x:c r="S406" s="20" t="n">
        <x:f>IF(AND(A405=A406,D405=D406),S405+R406,R406)</x:f>
        <x:v>31915</x:v>
      </x:c>
      <x:c r="T406" s="20" t="n">
        <x:f>MIN(S406,INDEX(Inputs!$B$20:$D$20,1,MATCH(A406,Inputs!$B$6:$D$6,0)))*INDEX(Inputs!$B$22:$D$22,1,MATCH(A406,Inputs!$B$6:$D$6,0))+MAX(MIN(S406,INDEX(Inputs!$B$21:$D$21,1,MATCH(A406,Inputs!$B$6:$D$6,0)))-INDEX(Inputs!$B$20:$D$20,1,MATCH(A406,Inputs!$B$6:$D$6,0)),0)*INDEX(Inputs!$B$23:$D$23,1,MATCH(A406,Inputs!$B$6:$D$6,0))+MAX(S406-INDEX(Inputs!$B$21:$D$21,1,MATCH(A406,Inputs!$B$6:$D$6,0)),0)*INDEX(Inputs!$B$24:$D$24,1,MATCH(A406,Inputs!$B$6:$D$6,0))</x:f>
        <x:v>2931.4975</x:v>
      </x:c>
      <x:c r="U406" s="20" t="n">
        <x:f>IF(AND(A405=A406,D405=D406),T405,0)</x:f>
        <x:v>0</x:v>
      </x:c>
      <x:c r="V406" s="20" t="n">
        <x:f>T406-U406</x:f>
        <x:v>2931.4975</x:v>
      </x:c>
      <x:c r="W406" s="20" t="n">
        <x:f>R406+V406</x:f>
        <x:v>34846.4975</x:v>
      </x:c>
      <x:c r="X406" s="14" t="str">
        <x:f>IF(ABS(W406-SUM(M406:Q406)-V406)&lt;0.01,"OK","Check")</x:f>
        <x:v>OK</x:v>
      </x:c>
    </x:row>
    <x:row r="407">
      <x:c r="A407" s="14" t="n">
        <x:v>2026</x:v>
      </x:c>
      <x:c r="B407" s="14" t="str">
        <x:v>Q2</x:v>
      </x:c>
      <x:c r="C407" s="14" t="n">
        <x:v>2</x:v>
      </x:c>
      <x:c r="D407" s="14" t="n">
        <x:v>101</x:v>
      </x:c>
      <x:c r="E407" s="14" t="str">
        <x:f>INDEX(Roster!$B$6:$B$108,MATCH(D407,Roster!$A$6:$A$108,0))</x:f>
      </x:c>
      <x:c r="F407" s="14" t="str">
        <x:f>INDEX(Roster!$F$6:$F$108,MATCH(D407,Roster!$A$6:$A$108,0))</x:f>
        <x:v>No</x:v>
      </x:c>
      <x:c r="G407" s="14" t="n">
        <x:f>INDEX(Inputs!$B$7:$D$7,1,MATCH(A407,Inputs!$B$6:$D$6,0))</x:f>
        <x:v>13</x:v>
      </x:c>
      <x:c r="H407" s="14" t="n">
        <x:f>MIN(=INDEX(Inputs!$B$7:$D$7,1,MATCH(A407,Inputs!$B$6:$D$6,0)),MAX(0,INDEX(Inputs!$B$14:$D$14,1,MATCH(A407,Inputs!$B$6:$D$6,0))-(C407-1)*=INDEX(Inputs!$B$7:$D$7,1,MATCH(A407,Inputs!$B$6:$D$6,0))))</x:f>
        <x:v>13</x:v>
      </x:c>
      <x:c r="I407" s="20" t="n">
        <x:f>INDEX(Inputs!$B$8:$D$8,1,MATCH(A407,Inputs!$B$6:$D$6,0))</x:f>
        <x:v>2395</x:v>
      </x:c>
      <x:c r="J407" s="20" t="n">
        <x:f>INDEX(Roster!$C$6:$C$108,MATCH(D407,Roster!$A$6:$A$108,0))*(1+INDEX(Inputs!$B$9:$D$9,1,MATCH(A407,Inputs!$B$6:$D$6,0)))</x:f>
        <x:v>30</x:v>
      </x:c>
      <x:c r="K407" s="20" t="n">
        <x:f>IF(=INDEX(Roster!$F$6:$F$108,MATCH(D407,Roster!$A$6:$A$108,0))="Yes",0,=INDEX(Inputs!$B$8:$D$8,1,MATCH(A407,Inputs!$B$6:$D$6,0))*IF(=INDEX(Roster!$B$6:$B$108,MATCH(D407,Roster!$A$6:$A$108,0))="Principal",INDEX(Inputs!$B$10:$D$10,1,MATCH(A407,Inputs!$B$6:$D$6,0)),IF(=INDEX(Roster!$B$6:$B$108,MATCH(D407,Roster!$A$6:$A$108,0))="Associate Principal",INDEX(Inputs!$B$11:$D$11,1,MATCH(A407,Inputs!$B$6:$D$6,0)),IF(=INDEX(Roster!$B$6:$B$108,MATCH(D407,Roster!$A$6:$A$108,0))="Assistant Principal",INDEX(Inputs!$B$12:$D$12,1,MATCH(A407,Inputs!$B$6:$D$6,0)),0))))</x:f>
        <x:v>0</x:v>
      </x:c>
      <x:c r="L407" s="20" t="n">
        <x:f>IF(INDEX(Roster!$D$6:$D$108,MATCH(D407,Roster!$A$6:$A$108,0))&gt;=25,INDEX(Inputs!$B$19:$D$19,1,MATCH(A407,Inputs!$B$6:$D$6,0)),IF(INDEX(Roster!$D$6:$D$108,MATCH(D407,Roster!$A$6:$A$108,0))&gt;=20,INDEX(Inputs!$B$18:$D$18,1,MATCH(A407,Inputs!$B$6:$D$6,0)),IF(INDEX(Roster!$D$6:$D$108,MATCH(D407,Roster!$A$6:$A$108,0))&gt;=15,INDEX(Inputs!$B$17:$D$17,1,MATCH(A407,Inputs!$B$6:$D$6,0)),IF(INDEX(Roster!$D$6:$D$108,MATCH(D407,Roster!$A$6:$A$108,0))&gt;=10,INDEX(Inputs!$B$16:$D$16,1,MATCH(A407,Inputs!$B$6:$D$6,0)),IF(INDEX(Roster!$D$6:$D$108,MATCH(D407,Roster!$A$6:$A$108,0))&gt;=5,INDEX(Inputs!$B$15:$D$15,1,MATCH(A407,Inputs!$B$6:$D$6,0)),0)))))</x:f>
        <x:v>0</x:v>
      </x:c>
      <x:c r="M407" s="20" t="n">
        <x:f>G407*I407</x:f>
        <x:v>31135</x:v>
      </x:c>
      <x:c r="N407" s="20" t="n">
        <x:f>G407*J407</x:f>
        <x:v>390</x:v>
      </x:c>
      <x:c r="O407" s="20" t="n">
        <x:f>G407*K407</x:f>
        <x:v>0</x:v>
      </x:c>
      <x:c r="P407" s="20" t="n">
        <x:f>G407*L407</x:f>
        <x:v>0</x:v>
      </x:c>
      <x:c r="Q407" s="20" t="n">
        <x:f>H407*INDEX(Inputs!$B$13:$D$13,1,MATCH(A407,Inputs!$B$6:$D$6,0))</x:f>
        <x:v>390</x:v>
      </x:c>
      <x:c r="R407" s="20" t="n">
        <x:f>SUM(M407:Q407)</x:f>
        <x:v>31915</x:v>
      </x:c>
      <x:c r="S407" s="20" t="n">
        <x:f>IF(AND(A406=A407,D406=D407),S406+R407,R407)</x:f>
        <x:v>63830</x:v>
      </x:c>
      <x:c r="T407" s="20" t="n">
        <x:f>MIN(S407,INDEX(Inputs!$B$20:$D$20,1,MATCH(A407,Inputs!$B$6:$D$6,0)))*INDEX(Inputs!$B$22:$D$22,1,MATCH(A407,Inputs!$B$6:$D$6,0))+MAX(MIN(S407,INDEX(Inputs!$B$21:$D$21,1,MATCH(A407,Inputs!$B$6:$D$6,0)))-INDEX(Inputs!$B$20:$D$20,1,MATCH(A407,Inputs!$B$6:$D$6,0)),0)*INDEX(Inputs!$B$23:$D$23,1,MATCH(A407,Inputs!$B$6:$D$6,0))+MAX(S407-INDEX(Inputs!$B$21:$D$21,1,MATCH(A407,Inputs!$B$6:$D$6,0)),0)*INDEX(Inputs!$B$24:$D$24,1,MATCH(A407,Inputs!$B$6:$D$6,0))</x:f>
        <x:v>5372.995</x:v>
      </x:c>
      <x:c r="U407" s="20" t="n">
        <x:f>IF(AND(A406=A407,D406=D407),T406,0)</x:f>
        <x:v>2931.4975</x:v>
      </x:c>
      <x:c r="V407" s="20" t="n">
        <x:f>T407-U407</x:f>
        <x:v>2441.4975</x:v>
      </x:c>
      <x:c r="W407" s="20" t="n">
        <x:f>R407+V407</x:f>
        <x:v>34356.4975</x:v>
      </x:c>
      <x:c r="X407" s="14" t="str">
        <x:f>IF(ABS(W407-SUM(M407:Q407)-V407)&lt;0.01,"OK","Check")</x:f>
        <x:v>OK</x:v>
      </x:c>
    </x:row>
    <x:row r="408">
      <x:c r="A408" s="14" t="n">
        <x:v>2026</x:v>
      </x:c>
      <x:c r="B408" s="14" t="str">
        <x:v>Q3</x:v>
      </x:c>
      <x:c r="C408" s="14" t="n">
        <x:v>3</x:v>
      </x:c>
      <x:c r="D408" s="14" t="n">
        <x:v>101</x:v>
      </x:c>
      <x:c r="E408" s="14" t="str">
        <x:f>INDEX(Roster!$B$6:$B$108,MATCH(D408,Roster!$A$6:$A$108,0))</x:f>
      </x:c>
      <x:c r="F408" s="14" t="str">
        <x:f>INDEX(Roster!$F$6:$F$108,MATCH(D408,Roster!$A$6:$A$108,0))</x:f>
        <x:v>No</x:v>
      </x:c>
      <x:c r="G408" s="14" t="n">
        <x:f>INDEX(Inputs!$B$7:$D$7,1,MATCH(A408,Inputs!$B$6:$D$6,0))</x:f>
        <x:v>13</x:v>
      </x:c>
      <x:c r="H408" s="14" t="n">
        <x:f>MIN(=INDEX(Inputs!$B$7:$D$7,1,MATCH(A408,Inputs!$B$6:$D$6,0)),MAX(0,INDEX(Inputs!$B$14:$D$14,1,MATCH(A408,Inputs!$B$6:$D$6,0))-(C408-1)*=INDEX(Inputs!$B$7:$D$7,1,MATCH(A408,Inputs!$B$6:$D$6,0))))</x:f>
        <x:v>13</x:v>
      </x:c>
      <x:c r="I408" s="20" t="n">
        <x:f>INDEX(Inputs!$B$8:$D$8,1,MATCH(A408,Inputs!$B$6:$D$6,0))</x:f>
        <x:v>2395</x:v>
      </x:c>
      <x:c r="J408" s="20" t="n">
        <x:f>INDEX(Roster!$C$6:$C$108,MATCH(D408,Roster!$A$6:$A$108,0))*(1+INDEX(Inputs!$B$9:$D$9,1,MATCH(A408,Inputs!$B$6:$D$6,0)))</x:f>
        <x:v>30</x:v>
      </x:c>
      <x:c r="K408" s="20" t="n">
        <x:f>IF(=INDEX(Roster!$F$6:$F$108,MATCH(D408,Roster!$A$6:$A$108,0))="Yes",0,=INDEX(Inputs!$B$8:$D$8,1,MATCH(A408,Inputs!$B$6:$D$6,0))*IF(=INDEX(Roster!$B$6:$B$108,MATCH(D408,Roster!$A$6:$A$108,0))="Principal",INDEX(Inputs!$B$10:$D$10,1,MATCH(A408,Inputs!$B$6:$D$6,0)),IF(=INDEX(Roster!$B$6:$B$108,MATCH(D408,Roster!$A$6:$A$108,0))="Associate Principal",INDEX(Inputs!$B$11:$D$11,1,MATCH(A408,Inputs!$B$6:$D$6,0)),IF(=INDEX(Roster!$B$6:$B$108,MATCH(D408,Roster!$A$6:$A$108,0))="Assistant Principal",INDEX(Inputs!$B$12:$D$12,1,MATCH(A408,Inputs!$B$6:$D$6,0)),0))))</x:f>
        <x:v>0</x:v>
      </x:c>
      <x:c r="L408" s="20" t="n">
        <x:f>IF(INDEX(Roster!$D$6:$D$108,MATCH(D408,Roster!$A$6:$A$108,0))&gt;=25,INDEX(Inputs!$B$19:$D$19,1,MATCH(A408,Inputs!$B$6:$D$6,0)),IF(INDEX(Roster!$D$6:$D$108,MATCH(D408,Roster!$A$6:$A$108,0))&gt;=20,INDEX(Inputs!$B$18:$D$18,1,MATCH(A408,Inputs!$B$6:$D$6,0)),IF(INDEX(Roster!$D$6:$D$108,MATCH(D408,Roster!$A$6:$A$108,0))&gt;=15,INDEX(Inputs!$B$17:$D$17,1,MATCH(A408,Inputs!$B$6:$D$6,0)),IF(INDEX(Roster!$D$6:$D$108,MATCH(D408,Roster!$A$6:$A$108,0))&gt;=10,INDEX(Inputs!$B$16:$D$16,1,MATCH(A408,Inputs!$B$6:$D$6,0)),IF(INDEX(Roster!$D$6:$D$108,MATCH(D408,Roster!$A$6:$A$108,0))&gt;=5,INDEX(Inputs!$B$15:$D$15,1,MATCH(A408,Inputs!$B$6:$D$6,0)),0)))))</x:f>
        <x:v>0</x:v>
      </x:c>
      <x:c r="M408" s="20" t="n">
        <x:f>G408*I408</x:f>
        <x:v>31135</x:v>
      </x:c>
      <x:c r="N408" s="20" t="n">
        <x:f>G408*J408</x:f>
        <x:v>390</x:v>
      </x:c>
      <x:c r="O408" s="20" t="n">
        <x:f>G408*K408</x:f>
        <x:v>0</x:v>
      </x:c>
      <x:c r="P408" s="20" t="n">
        <x:f>G408*L408</x:f>
        <x:v>0</x:v>
      </x:c>
      <x:c r="Q408" s="20" t="n">
        <x:f>H408*INDEX(Inputs!$B$13:$D$13,1,MATCH(A408,Inputs!$B$6:$D$6,0))</x:f>
        <x:v>390</x:v>
      </x:c>
      <x:c r="R408" s="20" t="n">
        <x:f>SUM(M408:Q408)</x:f>
        <x:v>31915</x:v>
      </x:c>
      <x:c r="S408" s="20" t="n">
        <x:f>IF(AND(A407=A408,D407=D408),S407+R408,R408)</x:f>
        <x:v>95745</x:v>
      </x:c>
      <x:c r="T408" s="20" t="n">
        <x:f>MIN(S408,INDEX(Inputs!$B$20:$D$20,1,MATCH(A408,Inputs!$B$6:$D$6,0)))*INDEX(Inputs!$B$22:$D$22,1,MATCH(A408,Inputs!$B$6:$D$6,0))+MAX(MIN(S408,INDEX(Inputs!$B$21:$D$21,1,MATCH(A408,Inputs!$B$6:$D$6,0)))-INDEX(Inputs!$B$20:$D$20,1,MATCH(A408,Inputs!$B$6:$D$6,0)),0)*INDEX(Inputs!$B$23:$D$23,1,MATCH(A408,Inputs!$B$6:$D$6,0))+MAX(S408-INDEX(Inputs!$B$21:$D$21,1,MATCH(A408,Inputs!$B$6:$D$6,0)),0)*INDEX(Inputs!$B$24:$D$24,1,MATCH(A408,Inputs!$B$6:$D$6,0))</x:f>
        <x:v>7814.4925</x:v>
      </x:c>
      <x:c r="U408" s="20" t="n">
        <x:f>IF(AND(A407=A408,D407=D408),T407,0)</x:f>
        <x:v>5372.995</x:v>
      </x:c>
      <x:c r="V408" s="20" t="n">
        <x:f>T408-U408</x:f>
        <x:v>2441.4975000000004</x:v>
      </x:c>
      <x:c r="W408" s="20" t="n">
        <x:f>R408+V408</x:f>
        <x:v>34356.4975</x:v>
      </x:c>
      <x:c r="X408" s="14" t="str">
        <x:f>IF(ABS(W408-SUM(M408:Q408)-V408)&lt;0.01,"OK","Check")</x:f>
        <x:v>OK</x:v>
      </x:c>
    </x:row>
    <x:row r="409">
      <x:c r="A409" s="14" t="n">
        <x:v>2026</x:v>
      </x:c>
      <x:c r="B409" s="14" t="str">
        <x:v>Q4</x:v>
      </x:c>
      <x:c r="C409" s="14" t="n">
        <x:v>4</x:v>
      </x:c>
      <x:c r="D409" s="14" t="n">
        <x:v>101</x:v>
      </x:c>
      <x:c r="E409" s="14" t="str">
        <x:f>INDEX(Roster!$B$6:$B$108,MATCH(D409,Roster!$A$6:$A$108,0))</x:f>
      </x:c>
      <x:c r="F409" s="14" t="str">
        <x:f>INDEX(Roster!$F$6:$F$108,MATCH(D409,Roster!$A$6:$A$108,0))</x:f>
        <x:v>No</x:v>
      </x:c>
      <x:c r="G409" s="14" t="n">
        <x:f>INDEX(Inputs!$B$7:$D$7,1,MATCH(A409,Inputs!$B$6:$D$6,0))</x:f>
        <x:v>13</x:v>
      </x:c>
      <x:c r="H409" s="14" t="n">
        <x:f>MIN(=INDEX(Inputs!$B$7:$D$7,1,MATCH(A409,Inputs!$B$6:$D$6,0)),MAX(0,INDEX(Inputs!$B$14:$D$14,1,MATCH(A409,Inputs!$B$6:$D$6,0))-(C409-1)*=INDEX(Inputs!$B$7:$D$7,1,MATCH(A409,Inputs!$B$6:$D$6,0))))</x:f>
        <x:v>0</x:v>
      </x:c>
      <x:c r="I409" s="20" t="n">
        <x:f>INDEX(Inputs!$B$8:$D$8,1,MATCH(A409,Inputs!$B$6:$D$6,0))</x:f>
        <x:v>2395</x:v>
      </x:c>
      <x:c r="J409" s="20" t="n">
        <x:f>INDEX(Roster!$C$6:$C$108,MATCH(D409,Roster!$A$6:$A$108,0))*(1+INDEX(Inputs!$B$9:$D$9,1,MATCH(A409,Inputs!$B$6:$D$6,0)))</x:f>
        <x:v>30</x:v>
      </x:c>
      <x:c r="K409" s="20" t="n">
        <x:f>IF(=INDEX(Roster!$F$6:$F$108,MATCH(D409,Roster!$A$6:$A$108,0))="Yes",0,=INDEX(Inputs!$B$8:$D$8,1,MATCH(A409,Inputs!$B$6:$D$6,0))*IF(=INDEX(Roster!$B$6:$B$108,MATCH(D409,Roster!$A$6:$A$108,0))="Principal",INDEX(Inputs!$B$10:$D$10,1,MATCH(A409,Inputs!$B$6:$D$6,0)),IF(=INDEX(Roster!$B$6:$B$108,MATCH(D409,Roster!$A$6:$A$108,0))="Associate Principal",INDEX(Inputs!$B$11:$D$11,1,MATCH(A409,Inputs!$B$6:$D$6,0)),IF(=INDEX(Roster!$B$6:$B$108,MATCH(D409,Roster!$A$6:$A$108,0))="Assistant Principal",INDEX(Inputs!$B$12:$D$12,1,MATCH(A409,Inputs!$B$6:$D$6,0)),0))))</x:f>
        <x:v>0</x:v>
      </x:c>
      <x:c r="L409" s="20" t="n">
        <x:f>IF(INDEX(Roster!$D$6:$D$108,MATCH(D409,Roster!$A$6:$A$108,0))&gt;=25,INDEX(Inputs!$B$19:$D$19,1,MATCH(A409,Inputs!$B$6:$D$6,0)),IF(INDEX(Roster!$D$6:$D$108,MATCH(D409,Roster!$A$6:$A$108,0))&gt;=20,INDEX(Inputs!$B$18:$D$18,1,MATCH(A409,Inputs!$B$6:$D$6,0)),IF(INDEX(Roster!$D$6:$D$108,MATCH(D409,Roster!$A$6:$A$108,0))&gt;=15,INDEX(Inputs!$B$17:$D$17,1,MATCH(A409,Inputs!$B$6:$D$6,0)),IF(INDEX(Roster!$D$6:$D$108,MATCH(D409,Roster!$A$6:$A$108,0))&gt;=10,INDEX(Inputs!$B$16:$D$16,1,MATCH(A409,Inputs!$B$6:$D$6,0)),IF(INDEX(Roster!$D$6:$D$108,MATCH(D409,Roster!$A$6:$A$108,0))&gt;=5,INDEX(Inputs!$B$15:$D$15,1,MATCH(A409,Inputs!$B$6:$D$6,0)),0)))))</x:f>
        <x:v>0</x:v>
      </x:c>
      <x:c r="M409" s="20" t="n">
        <x:f>G409*I409</x:f>
        <x:v>31135</x:v>
      </x:c>
      <x:c r="N409" s="20" t="n">
        <x:f>G409*J409</x:f>
        <x:v>390</x:v>
      </x:c>
      <x:c r="O409" s="20" t="n">
        <x:f>G409*K409</x:f>
        <x:v>0</x:v>
      </x:c>
      <x:c r="P409" s="20" t="n">
        <x:f>G409*L409</x:f>
        <x:v>0</x:v>
      </x:c>
      <x:c r="Q409" s="20" t="n">
        <x:f>H409*INDEX(Inputs!$B$13:$D$13,1,MATCH(A409,Inputs!$B$6:$D$6,0))</x:f>
        <x:v>0</x:v>
      </x:c>
      <x:c r="R409" s="20" t="n">
        <x:f>SUM(M409:Q409)</x:f>
        <x:v>31525</x:v>
      </x:c>
      <x:c r="S409" s="20" t="n">
        <x:f>IF(AND(A408=A409,D408=D409),S408+R409,R409)</x:f>
        <x:v>127270</x:v>
      </x:c>
      <x:c r="T409" s="20" t="n">
        <x:f>MIN(S409,INDEX(Inputs!$B$20:$D$20,1,MATCH(A409,Inputs!$B$6:$D$6,0)))*INDEX(Inputs!$B$22:$D$22,1,MATCH(A409,Inputs!$B$6:$D$6,0))+MAX(MIN(S409,INDEX(Inputs!$B$21:$D$21,1,MATCH(A409,Inputs!$B$6:$D$6,0)))-INDEX(Inputs!$B$20:$D$20,1,MATCH(A409,Inputs!$B$6:$D$6,0)),0)*INDEX(Inputs!$B$23:$D$23,1,MATCH(A409,Inputs!$B$6:$D$6,0))+MAX(S409-INDEX(Inputs!$B$21:$D$21,1,MATCH(A409,Inputs!$B$6:$D$6,0)),0)*INDEX(Inputs!$B$24:$D$24,1,MATCH(A409,Inputs!$B$6:$D$6,0))</x:f>
        <x:v>9759.357</x:v>
      </x:c>
      <x:c r="U409" s="20" t="n">
        <x:f>IF(AND(A408=A409,D408=D409),T408,0)</x:f>
        <x:v>7814.4925</x:v>
      </x:c>
      <x:c r="V409" s="20" t="n">
        <x:f>T409-U409</x:f>
        <x:v>1944.8644999999997</x:v>
      </x:c>
      <x:c r="W409" s="20" t="n">
        <x:f>R409+V409</x:f>
        <x:v>33469.864499999996</x:v>
      </x:c>
      <x:c r="X409" s="14" t="str">
        <x:f>IF(ABS(W409-SUM(M409:Q409)-V409)&lt;0.01,"OK","Check")</x:f>
        <x:v>OK</x:v>
      </x:c>
    </x:row>
    <x:row r="410">
      <x:c r="A410" s="14" t="n">
        <x:v>2026</x:v>
      </x:c>
      <x:c r="B410" s="14" t="str">
        <x:v>Q1</x:v>
      </x:c>
      <x:c r="C410" s="14" t="n">
        <x:v>1</x:v>
      </x:c>
      <x:c r="D410" s="14" t="n">
        <x:v>102</x:v>
      </x:c>
      <x:c r="E410" s="14" t="str">
        <x:f>INDEX(Roster!$B$6:$B$108,MATCH(D410,Roster!$A$6:$A$108,0))</x:f>
      </x:c>
      <x:c r="F410" s="14" t="str">
        <x:f>INDEX(Roster!$F$6:$F$108,MATCH(D410,Roster!$A$6:$A$108,0))</x:f>
        <x:v>No</x:v>
      </x:c>
      <x:c r="G410" s="14" t="n">
        <x:f>INDEX(Inputs!$B$7:$D$7,1,MATCH(A410,Inputs!$B$6:$D$6,0))</x:f>
        <x:v>13</x:v>
      </x:c>
      <x:c r="H410" s="14" t="n">
        <x:f>MIN(=INDEX(Inputs!$B$7:$D$7,1,MATCH(A410,Inputs!$B$6:$D$6,0)),MAX(0,INDEX(Inputs!$B$14:$D$14,1,MATCH(A410,Inputs!$B$6:$D$6,0))-(C410-1)*=INDEX(Inputs!$B$7:$D$7,1,MATCH(A410,Inputs!$B$6:$D$6,0))))</x:f>
        <x:v>13</x:v>
      </x:c>
      <x:c r="I410" s="20" t="n">
        <x:f>INDEX(Inputs!$B$8:$D$8,1,MATCH(A410,Inputs!$B$6:$D$6,0))</x:f>
        <x:v>2395</x:v>
      </x:c>
      <x:c r="J410" s="20" t="n">
        <x:f>INDEX(Roster!$C$6:$C$108,MATCH(D410,Roster!$A$6:$A$108,0))*(1+INDEX(Inputs!$B$9:$D$9,1,MATCH(A410,Inputs!$B$6:$D$6,0)))</x:f>
        <x:v>20</x:v>
      </x:c>
      <x:c r="K410" s="20" t="n">
        <x:f>IF(=INDEX(Roster!$F$6:$F$108,MATCH(D410,Roster!$A$6:$A$108,0))="Yes",0,=INDEX(Inputs!$B$8:$D$8,1,MATCH(A410,Inputs!$B$6:$D$6,0))*IF(=INDEX(Roster!$B$6:$B$108,MATCH(D410,Roster!$A$6:$A$108,0))="Principal",INDEX(Inputs!$B$10:$D$10,1,MATCH(A410,Inputs!$B$6:$D$6,0)),IF(=INDEX(Roster!$B$6:$B$108,MATCH(D410,Roster!$A$6:$A$108,0))="Associate Principal",INDEX(Inputs!$B$11:$D$11,1,MATCH(A410,Inputs!$B$6:$D$6,0)),IF(=INDEX(Roster!$B$6:$B$108,MATCH(D410,Roster!$A$6:$A$108,0))="Assistant Principal",INDEX(Inputs!$B$12:$D$12,1,MATCH(A410,Inputs!$B$6:$D$6,0)),0))))</x:f>
        <x:v>0</x:v>
      </x:c>
      <x:c r="L410" s="20" t="n">
        <x:f>IF(INDEX(Roster!$D$6:$D$108,MATCH(D410,Roster!$A$6:$A$108,0))&gt;=25,INDEX(Inputs!$B$19:$D$19,1,MATCH(A410,Inputs!$B$6:$D$6,0)),IF(INDEX(Roster!$D$6:$D$108,MATCH(D410,Roster!$A$6:$A$108,0))&gt;=20,INDEX(Inputs!$B$18:$D$18,1,MATCH(A410,Inputs!$B$6:$D$6,0)),IF(INDEX(Roster!$D$6:$D$108,MATCH(D410,Roster!$A$6:$A$108,0))&gt;=15,INDEX(Inputs!$B$17:$D$17,1,MATCH(A410,Inputs!$B$6:$D$6,0)),IF(INDEX(Roster!$D$6:$D$108,MATCH(D410,Roster!$A$6:$A$108,0))&gt;=10,INDEX(Inputs!$B$16:$D$16,1,MATCH(A410,Inputs!$B$6:$D$6,0)),IF(INDEX(Roster!$D$6:$D$108,MATCH(D410,Roster!$A$6:$A$108,0))&gt;=5,INDEX(Inputs!$B$15:$D$15,1,MATCH(A410,Inputs!$B$6:$D$6,0)),0)))))</x:f>
        <x:v>60</x:v>
      </x:c>
      <x:c r="M410" s="20" t="n">
        <x:f>G410*I410</x:f>
        <x:v>31135</x:v>
      </x:c>
      <x:c r="N410" s="20" t="n">
        <x:f>G410*J410</x:f>
        <x:v>260</x:v>
      </x:c>
      <x:c r="O410" s="20" t="n">
        <x:f>G410*K410</x:f>
        <x:v>0</x:v>
      </x:c>
      <x:c r="P410" s="20" t="n">
        <x:f>G410*L410</x:f>
        <x:v>780</x:v>
      </x:c>
      <x:c r="Q410" s="20" t="n">
        <x:f>H410*INDEX(Inputs!$B$13:$D$13,1,MATCH(A410,Inputs!$B$6:$D$6,0))</x:f>
        <x:v>390</x:v>
      </x:c>
      <x:c r="R410" s="20" t="n">
        <x:f>SUM(M410:Q410)</x:f>
        <x:v>32565</x:v>
      </x:c>
      <x:c r="S410" s="20" t="n">
        <x:f>IF(AND(A409=A410,D409=D410),S409+R410,R410)</x:f>
        <x:v>32565</x:v>
      </x:c>
      <x:c r="T410" s="20" t="n">
        <x:f>MIN(S410,INDEX(Inputs!$B$20:$D$20,1,MATCH(A410,Inputs!$B$6:$D$6,0)))*INDEX(Inputs!$B$22:$D$22,1,MATCH(A410,Inputs!$B$6:$D$6,0))+MAX(MIN(S410,INDEX(Inputs!$B$21:$D$21,1,MATCH(A410,Inputs!$B$6:$D$6,0)))-INDEX(Inputs!$B$20:$D$20,1,MATCH(A410,Inputs!$B$6:$D$6,0)),0)*INDEX(Inputs!$B$23:$D$23,1,MATCH(A410,Inputs!$B$6:$D$6,0))+MAX(S410-INDEX(Inputs!$B$21:$D$21,1,MATCH(A410,Inputs!$B$6:$D$6,0)),0)*INDEX(Inputs!$B$24:$D$24,1,MATCH(A410,Inputs!$B$6:$D$6,0))</x:f>
        <x:v>2981.2225</x:v>
      </x:c>
      <x:c r="U410" s="20" t="n">
        <x:f>IF(AND(A409=A410,D409=D410),T409,0)</x:f>
        <x:v>0</x:v>
      </x:c>
      <x:c r="V410" s="20" t="n">
        <x:f>T410-U410</x:f>
        <x:v>2981.2225</x:v>
      </x:c>
      <x:c r="W410" s="20" t="n">
        <x:f>R410+V410</x:f>
        <x:v>35546.2225</x:v>
      </x:c>
      <x:c r="X410" s="14" t="str">
        <x:f>IF(ABS(W410-SUM(M410:Q410)-V410)&lt;0.01,"OK","Check")</x:f>
        <x:v>OK</x:v>
      </x:c>
    </x:row>
    <x:row r="411">
      <x:c r="A411" s="14" t="n">
        <x:v>2026</x:v>
      </x:c>
      <x:c r="B411" s="14" t="str">
        <x:v>Q2</x:v>
      </x:c>
      <x:c r="C411" s="14" t="n">
        <x:v>2</x:v>
      </x:c>
      <x:c r="D411" s="14" t="n">
        <x:v>102</x:v>
      </x:c>
      <x:c r="E411" s="14" t="str">
        <x:f>INDEX(Roster!$B$6:$B$108,MATCH(D411,Roster!$A$6:$A$108,0))</x:f>
      </x:c>
      <x:c r="F411" s="14" t="str">
        <x:f>INDEX(Roster!$F$6:$F$108,MATCH(D411,Roster!$A$6:$A$108,0))</x:f>
        <x:v>No</x:v>
      </x:c>
      <x:c r="G411" s="14" t="n">
        <x:f>INDEX(Inputs!$B$7:$D$7,1,MATCH(A411,Inputs!$B$6:$D$6,0))</x:f>
        <x:v>13</x:v>
      </x:c>
      <x:c r="H411" s="14" t="n">
        <x:f>MIN(=INDEX(Inputs!$B$7:$D$7,1,MATCH(A411,Inputs!$B$6:$D$6,0)),MAX(0,INDEX(Inputs!$B$14:$D$14,1,MATCH(A411,Inputs!$B$6:$D$6,0))-(C411-1)*=INDEX(Inputs!$B$7:$D$7,1,MATCH(A411,Inputs!$B$6:$D$6,0))))</x:f>
        <x:v>13</x:v>
      </x:c>
      <x:c r="I411" s="20" t="n">
        <x:f>INDEX(Inputs!$B$8:$D$8,1,MATCH(A411,Inputs!$B$6:$D$6,0))</x:f>
        <x:v>2395</x:v>
      </x:c>
      <x:c r="J411" s="20" t="n">
        <x:f>INDEX(Roster!$C$6:$C$108,MATCH(D411,Roster!$A$6:$A$108,0))*(1+INDEX(Inputs!$B$9:$D$9,1,MATCH(A411,Inputs!$B$6:$D$6,0)))</x:f>
        <x:v>20</x:v>
      </x:c>
      <x:c r="K411" s="20" t="n">
        <x:f>IF(=INDEX(Roster!$F$6:$F$108,MATCH(D411,Roster!$A$6:$A$108,0))="Yes",0,=INDEX(Inputs!$B$8:$D$8,1,MATCH(A411,Inputs!$B$6:$D$6,0))*IF(=INDEX(Roster!$B$6:$B$108,MATCH(D411,Roster!$A$6:$A$108,0))="Principal",INDEX(Inputs!$B$10:$D$10,1,MATCH(A411,Inputs!$B$6:$D$6,0)),IF(=INDEX(Roster!$B$6:$B$108,MATCH(D411,Roster!$A$6:$A$108,0))="Associate Principal",INDEX(Inputs!$B$11:$D$11,1,MATCH(A411,Inputs!$B$6:$D$6,0)),IF(=INDEX(Roster!$B$6:$B$108,MATCH(D411,Roster!$A$6:$A$108,0))="Assistant Principal",INDEX(Inputs!$B$12:$D$12,1,MATCH(A411,Inputs!$B$6:$D$6,0)),0))))</x:f>
        <x:v>0</x:v>
      </x:c>
      <x:c r="L411" s="20" t="n">
        <x:f>IF(INDEX(Roster!$D$6:$D$108,MATCH(D411,Roster!$A$6:$A$108,0))&gt;=25,INDEX(Inputs!$B$19:$D$19,1,MATCH(A411,Inputs!$B$6:$D$6,0)),IF(INDEX(Roster!$D$6:$D$108,MATCH(D411,Roster!$A$6:$A$108,0))&gt;=20,INDEX(Inputs!$B$18:$D$18,1,MATCH(A411,Inputs!$B$6:$D$6,0)),IF(INDEX(Roster!$D$6:$D$108,MATCH(D411,Roster!$A$6:$A$108,0))&gt;=15,INDEX(Inputs!$B$17:$D$17,1,MATCH(A411,Inputs!$B$6:$D$6,0)),IF(INDEX(Roster!$D$6:$D$108,MATCH(D411,Roster!$A$6:$A$108,0))&gt;=10,INDEX(Inputs!$B$16:$D$16,1,MATCH(A411,Inputs!$B$6:$D$6,0)),IF(INDEX(Roster!$D$6:$D$108,MATCH(D411,Roster!$A$6:$A$108,0))&gt;=5,INDEX(Inputs!$B$15:$D$15,1,MATCH(A411,Inputs!$B$6:$D$6,0)),0)))))</x:f>
        <x:v>60</x:v>
      </x:c>
      <x:c r="M411" s="20" t="n">
        <x:f>G411*I411</x:f>
        <x:v>31135</x:v>
      </x:c>
      <x:c r="N411" s="20" t="n">
        <x:f>G411*J411</x:f>
        <x:v>260</x:v>
      </x:c>
      <x:c r="O411" s="20" t="n">
        <x:f>G411*K411</x:f>
        <x:v>0</x:v>
      </x:c>
      <x:c r="P411" s="20" t="n">
        <x:f>G411*L411</x:f>
        <x:v>780</x:v>
      </x:c>
      <x:c r="Q411" s="20" t="n">
        <x:f>H411*INDEX(Inputs!$B$13:$D$13,1,MATCH(A411,Inputs!$B$6:$D$6,0))</x:f>
        <x:v>390</x:v>
      </x:c>
      <x:c r="R411" s="20" t="n">
        <x:f>SUM(M411:Q411)</x:f>
        <x:v>32565</x:v>
      </x:c>
      <x:c r="S411" s="20" t="n">
        <x:f>IF(AND(A410=A411,D410=D411),S410+R411,R411)</x:f>
        <x:v>65130</x:v>
      </x:c>
      <x:c r="T411" s="20" t="n">
        <x:f>MIN(S411,INDEX(Inputs!$B$20:$D$20,1,MATCH(A411,Inputs!$B$6:$D$6,0)))*INDEX(Inputs!$B$22:$D$22,1,MATCH(A411,Inputs!$B$6:$D$6,0))+MAX(MIN(S411,INDEX(Inputs!$B$21:$D$21,1,MATCH(A411,Inputs!$B$6:$D$6,0)))-INDEX(Inputs!$B$20:$D$20,1,MATCH(A411,Inputs!$B$6:$D$6,0)),0)*INDEX(Inputs!$B$23:$D$23,1,MATCH(A411,Inputs!$B$6:$D$6,0))+MAX(S411-INDEX(Inputs!$B$21:$D$21,1,MATCH(A411,Inputs!$B$6:$D$6,0)),0)*INDEX(Inputs!$B$24:$D$24,1,MATCH(A411,Inputs!$B$6:$D$6,0))</x:f>
        <x:v>5472.445</x:v>
      </x:c>
      <x:c r="U411" s="20" t="n">
        <x:f>IF(AND(A410=A411,D410=D411),T410,0)</x:f>
        <x:v>2981.2225</x:v>
      </x:c>
      <x:c r="V411" s="20" t="n">
        <x:f>T411-U411</x:f>
        <x:v>2491.2225</x:v>
      </x:c>
      <x:c r="W411" s="20" t="n">
        <x:f>R411+V411</x:f>
        <x:v>35056.2225</x:v>
      </x:c>
      <x:c r="X411" s="14" t="str">
        <x:f>IF(ABS(W411-SUM(M411:Q411)-V411)&lt;0.01,"OK","Check")</x:f>
        <x:v>OK</x:v>
      </x:c>
    </x:row>
    <x:row r="412">
      <x:c r="A412" s="14" t="n">
        <x:v>2026</x:v>
      </x:c>
      <x:c r="B412" s="14" t="str">
        <x:v>Q3</x:v>
      </x:c>
      <x:c r="C412" s="14" t="n">
        <x:v>3</x:v>
      </x:c>
      <x:c r="D412" s="14" t="n">
        <x:v>102</x:v>
      </x:c>
      <x:c r="E412" s="14" t="str">
        <x:f>INDEX(Roster!$B$6:$B$108,MATCH(D412,Roster!$A$6:$A$108,0))</x:f>
      </x:c>
      <x:c r="F412" s="14" t="str">
        <x:f>INDEX(Roster!$F$6:$F$108,MATCH(D412,Roster!$A$6:$A$108,0))</x:f>
        <x:v>No</x:v>
      </x:c>
      <x:c r="G412" s="14" t="n">
        <x:f>INDEX(Inputs!$B$7:$D$7,1,MATCH(A412,Inputs!$B$6:$D$6,0))</x:f>
        <x:v>13</x:v>
      </x:c>
      <x:c r="H412" s="14" t="n">
        <x:f>MIN(=INDEX(Inputs!$B$7:$D$7,1,MATCH(A412,Inputs!$B$6:$D$6,0)),MAX(0,INDEX(Inputs!$B$14:$D$14,1,MATCH(A412,Inputs!$B$6:$D$6,0))-(C412-1)*=INDEX(Inputs!$B$7:$D$7,1,MATCH(A412,Inputs!$B$6:$D$6,0))))</x:f>
        <x:v>13</x:v>
      </x:c>
      <x:c r="I412" s="20" t="n">
        <x:f>INDEX(Inputs!$B$8:$D$8,1,MATCH(A412,Inputs!$B$6:$D$6,0))</x:f>
        <x:v>2395</x:v>
      </x:c>
      <x:c r="J412" s="20" t="n">
        <x:f>INDEX(Roster!$C$6:$C$108,MATCH(D412,Roster!$A$6:$A$108,0))*(1+INDEX(Inputs!$B$9:$D$9,1,MATCH(A412,Inputs!$B$6:$D$6,0)))</x:f>
        <x:v>20</x:v>
      </x:c>
      <x:c r="K412" s="20" t="n">
        <x:f>IF(=INDEX(Roster!$F$6:$F$108,MATCH(D412,Roster!$A$6:$A$108,0))="Yes",0,=INDEX(Inputs!$B$8:$D$8,1,MATCH(A412,Inputs!$B$6:$D$6,0))*IF(=INDEX(Roster!$B$6:$B$108,MATCH(D412,Roster!$A$6:$A$108,0))="Principal",INDEX(Inputs!$B$10:$D$10,1,MATCH(A412,Inputs!$B$6:$D$6,0)),IF(=INDEX(Roster!$B$6:$B$108,MATCH(D412,Roster!$A$6:$A$108,0))="Associate Principal",INDEX(Inputs!$B$11:$D$11,1,MATCH(A412,Inputs!$B$6:$D$6,0)),IF(=INDEX(Roster!$B$6:$B$108,MATCH(D412,Roster!$A$6:$A$108,0))="Assistant Principal",INDEX(Inputs!$B$12:$D$12,1,MATCH(A412,Inputs!$B$6:$D$6,0)),0))))</x:f>
        <x:v>0</x:v>
      </x:c>
      <x:c r="L412" s="20" t="n">
        <x:f>IF(INDEX(Roster!$D$6:$D$108,MATCH(D412,Roster!$A$6:$A$108,0))&gt;=25,INDEX(Inputs!$B$19:$D$19,1,MATCH(A412,Inputs!$B$6:$D$6,0)),IF(INDEX(Roster!$D$6:$D$108,MATCH(D412,Roster!$A$6:$A$108,0))&gt;=20,INDEX(Inputs!$B$18:$D$18,1,MATCH(A412,Inputs!$B$6:$D$6,0)),IF(INDEX(Roster!$D$6:$D$108,MATCH(D412,Roster!$A$6:$A$108,0))&gt;=15,INDEX(Inputs!$B$17:$D$17,1,MATCH(A412,Inputs!$B$6:$D$6,0)),IF(INDEX(Roster!$D$6:$D$108,MATCH(D412,Roster!$A$6:$A$108,0))&gt;=10,INDEX(Inputs!$B$16:$D$16,1,MATCH(A412,Inputs!$B$6:$D$6,0)),IF(INDEX(Roster!$D$6:$D$108,MATCH(D412,Roster!$A$6:$A$108,0))&gt;=5,INDEX(Inputs!$B$15:$D$15,1,MATCH(A412,Inputs!$B$6:$D$6,0)),0)))))</x:f>
        <x:v>60</x:v>
      </x:c>
      <x:c r="M412" s="20" t="n">
        <x:f>G412*I412</x:f>
        <x:v>31135</x:v>
      </x:c>
      <x:c r="N412" s="20" t="n">
        <x:f>G412*J412</x:f>
        <x:v>260</x:v>
      </x:c>
      <x:c r="O412" s="20" t="n">
        <x:f>G412*K412</x:f>
        <x:v>0</x:v>
      </x:c>
      <x:c r="P412" s="20" t="n">
        <x:f>G412*L412</x:f>
        <x:v>780</x:v>
      </x:c>
      <x:c r="Q412" s="20" t="n">
        <x:f>H412*INDEX(Inputs!$B$13:$D$13,1,MATCH(A412,Inputs!$B$6:$D$6,0))</x:f>
        <x:v>390</x:v>
      </x:c>
      <x:c r="R412" s="20" t="n">
        <x:f>SUM(M412:Q412)</x:f>
        <x:v>32565</x:v>
      </x:c>
      <x:c r="S412" s="20" t="n">
        <x:f>IF(AND(A411=A412,D411=D412),S411+R412,R412)</x:f>
        <x:v>97695</x:v>
      </x:c>
      <x:c r="T412" s="20" t="n">
        <x:f>MIN(S412,INDEX(Inputs!$B$20:$D$20,1,MATCH(A412,Inputs!$B$6:$D$6,0)))*INDEX(Inputs!$B$22:$D$22,1,MATCH(A412,Inputs!$B$6:$D$6,0))+MAX(MIN(S412,INDEX(Inputs!$B$21:$D$21,1,MATCH(A412,Inputs!$B$6:$D$6,0)))-INDEX(Inputs!$B$20:$D$20,1,MATCH(A412,Inputs!$B$6:$D$6,0)),0)*INDEX(Inputs!$B$23:$D$23,1,MATCH(A412,Inputs!$B$6:$D$6,0))+MAX(S412-INDEX(Inputs!$B$21:$D$21,1,MATCH(A412,Inputs!$B$6:$D$6,0)),0)*INDEX(Inputs!$B$24:$D$24,1,MATCH(A412,Inputs!$B$6:$D$6,0))</x:f>
        <x:v>7963.6675</x:v>
      </x:c>
      <x:c r="U412" s="20" t="n">
        <x:f>IF(AND(A411=A412,D411=D412),T411,0)</x:f>
        <x:v>5472.445</x:v>
      </x:c>
      <x:c r="V412" s="20" t="n">
        <x:f>T412-U412</x:f>
        <x:v>2491.2225</x:v>
      </x:c>
      <x:c r="W412" s="20" t="n">
        <x:f>R412+V412</x:f>
        <x:v>35056.2225</x:v>
      </x:c>
      <x:c r="X412" s="14" t="str">
        <x:f>IF(ABS(W412-SUM(M412:Q412)-V412)&lt;0.01,"OK","Check")</x:f>
        <x:v>OK</x:v>
      </x:c>
    </x:row>
    <x:row r="413">
      <x:c r="A413" s="14" t="n">
        <x:v>2026</x:v>
      </x:c>
      <x:c r="B413" s="14" t="str">
        <x:v>Q4</x:v>
      </x:c>
      <x:c r="C413" s="14" t="n">
        <x:v>4</x:v>
      </x:c>
      <x:c r="D413" s="14" t="n">
        <x:v>102</x:v>
      </x:c>
      <x:c r="E413" s="14" t="str">
        <x:f>INDEX(Roster!$B$6:$B$108,MATCH(D413,Roster!$A$6:$A$108,0))</x:f>
      </x:c>
      <x:c r="F413" s="14" t="str">
        <x:f>INDEX(Roster!$F$6:$F$108,MATCH(D413,Roster!$A$6:$A$108,0))</x:f>
        <x:v>No</x:v>
      </x:c>
      <x:c r="G413" s="14" t="n">
        <x:f>INDEX(Inputs!$B$7:$D$7,1,MATCH(A413,Inputs!$B$6:$D$6,0))</x:f>
        <x:v>13</x:v>
      </x:c>
      <x:c r="H413" s="14" t="n">
        <x:f>MIN(=INDEX(Inputs!$B$7:$D$7,1,MATCH(A413,Inputs!$B$6:$D$6,0)),MAX(0,INDEX(Inputs!$B$14:$D$14,1,MATCH(A413,Inputs!$B$6:$D$6,0))-(C413-1)*=INDEX(Inputs!$B$7:$D$7,1,MATCH(A413,Inputs!$B$6:$D$6,0))))</x:f>
        <x:v>0</x:v>
      </x:c>
      <x:c r="I413" s="20" t="n">
        <x:f>INDEX(Inputs!$B$8:$D$8,1,MATCH(A413,Inputs!$B$6:$D$6,0))</x:f>
        <x:v>2395</x:v>
      </x:c>
      <x:c r="J413" s="20" t="n">
        <x:f>INDEX(Roster!$C$6:$C$108,MATCH(D413,Roster!$A$6:$A$108,0))*(1+INDEX(Inputs!$B$9:$D$9,1,MATCH(A413,Inputs!$B$6:$D$6,0)))</x:f>
        <x:v>20</x:v>
      </x:c>
      <x:c r="K413" s="20" t="n">
        <x:f>IF(=INDEX(Roster!$F$6:$F$108,MATCH(D413,Roster!$A$6:$A$108,0))="Yes",0,=INDEX(Inputs!$B$8:$D$8,1,MATCH(A413,Inputs!$B$6:$D$6,0))*IF(=INDEX(Roster!$B$6:$B$108,MATCH(D413,Roster!$A$6:$A$108,0))="Principal",INDEX(Inputs!$B$10:$D$10,1,MATCH(A413,Inputs!$B$6:$D$6,0)),IF(=INDEX(Roster!$B$6:$B$108,MATCH(D413,Roster!$A$6:$A$108,0))="Associate Principal",INDEX(Inputs!$B$11:$D$11,1,MATCH(A413,Inputs!$B$6:$D$6,0)),IF(=INDEX(Roster!$B$6:$B$108,MATCH(D413,Roster!$A$6:$A$108,0))="Assistant Principal",INDEX(Inputs!$B$12:$D$12,1,MATCH(A413,Inputs!$B$6:$D$6,0)),0))))</x:f>
        <x:v>0</x:v>
      </x:c>
      <x:c r="L413" s="20" t="n">
        <x:f>IF(INDEX(Roster!$D$6:$D$108,MATCH(D413,Roster!$A$6:$A$108,0))&gt;=25,INDEX(Inputs!$B$19:$D$19,1,MATCH(A413,Inputs!$B$6:$D$6,0)),IF(INDEX(Roster!$D$6:$D$108,MATCH(D413,Roster!$A$6:$A$108,0))&gt;=20,INDEX(Inputs!$B$18:$D$18,1,MATCH(A413,Inputs!$B$6:$D$6,0)),IF(INDEX(Roster!$D$6:$D$108,MATCH(D413,Roster!$A$6:$A$108,0))&gt;=15,INDEX(Inputs!$B$17:$D$17,1,MATCH(A413,Inputs!$B$6:$D$6,0)),IF(INDEX(Roster!$D$6:$D$108,MATCH(D413,Roster!$A$6:$A$108,0))&gt;=10,INDEX(Inputs!$B$16:$D$16,1,MATCH(A413,Inputs!$B$6:$D$6,0)),IF(INDEX(Roster!$D$6:$D$108,MATCH(D413,Roster!$A$6:$A$108,0))&gt;=5,INDEX(Inputs!$B$15:$D$15,1,MATCH(A413,Inputs!$B$6:$D$6,0)),0)))))</x:f>
        <x:v>60</x:v>
      </x:c>
      <x:c r="M413" s="20" t="n">
        <x:f>G413*I413</x:f>
        <x:v>31135</x:v>
      </x:c>
      <x:c r="N413" s="20" t="n">
        <x:f>G413*J413</x:f>
        <x:v>260</x:v>
      </x:c>
      <x:c r="O413" s="20" t="n">
        <x:f>G413*K413</x:f>
        <x:v>0</x:v>
      </x:c>
      <x:c r="P413" s="20" t="n">
        <x:f>G413*L413</x:f>
        <x:v>780</x:v>
      </x:c>
      <x:c r="Q413" s="20" t="n">
        <x:f>H413*INDEX(Inputs!$B$13:$D$13,1,MATCH(A413,Inputs!$B$6:$D$6,0))</x:f>
        <x:v>0</x:v>
      </x:c>
      <x:c r="R413" s="20" t="n">
        <x:f>SUM(M413:Q413)</x:f>
        <x:v>32175</x:v>
      </x:c>
      <x:c r="S413" s="20" t="n">
        <x:f>IF(AND(A412=A413,D412=D413),S412+R413,R413)</x:f>
        <x:v>129870</x:v>
      </x:c>
      <x:c r="T413" s="20" t="n">
        <x:f>MIN(S413,INDEX(Inputs!$B$20:$D$20,1,MATCH(A413,Inputs!$B$6:$D$6,0)))*INDEX(Inputs!$B$22:$D$22,1,MATCH(A413,Inputs!$B$6:$D$6,0))+MAX(MIN(S413,INDEX(Inputs!$B$21:$D$21,1,MATCH(A413,Inputs!$B$6:$D$6,0)))-INDEX(Inputs!$B$20:$D$20,1,MATCH(A413,Inputs!$B$6:$D$6,0)),0)*INDEX(Inputs!$B$23:$D$23,1,MATCH(A413,Inputs!$B$6:$D$6,0))+MAX(S413-INDEX(Inputs!$B$21:$D$21,1,MATCH(A413,Inputs!$B$6:$D$6,0)),0)*INDEX(Inputs!$B$24:$D$24,1,MATCH(A413,Inputs!$B$6:$D$6,0))</x:f>
        <x:v>9797.057</x:v>
      </x:c>
      <x:c r="U413" s="20" t="n">
        <x:f>IF(AND(A412=A413,D412=D413),T412,0)</x:f>
        <x:v>7963.6675</x:v>
      </x:c>
      <x:c r="V413" s="20" t="n">
        <x:f>T413-U413</x:f>
        <x:v>1833.3895000000011</x:v>
      </x:c>
      <x:c r="W413" s="20" t="n">
        <x:f>R413+V413</x:f>
        <x:v>34008.389500000005</x:v>
      </x:c>
      <x:c r="X413" s="14" t="str">
        <x:f>IF(ABS(W413-SUM(M413:Q413)-V413)&lt;0.01,"OK","Check")</x:f>
        <x:v>OK</x:v>
      </x:c>
    </x:row>
    <x:row r="414">
      <x:c r="A414" s="14" t="n">
        <x:v>2026</x:v>
      </x:c>
      <x:c r="B414" s="14" t="str">
        <x:v>Q1</x:v>
      </x:c>
      <x:c r="C414" s="14" t="n">
        <x:v>1</x:v>
      </x:c>
      <x:c r="D414" s="14" t="n">
        <x:v>103</x:v>
      </x:c>
      <x:c r="E414" s="14" t="str">
        <x:f>INDEX(Roster!$B$6:$B$108,MATCH(D414,Roster!$A$6:$A$108,0))</x:f>
      </x:c>
      <x:c r="F414" s="14" t="str">
        <x:f>INDEX(Roster!$F$6:$F$108,MATCH(D414,Roster!$A$6:$A$108,0))</x:f>
        <x:v>No</x:v>
      </x:c>
      <x:c r="G414" s="14" t="n">
        <x:f>INDEX(Inputs!$B$7:$D$7,1,MATCH(A414,Inputs!$B$6:$D$6,0))</x:f>
        <x:v>13</x:v>
      </x:c>
      <x:c r="H414" s="14" t="n">
        <x:f>MIN(=INDEX(Inputs!$B$7:$D$7,1,MATCH(A414,Inputs!$B$6:$D$6,0)),MAX(0,INDEX(Inputs!$B$14:$D$14,1,MATCH(A414,Inputs!$B$6:$D$6,0))-(C414-1)*=INDEX(Inputs!$B$7:$D$7,1,MATCH(A414,Inputs!$B$6:$D$6,0))))</x:f>
        <x:v>13</x:v>
      </x:c>
      <x:c r="I414" s="20" t="n">
        <x:f>INDEX(Inputs!$B$8:$D$8,1,MATCH(A414,Inputs!$B$6:$D$6,0))</x:f>
        <x:v>2395</x:v>
      </x:c>
      <x:c r="J414" s="20" t="n">
        <x:f>INDEX(Roster!$C$6:$C$108,MATCH(D414,Roster!$A$6:$A$108,0))*(1+INDEX(Inputs!$B$9:$D$9,1,MATCH(A414,Inputs!$B$6:$D$6,0)))</x:f>
        <x:v>0</x:v>
      </x:c>
      <x:c r="K414" s="20" t="n">
        <x:f>IF(=INDEX(Roster!$F$6:$F$108,MATCH(D414,Roster!$A$6:$A$108,0))="Yes",0,=INDEX(Inputs!$B$8:$D$8,1,MATCH(A414,Inputs!$B$6:$D$6,0))*IF(=INDEX(Roster!$B$6:$B$108,MATCH(D414,Roster!$A$6:$A$108,0))="Principal",INDEX(Inputs!$B$10:$D$10,1,MATCH(A414,Inputs!$B$6:$D$6,0)),IF(=INDEX(Roster!$B$6:$B$108,MATCH(D414,Roster!$A$6:$A$108,0))="Associate Principal",INDEX(Inputs!$B$11:$D$11,1,MATCH(A414,Inputs!$B$6:$D$6,0)),IF(=INDEX(Roster!$B$6:$B$108,MATCH(D414,Roster!$A$6:$A$108,0))="Assistant Principal",INDEX(Inputs!$B$12:$D$12,1,MATCH(A414,Inputs!$B$6:$D$6,0)),0))))</x:f>
        <x:v>0</x:v>
      </x:c>
      <x:c r="L414" s="20" t="n">
        <x:f>IF(INDEX(Roster!$D$6:$D$108,MATCH(D414,Roster!$A$6:$A$108,0))&gt;=25,INDEX(Inputs!$B$19:$D$19,1,MATCH(A414,Inputs!$B$6:$D$6,0)),IF(INDEX(Roster!$D$6:$D$108,MATCH(D414,Roster!$A$6:$A$108,0))&gt;=20,INDEX(Inputs!$B$18:$D$18,1,MATCH(A414,Inputs!$B$6:$D$6,0)),IF(INDEX(Roster!$D$6:$D$108,MATCH(D414,Roster!$A$6:$A$108,0))&gt;=15,INDEX(Inputs!$B$17:$D$17,1,MATCH(A414,Inputs!$B$6:$D$6,0)),IF(INDEX(Roster!$D$6:$D$108,MATCH(D414,Roster!$A$6:$A$108,0))&gt;=10,INDEX(Inputs!$B$16:$D$16,1,MATCH(A414,Inputs!$B$6:$D$6,0)),IF(INDEX(Roster!$D$6:$D$108,MATCH(D414,Roster!$A$6:$A$108,0))&gt;=5,INDEX(Inputs!$B$15:$D$15,1,MATCH(A414,Inputs!$B$6:$D$6,0)),0)))))</x:f>
        <x:v>0</x:v>
      </x:c>
      <x:c r="M414" s="20" t="n">
        <x:f>G414*I414</x:f>
        <x:v>31135</x:v>
      </x:c>
      <x:c r="N414" s="20" t="n">
        <x:f>G414*J414</x:f>
        <x:v>0</x:v>
      </x:c>
      <x:c r="O414" s="20" t="n">
        <x:f>G414*K414</x:f>
        <x:v>0</x:v>
      </x:c>
      <x:c r="P414" s="20" t="n">
        <x:f>G414*L414</x:f>
        <x:v>0</x:v>
      </x:c>
      <x:c r="Q414" s="20" t="n">
        <x:f>H414*INDEX(Inputs!$B$13:$D$13,1,MATCH(A414,Inputs!$B$6:$D$6,0))</x:f>
        <x:v>390</x:v>
      </x:c>
      <x:c r="R414" s="20" t="n">
        <x:f>SUM(M414:Q414)</x:f>
        <x:v>31525</x:v>
      </x:c>
      <x:c r="S414" s="20" t="n">
        <x:f>IF(AND(A413=A414,D413=D414),S413+R414,R414)</x:f>
        <x:v>31525</x:v>
      </x:c>
      <x:c r="T414" s="20" t="n">
        <x:f>MIN(S414,INDEX(Inputs!$B$20:$D$20,1,MATCH(A414,Inputs!$B$6:$D$6,0)))*INDEX(Inputs!$B$22:$D$22,1,MATCH(A414,Inputs!$B$6:$D$6,0))+MAX(MIN(S414,INDEX(Inputs!$B$21:$D$21,1,MATCH(A414,Inputs!$B$6:$D$6,0)))-INDEX(Inputs!$B$20:$D$20,1,MATCH(A414,Inputs!$B$6:$D$6,0)),0)*INDEX(Inputs!$B$23:$D$23,1,MATCH(A414,Inputs!$B$6:$D$6,0))+MAX(S414-INDEX(Inputs!$B$21:$D$21,1,MATCH(A414,Inputs!$B$6:$D$6,0)),0)*INDEX(Inputs!$B$24:$D$24,1,MATCH(A414,Inputs!$B$6:$D$6,0))</x:f>
        <x:v>2901.6625</x:v>
      </x:c>
      <x:c r="U414" s="20" t="n">
        <x:f>IF(AND(A413=A414,D413=D414),T413,0)</x:f>
        <x:v>0</x:v>
      </x:c>
      <x:c r="V414" s="20" t="n">
        <x:f>T414-U414</x:f>
        <x:v>2901.6625</x:v>
      </x:c>
      <x:c r="W414" s="20" t="n">
        <x:f>R414+V414</x:f>
        <x:v>34426.6625</x:v>
      </x:c>
      <x:c r="X414" s="14" t="str">
        <x:f>IF(ABS(W414-SUM(M414:Q414)-V414)&lt;0.01,"OK","Check")</x:f>
        <x:v>OK</x:v>
      </x:c>
    </x:row>
    <x:row r="415">
      <x:c r="A415" s="14" t="n">
        <x:v>2026</x:v>
      </x:c>
      <x:c r="B415" s="14" t="str">
        <x:v>Q2</x:v>
      </x:c>
      <x:c r="C415" s="14" t="n">
        <x:v>2</x:v>
      </x:c>
      <x:c r="D415" s="14" t="n">
        <x:v>103</x:v>
      </x:c>
      <x:c r="E415" s="14" t="str">
        <x:f>INDEX(Roster!$B$6:$B$108,MATCH(D415,Roster!$A$6:$A$108,0))</x:f>
      </x:c>
      <x:c r="F415" s="14" t="str">
        <x:f>INDEX(Roster!$F$6:$F$108,MATCH(D415,Roster!$A$6:$A$108,0))</x:f>
        <x:v>No</x:v>
      </x:c>
      <x:c r="G415" s="14" t="n">
        <x:f>INDEX(Inputs!$B$7:$D$7,1,MATCH(A415,Inputs!$B$6:$D$6,0))</x:f>
        <x:v>13</x:v>
      </x:c>
      <x:c r="H415" s="14" t="n">
        <x:f>MIN(=INDEX(Inputs!$B$7:$D$7,1,MATCH(A415,Inputs!$B$6:$D$6,0)),MAX(0,INDEX(Inputs!$B$14:$D$14,1,MATCH(A415,Inputs!$B$6:$D$6,0))-(C415-1)*=INDEX(Inputs!$B$7:$D$7,1,MATCH(A415,Inputs!$B$6:$D$6,0))))</x:f>
        <x:v>13</x:v>
      </x:c>
      <x:c r="I415" s="20" t="n">
        <x:f>INDEX(Inputs!$B$8:$D$8,1,MATCH(A415,Inputs!$B$6:$D$6,0))</x:f>
        <x:v>2395</x:v>
      </x:c>
      <x:c r="J415" s="20" t="n">
        <x:f>INDEX(Roster!$C$6:$C$108,MATCH(D415,Roster!$A$6:$A$108,0))*(1+INDEX(Inputs!$B$9:$D$9,1,MATCH(A415,Inputs!$B$6:$D$6,0)))</x:f>
        <x:v>0</x:v>
      </x:c>
      <x:c r="K415" s="20" t="n">
        <x:f>IF(=INDEX(Roster!$F$6:$F$108,MATCH(D415,Roster!$A$6:$A$108,0))="Yes",0,=INDEX(Inputs!$B$8:$D$8,1,MATCH(A415,Inputs!$B$6:$D$6,0))*IF(=INDEX(Roster!$B$6:$B$108,MATCH(D415,Roster!$A$6:$A$108,0))="Principal",INDEX(Inputs!$B$10:$D$10,1,MATCH(A415,Inputs!$B$6:$D$6,0)),IF(=INDEX(Roster!$B$6:$B$108,MATCH(D415,Roster!$A$6:$A$108,0))="Associate Principal",INDEX(Inputs!$B$11:$D$11,1,MATCH(A415,Inputs!$B$6:$D$6,0)),IF(=INDEX(Roster!$B$6:$B$108,MATCH(D415,Roster!$A$6:$A$108,0))="Assistant Principal",INDEX(Inputs!$B$12:$D$12,1,MATCH(A415,Inputs!$B$6:$D$6,0)),0))))</x:f>
        <x:v>0</x:v>
      </x:c>
      <x:c r="L415" s="20" t="n">
        <x:f>IF(INDEX(Roster!$D$6:$D$108,MATCH(D415,Roster!$A$6:$A$108,0))&gt;=25,INDEX(Inputs!$B$19:$D$19,1,MATCH(A415,Inputs!$B$6:$D$6,0)),IF(INDEX(Roster!$D$6:$D$108,MATCH(D415,Roster!$A$6:$A$108,0))&gt;=20,INDEX(Inputs!$B$18:$D$18,1,MATCH(A415,Inputs!$B$6:$D$6,0)),IF(INDEX(Roster!$D$6:$D$108,MATCH(D415,Roster!$A$6:$A$108,0))&gt;=15,INDEX(Inputs!$B$17:$D$17,1,MATCH(A415,Inputs!$B$6:$D$6,0)),IF(INDEX(Roster!$D$6:$D$108,MATCH(D415,Roster!$A$6:$A$108,0))&gt;=10,INDEX(Inputs!$B$16:$D$16,1,MATCH(A415,Inputs!$B$6:$D$6,0)),IF(INDEX(Roster!$D$6:$D$108,MATCH(D415,Roster!$A$6:$A$108,0))&gt;=5,INDEX(Inputs!$B$15:$D$15,1,MATCH(A415,Inputs!$B$6:$D$6,0)),0)))))</x:f>
        <x:v>0</x:v>
      </x:c>
      <x:c r="M415" s="20" t="n">
        <x:f>G415*I415</x:f>
        <x:v>31135</x:v>
      </x:c>
      <x:c r="N415" s="20" t="n">
        <x:f>G415*J415</x:f>
        <x:v>0</x:v>
      </x:c>
      <x:c r="O415" s="20" t="n">
        <x:f>G415*K415</x:f>
        <x:v>0</x:v>
      </x:c>
      <x:c r="P415" s="20" t="n">
        <x:f>G415*L415</x:f>
        <x:v>0</x:v>
      </x:c>
      <x:c r="Q415" s="20" t="n">
        <x:f>H415*INDEX(Inputs!$B$13:$D$13,1,MATCH(A415,Inputs!$B$6:$D$6,0))</x:f>
        <x:v>390</x:v>
      </x:c>
      <x:c r="R415" s="20" t="n">
        <x:f>SUM(M415:Q415)</x:f>
        <x:v>31525</x:v>
      </x:c>
      <x:c r="S415" s="20" t="n">
        <x:f>IF(AND(A414=A415,D414=D415),S414+R415,R415)</x:f>
        <x:v>63050</x:v>
      </x:c>
      <x:c r="T415" s="20" t="n">
        <x:f>MIN(S415,INDEX(Inputs!$B$20:$D$20,1,MATCH(A415,Inputs!$B$6:$D$6,0)))*INDEX(Inputs!$B$22:$D$22,1,MATCH(A415,Inputs!$B$6:$D$6,0))+MAX(MIN(S415,INDEX(Inputs!$B$21:$D$21,1,MATCH(A415,Inputs!$B$6:$D$6,0)))-INDEX(Inputs!$B$20:$D$20,1,MATCH(A415,Inputs!$B$6:$D$6,0)),0)*INDEX(Inputs!$B$23:$D$23,1,MATCH(A415,Inputs!$B$6:$D$6,0))+MAX(S415-INDEX(Inputs!$B$21:$D$21,1,MATCH(A415,Inputs!$B$6:$D$6,0)),0)*INDEX(Inputs!$B$24:$D$24,1,MATCH(A415,Inputs!$B$6:$D$6,0))</x:f>
        <x:v>5313.325</x:v>
      </x:c>
      <x:c r="U415" s="20" t="n">
        <x:f>IF(AND(A414=A415,D414=D415),T414,0)</x:f>
        <x:v>2901.6625</x:v>
      </x:c>
      <x:c r="V415" s="20" t="n">
        <x:f>T415-U415</x:f>
        <x:v>2411.6625</x:v>
      </x:c>
      <x:c r="W415" s="20" t="n">
        <x:f>R415+V415</x:f>
        <x:v>33936.6625</x:v>
      </x:c>
      <x:c r="X415" s="14" t="str">
        <x:f>IF(ABS(W415-SUM(M415:Q415)-V415)&lt;0.01,"OK","Check")</x:f>
        <x:v>OK</x:v>
      </x:c>
    </x:row>
    <x:row r="416">
      <x:c r="A416" s="14" t="n">
        <x:v>2026</x:v>
      </x:c>
      <x:c r="B416" s="14" t="str">
        <x:v>Q3</x:v>
      </x:c>
      <x:c r="C416" s="14" t="n">
        <x:v>3</x:v>
      </x:c>
      <x:c r="D416" s="14" t="n">
        <x:v>103</x:v>
      </x:c>
      <x:c r="E416" s="14" t="str">
        <x:f>INDEX(Roster!$B$6:$B$108,MATCH(D416,Roster!$A$6:$A$108,0))</x:f>
      </x:c>
      <x:c r="F416" s="14" t="str">
        <x:f>INDEX(Roster!$F$6:$F$108,MATCH(D416,Roster!$A$6:$A$108,0))</x:f>
        <x:v>No</x:v>
      </x:c>
      <x:c r="G416" s="14" t="n">
        <x:f>INDEX(Inputs!$B$7:$D$7,1,MATCH(A416,Inputs!$B$6:$D$6,0))</x:f>
        <x:v>13</x:v>
      </x:c>
      <x:c r="H416" s="14" t="n">
        <x:f>MIN(=INDEX(Inputs!$B$7:$D$7,1,MATCH(A416,Inputs!$B$6:$D$6,0)),MAX(0,INDEX(Inputs!$B$14:$D$14,1,MATCH(A416,Inputs!$B$6:$D$6,0))-(C416-1)*=INDEX(Inputs!$B$7:$D$7,1,MATCH(A416,Inputs!$B$6:$D$6,0))))</x:f>
        <x:v>13</x:v>
      </x:c>
      <x:c r="I416" s="20" t="n">
        <x:f>INDEX(Inputs!$B$8:$D$8,1,MATCH(A416,Inputs!$B$6:$D$6,0))</x:f>
        <x:v>2395</x:v>
      </x:c>
      <x:c r="J416" s="20" t="n">
        <x:f>INDEX(Roster!$C$6:$C$108,MATCH(D416,Roster!$A$6:$A$108,0))*(1+INDEX(Inputs!$B$9:$D$9,1,MATCH(A416,Inputs!$B$6:$D$6,0)))</x:f>
        <x:v>0</x:v>
      </x:c>
      <x:c r="K416" s="20" t="n">
        <x:f>IF(=INDEX(Roster!$F$6:$F$108,MATCH(D416,Roster!$A$6:$A$108,0))="Yes",0,=INDEX(Inputs!$B$8:$D$8,1,MATCH(A416,Inputs!$B$6:$D$6,0))*IF(=INDEX(Roster!$B$6:$B$108,MATCH(D416,Roster!$A$6:$A$108,0))="Principal",INDEX(Inputs!$B$10:$D$10,1,MATCH(A416,Inputs!$B$6:$D$6,0)),IF(=INDEX(Roster!$B$6:$B$108,MATCH(D416,Roster!$A$6:$A$108,0))="Associate Principal",INDEX(Inputs!$B$11:$D$11,1,MATCH(A416,Inputs!$B$6:$D$6,0)),IF(=INDEX(Roster!$B$6:$B$108,MATCH(D416,Roster!$A$6:$A$108,0))="Assistant Principal",INDEX(Inputs!$B$12:$D$12,1,MATCH(A416,Inputs!$B$6:$D$6,0)),0))))</x:f>
        <x:v>0</x:v>
      </x:c>
      <x:c r="L416" s="20" t="n">
        <x:f>IF(INDEX(Roster!$D$6:$D$108,MATCH(D416,Roster!$A$6:$A$108,0))&gt;=25,INDEX(Inputs!$B$19:$D$19,1,MATCH(A416,Inputs!$B$6:$D$6,0)),IF(INDEX(Roster!$D$6:$D$108,MATCH(D416,Roster!$A$6:$A$108,0))&gt;=20,INDEX(Inputs!$B$18:$D$18,1,MATCH(A416,Inputs!$B$6:$D$6,0)),IF(INDEX(Roster!$D$6:$D$108,MATCH(D416,Roster!$A$6:$A$108,0))&gt;=15,INDEX(Inputs!$B$17:$D$17,1,MATCH(A416,Inputs!$B$6:$D$6,0)),IF(INDEX(Roster!$D$6:$D$108,MATCH(D416,Roster!$A$6:$A$108,0))&gt;=10,INDEX(Inputs!$B$16:$D$16,1,MATCH(A416,Inputs!$B$6:$D$6,0)),IF(INDEX(Roster!$D$6:$D$108,MATCH(D416,Roster!$A$6:$A$108,0))&gt;=5,INDEX(Inputs!$B$15:$D$15,1,MATCH(A416,Inputs!$B$6:$D$6,0)),0)))))</x:f>
        <x:v>0</x:v>
      </x:c>
      <x:c r="M416" s="20" t="n">
        <x:f>G416*I416</x:f>
        <x:v>31135</x:v>
      </x:c>
      <x:c r="N416" s="20" t="n">
        <x:f>G416*J416</x:f>
        <x:v>0</x:v>
      </x:c>
      <x:c r="O416" s="20" t="n">
        <x:f>G416*K416</x:f>
        <x:v>0</x:v>
      </x:c>
      <x:c r="P416" s="20" t="n">
        <x:f>G416*L416</x:f>
        <x:v>0</x:v>
      </x:c>
      <x:c r="Q416" s="20" t="n">
        <x:f>H416*INDEX(Inputs!$B$13:$D$13,1,MATCH(A416,Inputs!$B$6:$D$6,0))</x:f>
        <x:v>390</x:v>
      </x:c>
      <x:c r="R416" s="20" t="n">
        <x:f>SUM(M416:Q416)</x:f>
        <x:v>31525</x:v>
      </x:c>
      <x:c r="S416" s="20" t="n">
        <x:f>IF(AND(A415=A416,D415=D416),S415+R416,R416)</x:f>
        <x:v>94575</x:v>
      </x:c>
      <x:c r="T416" s="20" t="n">
        <x:f>MIN(S416,INDEX(Inputs!$B$20:$D$20,1,MATCH(A416,Inputs!$B$6:$D$6,0)))*INDEX(Inputs!$B$22:$D$22,1,MATCH(A416,Inputs!$B$6:$D$6,0))+MAX(MIN(S416,INDEX(Inputs!$B$21:$D$21,1,MATCH(A416,Inputs!$B$6:$D$6,0)))-INDEX(Inputs!$B$20:$D$20,1,MATCH(A416,Inputs!$B$6:$D$6,0)),0)*INDEX(Inputs!$B$23:$D$23,1,MATCH(A416,Inputs!$B$6:$D$6,0))+MAX(S416-INDEX(Inputs!$B$21:$D$21,1,MATCH(A416,Inputs!$B$6:$D$6,0)),0)*INDEX(Inputs!$B$24:$D$24,1,MATCH(A416,Inputs!$B$6:$D$6,0))</x:f>
        <x:v>7724.9875</x:v>
      </x:c>
      <x:c r="U416" s="20" t="n">
        <x:f>IF(AND(A415=A416,D415=D416),T415,0)</x:f>
        <x:v>5313.325</x:v>
      </x:c>
      <x:c r="V416" s="20" t="n">
        <x:f>T416-U416</x:f>
        <x:v>2411.6625000000004</x:v>
      </x:c>
      <x:c r="W416" s="20" t="n">
        <x:f>R416+V416</x:f>
        <x:v>33936.6625</x:v>
      </x:c>
      <x:c r="X416" s="14" t="str">
        <x:f>IF(ABS(W416-SUM(M416:Q416)-V416)&lt;0.01,"OK","Check")</x:f>
        <x:v>OK</x:v>
      </x:c>
    </x:row>
    <x:row r="417">
      <x:c r="A417" s="14" t="n">
        <x:v>2026</x:v>
      </x:c>
      <x:c r="B417" s="14" t="str">
        <x:v>Q4</x:v>
      </x:c>
      <x:c r="C417" s="14" t="n">
        <x:v>4</x:v>
      </x:c>
      <x:c r="D417" s="14" t="n">
        <x:v>103</x:v>
      </x:c>
      <x:c r="E417" s="14" t="str">
        <x:f>INDEX(Roster!$B$6:$B$108,MATCH(D417,Roster!$A$6:$A$108,0))</x:f>
      </x:c>
      <x:c r="F417" s="14" t="str">
        <x:f>INDEX(Roster!$F$6:$F$108,MATCH(D417,Roster!$A$6:$A$108,0))</x:f>
        <x:v>No</x:v>
      </x:c>
      <x:c r="G417" s="14" t="n">
        <x:f>INDEX(Inputs!$B$7:$D$7,1,MATCH(A417,Inputs!$B$6:$D$6,0))</x:f>
        <x:v>13</x:v>
      </x:c>
      <x:c r="H417" s="14" t="n">
        <x:f>MIN(=INDEX(Inputs!$B$7:$D$7,1,MATCH(A417,Inputs!$B$6:$D$6,0)),MAX(0,INDEX(Inputs!$B$14:$D$14,1,MATCH(A417,Inputs!$B$6:$D$6,0))-(C417-1)*=INDEX(Inputs!$B$7:$D$7,1,MATCH(A417,Inputs!$B$6:$D$6,0))))</x:f>
        <x:v>0</x:v>
      </x:c>
      <x:c r="I417" s="20" t="n">
        <x:f>INDEX(Inputs!$B$8:$D$8,1,MATCH(A417,Inputs!$B$6:$D$6,0))</x:f>
        <x:v>2395</x:v>
      </x:c>
      <x:c r="J417" s="20" t="n">
        <x:f>INDEX(Roster!$C$6:$C$108,MATCH(D417,Roster!$A$6:$A$108,0))*(1+INDEX(Inputs!$B$9:$D$9,1,MATCH(A417,Inputs!$B$6:$D$6,0)))</x:f>
        <x:v>0</x:v>
      </x:c>
      <x:c r="K417" s="20" t="n">
        <x:f>IF(=INDEX(Roster!$F$6:$F$108,MATCH(D417,Roster!$A$6:$A$108,0))="Yes",0,=INDEX(Inputs!$B$8:$D$8,1,MATCH(A417,Inputs!$B$6:$D$6,0))*IF(=INDEX(Roster!$B$6:$B$108,MATCH(D417,Roster!$A$6:$A$108,0))="Principal",INDEX(Inputs!$B$10:$D$10,1,MATCH(A417,Inputs!$B$6:$D$6,0)),IF(=INDEX(Roster!$B$6:$B$108,MATCH(D417,Roster!$A$6:$A$108,0))="Associate Principal",INDEX(Inputs!$B$11:$D$11,1,MATCH(A417,Inputs!$B$6:$D$6,0)),IF(=INDEX(Roster!$B$6:$B$108,MATCH(D417,Roster!$A$6:$A$108,0))="Assistant Principal",INDEX(Inputs!$B$12:$D$12,1,MATCH(A417,Inputs!$B$6:$D$6,0)),0))))</x:f>
        <x:v>0</x:v>
      </x:c>
      <x:c r="L417" s="20" t="n">
        <x:f>IF(INDEX(Roster!$D$6:$D$108,MATCH(D417,Roster!$A$6:$A$108,0))&gt;=25,INDEX(Inputs!$B$19:$D$19,1,MATCH(A417,Inputs!$B$6:$D$6,0)),IF(INDEX(Roster!$D$6:$D$108,MATCH(D417,Roster!$A$6:$A$108,0))&gt;=20,INDEX(Inputs!$B$18:$D$18,1,MATCH(A417,Inputs!$B$6:$D$6,0)),IF(INDEX(Roster!$D$6:$D$108,MATCH(D417,Roster!$A$6:$A$108,0))&gt;=15,INDEX(Inputs!$B$17:$D$17,1,MATCH(A417,Inputs!$B$6:$D$6,0)),IF(INDEX(Roster!$D$6:$D$108,MATCH(D417,Roster!$A$6:$A$108,0))&gt;=10,INDEX(Inputs!$B$16:$D$16,1,MATCH(A417,Inputs!$B$6:$D$6,0)),IF(INDEX(Roster!$D$6:$D$108,MATCH(D417,Roster!$A$6:$A$108,0))&gt;=5,INDEX(Inputs!$B$15:$D$15,1,MATCH(A417,Inputs!$B$6:$D$6,0)),0)))))</x:f>
        <x:v>0</x:v>
      </x:c>
      <x:c r="M417" s="20" t="n">
        <x:f>G417*I417</x:f>
        <x:v>31135</x:v>
      </x:c>
      <x:c r="N417" s="20" t="n">
        <x:f>G417*J417</x:f>
        <x:v>0</x:v>
      </x:c>
      <x:c r="O417" s="20" t="n">
        <x:f>G417*K417</x:f>
        <x:v>0</x:v>
      </x:c>
      <x:c r="P417" s="20" t="n">
        <x:f>G417*L417</x:f>
        <x:v>0</x:v>
      </x:c>
      <x:c r="Q417" s="20" t="n">
        <x:f>H417*INDEX(Inputs!$B$13:$D$13,1,MATCH(A417,Inputs!$B$6:$D$6,0))</x:f>
        <x:v>0</x:v>
      </x:c>
      <x:c r="R417" s="20" t="n">
        <x:f>SUM(M417:Q417)</x:f>
        <x:v>31135</x:v>
      </x:c>
      <x:c r="S417" s="20" t="n">
        <x:f>IF(AND(A416=A417,D416=D417),S416+R417,R417)</x:f>
        <x:v>125710</x:v>
      </x:c>
      <x:c r="T417" s="20" t="n">
        <x:f>MIN(S417,INDEX(Inputs!$B$20:$D$20,1,MATCH(A417,Inputs!$B$6:$D$6,0)))*INDEX(Inputs!$B$22:$D$22,1,MATCH(A417,Inputs!$B$6:$D$6,0))+MAX(MIN(S417,INDEX(Inputs!$B$21:$D$21,1,MATCH(A417,Inputs!$B$6:$D$6,0)))-INDEX(Inputs!$B$20:$D$20,1,MATCH(A417,Inputs!$B$6:$D$6,0)),0)*INDEX(Inputs!$B$23:$D$23,1,MATCH(A417,Inputs!$B$6:$D$6,0))+MAX(S417-INDEX(Inputs!$B$21:$D$21,1,MATCH(A417,Inputs!$B$6:$D$6,0)),0)*INDEX(Inputs!$B$24:$D$24,1,MATCH(A417,Inputs!$B$6:$D$6,0))</x:f>
        <x:v>9736.737</x:v>
      </x:c>
      <x:c r="U417" s="20" t="n">
        <x:f>IF(AND(A416=A417,D416=D417),T416,0)</x:f>
        <x:v>7724.9875</x:v>
      </x:c>
      <x:c r="V417" s="20" t="n">
        <x:f>T417-U417</x:f>
        <x:v>2011.749499999999</x:v>
      </x:c>
      <x:c r="W417" s="20" t="n">
        <x:f>R417+V417</x:f>
        <x:v>33146.7495</x:v>
      </x:c>
      <x:c r="X417" s="14" t="str">
        <x:f>IF(ABS(W417-SUM(M417:Q417)-V417)&lt;0.01,"OK","Check")</x:f>
        <x:v>OK</x:v>
      </x:c>
    </x:row>
    <x:row r="418">
      <x:c r="A418" s="14" t="n">
        <x:v>2027</x:v>
      </x:c>
      <x:c r="B418" s="14" t="str">
        <x:v>Q1</x:v>
      </x:c>
      <x:c r="C418" s="14" t="n">
        <x:v>1</x:v>
      </x:c>
      <x:c r="D418" s="14" t="n">
        <x:v>1</x:v>
      </x:c>
      <x:c r="E418" s="14" t="str">
        <x:f>INDEX(Roster!$B$6:$B$108,MATCH(D418,Roster!$A$6:$A$108,0))</x:f>
        <x:v>Principal</x:v>
      </x:c>
      <x:c r="F418" s="14" t="str">
        <x:f>INDEX(Roster!$F$6:$F$108,MATCH(D418,Roster!$A$6:$A$108,0))</x:f>
        <x:v>No</x:v>
      </x:c>
      <x:c r="G418" s="14" t="n">
        <x:f>INDEX(Inputs!$B$7:$D$7,1,MATCH(A418,Inputs!$B$6:$D$6,0))</x:f>
        <x:v>13</x:v>
      </x:c>
      <x:c r="H418" s="14" t="n">
        <x:f>MIN(=INDEX(Inputs!$B$7:$D$7,1,MATCH(A418,Inputs!$B$6:$D$6,0)),MAX(0,INDEX(Inputs!$B$14:$D$14,1,MATCH(A418,Inputs!$B$6:$D$6,0))-(C418-1)*=INDEX(Inputs!$B$7:$D$7,1,MATCH(A418,Inputs!$B$6:$D$6,0))))</x:f>
        <x:v>13</x:v>
      </x:c>
      <x:c r="I418" s="20" t="n">
        <x:f>INDEX(Inputs!$B$8:$D$8,1,MATCH(A418,Inputs!$B$6:$D$6,0))</x:f>
        <x:v>2395</x:v>
      </x:c>
      <x:c r="J418" s="20" t="n">
        <x:f>INDEX(Roster!$C$6:$C$108,MATCH(D418,Roster!$A$6:$A$108,0))*(1+INDEX(Inputs!$B$9:$D$9,1,MATCH(A418,Inputs!$B$6:$D$6,0)))</x:f>
        <x:v>300</x:v>
      </x:c>
      <x:c r="K418" s="20" t="n">
        <x:f>IF(=INDEX(Roster!$F$6:$F$108,MATCH(D418,Roster!$A$6:$A$108,0))="Yes",0,=INDEX(Inputs!$B$8:$D$8,1,MATCH(A418,Inputs!$B$6:$D$6,0))*IF(=INDEX(Roster!$B$6:$B$108,MATCH(D418,Roster!$A$6:$A$108,0))="Principal",INDEX(Inputs!$B$10:$D$10,1,MATCH(A418,Inputs!$B$6:$D$6,0)),IF(=INDEX(Roster!$B$6:$B$108,MATCH(D418,Roster!$A$6:$A$108,0))="Associate Principal",INDEX(Inputs!$B$11:$D$11,1,MATCH(A418,Inputs!$B$6:$D$6,0)),IF(=INDEX(Roster!$B$6:$B$108,MATCH(D418,Roster!$A$6:$A$108,0))="Assistant Principal",INDEX(Inputs!$B$12:$D$12,1,MATCH(A418,Inputs!$B$6:$D$6,0)),0))))</x:f>
        <x:v>479</x:v>
      </x:c>
      <x:c r="L418" s="20" t="n">
        <x:f>IF(INDEX(Roster!$D$6:$D$108,MATCH(D418,Roster!$A$6:$A$108,0))&gt;=25,INDEX(Inputs!$B$19:$D$19,1,MATCH(A418,Inputs!$B$6:$D$6,0)),IF(INDEX(Roster!$D$6:$D$108,MATCH(D418,Roster!$A$6:$A$108,0))&gt;=20,INDEX(Inputs!$B$18:$D$18,1,MATCH(A418,Inputs!$B$6:$D$6,0)),IF(INDEX(Roster!$D$6:$D$108,MATCH(D418,Roster!$A$6:$A$108,0))&gt;=15,INDEX(Inputs!$B$17:$D$17,1,MATCH(A418,Inputs!$B$6:$D$6,0)),IF(INDEX(Roster!$D$6:$D$108,MATCH(D418,Roster!$A$6:$A$108,0))&gt;=10,INDEX(Inputs!$B$16:$D$16,1,MATCH(A418,Inputs!$B$6:$D$6,0)),IF(INDEX(Roster!$D$6:$D$108,MATCH(D418,Roster!$A$6:$A$108,0))&gt;=5,INDEX(Inputs!$B$15:$D$15,1,MATCH(A418,Inputs!$B$6:$D$6,0)),0)))))</x:f>
        <x:v>0</x:v>
      </x:c>
      <x:c r="M418" s="20" t="n">
        <x:f>G418*I418</x:f>
        <x:v>31135</x:v>
      </x:c>
      <x:c r="N418" s="20" t="n">
        <x:f>G418*J418</x:f>
        <x:v>3900</x:v>
      </x:c>
      <x:c r="O418" s="20" t="n">
        <x:f>G418*K418</x:f>
        <x:v>6227</x:v>
      </x:c>
      <x:c r="P418" s="20" t="n">
        <x:f>G418*L418</x:f>
        <x:v>0</x:v>
      </x:c>
      <x:c r="Q418" s="20" t="n">
        <x:f>H418*INDEX(Inputs!$B$13:$D$13,1,MATCH(A418,Inputs!$B$6:$D$6,0))</x:f>
        <x:v>390</x:v>
      </x:c>
      <x:c r="R418" s="20" t="n">
        <x:f>SUM(M418:Q418)</x:f>
        <x:v>41652</x:v>
      </x:c>
      <x:c r="S418" s="20" t="n">
        <x:f>IF(AND(A417=A418,D417=D418),S417+R418,R418)</x:f>
        <x:v>41652</x:v>
      </x:c>
      <x:c r="T418" s="20" t="n">
        <x:f>MIN(S418,INDEX(Inputs!$B$20:$D$20,1,MATCH(A418,Inputs!$B$6:$D$6,0)))*INDEX(Inputs!$B$22:$D$22,1,MATCH(A418,Inputs!$B$6:$D$6,0))+MAX(MIN(S418,INDEX(Inputs!$B$21:$D$21,1,MATCH(A418,Inputs!$B$6:$D$6,0)))-INDEX(Inputs!$B$20:$D$20,1,MATCH(A418,Inputs!$B$6:$D$6,0)),0)*INDEX(Inputs!$B$23:$D$23,1,MATCH(A418,Inputs!$B$6:$D$6,0))+MAX(S418-INDEX(Inputs!$B$21:$D$21,1,MATCH(A418,Inputs!$B$6:$D$6,0)),0)*INDEX(Inputs!$B$24:$D$24,1,MATCH(A418,Inputs!$B$6:$D$6,0))</x:f>
        <x:v>3676.378</x:v>
      </x:c>
      <x:c r="U418" s="20" t="n">
        <x:f>IF(AND(A417=A418,D417=D418),T417,0)</x:f>
        <x:v>0</x:v>
      </x:c>
      <x:c r="V418" s="20" t="n">
        <x:f>T418-U418</x:f>
        <x:v>3676.378</x:v>
      </x:c>
      <x:c r="W418" s="20" t="n">
        <x:f>R418+V418</x:f>
        <x:v>45328.378</x:v>
      </x:c>
      <x:c r="X418" s="14" t="str">
        <x:f>IF(ABS(W418-SUM(M418:Q418)-V418)&lt;0.01,"OK","Check")</x:f>
        <x:v>OK</x:v>
      </x:c>
    </x:row>
    <x:row r="419">
      <x:c r="A419" s="14" t="n">
        <x:v>2027</x:v>
      </x:c>
      <x:c r="B419" s="14" t="str">
        <x:v>Q2</x:v>
      </x:c>
      <x:c r="C419" s="14" t="n">
        <x:v>2</x:v>
      </x:c>
      <x:c r="D419" s="14" t="n">
        <x:v>1</x:v>
      </x:c>
      <x:c r="E419" s="14" t="str">
        <x:f>INDEX(Roster!$B$6:$B$108,MATCH(D419,Roster!$A$6:$A$108,0))</x:f>
        <x:v>Principal</x:v>
      </x:c>
      <x:c r="F419" s="14" t="str">
        <x:f>INDEX(Roster!$F$6:$F$108,MATCH(D419,Roster!$A$6:$A$108,0))</x:f>
        <x:v>No</x:v>
      </x:c>
      <x:c r="G419" s="14" t="n">
        <x:f>INDEX(Inputs!$B$7:$D$7,1,MATCH(A419,Inputs!$B$6:$D$6,0))</x:f>
        <x:v>13</x:v>
      </x:c>
      <x:c r="H419" s="14" t="n">
        <x:f>MIN(=INDEX(Inputs!$B$7:$D$7,1,MATCH(A419,Inputs!$B$6:$D$6,0)),MAX(0,INDEX(Inputs!$B$14:$D$14,1,MATCH(A419,Inputs!$B$6:$D$6,0))-(C419-1)*=INDEX(Inputs!$B$7:$D$7,1,MATCH(A419,Inputs!$B$6:$D$6,0))))</x:f>
        <x:v>13</x:v>
      </x:c>
      <x:c r="I419" s="20" t="n">
        <x:f>INDEX(Inputs!$B$8:$D$8,1,MATCH(A419,Inputs!$B$6:$D$6,0))</x:f>
        <x:v>2395</x:v>
      </x:c>
      <x:c r="J419" s="20" t="n">
        <x:f>INDEX(Roster!$C$6:$C$108,MATCH(D419,Roster!$A$6:$A$108,0))*(1+INDEX(Inputs!$B$9:$D$9,1,MATCH(A419,Inputs!$B$6:$D$6,0)))</x:f>
        <x:v>300</x:v>
      </x:c>
      <x:c r="K419" s="20" t="n">
        <x:f>IF(=INDEX(Roster!$F$6:$F$108,MATCH(D419,Roster!$A$6:$A$108,0))="Yes",0,=INDEX(Inputs!$B$8:$D$8,1,MATCH(A419,Inputs!$B$6:$D$6,0))*IF(=INDEX(Roster!$B$6:$B$108,MATCH(D419,Roster!$A$6:$A$108,0))="Principal",INDEX(Inputs!$B$10:$D$10,1,MATCH(A419,Inputs!$B$6:$D$6,0)),IF(=INDEX(Roster!$B$6:$B$108,MATCH(D419,Roster!$A$6:$A$108,0))="Associate Principal",INDEX(Inputs!$B$11:$D$11,1,MATCH(A419,Inputs!$B$6:$D$6,0)),IF(=INDEX(Roster!$B$6:$B$108,MATCH(D419,Roster!$A$6:$A$108,0))="Assistant Principal",INDEX(Inputs!$B$12:$D$12,1,MATCH(A419,Inputs!$B$6:$D$6,0)),0))))</x:f>
        <x:v>479</x:v>
      </x:c>
      <x:c r="L419" s="20" t="n">
        <x:f>IF(INDEX(Roster!$D$6:$D$108,MATCH(D419,Roster!$A$6:$A$108,0))&gt;=25,INDEX(Inputs!$B$19:$D$19,1,MATCH(A419,Inputs!$B$6:$D$6,0)),IF(INDEX(Roster!$D$6:$D$108,MATCH(D419,Roster!$A$6:$A$108,0))&gt;=20,INDEX(Inputs!$B$18:$D$18,1,MATCH(A419,Inputs!$B$6:$D$6,0)),IF(INDEX(Roster!$D$6:$D$108,MATCH(D419,Roster!$A$6:$A$108,0))&gt;=15,INDEX(Inputs!$B$17:$D$17,1,MATCH(A419,Inputs!$B$6:$D$6,0)),IF(INDEX(Roster!$D$6:$D$108,MATCH(D419,Roster!$A$6:$A$108,0))&gt;=10,INDEX(Inputs!$B$16:$D$16,1,MATCH(A419,Inputs!$B$6:$D$6,0)),IF(INDEX(Roster!$D$6:$D$108,MATCH(D419,Roster!$A$6:$A$108,0))&gt;=5,INDEX(Inputs!$B$15:$D$15,1,MATCH(A419,Inputs!$B$6:$D$6,0)),0)))))</x:f>
        <x:v>0</x:v>
      </x:c>
      <x:c r="M419" s="20" t="n">
        <x:f>G419*I419</x:f>
        <x:v>31135</x:v>
      </x:c>
      <x:c r="N419" s="20" t="n">
        <x:f>G419*J419</x:f>
        <x:v>3900</x:v>
      </x:c>
      <x:c r="O419" s="20" t="n">
        <x:f>G419*K419</x:f>
        <x:v>6227</x:v>
      </x:c>
      <x:c r="P419" s="20" t="n">
        <x:f>G419*L419</x:f>
        <x:v>0</x:v>
      </x:c>
      <x:c r="Q419" s="20" t="n">
        <x:f>H419*INDEX(Inputs!$B$13:$D$13,1,MATCH(A419,Inputs!$B$6:$D$6,0))</x:f>
        <x:v>390</x:v>
      </x:c>
      <x:c r="R419" s="20" t="n">
        <x:f>SUM(M419:Q419)</x:f>
        <x:v>41652</x:v>
      </x:c>
      <x:c r="S419" s="20" t="n">
        <x:f>IF(AND(A418=A419,D418=D419),S418+R419,R419)</x:f>
        <x:v>83304</x:v>
      </x:c>
      <x:c r="T419" s="20" t="n">
        <x:f>MIN(S419,INDEX(Inputs!$B$20:$D$20,1,MATCH(A419,Inputs!$B$6:$D$6,0)))*INDEX(Inputs!$B$22:$D$22,1,MATCH(A419,Inputs!$B$6:$D$6,0))+MAX(MIN(S419,INDEX(Inputs!$B$21:$D$21,1,MATCH(A419,Inputs!$B$6:$D$6,0)))-INDEX(Inputs!$B$20:$D$20,1,MATCH(A419,Inputs!$B$6:$D$6,0)),0)*INDEX(Inputs!$B$23:$D$23,1,MATCH(A419,Inputs!$B$6:$D$6,0))+MAX(S419-INDEX(Inputs!$B$21:$D$21,1,MATCH(A419,Inputs!$B$6:$D$6,0)),0)*INDEX(Inputs!$B$24:$D$24,1,MATCH(A419,Inputs!$B$6:$D$6,0))</x:f>
        <x:v>6862.756</x:v>
      </x:c>
      <x:c r="U419" s="20" t="n">
        <x:f>IF(AND(A418=A419,D418=D419),T418,0)</x:f>
        <x:v>3676.378</x:v>
      </x:c>
      <x:c r="V419" s="20" t="n">
        <x:f>T419-U419</x:f>
        <x:v>3186.378</x:v>
      </x:c>
      <x:c r="W419" s="20" t="n">
        <x:f>R419+V419</x:f>
        <x:v>44838.378</x:v>
      </x:c>
      <x:c r="X419" s="14" t="str">
        <x:f>IF(ABS(W419-SUM(M419:Q419)-V419)&lt;0.01,"OK","Check")</x:f>
        <x:v>OK</x:v>
      </x:c>
    </x:row>
    <x:row r="420">
      <x:c r="A420" s="14" t="n">
        <x:v>2027</x:v>
      </x:c>
      <x:c r="B420" s="14" t="str">
        <x:v>Q3</x:v>
      </x:c>
      <x:c r="C420" s="14" t="n">
        <x:v>3</x:v>
      </x:c>
      <x:c r="D420" s="14" t="n">
        <x:v>1</x:v>
      </x:c>
      <x:c r="E420" s="14" t="str">
        <x:f>INDEX(Roster!$B$6:$B$108,MATCH(D420,Roster!$A$6:$A$108,0))</x:f>
        <x:v>Principal</x:v>
      </x:c>
      <x:c r="F420" s="14" t="str">
        <x:f>INDEX(Roster!$F$6:$F$108,MATCH(D420,Roster!$A$6:$A$108,0))</x:f>
        <x:v>No</x:v>
      </x:c>
      <x:c r="G420" s="14" t="n">
        <x:f>INDEX(Inputs!$B$7:$D$7,1,MATCH(A420,Inputs!$B$6:$D$6,0))</x:f>
        <x:v>13</x:v>
      </x:c>
      <x:c r="H420" s="14" t="n">
        <x:f>MIN(=INDEX(Inputs!$B$7:$D$7,1,MATCH(A420,Inputs!$B$6:$D$6,0)),MAX(0,INDEX(Inputs!$B$14:$D$14,1,MATCH(A420,Inputs!$B$6:$D$6,0))-(C420-1)*=INDEX(Inputs!$B$7:$D$7,1,MATCH(A420,Inputs!$B$6:$D$6,0))))</x:f>
        <x:v>13</x:v>
      </x:c>
      <x:c r="I420" s="20" t="n">
        <x:f>INDEX(Inputs!$B$8:$D$8,1,MATCH(A420,Inputs!$B$6:$D$6,0))</x:f>
        <x:v>2395</x:v>
      </x:c>
      <x:c r="J420" s="20" t="n">
        <x:f>INDEX(Roster!$C$6:$C$108,MATCH(D420,Roster!$A$6:$A$108,0))*(1+INDEX(Inputs!$B$9:$D$9,1,MATCH(A420,Inputs!$B$6:$D$6,0)))</x:f>
        <x:v>300</x:v>
      </x:c>
      <x:c r="K420" s="20" t="n">
        <x:f>IF(=INDEX(Roster!$F$6:$F$108,MATCH(D420,Roster!$A$6:$A$108,0))="Yes",0,=INDEX(Inputs!$B$8:$D$8,1,MATCH(A420,Inputs!$B$6:$D$6,0))*IF(=INDEX(Roster!$B$6:$B$108,MATCH(D420,Roster!$A$6:$A$108,0))="Principal",INDEX(Inputs!$B$10:$D$10,1,MATCH(A420,Inputs!$B$6:$D$6,0)),IF(=INDEX(Roster!$B$6:$B$108,MATCH(D420,Roster!$A$6:$A$108,0))="Associate Principal",INDEX(Inputs!$B$11:$D$11,1,MATCH(A420,Inputs!$B$6:$D$6,0)),IF(=INDEX(Roster!$B$6:$B$108,MATCH(D420,Roster!$A$6:$A$108,0))="Assistant Principal",INDEX(Inputs!$B$12:$D$12,1,MATCH(A420,Inputs!$B$6:$D$6,0)),0))))</x:f>
        <x:v>479</x:v>
      </x:c>
      <x:c r="L420" s="20" t="n">
        <x:f>IF(INDEX(Roster!$D$6:$D$108,MATCH(D420,Roster!$A$6:$A$108,0))&gt;=25,INDEX(Inputs!$B$19:$D$19,1,MATCH(A420,Inputs!$B$6:$D$6,0)),IF(INDEX(Roster!$D$6:$D$108,MATCH(D420,Roster!$A$6:$A$108,0))&gt;=20,INDEX(Inputs!$B$18:$D$18,1,MATCH(A420,Inputs!$B$6:$D$6,0)),IF(INDEX(Roster!$D$6:$D$108,MATCH(D420,Roster!$A$6:$A$108,0))&gt;=15,INDEX(Inputs!$B$17:$D$17,1,MATCH(A420,Inputs!$B$6:$D$6,0)),IF(INDEX(Roster!$D$6:$D$108,MATCH(D420,Roster!$A$6:$A$108,0))&gt;=10,INDEX(Inputs!$B$16:$D$16,1,MATCH(A420,Inputs!$B$6:$D$6,0)),IF(INDEX(Roster!$D$6:$D$108,MATCH(D420,Roster!$A$6:$A$108,0))&gt;=5,INDEX(Inputs!$B$15:$D$15,1,MATCH(A420,Inputs!$B$6:$D$6,0)),0)))))</x:f>
        <x:v>0</x:v>
      </x:c>
      <x:c r="M420" s="20" t="n">
        <x:f>G420*I420</x:f>
        <x:v>31135</x:v>
      </x:c>
      <x:c r="N420" s="20" t="n">
        <x:f>G420*J420</x:f>
        <x:v>3900</x:v>
      </x:c>
      <x:c r="O420" s="20" t="n">
        <x:f>G420*K420</x:f>
        <x:v>6227</x:v>
      </x:c>
      <x:c r="P420" s="20" t="n">
        <x:f>G420*L420</x:f>
        <x:v>0</x:v>
      </x:c>
      <x:c r="Q420" s="20" t="n">
        <x:f>H420*INDEX(Inputs!$B$13:$D$13,1,MATCH(A420,Inputs!$B$6:$D$6,0))</x:f>
        <x:v>390</x:v>
      </x:c>
      <x:c r="R420" s="20" t="n">
        <x:f>SUM(M420:Q420)</x:f>
        <x:v>41652</x:v>
      </x:c>
      <x:c r="S420" s="20" t="n">
        <x:f>IF(AND(A419=A420,D419=D420),S419+R420,R420)</x:f>
        <x:v>124956</x:v>
      </x:c>
      <x:c r="T420" s="20" t="n">
        <x:f>MIN(S420,INDEX(Inputs!$B$20:$D$20,1,MATCH(A420,Inputs!$B$6:$D$6,0)))*INDEX(Inputs!$B$22:$D$22,1,MATCH(A420,Inputs!$B$6:$D$6,0))+MAX(MIN(S420,INDEX(Inputs!$B$21:$D$21,1,MATCH(A420,Inputs!$B$6:$D$6,0)))-INDEX(Inputs!$B$20:$D$20,1,MATCH(A420,Inputs!$B$6:$D$6,0)),0)*INDEX(Inputs!$B$23:$D$23,1,MATCH(A420,Inputs!$B$6:$D$6,0))+MAX(S420-INDEX(Inputs!$B$21:$D$21,1,MATCH(A420,Inputs!$B$6:$D$6,0)),0)*INDEX(Inputs!$B$24:$D$24,1,MATCH(A420,Inputs!$B$6:$D$6,0))</x:f>
        <x:v>9725.804</x:v>
      </x:c>
      <x:c r="U420" s="20" t="n">
        <x:f>IF(AND(A419=A420,D419=D420),T419,0)</x:f>
        <x:v>6862.756</x:v>
      </x:c>
      <x:c r="V420" s="20" t="n">
        <x:f>T420-U420</x:f>
        <x:v>2863.048</x:v>
      </x:c>
      <x:c r="W420" s="20" t="n">
        <x:f>R420+V420</x:f>
        <x:v>44515.048</x:v>
      </x:c>
      <x:c r="X420" s="14" t="str">
        <x:f>IF(ABS(W420-SUM(M420:Q420)-V420)&lt;0.01,"OK","Check")</x:f>
        <x:v>OK</x:v>
      </x:c>
    </x:row>
    <x:row r="421">
      <x:c r="A421" s="14" t="n">
        <x:v>2027</x:v>
      </x:c>
      <x:c r="B421" s="14" t="str">
        <x:v>Q4</x:v>
      </x:c>
      <x:c r="C421" s="14" t="n">
        <x:v>4</x:v>
      </x:c>
      <x:c r="D421" s="14" t="n">
        <x:v>1</x:v>
      </x:c>
      <x:c r="E421" s="14" t="str">
        <x:f>INDEX(Roster!$B$6:$B$108,MATCH(D421,Roster!$A$6:$A$108,0))</x:f>
        <x:v>Principal</x:v>
      </x:c>
      <x:c r="F421" s="14" t="str">
        <x:f>INDEX(Roster!$F$6:$F$108,MATCH(D421,Roster!$A$6:$A$108,0))</x:f>
        <x:v>No</x:v>
      </x:c>
      <x:c r="G421" s="14" t="n">
        <x:f>INDEX(Inputs!$B$7:$D$7,1,MATCH(A421,Inputs!$B$6:$D$6,0))</x:f>
        <x:v>13</x:v>
      </x:c>
      <x:c r="H421" s="14" t="n">
        <x:f>MIN(=INDEX(Inputs!$B$7:$D$7,1,MATCH(A421,Inputs!$B$6:$D$6,0)),MAX(0,INDEX(Inputs!$B$14:$D$14,1,MATCH(A421,Inputs!$B$6:$D$6,0))-(C421-1)*=INDEX(Inputs!$B$7:$D$7,1,MATCH(A421,Inputs!$B$6:$D$6,0))))</x:f>
        <x:v>0</x:v>
      </x:c>
      <x:c r="I421" s="20" t="n">
        <x:f>INDEX(Inputs!$B$8:$D$8,1,MATCH(A421,Inputs!$B$6:$D$6,0))</x:f>
        <x:v>2395</x:v>
      </x:c>
      <x:c r="J421" s="20" t="n">
        <x:f>INDEX(Roster!$C$6:$C$108,MATCH(D421,Roster!$A$6:$A$108,0))*(1+INDEX(Inputs!$B$9:$D$9,1,MATCH(A421,Inputs!$B$6:$D$6,0)))</x:f>
        <x:v>300</x:v>
      </x:c>
      <x:c r="K421" s="20" t="n">
        <x:f>IF(=INDEX(Roster!$F$6:$F$108,MATCH(D421,Roster!$A$6:$A$108,0))="Yes",0,=INDEX(Inputs!$B$8:$D$8,1,MATCH(A421,Inputs!$B$6:$D$6,0))*IF(=INDEX(Roster!$B$6:$B$108,MATCH(D421,Roster!$A$6:$A$108,0))="Principal",INDEX(Inputs!$B$10:$D$10,1,MATCH(A421,Inputs!$B$6:$D$6,0)),IF(=INDEX(Roster!$B$6:$B$108,MATCH(D421,Roster!$A$6:$A$108,0))="Associate Principal",INDEX(Inputs!$B$11:$D$11,1,MATCH(A421,Inputs!$B$6:$D$6,0)),IF(=INDEX(Roster!$B$6:$B$108,MATCH(D421,Roster!$A$6:$A$108,0))="Assistant Principal",INDEX(Inputs!$B$12:$D$12,1,MATCH(A421,Inputs!$B$6:$D$6,0)),0))))</x:f>
        <x:v>479</x:v>
      </x:c>
      <x:c r="L421" s="20" t="n">
        <x:f>IF(INDEX(Roster!$D$6:$D$108,MATCH(D421,Roster!$A$6:$A$108,0))&gt;=25,INDEX(Inputs!$B$19:$D$19,1,MATCH(A421,Inputs!$B$6:$D$6,0)),IF(INDEX(Roster!$D$6:$D$108,MATCH(D421,Roster!$A$6:$A$108,0))&gt;=20,INDEX(Inputs!$B$18:$D$18,1,MATCH(A421,Inputs!$B$6:$D$6,0)),IF(INDEX(Roster!$D$6:$D$108,MATCH(D421,Roster!$A$6:$A$108,0))&gt;=15,INDEX(Inputs!$B$17:$D$17,1,MATCH(A421,Inputs!$B$6:$D$6,0)),IF(INDEX(Roster!$D$6:$D$108,MATCH(D421,Roster!$A$6:$A$108,0))&gt;=10,INDEX(Inputs!$B$16:$D$16,1,MATCH(A421,Inputs!$B$6:$D$6,0)),IF(INDEX(Roster!$D$6:$D$108,MATCH(D421,Roster!$A$6:$A$108,0))&gt;=5,INDEX(Inputs!$B$15:$D$15,1,MATCH(A421,Inputs!$B$6:$D$6,0)),0)))))</x:f>
        <x:v>0</x:v>
      </x:c>
      <x:c r="M421" s="20" t="n">
        <x:f>G421*I421</x:f>
        <x:v>31135</x:v>
      </x:c>
      <x:c r="N421" s="20" t="n">
        <x:f>G421*J421</x:f>
        <x:v>3900</x:v>
      </x:c>
      <x:c r="O421" s="20" t="n">
        <x:f>G421*K421</x:f>
        <x:v>6227</x:v>
      </x:c>
      <x:c r="P421" s="20" t="n">
        <x:f>G421*L421</x:f>
        <x:v>0</x:v>
      </x:c>
      <x:c r="Q421" s="20" t="n">
        <x:f>H421*INDEX(Inputs!$B$13:$D$13,1,MATCH(A421,Inputs!$B$6:$D$6,0))</x:f>
        <x:v>0</x:v>
      </x:c>
      <x:c r="R421" s="20" t="n">
        <x:f>SUM(M421:Q421)</x:f>
        <x:v>41262</x:v>
      </x:c>
      <x:c r="S421" s="20" t="n">
        <x:f>IF(AND(A420=A421,D420=D421),S420+R421,R421)</x:f>
        <x:v>166218</x:v>
      </x:c>
      <x:c r="T421" s="20" t="n">
        <x:f>MIN(S421,INDEX(Inputs!$B$20:$D$20,1,MATCH(A421,Inputs!$B$6:$D$6,0)))*INDEX(Inputs!$B$22:$D$22,1,MATCH(A421,Inputs!$B$6:$D$6,0))+MAX(MIN(S421,INDEX(Inputs!$B$21:$D$21,1,MATCH(A421,Inputs!$B$6:$D$6,0)))-INDEX(Inputs!$B$20:$D$20,1,MATCH(A421,Inputs!$B$6:$D$6,0)),0)*INDEX(Inputs!$B$23:$D$23,1,MATCH(A421,Inputs!$B$6:$D$6,0))+MAX(S421-INDEX(Inputs!$B$21:$D$21,1,MATCH(A421,Inputs!$B$6:$D$6,0)),0)*INDEX(Inputs!$B$24:$D$24,1,MATCH(A421,Inputs!$B$6:$D$6,0))</x:f>
        <x:v>10324.103</x:v>
      </x:c>
      <x:c r="U421" s="20" t="n">
        <x:f>IF(AND(A420=A421,D420=D421),T420,0)</x:f>
        <x:v>9725.804</x:v>
      </x:c>
      <x:c r="V421" s="20" t="n">
        <x:f>T421-U421</x:f>
        <x:v>598.2989999999991</x:v>
      </x:c>
      <x:c r="W421" s="20" t="n">
        <x:f>R421+V421</x:f>
        <x:v>41860.299</x:v>
      </x:c>
      <x:c r="X421" s="14" t="str">
        <x:f>IF(ABS(W421-SUM(M421:Q421)-V421)&lt;0.01,"OK","Check")</x:f>
        <x:v>OK</x:v>
      </x:c>
    </x:row>
    <x:row r="422">
      <x:c r="A422" s="14" t="n">
        <x:v>2027</x:v>
      </x:c>
      <x:c r="B422" s="14" t="str">
        <x:v>Q1</x:v>
      </x:c>
      <x:c r="C422" s="14" t="n">
        <x:v>1</x:v>
      </x:c>
      <x:c r="D422" s="14" t="n">
        <x:v>2</x:v>
      </x:c>
      <x:c r="E422" s="14" t="str">
        <x:f>INDEX(Roster!$B$6:$B$108,MATCH(D422,Roster!$A$6:$A$108,0))</x:f>
      </x:c>
      <x:c r="F422" s="14" t="str">
        <x:f>INDEX(Roster!$F$6:$F$108,MATCH(D422,Roster!$A$6:$A$108,0))</x:f>
        <x:v>No</x:v>
      </x:c>
      <x:c r="G422" s="14" t="n">
        <x:f>INDEX(Inputs!$B$7:$D$7,1,MATCH(A422,Inputs!$B$6:$D$6,0))</x:f>
        <x:v>13</x:v>
      </x:c>
      <x:c r="H422" s="14" t="n">
        <x:f>MIN(=INDEX(Inputs!$B$7:$D$7,1,MATCH(A422,Inputs!$B$6:$D$6,0)),MAX(0,INDEX(Inputs!$B$14:$D$14,1,MATCH(A422,Inputs!$B$6:$D$6,0))-(C422-1)*=INDEX(Inputs!$B$7:$D$7,1,MATCH(A422,Inputs!$B$6:$D$6,0))))</x:f>
        <x:v>13</x:v>
      </x:c>
      <x:c r="I422" s="20" t="n">
        <x:f>INDEX(Inputs!$B$8:$D$8,1,MATCH(A422,Inputs!$B$6:$D$6,0))</x:f>
        <x:v>2395</x:v>
      </x:c>
      <x:c r="J422" s="20" t="n">
        <x:f>INDEX(Roster!$C$6:$C$108,MATCH(D422,Roster!$A$6:$A$108,0))*(1+INDEX(Inputs!$B$9:$D$9,1,MATCH(A422,Inputs!$B$6:$D$6,0)))</x:f>
        <x:v>0</x:v>
      </x:c>
      <x:c r="K422" s="20" t="n">
        <x:f>IF(=INDEX(Roster!$F$6:$F$108,MATCH(D422,Roster!$A$6:$A$108,0))="Yes",0,=INDEX(Inputs!$B$8:$D$8,1,MATCH(A422,Inputs!$B$6:$D$6,0))*IF(=INDEX(Roster!$B$6:$B$108,MATCH(D422,Roster!$A$6:$A$108,0))="Principal",INDEX(Inputs!$B$10:$D$10,1,MATCH(A422,Inputs!$B$6:$D$6,0)),IF(=INDEX(Roster!$B$6:$B$108,MATCH(D422,Roster!$A$6:$A$108,0))="Associate Principal",INDEX(Inputs!$B$11:$D$11,1,MATCH(A422,Inputs!$B$6:$D$6,0)),IF(=INDEX(Roster!$B$6:$B$108,MATCH(D422,Roster!$A$6:$A$108,0))="Assistant Principal",INDEX(Inputs!$B$12:$D$12,1,MATCH(A422,Inputs!$B$6:$D$6,0)),0))))</x:f>
        <x:v>0</x:v>
      </x:c>
      <x:c r="L422" s="20" t="n">
        <x:f>IF(INDEX(Roster!$D$6:$D$108,MATCH(D422,Roster!$A$6:$A$108,0))&gt;=25,INDEX(Inputs!$B$19:$D$19,1,MATCH(A422,Inputs!$B$6:$D$6,0)),IF(INDEX(Roster!$D$6:$D$108,MATCH(D422,Roster!$A$6:$A$108,0))&gt;=20,INDEX(Inputs!$B$18:$D$18,1,MATCH(A422,Inputs!$B$6:$D$6,0)),IF(INDEX(Roster!$D$6:$D$108,MATCH(D422,Roster!$A$6:$A$108,0))&gt;=15,INDEX(Inputs!$B$17:$D$17,1,MATCH(A422,Inputs!$B$6:$D$6,0)),IF(INDEX(Roster!$D$6:$D$108,MATCH(D422,Roster!$A$6:$A$108,0))&gt;=10,INDEX(Inputs!$B$16:$D$16,1,MATCH(A422,Inputs!$B$6:$D$6,0)),IF(INDEX(Roster!$D$6:$D$108,MATCH(D422,Roster!$A$6:$A$108,0))&gt;=5,INDEX(Inputs!$B$15:$D$15,1,MATCH(A422,Inputs!$B$6:$D$6,0)),0)))))</x:f>
        <x:v>50</x:v>
      </x:c>
      <x:c r="M422" s="20" t="n">
        <x:f>G422*I422</x:f>
        <x:v>31135</x:v>
      </x:c>
      <x:c r="N422" s="20" t="n">
        <x:f>G422*J422</x:f>
        <x:v>0</x:v>
      </x:c>
      <x:c r="O422" s="20" t="n">
        <x:f>G422*K422</x:f>
        <x:v>0</x:v>
      </x:c>
      <x:c r="P422" s="20" t="n">
        <x:f>G422*L422</x:f>
        <x:v>650</x:v>
      </x:c>
      <x:c r="Q422" s="20" t="n">
        <x:f>H422*INDEX(Inputs!$B$13:$D$13,1,MATCH(A422,Inputs!$B$6:$D$6,0))</x:f>
        <x:v>390</x:v>
      </x:c>
      <x:c r="R422" s="20" t="n">
        <x:f>SUM(M422:Q422)</x:f>
        <x:v>32175</x:v>
      </x:c>
      <x:c r="S422" s="20" t="n">
        <x:f>IF(AND(A421=A422,D421=D422),S421+R422,R422)</x:f>
        <x:v>32175</x:v>
      </x:c>
      <x:c r="T422" s="20" t="n">
        <x:f>MIN(S422,INDEX(Inputs!$B$20:$D$20,1,MATCH(A422,Inputs!$B$6:$D$6,0)))*INDEX(Inputs!$B$22:$D$22,1,MATCH(A422,Inputs!$B$6:$D$6,0))+MAX(MIN(S422,INDEX(Inputs!$B$21:$D$21,1,MATCH(A422,Inputs!$B$6:$D$6,0)))-INDEX(Inputs!$B$20:$D$20,1,MATCH(A422,Inputs!$B$6:$D$6,0)),0)*INDEX(Inputs!$B$23:$D$23,1,MATCH(A422,Inputs!$B$6:$D$6,0))+MAX(S422-INDEX(Inputs!$B$21:$D$21,1,MATCH(A422,Inputs!$B$6:$D$6,0)),0)*INDEX(Inputs!$B$24:$D$24,1,MATCH(A422,Inputs!$B$6:$D$6,0))</x:f>
        <x:v>2951.3875</x:v>
      </x:c>
      <x:c r="U422" s="20" t="n">
        <x:f>IF(AND(A421=A422,D421=D422),T421,0)</x:f>
        <x:v>0</x:v>
      </x:c>
      <x:c r="V422" s="20" t="n">
        <x:f>T422-U422</x:f>
        <x:v>2951.3875</x:v>
      </x:c>
      <x:c r="W422" s="20" t="n">
        <x:f>R422+V422</x:f>
        <x:v>35126.3875</x:v>
      </x:c>
      <x:c r="X422" s="14" t="str">
        <x:f>IF(ABS(W422-SUM(M422:Q422)-V422)&lt;0.01,"OK","Check")</x:f>
        <x:v>OK</x:v>
      </x:c>
    </x:row>
    <x:row r="423">
      <x:c r="A423" s="14" t="n">
        <x:v>2027</x:v>
      </x:c>
      <x:c r="B423" s="14" t="str">
        <x:v>Q2</x:v>
      </x:c>
      <x:c r="C423" s="14" t="n">
        <x:v>2</x:v>
      </x:c>
      <x:c r="D423" s="14" t="n">
        <x:v>2</x:v>
      </x:c>
      <x:c r="E423" s="14" t="str">
        <x:f>INDEX(Roster!$B$6:$B$108,MATCH(D423,Roster!$A$6:$A$108,0))</x:f>
      </x:c>
      <x:c r="F423" s="14" t="str">
        <x:f>INDEX(Roster!$F$6:$F$108,MATCH(D423,Roster!$A$6:$A$108,0))</x:f>
        <x:v>No</x:v>
      </x:c>
      <x:c r="G423" s="14" t="n">
        <x:f>INDEX(Inputs!$B$7:$D$7,1,MATCH(A423,Inputs!$B$6:$D$6,0))</x:f>
        <x:v>13</x:v>
      </x:c>
      <x:c r="H423" s="14" t="n">
        <x:f>MIN(=INDEX(Inputs!$B$7:$D$7,1,MATCH(A423,Inputs!$B$6:$D$6,0)),MAX(0,INDEX(Inputs!$B$14:$D$14,1,MATCH(A423,Inputs!$B$6:$D$6,0))-(C423-1)*=INDEX(Inputs!$B$7:$D$7,1,MATCH(A423,Inputs!$B$6:$D$6,0))))</x:f>
        <x:v>13</x:v>
      </x:c>
      <x:c r="I423" s="20" t="n">
        <x:f>INDEX(Inputs!$B$8:$D$8,1,MATCH(A423,Inputs!$B$6:$D$6,0))</x:f>
        <x:v>2395</x:v>
      </x:c>
      <x:c r="J423" s="20" t="n">
        <x:f>INDEX(Roster!$C$6:$C$108,MATCH(D423,Roster!$A$6:$A$108,0))*(1+INDEX(Inputs!$B$9:$D$9,1,MATCH(A423,Inputs!$B$6:$D$6,0)))</x:f>
        <x:v>0</x:v>
      </x:c>
      <x:c r="K423" s="20" t="n">
        <x:f>IF(=INDEX(Roster!$F$6:$F$108,MATCH(D423,Roster!$A$6:$A$108,0))="Yes",0,=INDEX(Inputs!$B$8:$D$8,1,MATCH(A423,Inputs!$B$6:$D$6,0))*IF(=INDEX(Roster!$B$6:$B$108,MATCH(D423,Roster!$A$6:$A$108,0))="Principal",INDEX(Inputs!$B$10:$D$10,1,MATCH(A423,Inputs!$B$6:$D$6,0)),IF(=INDEX(Roster!$B$6:$B$108,MATCH(D423,Roster!$A$6:$A$108,0))="Associate Principal",INDEX(Inputs!$B$11:$D$11,1,MATCH(A423,Inputs!$B$6:$D$6,0)),IF(=INDEX(Roster!$B$6:$B$108,MATCH(D423,Roster!$A$6:$A$108,0))="Assistant Principal",INDEX(Inputs!$B$12:$D$12,1,MATCH(A423,Inputs!$B$6:$D$6,0)),0))))</x:f>
        <x:v>0</x:v>
      </x:c>
      <x:c r="L423" s="20" t="n">
        <x:f>IF(INDEX(Roster!$D$6:$D$108,MATCH(D423,Roster!$A$6:$A$108,0))&gt;=25,INDEX(Inputs!$B$19:$D$19,1,MATCH(A423,Inputs!$B$6:$D$6,0)),IF(INDEX(Roster!$D$6:$D$108,MATCH(D423,Roster!$A$6:$A$108,0))&gt;=20,INDEX(Inputs!$B$18:$D$18,1,MATCH(A423,Inputs!$B$6:$D$6,0)),IF(INDEX(Roster!$D$6:$D$108,MATCH(D423,Roster!$A$6:$A$108,0))&gt;=15,INDEX(Inputs!$B$17:$D$17,1,MATCH(A423,Inputs!$B$6:$D$6,0)),IF(INDEX(Roster!$D$6:$D$108,MATCH(D423,Roster!$A$6:$A$108,0))&gt;=10,INDEX(Inputs!$B$16:$D$16,1,MATCH(A423,Inputs!$B$6:$D$6,0)),IF(INDEX(Roster!$D$6:$D$108,MATCH(D423,Roster!$A$6:$A$108,0))&gt;=5,INDEX(Inputs!$B$15:$D$15,1,MATCH(A423,Inputs!$B$6:$D$6,0)),0)))))</x:f>
        <x:v>50</x:v>
      </x:c>
      <x:c r="M423" s="20" t="n">
        <x:f>G423*I423</x:f>
        <x:v>31135</x:v>
      </x:c>
      <x:c r="N423" s="20" t="n">
        <x:f>G423*J423</x:f>
        <x:v>0</x:v>
      </x:c>
      <x:c r="O423" s="20" t="n">
        <x:f>G423*K423</x:f>
        <x:v>0</x:v>
      </x:c>
      <x:c r="P423" s="20" t="n">
        <x:f>G423*L423</x:f>
        <x:v>650</x:v>
      </x:c>
      <x:c r="Q423" s="20" t="n">
        <x:f>H423*INDEX(Inputs!$B$13:$D$13,1,MATCH(A423,Inputs!$B$6:$D$6,0))</x:f>
        <x:v>390</x:v>
      </x:c>
      <x:c r="R423" s="20" t="n">
        <x:f>SUM(M423:Q423)</x:f>
        <x:v>32175</x:v>
      </x:c>
      <x:c r="S423" s="20" t="n">
        <x:f>IF(AND(A422=A423,D422=D423),S422+R423,R423)</x:f>
        <x:v>64350</x:v>
      </x:c>
      <x:c r="T423" s="20" t="n">
        <x:f>MIN(S423,INDEX(Inputs!$B$20:$D$20,1,MATCH(A423,Inputs!$B$6:$D$6,0)))*INDEX(Inputs!$B$22:$D$22,1,MATCH(A423,Inputs!$B$6:$D$6,0))+MAX(MIN(S423,INDEX(Inputs!$B$21:$D$21,1,MATCH(A423,Inputs!$B$6:$D$6,0)))-INDEX(Inputs!$B$20:$D$20,1,MATCH(A423,Inputs!$B$6:$D$6,0)),0)*INDEX(Inputs!$B$23:$D$23,1,MATCH(A423,Inputs!$B$6:$D$6,0))+MAX(S423-INDEX(Inputs!$B$21:$D$21,1,MATCH(A423,Inputs!$B$6:$D$6,0)),0)*INDEX(Inputs!$B$24:$D$24,1,MATCH(A423,Inputs!$B$6:$D$6,0))</x:f>
        <x:v>5412.775</x:v>
      </x:c>
      <x:c r="U423" s="20" t="n">
        <x:f>IF(AND(A422=A423,D422=D423),T422,0)</x:f>
        <x:v>2951.3875</x:v>
      </x:c>
      <x:c r="V423" s="20" t="n">
        <x:f>T423-U423</x:f>
        <x:v>2461.3875</x:v>
      </x:c>
      <x:c r="W423" s="20" t="n">
        <x:f>R423+V423</x:f>
        <x:v>34636.3875</x:v>
      </x:c>
      <x:c r="X423" s="14" t="str">
        <x:f>IF(ABS(W423-SUM(M423:Q423)-V423)&lt;0.01,"OK","Check")</x:f>
        <x:v>OK</x:v>
      </x:c>
    </x:row>
    <x:row r="424">
      <x:c r="A424" s="14" t="n">
        <x:v>2027</x:v>
      </x:c>
      <x:c r="B424" s="14" t="str">
        <x:v>Q3</x:v>
      </x:c>
      <x:c r="C424" s="14" t="n">
        <x:v>3</x:v>
      </x:c>
      <x:c r="D424" s="14" t="n">
        <x:v>2</x:v>
      </x:c>
      <x:c r="E424" s="14" t="str">
        <x:f>INDEX(Roster!$B$6:$B$108,MATCH(D424,Roster!$A$6:$A$108,0))</x:f>
      </x:c>
      <x:c r="F424" s="14" t="str">
        <x:f>INDEX(Roster!$F$6:$F$108,MATCH(D424,Roster!$A$6:$A$108,0))</x:f>
        <x:v>No</x:v>
      </x:c>
      <x:c r="G424" s="14" t="n">
        <x:f>INDEX(Inputs!$B$7:$D$7,1,MATCH(A424,Inputs!$B$6:$D$6,0))</x:f>
        <x:v>13</x:v>
      </x:c>
      <x:c r="H424" s="14" t="n">
        <x:f>MIN(=INDEX(Inputs!$B$7:$D$7,1,MATCH(A424,Inputs!$B$6:$D$6,0)),MAX(0,INDEX(Inputs!$B$14:$D$14,1,MATCH(A424,Inputs!$B$6:$D$6,0))-(C424-1)*=INDEX(Inputs!$B$7:$D$7,1,MATCH(A424,Inputs!$B$6:$D$6,0))))</x:f>
        <x:v>13</x:v>
      </x:c>
      <x:c r="I424" s="20" t="n">
        <x:f>INDEX(Inputs!$B$8:$D$8,1,MATCH(A424,Inputs!$B$6:$D$6,0))</x:f>
        <x:v>2395</x:v>
      </x:c>
      <x:c r="J424" s="20" t="n">
        <x:f>INDEX(Roster!$C$6:$C$108,MATCH(D424,Roster!$A$6:$A$108,0))*(1+INDEX(Inputs!$B$9:$D$9,1,MATCH(A424,Inputs!$B$6:$D$6,0)))</x:f>
        <x:v>0</x:v>
      </x:c>
      <x:c r="K424" s="20" t="n">
        <x:f>IF(=INDEX(Roster!$F$6:$F$108,MATCH(D424,Roster!$A$6:$A$108,0))="Yes",0,=INDEX(Inputs!$B$8:$D$8,1,MATCH(A424,Inputs!$B$6:$D$6,0))*IF(=INDEX(Roster!$B$6:$B$108,MATCH(D424,Roster!$A$6:$A$108,0))="Principal",INDEX(Inputs!$B$10:$D$10,1,MATCH(A424,Inputs!$B$6:$D$6,0)),IF(=INDEX(Roster!$B$6:$B$108,MATCH(D424,Roster!$A$6:$A$108,0))="Associate Principal",INDEX(Inputs!$B$11:$D$11,1,MATCH(A424,Inputs!$B$6:$D$6,0)),IF(=INDEX(Roster!$B$6:$B$108,MATCH(D424,Roster!$A$6:$A$108,0))="Assistant Principal",INDEX(Inputs!$B$12:$D$12,1,MATCH(A424,Inputs!$B$6:$D$6,0)),0))))</x:f>
        <x:v>0</x:v>
      </x:c>
      <x:c r="L424" s="20" t="n">
        <x:f>IF(INDEX(Roster!$D$6:$D$108,MATCH(D424,Roster!$A$6:$A$108,0))&gt;=25,INDEX(Inputs!$B$19:$D$19,1,MATCH(A424,Inputs!$B$6:$D$6,0)),IF(INDEX(Roster!$D$6:$D$108,MATCH(D424,Roster!$A$6:$A$108,0))&gt;=20,INDEX(Inputs!$B$18:$D$18,1,MATCH(A424,Inputs!$B$6:$D$6,0)),IF(INDEX(Roster!$D$6:$D$108,MATCH(D424,Roster!$A$6:$A$108,0))&gt;=15,INDEX(Inputs!$B$17:$D$17,1,MATCH(A424,Inputs!$B$6:$D$6,0)),IF(INDEX(Roster!$D$6:$D$108,MATCH(D424,Roster!$A$6:$A$108,0))&gt;=10,INDEX(Inputs!$B$16:$D$16,1,MATCH(A424,Inputs!$B$6:$D$6,0)),IF(INDEX(Roster!$D$6:$D$108,MATCH(D424,Roster!$A$6:$A$108,0))&gt;=5,INDEX(Inputs!$B$15:$D$15,1,MATCH(A424,Inputs!$B$6:$D$6,0)),0)))))</x:f>
        <x:v>50</x:v>
      </x:c>
      <x:c r="M424" s="20" t="n">
        <x:f>G424*I424</x:f>
        <x:v>31135</x:v>
      </x:c>
      <x:c r="N424" s="20" t="n">
        <x:f>G424*J424</x:f>
        <x:v>0</x:v>
      </x:c>
      <x:c r="O424" s="20" t="n">
        <x:f>G424*K424</x:f>
        <x:v>0</x:v>
      </x:c>
      <x:c r="P424" s="20" t="n">
        <x:f>G424*L424</x:f>
        <x:v>650</x:v>
      </x:c>
      <x:c r="Q424" s="20" t="n">
        <x:f>H424*INDEX(Inputs!$B$13:$D$13,1,MATCH(A424,Inputs!$B$6:$D$6,0))</x:f>
        <x:v>390</x:v>
      </x:c>
      <x:c r="R424" s="20" t="n">
        <x:f>SUM(M424:Q424)</x:f>
        <x:v>32175</x:v>
      </x:c>
      <x:c r="S424" s="20" t="n">
        <x:f>IF(AND(A423=A424,D423=D424),S423+R424,R424)</x:f>
        <x:v>96525</x:v>
      </x:c>
      <x:c r="T424" s="20" t="n">
        <x:f>MIN(S424,INDEX(Inputs!$B$20:$D$20,1,MATCH(A424,Inputs!$B$6:$D$6,0)))*INDEX(Inputs!$B$22:$D$22,1,MATCH(A424,Inputs!$B$6:$D$6,0))+MAX(MIN(S424,INDEX(Inputs!$B$21:$D$21,1,MATCH(A424,Inputs!$B$6:$D$6,0)))-INDEX(Inputs!$B$20:$D$20,1,MATCH(A424,Inputs!$B$6:$D$6,0)),0)*INDEX(Inputs!$B$23:$D$23,1,MATCH(A424,Inputs!$B$6:$D$6,0))+MAX(S424-INDEX(Inputs!$B$21:$D$21,1,MATCH(A424,Inputs!$B$6:$D$6,0)),0)*INDEX(Inputs!$B$24:$D$24,1,MATCH(A424,Inputs!$B$6:$D$6,0))</x:f>
        <x:v>7874.162499999999</x:v>
      </x:c>
      <x:c r="U424" s="20" t="n">
        <x:f>IF(AND(A423=A424,D423=D424),T423,0)</x:f>
        <x:v>5412.775</x:v>
      </x:c>
      <x:c r="V424" s="20" t="n">
        <x:f>T424-U424</x:f>
        <x:v>2461.3875</x:v>
      </x:c>
      <x:c r="W424" s="20" t="n">
        <x:f>R424+V424</x:f>
        <x:v>34636.3875</x:v>
      </x:c>
      <x:c r="X424" s="14" t="str">
        <x:f>IF(ABS(W424-SUM(M424:Q424)-V424)&lt;0.01,"OK","Check")</x:f>
        <x:v>OK</x:v>
      </x:c>
    </x:row>
    <x:row r="425">
      <x:c r="A425" s="14" t="n">
        <x:v>2027</x:v>
      </x:c>
      <x:c r="B425" s="14" t="str">
        <x:v>Q4</x:v>
      </x:c>
      <x:c r="C425" s="14" t="n">
        <x:v>4</x:v>
      </x:c>
      <x:c r="D425" s="14" t="n">
        <x:v>2</x:v>
      </x:c>
      <x:c r="E425" s="14" t="str">
        <x:f>INDEX(Roster!$B$6:$B$108,MATCH(D425,Roster!$A$6:$A$108,0))</x:f>
      </x:c>
      <x:c r="F425" s="14" t="str">
        <x:f>INDEX(Roster!$F$6:$F$108,MATCH(D425,Roster!$A$6:$A$108,0))</x:f>
        <x:v>No</x:v>
      </x:c>
      <x:c r="G425" s="14" t="n">
        <x:f>INDEX(Inputs!$B$7:$D$7,1,MATCH(A425,Inputs!$B$6:$D$6,0))</x:f>
        <x:v>13</x:v>
      </x:c>
      <x:c r="H425" s="14" t="n">
        <x:f>MIN(=INDEX(Inputs!$B$7:$D$7,1,MATCH(A425,Inputs!$B$6:$D$6,0)),MAX(0,INDEX(Inputs!$B$14:$D$14,1,MATCH(A425,Inputs!$B$6:$D$6,0))-(C425-1)*=INDEX(Inputs!$B$7:$D$7,1,MATCH(A425,Inputs!$B$6:$D$6,0))))</x:f>
        <x:v>0</x:v>
      </x:c>
      <x:c r="I425" s="20" t="n">
        <x:f>INDEX(Inputs!$B$8:$D$8,1,MATCH(A425,Inputs!$B$6:$D$6,0))</x:f>
        <x:v>2395</x:v>
      </x:c>
      <x:c r="J425" s="20" t="n">
        <x:f>INDEX(Roster!$C$6:$C$108,MATCH(D425,Roster!$A$6:$A$108,0))*(1+INDEX(Inputs!$B$9:$D$9,1,MATCH(A425,Inputs!$B$6:$D$6,0)))</x:f>
        <x:v>0</x:v>
      </x:c>
      <x:c r="K425" s="20" t="n">
        <x:f>IF(=INDEX(Roster!$F$6:$F$108,MATCH(D425,Roster!$A$6:$A$108,0))="Yes",0,=INDEX(Inputs!$B$8:$D$8,1,MATCH(A425,Inputs!$B$6:$D$6,0))*IF(=INDEX(Roster!$B$6:$B$108,MATCH(D425,Roster!$A$6:$A$108,0))="Principal",INDEX(Inputs!$B$10:$D$10,1,MATCH(A425,Inputs!$B$6:$D$6,0)),IF(=INDEX(Roster!$B$6:$B$108,MATCH(D425,Roster!$A$6:$A$108,0))="Associate Principal",INDEX(Inputs!$B$11:$D$11,1,MATCH(A425,Inputs!$B$6:$D$6,0)),IF(=INDEX(Roster!$B$6:$B$108,MATCH(D425,Roster!$A$6:$A$108,0))="Assistant Principal",INDEX(Inputs!$B$12:$D$12,1,MATCH(A425,Inputs!$B$6:$D$6,0)),0))))</x:f>
        <x:v>0</x:v>
      </x:c>
      <x:c r="L425" s="20" t="n">
        <x:f>IF(INDEX(Roster!$D$6:$D$108,MATCH(D425,Roster!$A$6:$A$108,0))&gt;=25,INDEX(Inputs!$B$19:$D$19,1,MATCH(A425,Inputs!$B$6:$D$6,0)),IF(INDEX(Roster!$D$6:$D$108,MATCH(D425,Roster!$A$6:$A$108,0))&gt;=20,INDEX(Inputs!$B$18:$D$18,1,MATCH(A425,Inputs!$B$6:$D$6,0)),IF(INDEX(Roster!$D$6:$D$108,MATCH(D425,Roster!$A$6:$A$108,0))&gt;=15,INDEX(Inputs!$B$17:$D$17,1,MATCH(A425,Inputs!$B$6:$D$6,0)),IF(INDEX(Roster!$D$6:$D$108,MATCH(D425,Roster!$A$6:$A$108,0))&gt;=10,INDEX(Inputs!$B$16:$D$16,1,MATCH(A425,Inputs!$B$6:$D$6,0)),IF(INDEX(Roster!$D$6:$D$108,MATCH(D425,Roster!$A$6:$A$108,0))&gt;=5,INDEX(Inputs!$B$15:$D$15,1,MATCH(A425,Inputs!$B$6:$D$6,0)),0)))))</x:f>
        <x:v>50</x:v>
      </x:c>
      <x:c r="M425" s="20" t="n">
        <x:f>G425*I425</x:f>
        <x:v>31135</x:v>
      </x:c>
      <x:c r="N425" s="20" t="n">
        <x:f>G425*J425</x:f>
        <x:v>0</x:v>
      </x:c>
      <x:c r="O425" s="20" t="n">
        <x:f>G425*K425</x:f>
        <x:v>0</x:v>
      </x:c>
      <x:c r="P425" s="20" t="n">
        <x:f>G425*L425</x:f>
        <x:v>650</x:v>
      </x:c>
      <x:c r="Q425" s="20" t="n">
        <x:f>H425*INDEX(Inputs!$B$13:$D$13,1,MATCH(A425,Inputs!$B$6:$D$6,0))</x:f>
        <x:v>0</x:v>
      </x:c>
      <x:c r="R425" s="20" t="n">
        <x:f>SUM(M425:Q425)</x:f>
        <x:v>31785</x:v>
      </x:c>
      <x:c r="S425" s="20" t="n">
        <x:f>IF(AND(A424=A425,D424=D425),S424+R425,R425)</x:f>
        <x:v>128310</x:v>
      </x:c>
      <x:c r="T425" s="20" t="n">
        <x:f>MIN(S425,INDEX(Inputs!$B$20:$D$20,1,MATCH(A425,Inputs!$B$6:$D$6,0)))*INDEX(Inputs!$B$22:$D$22,1,MATCH(A425,Inputs!$B$6:$D$6,0))+MAX(MIN(S425,INDEX(Inputs!$B$21:$D$21,1,MATCH(A425,Inputs!$B$6:$D$6,0)))-INDEX(Inputs!$B$20:$D$20,1,MATCH(A425,Inputs!$B$6:$D$6,0)),0)*INDEX(Inputs!$B$23:$D$23,1,MATCH(A425,Inputs!$B$6:$D$6,0))+MAX(S425-INDEX(Inputs!$B$21:$D$21,1,MATCH(A425,Inputs!$B$6:$D$6,0)),0)*INDEX(Inputs!$B$24:$D$24,1,MATCH(A425,Inputs!$B$6:$D$6,0))</x:f>
        <x:v>9774.437</x:v>
      </x:c>
      <x:c r="U425" s="20" t="n">
        <x:f>IF(AND(A424=A425,D424=D425),T424,0)</x:f>
        <x:v>7874.162499999999</x:v>
      </x:c>
      <x:c r="V425" s="20" t="n">
        <x:f>T425-U425</x:f>
        <x:v>1900.2745000000004</x:v>
      </x:c>
      <x:c r="W425" s="20" t="n">
        <x:f>R425+V425</x:f>
        <x:v>33685.2745</x:v>
      </x:c>
      <x:c r="X425" s="14" t="str">
        <x:f>IF(ABS(W425-SUM(M425:Q425)-V425)&lt;0.01,"OK","Check")</x:f>
        <x:v>OK</x:v>
      </x:c>
    </x:row>
    <x:row r="426">
      <x:c r="A426" s="14" t="n">
        <x:v>2027</x:v>
      </x:c>
      <x:c r="B426" s="14" t="str">
        <x:v>Q1</x:v>
      </x:c>
      <x:c r="C426" s="14" t="n">
        <x:v>1</x:v>
      </x:c>
      <x:c r="D426" s="14" t="n">
        <x:v>3</x:v>
      </x:c>
      <x:c r="E426" s="14" t="str">
        <x:f>INDEX(Roster!$B$6:$B$108,MATCH(D426,Roster!$A$6:$A$108,0))</x:f>
        <x:v>Principal</x:v>
      </x:c>
      <x:c r="F426" s="14" t="str">
        <x:f>INDEX(Roster!$F$6:$F$108,MATCH(D426,Roster!$A$6:$A$108,0))</x:f>
        <x:v>No</x:v>
      </x:c>
      <x:c r="G426" s="14" t="n">
        <x:f>INDEX(Inputs!$B$7:$D$7,1,MATCH(A426,Inputs!$B$6:$D$6,0))</x:f>
        <x:v>13</x:v>
      </x:c>
      <x:c r="H426" s="14" t="n">
        <x:f>MIN(=INDEX(Inputs!$B$7:$D$7,1,MATCH(A426,Inputs!$B$6:$D$6,0)),MAX(0,INDEX(Inputs!$B$14:$D$14,1,MATCH(A426,Inputs!$B$6:$D$6,0))-(C426-1)*=INDEX(Inputs!$B$7:$D$7,1,MATCH(A426,Inputs!$B$6:$D$6,0))))</x:f>
        <x:v>13</x:v>
      </x:c>
      <x:c r="I426" s="20" t="n">
        <x:f>INDEX(Inputs!$B$8:$D$8,1,MATCH(A426,Inputs!$B$6:$D$6,0))</x:f>
        <x:v>2395</x:v>
      </x:c>
      <x:c r="J426" s="20" t="n">
        <x:f>INDEX(Roster!$C$6:$C$108,MATCH(D426,Roster!$A$6:$A$108,0))*(1+INDEX(Inputs!$B$9:$D$9,1,MATCH(A426,Inputs!$B$6:$D$6,0)))</x:f>
        <x:v>500</x:v>
      </x:c>
      <x:c r="K426" s="20" t="n">
        <x:f>IF(=INDEX(Roster!$F$6:$F$108,MATCH(D426,Roster!$A$6:$A$108,0))="Yes",0,=INDEX(Inputs!$B$8:$D$8,1,MATCH(A426,Inputs!$B$6:$D$6,0))*IF(=INDEX(Roster!$B$6:$B$108,MATCH(D426,Roster!$A$6:$A$108,0))="Principal",INDEX(Inputs!$B$10:$D$10,1,MATCH(A426,Inputs!$B$6:$D$6,0)),IF(=INDEX(Roster!$B$6:$B$108,MATCH(D426,Roster!$A$6:$A$108,0))="Associate Principal",INDEX(Inputs!$B$11:$D$11,1,MATCH(A426,Inputs!$B$6:$D$6,0)),IF(=INDEX(Roster!$B$6:$B$108,MATCH(D426,Roster!$A$6:$A$108,0))="Assistant Principal",INDEX(Inputs!$B$12:$D$12,1,MATCH(A426,Inputs!$B$6:$D$6,0)),0))))</x:f>
        <x:v>479</x:v>
      </x:c>
      <x:c r="L426" s="20" t="n">
        <x:f>IF(INDEX(Roster!$D$6:$D$108,MATCH(D426,Roster!$A$6:$A$108,0))&gt;=25,INDEX(Inputs!$B$19:$D$19,1,MATCH(A426,Inputs!$B$6:$D$6,0)),IF(INDEX(Roster!$D$6:$D$108,MATCH(D426,Roster!$A$6:$A$108,0))&gt;=20,INDEX(Inputs!$B$18:$D$18,1,MATCH(A426,Inputs!$B$6:$D$6,0)),IF(INDEX(Roster!$D$6:$D$108,MATCH(D426,Roster!$A$6:$A$108,0))&gt;=15,INDEX(Inputs!$B$17:$D$17,1,MATCH(A426,Inputs!$B$6:$D$6,0)),IF(INDEX(Roster!$D$6:$D$108,MATCH(D426,Roster!$A$6:$A$108,0))&gt;=10,INDEX(Inputs!$B$16:$D$16,1,MATCH(A426,Inputs!$B$6:$D$6,0)),IF(INDEX(Roster!$D$6:$D$108,MATCH(D426,Roster!$A$6:$A$108,0))&gt;=5,INDEX(Inputs!$B$15:$D$15,1,MATCH(A426,Inputs!$B$6:$D$6,0)),0)))))</x:f>
        <x:v>60</x:v>
      </x:c>
      <x:c r="M426" s="20" t="n">
        <x:f>G426*I426</x:f>
        <x:v>31135</x:v>
      </x:c>
      <x:c r="N426" s="20" t="n">
        <x:f>G426*J426</x:f>
        <x:v>6500</x:v>
      </x:c>
      <x:c r="O426" s="20" t="n">
        <x:f>G426*K426</x:f>
        <x:v>6227</x:v>
      </x:c>
      <x:c r="P426" s="20" t="n">
        <x:f>G426*L426</x:f>
        <x:v>780</x:v>
      </x:c>
      <x:c r="Q426" s="20" t="n">
        <x:f>H426*INDEX(Inputs!$B$13:$D$13,1,MATCH(A426,Inputs!$B$6:$D$6,0))</x:f>
        <x:v>390</x:v>
      </x:c>
      <x:c r="R426" s="20" t="n">
        <x:f>SUM(M426:Q426)</x:f>
        <x:v>45032</x:v>
      </x:c>
      <x:c r="S426" s="20" t="n">
        <x:f>IF(AND(A425=A426,D425=D426),S425+R426,R426)</x:f>
        <x:v>45032</x:v>
      </x:c>
      <x:c r="T426" s="20" t="n">
        <x:f>MIN(S426,INDEX(Inputs!$B$20:$D$20,1,MATCH(A426,Inputs!$B$6:$D$6,0)))*INDEX(Inputs!$B$22:$D$22,1,MATCH(A426,Inputs!$B$6:$D$6,0))+MAX(MIN(S426,INDEX(Inputs!$B$21:$D$21,1,MATCH(A426,Inputs!$B$6:$D$6,0)))-INDEX(Inputs!$B$20:$D$20,1,MATCH(A426,Inputs!$B$6:$D$6,0)),0)*INDEX(Inputs!$B$23:$D$23,1,MATCH(A426,Inputs!$B$6:$D$6,0))+MAX(S426-INDEX(Inputs!$B$21:$D$21,1,MATCH(A426,Inputs!$B$6:$D$6,0)),0)*INDEX(Inputs!$B$24:$D$24,1,MATCH(A426,Inputs!$B$6:$D$6,0))</x:f>
        <x:v>3934.948</x:v>
      </x:c>
      <x:c r="U426" s="20" t="n">
        <x:f>IF(AND(A425=A426,D425=D426),T425,0)</x:f>
        <x:v>0</x:v>
      </x:c>
      <x:c r="V426" s="20" t="n">
        <x:f>T426-U426</x:f>
        <x:v>3934.948</x:v>
      </x:c>
      <x:c r="W426" s="20" t="n">
        <x:f>R426+V426</x:f>
        <x:v>48966.948</x:v>
      </x:c>
      <x:c r="X426" s="14" t="str">
        <x:f>IF(ABS(W426-SUM(M426:Q426)-V426)&lt;0.01,"OK","Check")</x:f>
        <x:v>OK</x:v>
      </x:c>
    </x:row>
    <x:row r="427">
      <x:c r="A427" s="14" t="n">
        <x:v>2027</x:v>
      </x:c>
      <x:c r="B427" s="14" t="str">
        <x:v>Q2</x:v>
      </x:c>
      <x:c r="C427" s="14" t="n">
        <x:v>2</x:v>
      </x:c>
      <x:c r="D427" s="14" t="n">
        <x:v>3</x:v>
      </x:c>
      <x:c r="E427" s="14" t="str">
        <x:f>INDEX(Roster!$B$6:$B$108,MATCH(D427,Roster!$A$6:$A$108,0))</x:f>
        <x:v>Principal</x:v>
      </x:c>
      <x:c r="F427" s="14" t="str">
        <x:f>INDEX(Roster!$F$6:$F$108,MATCH(D427,Roster!$A$6:$A$108,0))</x:f>
        <x:v>No</x:v>
      </x:c>
      <x:c r="G427" s="14" t="n">
        <x:f>INDEX(Inputs!$B$7:$D$7,1,MATCH(A427,Inputs!$B$6:$D$6,0))</x:f>
        <x:v>13</x:v>
      </x:c>
      <x:c r="H427" s="14" t="n">
        <x:f>MIN(=INDEX(Inputs!$B$7:$D$7,1,MATCH(A427,Inputs!$B$6:$D$6,0)),MAX(0,INDEX(Inputs!$B$14:$D$14,1,MATCH(A427,Inputs!$B$6:$D$6,0))-(C427-1)*=INDEX(Inputs!$B$7:$D$7,1,MATCH(A427,Inputs!$B$6:$D$6,0))))</x:f>
        <x:v>13</x:v>
      </x:c>
      <x:c r="I427" s="20" t="n">
        <x:f>INDEX(Inputs!$B$8:$D$8,1,MATCH(A427,Inputs!$B$6:$D$6,0))</x:f>
        <x:v>2395</x:v>
      </x:c>
      <x:c r="J427" s="20" t="n">
        <x:f>INDEX(Roster!$C$6:$C$108,MATCH(D427,Roster!$A$6:$A$108,0))*(1+INDEX(Inputs!$B$9:$D$9,1,MATCH(A427,Inputs!$B$6:$D$6,0)))</x:f>
        <x:v>500</x:v>
      </x:c>
      <x:c r="K427" s="20" t="n">
        <x:f>IF(=INDEX(Roster!$F$6:$F$108,MATCH(D427,Roster!$A$6:$A$108,0))="Yes",0,=INDEX(Inputs!$B$8:$D$8,1,MATCH(A427,Inputs!$B$6:$D$6,0))*IF(=INDEX(Roster!$B$6:$B$108,MATCH(D427,Roster!$A$6:$A$108,0))="Principal",INDEX(Inputs!$B$10:$D$10,1,MATCH(A427,Inputs!$B$6:$D$6,0)),IF(=INDEX(Roster!$B$6:$B$108,MATCH(D427,Roster!$A$6:$A$108,0))="Associate Principal",INDEX(Inputs!$B$11:$D$11,1,MATCH(A427,Inputs!$B$6:$D$6,0)),IF(=INDEX(Roster!$B$6:$B$108,MATCH(D427,Roster!$A$6:$A$108,0))="Assistant Principal",INDEX(Inputs!$B$12:$D$12,1,MATCH(A427,Inputs!$B$6:$D$6,0)),0))))</x:f>
        <x:v>479</x:v>
      </x:c>
      <x:c r="L427" s="20" t="n">
        <x:f>IF(INDEX(Roster!$D$6:$D$108,MATCH(D427,Roster!$A$6:$A$108,0))&gt;=25,INDEX(Inputs!$B$19:$D$19,1,MATCH(A427,Inputs!$B$6:$D$6,0)),IF(INDEX(Roster!$D$6:$D$108,MATCH(D427,Roster!$A$6:$A$108,0))&gt;=20,INDEX(Inputs!$B$18:$D$18,1,MATCH(A427,Inputs!$B$6:$D$6,0)),IF(INDEX(Roster!$D$6:$D$108,MATCH(D427,Roster!$A$6:$A$108,0))&gt;=15,INDEX(Inputs!$B$17:$D$17,1,MATCH(A427,Inputs!$B$6:$D$6,0)),IF(INDEX(Roster!$D$6:$D$108,MATCH(D427,Roster!$A$6:$A$108,0))&gt;=10,INDEX(Inputs!$B$16:$D$16,1,MATCH(A427,Inputs!$B$6:$D$6,0)),IF(INDEX(Roster!$D$6:$D$108,MATCH(D427,Roster!$A$6:$A$108,0))&gt;=5,INDEX(Inputs!$B$15:$D$15,1,MATCH(A427,Inputs!$B$6:$D$6,0)),0)))))</x:f>
        <x:v>60</x:v>
      </x:c>
      <x:c r="M427" s="20" t="n">
        <x:f>G427*I427</x:f>
        <x:v>31135</x:v>
      </x:c>
      <x:c r="N427" s="20" t="n">
        <x:f>G427*J427</x:f>
        <x:v>6500</x:v>
      </x:c>
      <x:c r="O427" s="20" t="n">
        <x:f>G427*K427</x:f>
        <x:v>6227</x:v>
      </x:c>
      <x:c r="P427" s="20" t="n">
        <x:f>G427*L427</x:f>
        <x:v>780</x:v>
      </x:c>
      <x:c r="Q427" s="20" t="n">
        <x:f>H427*INDEX(Inputs!$B$13:$D$13,1,MATCH(A427,Inputs!$B$6:$D$6,0))</x:f>
        <x:v>390</x:v>
      </x:c>
      <x:c r="R427" s="20" t="n">
        <x:f>SUM(M427:Q427)</x:f>
        <x:v>45032</x:v>
      </x:c>
      <x:c r="S427" s="20" t="n">
        <x:f>IF(AND(A426=A427,D426=D427),S426+R427,R427)</x:f>
        <x:v>90064</x:v>
      </x:c>
      <x:c r="T427" s="20" t="n">
        <x:f>MIN(S427,INDEX(Inputs!$B$20:$D$20,1,MATCH(A427,Inputs!$B$6:$D$6,0)))*INDEX(Inputs!$B$22:$D$22,1,MATCH(A427,Inputs!$B$6:$D$6,0))+MAX(MIN(S427,INDEX(Inputs!$B$21:$D$21,1,MATCH(A427,Inputs!$B$6:$D$6,0)))-INDEX(Inputs!$B$20:$D$20,1,MATCH(A427,Inputs!$B$6:$D$6,0)),0)*INDEX(Inputs!$B$23:$D$23,1,MATCH(A427,Inputs!$B$6:$D$6,0))+MAX(S427-INDEX(Inputs!$B$21:$D$21,1,MATCH(A427,Inputs!$B$6:$D$6,0)),0)*INDEX(Inputs!$B$24:$D$24,1,MATCH(A427,Inputs!$B$6:$D$6,0))</x:f>
        <x:v>7379.896</x:v>
      </x:c>
      <x:c r="U427" s="20" t="n">
        <x:f>IF(AND(A426=A427,D426=D427),T426,0)</x:f>
        <x:v>3934.948</x:v>
      </x:c>
      <x:c r="V427" s="20" t="n">
        <x:f>T427-U427</x:f>
        <x:v>3444.948</x:v>
      </x:c>
      <x:c r="W427" s="20" t="n">
        <x:f>R427+V427</x:f>
        <x:v>48476.948</x:v>
      </x:c>
      <x:c r="X427" s="14" t="str">
        <x:f>IF(ABS(W427-SUM(M427:Q427)-V427)&lt;0.01,"OK","Check")</x:f>
        <x:v>OK</x:v>
      </x:c>
    </x:row>
    <x:row r="428">
      <x:c r="A428" s="14" t="n">
        <x:v>2027</x:v>
      </x:c>
      <x:c r="B428" s="14" t="str">
        <x:v>Q3</x:v>
      </x:c>
      <x:c r="C428" s="14" t="n">
        <x:v>3</x:v>
      </x:c>
      <x:c r="D428" s="14" t="n">
        <x:v>3</x:v>
      </x:c>
      <x:c r="E428" s="14" t="str">
        <x:f>INDEX(Roster!$B$6:$B$108,MATCH(D428,Roster!$A$6:$A$108,0))</x:f>
        <x:v>Principal</x:v>
      </x:c>
      <x:c r="F428" s="14" t="str">
        <x:f>INDEX(Roster!$F$6:$F$108,MATCH(D428,Roster!$A$6:$A$108,0))</x:f>
        <x:v>No</x:v>
      </x:c>
      <x:c r="G428" s="14" t="n">
        <x:f>INDEX(Inputs!$B$7:$D$7,1,MATCH(A428,Inputs!$B$6:$D$6,0))</x:f>
        <x:v>13</x:v>
      </x:c>
      <x:c r="H428" s="14" t="n">
        <x:f>MIN(=INDEX(Inputs!$B$7:$D$7,1,MATCH(A428,Inputs!$B$6:$D$6,0)),MAX(0,INDEX(Inputs!$B$14:$D$14,1,MATCH(A428,Inputs!$B$6:$D$6,0))-(C428-1)*=INDEX(Inputs!$B$7:$D$7,1,MATCH(A428,Inputs!$B$6:$D$6,0))))</x:f>
        <x:v>13</x:v>
      </x:c>
      <x:c r="I428" s="20" t="n">
        <x:f>INDEX(Inputs!$B$8:$D$8,1,MATCH(A428,Inputs!$B$6:$D$6,0))</x:f>
        <x:v>2395</x:v>
      </x:c>
      <x:c r="J428" s="20" t="n">
        <x:f>INDEX(Roster!$C$6:$C$108,MATCH(D428,Roster!$A$6:$A$108,0))*(1+INDEX(Inputs!$B$9:$D$9,1,MATCH(A428,Inputs!$B$6:$D$6,0)))</x:f>
        <x:v>500</x:v>
      </x:c>
      <x:c r="K428" s="20" t="n">
        <x:f>IF(=INDEX(Roster!$F$6:$F$108,MATCH(D428,Roster!$A$6:$A$108,0))="Yes",0,=INDEX(Inputs!$B$8:$D$8,1,MATCH(A428,Inputs!$B$6:$D$6,0))*IF(=INDEX(Roster!$B$6:$B$108,MATCH(D428,Roster!$A$6:$A$108,0))="Principal",INDEX(Inputs!$B$10:$D$10,1,MATCH(A428,Inputs!$B$6:$D$6,0)),IF(=INDEX(Roster!$B$6:$B$108,MATCH(D428,Roster!$A$6:$A$108,0))="Associate Principal",INDEX(Inputs!$B$11:$D$11,1,MATCH(A428,Inputs!$B$6:$D$6,0)),IF(=INDEX(Roster!$B$6:$B$108,MATCH(D428,Roster!$A$6:$A$108,0))="Assistant Principal",INDEX(Inputs!$B$12:$D$12,1,MATCH(A428,Inputs!$B$6:$D$6,0)),0))))</x:f>
        <x:v>479</x:v>
      </x:c>
      <x:c r="L428" s="20" t="n">
        <x:f>IF(INDEX(Roster!$D$6:$D$108,MATCH(D428,Roster!$A$6:$A$108,0))&gt;=25,INDEX(Inputs!$B$19:$D$19,1,MATCH(A428,Inputs!$B$6:$D$6,0)),IF(INDEX(Roster!$D$6:$D$108,MATCH(D428,Roster!$A$6:$A$108,0))&gt;=20,INDEX(Inputs!$B$18:$D$18,1,MATCH(A428,Inputs!$B$6:$D$6,0)),IF(INDEX(Roster!$D$6:$D$108,MATCH(D428,Roster!$A$6:$A$108,0))&gt;=15,INDEX(Inputs!$B$17:$D$17,1,MATCH(A428,Inputs!$B$6:$D$6,0)),IF(INDEX(Roster!$D$6:$D$108,MATCH(D428,Roster!$A$6:$A$108,0))&gt;=10,INDEX(Inputs!$B$16:$D$16,1,MATCH(A428,Inputs!$B$6:$D$6,0)),IF(INDEX(Roster!$D$6:$D$108,MATCH(D428,Roster!$A$6:$A$108,0))&gt;=5,INDEX(Inputs!$B$15:$D$15,1,MATCH(A428,Inputs!$B$6:$D$6,0)),0)))))</x:f>
        <x:v>60</x:v>
      </x:c>
      <x:c r="M428" s="20" t="n">
        <x:f>G428*I428</x:f>
        <x:v>31135</x:v>
      </x:c>
      <x:c r="N428" s="20" t="n">
        <x:f>G428*J428</x:f>
        <x:v>6500</x:v>
      </x:c>
      <x:c r="O428" s="20" t="n">
        <x:f>G428*K428</x:f>
        <x:v>6227</x:v>
      </x:c>
      <x:c r="P428" s="20" t="n">
        <x:f>G428*L428</x:f>
        <x:v>780</x:v>
      </x:c>
      <x:c r="Q428" s="20" t="n">
        <x:f>H428*INDEX(Inputs!$B$13:$D$13,1,MATCH(A428,Inputs!$B$6:$D$6,0))</x:f>
        <x:v>390</x:v>
      </x:c>
      <x:c r="R428" s="20" t="n">
        <x:f>SUM(M428:Q428)</x:f>
        <x:v>45032</x:v>
      </x:c>
      <x:c r="S428" s="20" t="n">
        <x:f>IF(AND(A427=A428,D427=D428),S427+R428,R428)</x:f>
        <x:v>135096</x:v>
      </x:c>
      <x:c r="T428" s="20" t="n">
        <x:f>MIN(S428,INDEX(Inputs!$B$20:$D$20,1,MATCH(A428,Inputs!$B$6:$D$6,0)))*INDEX(Inputs!$B$22:$D$22,1,MATCH(A428,Inputs!$B$6:$D$6,0))+MAX(MIN(S428,INDEX(Inputs!$B$21:$D$21,1,MATCH(A428,Inputs!$B$6:$D$6,0)))-INDEX(Inputs!$B$20:$D$20,1,MATCH(A428,Inputs!$B$6:$D$6,0)),0)*INDEX(Inputs!$B$23:$D$23,1,MATCH(A428,Inputs!$B$6:$D$6,0))+MAX(S428-INDEX(Inputs!$B$21:$D$21,1,MATCH(A428,Inputs!$B$6:$D$6,0)),0)*INDEX(Inputs!$B$24:$D$24,1,MATCH(A428,Inputs!$B$6:$D$6,0))</x:f>
        <x:v>9872.833999999999</x:v>
      </x:c>
      <x:c r="U428" s="20" t="n">
        <x:f>IF(AND(A427=A428,D427=D428),T427,0)</x:f>
        <x:v>7379.896</x:v>
      </x:c>
      <x:c r="V428" s="20" t="n">
        <x:f>T428-U428</x:f>
        <x:v>2492.937999999999</x:v>
      </x:c>
      <x:c r="W428" s="20" t="n">
        <x:f>R428+V428</x:f>
        <x:v>47524.938</x:v>
      </x:c>
      <x:c r="X428" s="14" t="str">
        <x:f>IF(ABS(W428-SUM(M428:Q428)-V428)&lt;0.01,"OK","Check")</x:f>
        <x:v>OK</x:v>
      </x:c>
    </x:row>
    <x:row r="429">
      <x:c r="A429" s="14" t="n">
        <x:v>2027</x:v>
      </x:c>
      <x:c r="B429" s="14" t="str">
        <x:v>Q4</x:v>
      </x:c>
      <x:c r="C429" s="14" t="n">
        <x:v>4</x:v>
      </x:c>
      <x:c r="D429" s="14" t="n">
        <x:v>3</x:v>
      </x:c>
      <x:c r="E429" s="14" t="str">
        <x:f>INDEX(Roster!$B$6:$B$108,MATCH(D429,Roster!$A$6:$A$108,0))</x:f>
        <x:v>Principal</x:v>
      </x:c>
      <x:c r="F429" s="14" t="str">
        <x:f>INDEX(Roster!$F$6:$F$108,MATCH(D429,Roster!$A$6:$A$108,0))</x:f>
        <x:v>No</x:v>
      </x:c>
      <x:c r="G429" s="14" t="n">
        <x:f>INDEX(Inputs!$B$7:$D$7,1,MATCH(A429,Inputs!$B$6:$D$6,0))</x:f>
        <x:v>13</x:v>
      </x:c>
      <x:c r="H429" s="14" t="n">
        <x:f>MIN(=INDEX(Inputs!$B$7:$D$7,1,MATCH(A429,Inputs!$B$6:$D$6,0)),MAX(0,INDEX(Inputs!$B$14:$D$14,1,MATCH(A429,Inputs!$B$6:$D$6,0))-(C429-1)*=INDEX(Inputs!$B$7:$D$7,1,MATCH(A429,Inputs!$B$6:$D$6,0))))</x:f>
        <x:v>0</x:v>
      </x:c>
      <x:c r="I429" s="20" t="n">
        <x:f>INDEX(Inputs!$B$8:$D$8,1,MATCH(A429,Inputs!$B$6:$D$6,0))</x:f>
        <x:v>2395</x:v>
      </x:c>
      <x:c r="J429" s="20" t="n">
        <x:f>INDEX(Roster!$C$6:$C$108,MATCH(D429,Roster!$A$6:$A$108,0))*(1+INDEX(Inputs!$B$9:$D$9,1,MATCH(A429,Inputs!$B$6:$D$6,0)))</x:f>
        <x:v>500</x:v>
      </x:c>
      <x:c r="K429" s="20" t="n">
        <x:f>IF(=INDEX(Roster!$F$6:$F$108,MATCH(D429,Roster!$A$6:$A$108,0))="Yes",0,=INDEX(Inputs!$B$8:$D$8,1,MATCH(A429,Inputs!$B$6:$D$6,0))*IF(=INDEX(Roster!$B$6:$B$108,MATCH(D429,Roster!$A$6:$A$108,0))="Principal",INDEX(Inputs!$B$10:$D$10,1,MATCH(A429,Inputs!$B$6:$D$6,0)),IF(=INDEX(Roster!$B$6:$B$108,MATCH(D429,Roster!$A$6:$A$108,0))="Associate Principal",INDEX(Inputs!$B$11:$D$11,1,MATCH(A429,Inputs!$B$6:$D$6,0)),IF(=INDEX(Roster!$B$6:$B$108,MATCH(D429,Roster!$A$6:$A$108,0))="Assistant Principal",INDEX(Inputs!$B$12:$D$12,1,MATCH(A429,Inputs!$B$6:$D$6,0)),0))))</x:f>
        <x:v>479</x:v>
      </x:c>
      <x:c r="L429" s="20" t="n">
        <x:f>IF(INDEX(Roster!$D$6:$D$108,MATCH(D429,Roster!$A$6:$A$108,0))&gt;=25,INDEX(Inputs!$B$19:$D$19,1,MATCH(A429,Inputs!$B$6:$D$6,0)),IF(INDEX(Roster!$D$6:$D$108,MATCH(D429,Roster!$A$6:$A$108,0))&gt;=20,INDEX(Inputs!$B$18:$D$18,1,MATCH(A429,Inputs!$B$6:$D$6,0)),IF(INDEX(Roster!$D$6:$D$108,MATCH(D429,Roster!$A$6:$A$108,0))&gt;=15,INDEX(Inputs!$B$17:$D$17,1,MATCH(A429,Inputs!$B$6:$D$6,0)),IF(INDEX(Roster!$D$6:$D$108,MATCH(D429,Roster!$A$6:$A$108,0))&gt;=10,INDEX(Inputs!$B$16:$D$16,1,MATCH(A429,Inputs!$B$6:$D$6,0)),IF(INDEX(Roster!$D$6:$D$108,MATCH(D429,Roster!$A$6:$A$108,0))&gt;=5,INDEX(Inputs!$B$15:$D$15,1,MATCH(A429,Inputs!$B$6:$D$6,0)),0)))))</x:f>
        <x:v>60</x:v>
      </x:c>
      <x:c r="M429" s="20" t="n">
        <x:f>G429*I429</x:f>
        <x:v>31135</x:v>
      </x:c>
      <x:c r="N429" s="20" t="n">
        <x:f>G429*J429</x:f>
        <x:v>6500</x:v>
      </x:c>
      <x:c r="O429" s="20" t="n">
        <x:f>G429*K429</x:f>
        <x:v>6227</x:v>
      </x:c>
      <x:c r="P429" s="20" t="n">
        <x:f>G429*L429</x:f>
        <x:v>780</x:v>
      </x:c>
      <x:c r="Q429" s="20" t="n">
        <x:f>H429*INDEX(Inputs!$B$13:$D$13,1,MATCH(A429,Inputs!$B$6:$D$6,0))</x:f>
        <x:v>0</x:v>
      </x:c>
      <x:c r="R429" s="20" t="n">
        <x:f>SUM(M429:Q429)</x:f>
        <x:v>44642</x:v>
      </x:c>
      <x:c r="S429" s="20" t="n">
        <x:f>IF(AND(A428=A429,D428=D429),S428+R429,R429)</x:f>
        <x:v>179738</x:v>
      </x:c>
      <x:c r="T429" s="20" t="n">
        <x:f>MIN(S429,INDEX(Inputs!$B$20:$D$20,1,MATCH(A429,Inputs!$B$6:$D$6,0)))*INDEX(Inputs!$B$22:$D$22,1,MATCH(A429,Inputs!$B$6:$D$6,0))+MAX(MIN(S429,INDEX(Inputs!$B$21:$D$21,1,MATCH(A429,Inputs!$B$6:$D$6,0)))-INDEX(Inputs!$B$20:$D$20,1,MATCH(A429,Inputs!$B$6:$D$6,0)),0)*INDEX(Inputs!$B$23:$D$23,1,MATCH(A429,Inputs!$B$6:$D$6,0))+MAX(S429-INDEX(Inputs!$B$21:$D$21,1,MATCH(A429,Inputs!$B$6:$D$6,0)),0)*INDEX(Inputs!$B$24:$D$24,1,MATCH(A429,Inputs!$B$6:$D$6,0))</x:f>
        <x:v>10520.143</x:v>
      </x:c>
      <x:c r="U429" s="20" t="n">
        <x:f>IF(AND(A428=A429,D428=D429),T428,0)</x:f>
        <x:v>9872.833999999999</x:v>
      </x:c>
      <x:c r="V429" s="20" t="n">
        <x:f>T429-U429</x:f>
        <x:v>647.3090000000011</x:v>
      </x:c>
      <x:c r="W429" s="20" t="n">
        <x:f>R429+V429</x:f>
        <x:v>45289.309</x:v>
      </x:c>
      <x:c r="X429" s="14" t="str">
        <x:f>IF(ABS(W429-SUM(M429:Q429)-V429)&lt;0.01,"OK","Check")</x:f>
        <x:v>OK</x:v>
      </x:c>
    </x:row>
    <x:row r="430">
      <x:c r="A430" s="14" t="n">
        <x:v>2027</x:v>
      </x:c>
      <x:c r="B430" s="14" t="str">
        <x:v>Q1</x:v>
      </x:c>
      <x:c r="C430" s="14" t="n">
        <x:v>1</x:v>
      </x:c>
      <x:c r="D430" s="14" t="n">
        <x:v>4</x:v>
      </x:c>
      <x:c r="E430" s="14" t="str">
        <x:f>INDEX(Roster!$B$6:$B$108,MATCH(D430,Roster!$A$6:$A$108,0))</x:f>
      </x:c>
      <x:c r="F430" s="14" t="str">
        <x:f>INDEX(Roster!$F$6:$F$108,MATCH(D430,Roster!$A$6:$A$108,0))</x:f>
        <x:v>No</x:v>
      </x:c>
      <x:c r="G430" s="14" t="n">
        <x:f>INDEX(Inputs!$B$7:$D$7,1,MATCH(A430,Inputs!$B$6:$D$6,0))</x:f>
        <x:v>13</x:v>
      </x:c>
      <x:c r="H430" s="14" t="n">
        <x:f>MIN(=INDEX(Inputs!$B$7:$D$7,1,MATCH(A430,Inputs!$B$6:$D$6,0)),MAX(0,INDEX(Inputs!$B$14:$D$14,1,MATCH(A430,Inputs!$B$6:$D$6,0))-(C430-1)*=INDEX(Inputs!$B$7:$D$7,1,MATCH(A430,Inputs!$B$6:$D$6,0))))</x:f>
        <x:v>13</x:v>
      </x:c>
      <x:c r="I430" s="20" t="n">
        <x:f>INDEX(Inputs!$B$8:$D$8,1,MATCH(A430,Inputs!$B$6:$D$6,0))</x:f>
        <x:v>2395</x:v>
      </x:c>
      <x:c r="J430" s="20" t="n">
        <x:f>INDEX(Roster!$C$6:$C$108,MATCH(D430,Roster!$A$6:$A$108,0))*(1+INDEX(Inputs!$B$9:$D$9,1,MATCH(A430,Inputs!$B$6:$D$6,0)))</x:f>
        <x:v>50</x:v>
      </x:c>
      <x:c r="K430" s="20" t="n">
        <x:f>IF(=INDEX(Roster!$F$6:$F$108,MATCH(D430,Roster!$A$6:$A$108,0))="Yes",0,=INDEX(Inputs!$B$8:$D$8,1,MATCH(A430,Inputs!$B$6:$D$6,0))*IF(=INDEX(Roster!$B$6:$B$108,MATCH(D430,Roster!$A$6:$A$108,0))="Principal",INDEX(Inputs!$B$10:$D$10,1,MATCH(A430,Inputs!$B$6:$D$6,0)),IF(=INDEX(Roster!$B$6:$B$108,MATCH(D430,Roster!$A$6:$A$108,0))="Associate Principal",INDEX(Inputs!$B$11:$D$11,1,MATCH(A430,Inputs!$B$6:$D$6,0)),IF(=INDEX(Roster!$B$6:$B$108,MATCH(D430,Roster!$A$6:$A$108,0))="Assistant Principal",INDEX(Inputs!$B$12:$D$12,1,MATCH(A430,Inputs!$B$6:$D$6,0)),0))))</x:f>
        <x:v>0</x:v>
      </x:c>
      <x:c r="L430" s="20" t="n">
        <x:f>IF(INDEX(Roster!$D$6:$D$108,MATCH(D430,Roster!$A$6:$A$108,0))&gt;=25,INDEX(Inputs!$B$19:$D$19,1,MATCH(A430,Inputs!$B$6:$D$6,0)),IF(INDEX(Roster!$D$6:$D$108,MATCH(D430,Roster!$A$6:$A$108,0))&gt;=20,INDEX(Inputs!$B$18:$D$18,1,MATCH(A430,Inputs!$B$6:$D$6,0)),IF(INDEX(Roster!$D$6:$D$108,MATCH(D430,Roster!$A$6:$A$108,0))&gt;=15,INDEX(Inputs!$B$17:$D$17,1,MATCH(A430,Inputs!$B$6:$D$6,0)),IF(INDEX(Roster!$D$6:$D$108,MATCH(D430,Roster!$A$6:$A$108,0))&gt;=10,INDEX(Inputs!$B$16:$D$16,1,MATCH(A430,Inputs!$B$6:$D$6,0)),IF(INDEX(Roster!$D$6:$D$108,MATCH(D430,Roster!$A$6:$A$108,0))&gt;=5,INDEX(Inputs!$B$15:$D$15,1,MATCH(A430,Inputs!$B$6:$D$6,0)),0)))))</x:f>
        <x:v>90</x:v>
      </x:c>
      <x:c r="M430" s="20" t="n">
        <x:f>G430*I430</x:f>
        <x:v>31135</x:v>
      </x:c>
      <x:c r="N430" s="20" t="n">
        <x:f>G430*J430</x:f>
        <x:v>650</x:v>
      </x:c>
      <x:c r="O430" s="20" t="n">
        <x:f>G430*K430</x:f>
        <x:v>0</x:v>
      </x:c>
      <x:c r="P430" s="20" t="n">
        <x:f>G430*L430</x:f>
        <x:v>1170</x:v>
      </x:c>
      <x:c r="Q430" s="20" t="n">
        <x:f>H430*INDEX(Inputs!$B$13:$D$13,1,MATCH(A430,Inputs!$B$6:$D$6,0))</x:f>
        <x:v>390</x:v>
      </x:c>
      <x:c r="R430" s="20" t="n">
        <x:f>SUM(M430:Q430)</x:f>
        <x:v>33345</x:v>
      </x:c>
      <x:c r="S430" s="20" t="n">
        <x:f>IF(AND(A429=A430,D429=D430),S429+R430,R430)</x:f>
        <x:v>33345</x:v>
      </x:c>
      <x:c r="T430" s="20" t="n">
        <x:f>MIN(S430,INDEX(Inputs!$B$20:$D$20,1,MATCH(A430,Inputs!$B$6:$D$6,0)))*INDEX(Inputs!$B$22:$D$22,1,MATCH(A430,Inputs!$B$6:$D$6,0))+MAX(MIN(S430,INDEX(Inputs!$B$21:$D$21,1,MATCH(A430,Inputs!$B$6:$D$6,0)))-INDEX(Inputs!$B$20:$D$20,1,MATCH(A430,Inputs!$B$6:$D$6,0)),0)*INDEX(Inputs!$B$23:$D$23,1,MATCH(A430,Inputs!$B$6:$D$6,0))+MAX(S430-INDEX(Inputs!$B$21:$D$21,1,MATCH(A430,Inputs!$B$6:$D$6,0)),0)*INDEX(Inputs!$B$24:$D$24,1,MATCH(A430,Inputs!$B$6:$D$6,0))</x:f>
        <x:v>3040.8925</x:v>
      </x:c>
      <x:c r="U430" s="20" t="n">
        <x:f>IF(AND(A429=A430,D429=D430),T429,0)</x:f>
        <x:v>0</x:v>
      </x:c>
      <x:c r="V430" s="20" t="n">
        <x:f>T430-U430</x:f>
        <x:v>3040.8925</x:v>
      </x:c>
      <x:c r="W430" s="20" t="n">
        <x:f>R430+V430</x:f>
        <x:v>36385.8925</x:v>
      </x:c>
      <x:c r="X430" s="14" t="str">
        <x:f>IF(ABS(W430-SUM(M430:Q430)-V430)&lt;0.01,"OK","Check")</x:f>
        <x:v>OK</x:v>
      </x:c>
    </x:row>
    <x:row r="431">
      <x:c r="A431" s="14" t="n">
        <x:v>2027</x:v>
      </x:c>
      <x:c r="B431" s="14" t="str">
        <x:v>Q2</x:v>
      </x:c>
      <x:c r="C431" s="14" t="n">
        <x:v>2</x:v>
      </x:c>
      <x:c r="D431" s="14" t="n">
        <x:v>4</x:v>
      </x:c>
      <x:c r="E431" s="14" t="str">
        <x:f>INDEX(Roster!$B$6:$B$108,MATCH(D431,Roster!$A$6:$A$108,0))</x:f>
      </x:c>
      <x:c r="F431" s="14" t="str">
        <x:f>INDEX(Roster!$F$6:$F$108,MATCH(D431,Roster!$A$6:$A$108,0))</x:f>
        <x:v>No</x:v>
      </x:c>
      <x:c r="G431" s="14" t="n">
        <x:f>INDEX(Inputs!$B$7:$D$7,1,MATCH(A431,Inputs!$B$6:$D$6,0))</x:f>
        <x:v>13</x:v>
      </x:c>
      <x:c r="H431" s="14" t="n">
        <x:f>MIN(=INDEX(Inputs!$B$7:$D$7,1,MATCH(A431,Inputs!$B$6:$D$6,0)),MAX(0,INDEX(Inputs!$B$14:$D$14,1,MATCH(A431,Inputs!$B$6:$D$6,0))-(C431-1)*=INDEX(Inputs!$B$7:$D$7,1,MATCH(A431,Inputs!$B$6:$D$6,0))))</x:f>
        <x:v>13</x:v>
      </x:c>
      <x:c r="I431" s="20" t="n">
        <x:f>INDEX(Inputs!$B$8:$D$8,1,MATCH(A431,Inputs!$B$6:$D$6,0))</x:f>
        <x:v>2395</x:v>
      </x:c>
      <x:c r="J431" s="20" t="n">
        <x:f>INDEX(Roster!$C$6:$C$108,MATCH(D431,Roster!$A$6:$A$108,0))*(1+INDEX(Inputs!$B$9:$D$9,1,MATCH(A431,Inputs!$B$6:$D$6,0)))</x:f>
        <x:v>50</x:v>
      </x:c>
      <x:c r="K431" s="20" t="n">
        <x:f>IF(=INDEX(Roster!$F$6:$F$108,MATCH(D431,Roster!$A$6:$A$108,0))="Yes",0,=INDEX(Inputs!$B$8:$D$8,1,MATCH(A431,Inputs!$B$6:$D$6,0))*IF(=INDEX(Roster!$B$6:$B$108,MATCH(D431,Roster!$A$6:$A$108,0))="Principal",INDEX(Inputs!$B$10:$D$10,1,MATCH(A431,Inputs!$B$6:$D$6,0)),IF(=INDEX(Roster!$B$6:$B$108,MATCH(D431,Roster!$A$6:$A$108,0))="Associate Principal",INDEX(Inputs!$B$11:$D$11,1,MATCH(A431,Inputs!$B$6:$D$6,0)),IF(=INDEX(Roster!$B$6:$B$108,MATCH(D431,Roster!$A$6:$A$108,0))="Assistant Principal",INDEX(Inputs!$B$12:$D$12,1,MATCH(A431,Inputs!$B$6:$D$6,0)),0))))</x:f>
        <x:v>0</x:v>
      </x:c>
      <x:c r="L431" s="20" t="n">
        <x:f>IF(INDEX(Roster!$D$6:$D$108,MATCH(D431,Roster!$A$6:$A$108,0))&gt;=25,INDEX(Inputs!$B$19:$D$19,1,MATCH(A431,Inputs!$B$6:$D$6,0)),IF(INDEX(Roster!$D$6:$D$108,MATCH(D431,Roster!$A$6:$A$108,0))&gt;=20,INDEX(Inputs!$B$18:$D$18,1,MATCH(A431,Inputs!$B$6:$D$6,0)),IF(INDEX(Roster!$D$6:$D$108,MATCH(D431,Roster!$A$6:$A$108,0))&gt;=15,INDEX(Inputs!$B$17:$D$17,1,MATCH(A431,Inputs!$B$6:$D$6,0)),IF(INDEX(Roster!$D$6:$D$108,MATCH(D431,Roster!$A$6:$A$108,0))&gt;=10,INDEX(Inputs!$B$16:$D$16,1,MATCH(A431,Inputs!$B$6:$D$6,0)),IF(INDEX(Roster!$D$6:$D$108,MATCH(D431,Roster!$A$6:$A$108,0))&gt;=5,INDEX(Inputs!$B$15:$D$15,1,MATCH(A431,Inputs!$B$6:$D$6,0)),0)))))</x:f>
        <x:v>90</x:v>
      </x:c>
      <x:c r="M431" s="20" t="n">
        <x:f>G431*I431</x:f>
        <x:v>31135</x:v>
      </x:c>
      <x:c r="N431" s="20" t="n">
        <x:f>G431*J431</x:f>
        <x:v>650</x:v>
      </x:c>
      <x:c r="O431" s="20" t="n">
        <x:f>G431*K431</x:f>
        <x:v>0</x:v>
      </x:c>
      <x:c r="P431" s="20" t="n">
        <x:f>G431*L431</x:f>
        <x:v>1170</x:v>
      </x:c>
      <x:c r="Q431" s="20" t="n">
        <x:f>H431*INDEX(Inputs!$B$13:$D$13,1,MATCH(A431,Inputs!$B$6:$D$6,0))</x:f>
        <x:v>390</x:v>
      </x:c>
      <x:c r="R431" s="20" t="n">
        <x:f>SUM(M431:Q431)</x:f>
        <x:v>33345</x:v>
      </x:c>
      <x:c r="S431" s="20" t="n">
        <x:f>IF(AND(A430=A431,D430=D431),S430+R431,R431)</x:f>
        <x:v>66690</x:v>
      </x:c>
      <x:c r="T431" s="20" t="n">
        <x:f>MIN(S431,INDEX(Inputs!$B$20:$D$20,1,MATCH(A431,Inputs!$B$6:$D$6,0)))*INDEX(Inputs!$B$22:$D$22,1,MATCH(A431,Inputs!$B$6:$D$6,0))+MAX(MIN(S431,INDEX(Inputs!$B$21:$D$21,1,MATCH(A431,Inputs!$B$6:$D$6,0)))-INDEX(Inputs!$B$20:$D$20,1,MATCH(A431,Inputs!$B$6:$D$6,0)),0)*INDEX(Inputs!$B$23:$D$23,1,MATCH(A431,Inputs!$B$6:$D$6,0))+MAX(S431-INDEX(Inputs!$B$21:$D$21,1,MATCH(A431,Inputs!$B$6:$D$6,0)),0)*INDEX(Inputs!$B$24:$D$24,1,MATCH(A431,Inputs!$B$6:$D$6,0))</x:f>
        <x:v>5591.785</x:v>
      </x:c>
      <x:c r="U431" s="20" t="n">
        <x:f>IF(AND(A430=A431,D430=D431),T430,0)</x:f>
        <x:v>3040.8925</x:v>
      </x:c>
      <x:c r="V431" s="20" t="n">
        <x:f>T431-U431</x:f>
        <x:v>2550.8925</x:v>
      </x:c>
      <x:c r="W431" s="20" t="n">
        <x:f>R431+V431</x:f>
        <x:v>35895.8925</x:v>
      </x:c>
      <x:c r="X431" s="14" t="str">
        <x:f>IF(ABS(W431-SUM(M431:Q431)-V431)&lt;0.01,"OK","Check")</x:f>
        <x:v>OK</x:v>
      </x:c>
    </x:row>
    <x:row r="432">
      <x:c r="A432" s="14" t="n">
        <x:v>2027</x:v>
      </x:c>
      <x:c r="B432" s="14" t="str">
        <x:v>Q3</x:v>
      </x:c>
      <x:c r="C432" s="14" t="n">
        <x:v>3</x:v>
      </x:c>
      <x:c r="D432" s="14" t="n">
        <x:v>4</x:v>
      </x:c>
      <x:c r="E432" s="14" t="str">
        <x:f>INDEX(Roster!$B$6:$B$108,MATCH(D432,Roster!$A$6:$A$108,0))</x:f>
      </x:c>
      <x:c r="F432" s="14" t="str">
        <x:f>INDEX(Roster!$F$6:$F$108,MATCH(D432,Roster!$A$6:$A$108,0))</x:f>
        <x:v>No</x:v>
      </x:c>
      <x:c r="G432" s="14" t="n">
        <x:f>INDEX(Inputs!$B$7:$D$7,1,MATCH(A432,Inputs!$B$6:$D$6,0))</x:f>
        <x:v>13</x:v>
      </x:c>
      <x:c r="H432" s="14" t="n">
        <x:f>MIN(=INDEX(Inputs!$B$7:$D$7,1,MATCH(A432,Inputs!$B$6:$D$6,0)),MAX(0,INDEX(Inputs!$B$14:$D$14,1,MATCH(A432,Inputs!$B$6:$D$6,0))-(C432-1)*=INDEX(Inputs!$B$7:$D$7,1,MATCH(A432,Inputs!$B$6:$D$6,0))))</x:f>
        <x:v>13</x:v>
      </x:c>
      <x:c r="I432" s="20" t="n">
        <x:f>INDEX(Inputs!$B$8:$D$8,1,MATCH(A432,Inputs!$B$6:$D$6,0))</x:f>
        <x:v>2395</x:v>
      </x:c>
      <x:c r="J432" s="20" t="n">
        <x:f>INDEX(Roster!$C$6:$C$108,MATCH(D432,Roster!$A$6:$A$108,0))*(1+INDEX(Inputs!$B$9:$D$9,1,MATCH(A432,Inputs!$B$6:$D$6,0)))</x:f>
        <x:v>50</x:v>
      </x:c>
      <x:c r="K432" s="20" t="n">
        <x:f>IF(=INDEX(Roster!$F$6:$F$108,MATCH(D432,Roster!$A$6:$A$108,0))="Yes",0,=INDEX(Inputs!$B$8:$D$8,1,MATCH(A432,Inputs!$B$6:$D$6,0))*IF(=INDEX(Roster!$B$6:$B$108,MATCH(D432,Roster!$A$6:$A$108,0))="Principal",INDEX(Inputs!$B$10:$D$10,1,MATCH(A432,Inputs!$B$6:$D$6,0)),IF(=INDEX(Roster!$B$6:$B$108,MATCH(D432,Roster!$A$6:$A$108,0))="Associate Principal",INDEX(Inputs!$B$11:$D$11,1,MATCH(A432,Inputs!$B$6:$D$6,0)),IF(=INDEX(Roster!$B$6:$B$108,MATCH(D432,Roster!$A$6:$A$108,0))="Assistant Principal",INDEX(Inputs!$B$12:$D$12,1,MATCH(A432,Inputs!$B$6:$D$6,0)),0))))</x:f>
        <x:v>0</x:v>
      </x:c>
      <x:c r="L432" s="20" t="n">
        <x:f>IF(INDEX(Roster!$D$6:$D$108,MATCH(D432,Roster!$A$6:$A$108,0))&gt;=25,INDEX(Inputs!$B$19:$D$19,1,MATCH(A432,Inputs!$B$6:$D$6,0)),IF(INDEX(Roster!$D$6:$D$108,MATCH(D432,Roster!$A$6:$A$108,0))&gt;=20,INDEX(Inputs!$B$18:$D$18,1,MATCH(A432,Inputs!$B$6:$D$6,0)),IF(INDEX(Roster!$D$6:$D$108,MATCH(D432,Roster!$A$6:$A$108,0))&gt;=15,INDEX(Inputs!$B$17:$D$17,1,MATCH(A432,Inputs!$B$6:$D$6,0)),IF(INDEX(Roster!$D$6:$D$108,MATCH(D432,Roster!$A$6:$A$108,0))&gt;=10,INDEX(Inputs!$B$16:$D$16,1,MATCH(A432,Inputs!$B$6:$D$6,0)),IF(INDEX(Roster!$D$6:$D$108,MATCH(D432,Roster!$A$6:$A$108,0))&gt;=5,INDEX(Inputs!$B$15:$D$15,1,MATCH(A432,Inputs!$B$6:$D$6,0)),0)))))</x:f>
        <x:v>90</x:v>
      </x:c>
      <x:c r="M432" s="20" t="n">
        <x:f>G432*I432</x:f>
        <x:v>31135</x:v>
      </x:c>
      <x:c r="N432" s="20" t="n">
        <x:f>G432*J432</x:f>
        <x:v>650</x:v>
      </x:c>
      <x:c r="O432" s="20" t="n">
        <x:f>G432*K432</x:f>
        <x:v>0</x:v>
      </x:c>
      <x:c r="P432" s="20" t="n">
        <x:f>G432*L432</x:f>
        <x:v>1170</x:v>
      </x:c>
      <x:c r="Q432" s="20" t="n">
        <x:f>H432*INDEX(Inputs!$B$13:$D$13,1,MATCH(A432,Inputs!$B$6:$D$6,0))</x:f>
        <x:v>390</x:v>
      </x:c>
      <x:c r="R432" s="20" t="n">
        <x:f>SUM(M432:Q432)</x:f>
        <x:v>33345</x:v>
      </x:c>
      <x:c r="S432" s="20" t="n">
        <x:f>IF(AND(A431=A432,D431=D432),S431+R432,R432)</x:f>
        <x:v>100035</x:v>
      </x:c>
      <x:c r="T432" s="20" t="n">
        <x:f>MIN(S432,INDEX(Inputs!$B$20:$D$20,1,MATCH(A432,Inputs!$B$6:$D$6,0)))*INDEX(Inputs!$B$22:$D$22,1,MATCH(A432,Inputs!$B$6:$D$6,0))+MAX(MIN(S432,INDEX(Inputs!$B$21:$D$21,1,MATCH(A432,Inputs!$B$6:$D$6,0)))-INDEX(Inputs!$B$20:$D$20,1,MATCH(A432,Inputs!$B$6:$D$6,0)),0)*INDEX(Inputs!$B$23:$D$23,1,MATCH(A432,Inputs!$B$6:$D$6,0))+MAX(S432-INDEX(Inputs!$B$21:$D$21,1,MATCH(A432,Inputs!$B$6:$D$6,0)),0)*INDEX(Inputs!$B$24:$D$24,1,MATCH(A432,Inputs!$B$6:$D$6,0))</x:f>
        <x:v>8142.6775</x:v>
      </x:c>
      <x:c r="U432" s="20" t="n">
        <x:f>IF(AND(A431=A432,D431=D432),T431,0)</x:f>
        <x:v>5591.785</x:v>
      </x:c>
      <x:c r="V432" s="20" t="n">
        <x:f>T432-U432</x:f>
        <x:v>2550.8925</x:v>
      </x:c>
      <x:c r="W432" s="20" t="n">
        <x:f>R432+V432</x:f>
        <x:v>35895.8925</x:v>
      </x:c>
      <x:c r="X432" s="14" t="str">
        <x:f>IF(ABS(W432-SUM(M432:Q432)-V432)&lt;0.01,"OK","Check")</x:f>
        <x:v>OK</x:v>
      </x:c>
    </x:row>
    <x:row r="433">
      <x:c r="A433" s="14" t="n">
        <x:v>2027</x:v>
      </x:c>
      <x:c r="B433" s="14" t="str">
        <x:v>Q4</x:v>
      </x:c>
      <x:c r="C433" s="14" t="n">
        <x:v>4</x:v>
      </x:c>
      <x:c r="D433" s="14" t="n">
        <x:v>4</x:v>
      </x:c>
      <x:c r="E433" s="14" t="str">
        <x:f>INDEX(Roster!$B$6:$B$108,MATCH(D433,Roster!$A$6:$A$108,0))</x:f>
      </x:c>
      <x:c r="F433" s="14" t="str">
        <x:f>INDEX(Roster!$F$6:$F$108,MATCH(D433,Roster!$A$6:$A$108,0))</x:f>
        <x:v>No</x:v>
      </x:c>
      <x:c r="G433" s="14" t="n">
        <x:f>INDEX(Inputs!$B$7:$D$7,1,MATCH(A433,Inputs!$B$6:$D$6,0))</x:f>
        <x:v>13</x:v>
      </x:c>
      <x:c r="H433" s="14" t="n">
        <x:f>MIN(=INDEX(Inputs!$B$7:$D$7,1,MATCH(A433,Inputs!$B$6:$D$6,0)),MAX(0,INDEX(Inputs!$B$14:$D$14,1,MATCH(A433,Inputs!$B$6:$D$6,0))-(C433-1)*=INDEX(Inputs!$B$7:$D$7,1,MATCH(A433,Inputs!$B$6:$D$6,0))))</x:f>
        <x:v>0</x:v>
      </x:c>
      <x:c r="I433" s="20" t="n">
        <x:f>INDEX(Inputs!$B$8:$D$8,1,MATCH(A433,Inputs!$B$6:$D$6,0))</x:f>
        <x:v>2395</x:v>
      </x:c>
      <x:c r="J433" s="20" t="n">
        <x:f>INDEX(Roster!$C$6:$C$108,MATCH(D433,Roster!$A$6:$A$108,0))*(1+INDEX(Inputs!$B$9:$D$9,1,MATCH(A433,Inputs!$B$6:$D$6,0)))</x:f>
        <x:v>50</x:v>
      </x:c>
      <x:c r="K433" s="20" t="n">
        <x:f>IF(=INDEX(Roster!$F$6:$F$108,MATCH(D433,Roster!$A$6:$A$108,0))="Yes",0,=INDEX(Inputs!$B$8:$D$8,1,MATCH(A433,Inputs!$B$6:$D$6,0))*IF(=INDEX(Roster!$B$6:$B$108,MATCH(D433,Roster!$A$6:$A$108,0))="Principal",INDEX(Inputs!$B$10:$D$10,1,MATCH(A433,Inputs!$B$6:$D$6,0)),IF(=INDEX(Roster!$B$6:$B$108,MATCH(D433,Roster!$A$6:$A$108,0))="Associate Principal",INDEX(Inputs!$B$11:$D$11,1,MATCH(A433,Inputs!$B$6:$D$6,0)),IF(=INDEX(Roster!$B$6:$B$108,MATCH(D433,Roster!$A$6:$A$108,0))="Assistant Principal",INDEX(Inputs!$B$12:$D$12,1,MATCH(A433,Inputs!$B$6:$D$6,0)),0))))</x:f>
        <x:v>0</x:v>
      </x:c>
      <x:c r="L433" s="20" t="n">
        <x:f>IF(INDEX(Roster!$D$6:$D$108,MATCH(D433,Roster!$A$6:$A$108,0))&gt;=25,INDEX(Inputs!$B$19:$D$19,1,MATCH(A433,Inputs!$B$6:$D$6,0)),IF(INDEX(Roster!$D$6:$D$108,MATCH(D433,Roster!$A$6:$A$108,0))&gt;=20,INDEX(Inputs!$B$18:$D$18,1,MATCH(A433,Inputs!$B$6:$D$6,0)),IF(INDEX(Roster!$D$6:$D$108,MATCH(D433,Roster!$A$6:$A$108,0))&gt;=15,INDEX(Inputs!$B$17:$D$17,1,MATCH(A433,Inputs!$B$6:$D$6,0)),IF(INDEX(Roster!$D$6:$D$108,MATCH(D433,Roster!$A$6:$A$108,0))&gt;=10,INDEX(Inputs!$B$16:$D$16,1,MATCH(A433,Inputs!$B$6:$D$6,0)),IF(INDEX(Roster!$D$6:$D$108,MATCH(D433,Roster!$A$6:$A$108,0))&gt;=5,INDEX(Inputs!$B$15:$D$15,1,MATCH(A433,Inputs!$B$6:$D$6,0)),0)))))</x:f>
        <x:v>90</x:v>
      </x:c>
      <x:c r="M433" s="20" t="n">
        <x:f>G433*I433</x:f>
        <x:v>31135</x:v>
      </x:c>
      <x:c r="N433" s="20" t="n">
        <x:f>G433*J433</x:f>
        <x:v>650</x:v>
      </x:c>
      <x:c r="O433" s="20" t="n">
        <x:f>G433*K433</x:f>
        <x:v>0</x:v>
      </x:c>
      <x:c r="P433" s="20" t="n">
        <x:f>G433*L433</x:f>
        <x:v>1170</x:v>
      </x:c>
      <x:c r="Q433" s="20" t="n">
        <x:f>H433*INDEX(Inputs!$B$13:$D$13,1,MATCH(A433,Inputs!$B$6:$D$6,0))</x:f>
        <x:v>0</x:v>
      </x:c>
      <x:c r="R433" s="20" t="n">
        <x:f>SUM(M433:Q433)</x:f>
        <x:v>32955</x:v>
      </x:c>
      <x:c r="S433" s="20" t="n">
        <x:f>IF(AND(A432=A433,D432=D433),S432+R433,R433)</x:f>
        <x:v>132990</x:v>
      </x:c>
      <x:c r="T433" s="20" t="n">
        <x:f>MIN(S433,INDEX(Inputs!$B$20:$D$20,1,MATCH(A433,Inputs!$B$6:$D$6,0)))*INDEX(Inputs!$B$22:$D$22,1,MATCH(A433,Inputs!$B$6:$D$6,0))+MAX(MIN(S433,INDEX(Inputs!$B$21:$D$21,1,MATCH(A433,Inputs!$B$6:$D$6,0)))-INDEX(Inputs!$B$20:$D$20,1,MATCH(A433,Inputs!$B$6:$D$6,0)),0)*INDEX(Inputs!$B$23:$D$23,1,MATCH(A433,Inputs!$B$6:$D$6,0))+MAX(S433-INDEX(Inputs!$B$21:$D$21,1,MATCH(A433,Inputs!$B$6:$D$6,0)),0)*INDEX(Inputs!$B$24:$D$24,1,MATCH(A433,Inputs!$B$6:$D$6,0))</x:f>
        <x:v>9842.297</x:v>
      </x:c>
      <x:c r="U433" s="20" t="n">
        <x:f>IF(AND(A432=A433,D432=D433),T432,0)</x:f>
        <x:v>8142.6775</x:v>
      </x:c>
      <x:c r="V433" s="20" t="n">
        <x:f>T433-U433</x:f>
        <x:v>1699.6195000000007</x:v>
      </x:c>
      <x:c r="W433" s="20" t="n">
        <x:f>R433+V433</x:f>
        <x:v>34654.6195</x:v>
      </x:c>
      <x:c r="X433" s="14" t="str">
        <x:f>IF(ABS(W433-SUM(M433:Q433)-V433)&lt;0.01,"OK","Check")</x:f>
        <x:v>OK</x:v>
      </x:c>
    </x:row>
    <x:row r="434">
      <x:c r="A434" s="14" t="n">
        <x:v>2027</x:v>
      </x:c>
      <x:c r="B434" s="14" t="str">
        <x:v>Q1</x:v>
      </x:c>
      <x:c r="C434" s="14" t="n">
        <x:v>1</x:v>
      </x:c>
      <x:c r="D434" s="14" t="n">
        <x:v>5</x:v>
      </x:c>
      <x:c r="E434" s="14" t="str">
        <x:f>INDEX(Roster!$B$6:$B$108,MATCH(D434,Roster!$A$6:$A$108,0))</x:f>
        <x:v>Associate Principal</x:v>
      </x:c>
      <x:c r="F434" s="14" t="str">
        <x:f>INDEX(Roster!$F$6:$F$108,MATCH(D434,Roster!$A$6:$A$108,0))</x:f>
        <x:v>Yes</x:v>
      </x:c>
      <x:c r="G434" s="14" t="n">
        <x:f>INDEX(Inputs!$B$7:$D$7,1,MATCH(A434,Inputs!$B$6:$D$6,0))</x:f>
        <x:v>13</x:v>
      </x:c>
      <x:c r="H434" s="14" t="n">
        <x:f>MIN(=INDEX(Inputs!$B$7:$D$7,1,MATCH(A434,Inputs!$B$6:$D$6,0)),MAX(0,INDEX(Inputs!$B$14:$D$14,1,MATCH(A434,Inputs!$B$6:$D$6,0))-(C434-1)*=INDEX(Inputs!$B$7:$D$7,1,MATCH(A434,Inputs!$B$6:$D$6,0))))</x:f>
        <x:v>13</x:v>
      </x:c>
      <x:c r="I434" s="20" t="n">
        <x:f>INDEX(Inputs!$B$8:$D$8,1,MATCH(A434,Inputs!$B$6:$D$6,0))</x:f>
        <x:v>2395</x:v>
      </x:c>
      <x:c r="J434" s="20" t="n">
        <x:f>INDEX(Roster!$C$6:$C$108,MATCH(D434,Roster!$A$6:$A$108,0))*(1+INDEX(Inputs!$B$9:$D$9,1,MATCH(A434,Inputs!$B$6:$D$6,0)))</x:f>
        <x:v>350</x:v>
      </x:c>
      <x:c r="K434" s="20" t="n">
        <x:f>IF(=INDEX(Roster!$F$6:$F$108,MATCH(D434,Roster!$A$6:$A$108,0))="Yes",0,=INDEX(Inputs!$B$8:$D$8,1,MATCH(A434,Inputs!$B$6:$D$6,0))*IF(=INDEX(Roster!$B$6:$B$108,MATCH(D434,Roster!$A$6:$A$108,0))="Principal",INDEX(Inputs!$B$10:$D$10,1,MATCH(A434,Inputs!$B$6:$D$6,0)),IF(=INDEX(Roster!$B$6:$B$108,MATCH(D434,Roster!$A$6:$A$108,0))="Associate Principal",INDEX(Inputs!$B$11:$D$11,1,MATCH(A434,Inputs!$B$6:$D$6,0)),IF(=INDEX(Roster!$B$6:$B$108,MATCH(D434,Roster!$A$6:$A$108,0))="Assistant Principal",INDEX(Inputs!$B$12:$D$12,1,MATCH(A434,Inputs!$B$6:$D$6,0)),0))))</x:f>
        <x:v>0</x:v>
      </x:c>
      <x:c r="L434" s="20" t="n">
        <x:f>IF(INDEX(Roster!$D$6:$D$108,MATCH(D434,Roster!$A$6:$A$108,0))&gt;=25,INDEX(Inputs!$B$19:$D$19,1,MATCH(A434,Inputs!$B$6:$D$6,0)),IF(INDEX(Roster!$D$6:$D$108,MATCH(D434,Roster!$A$6:$A$108,0))&gt;=20,INDEX(Inputs!$B$18:$D$18,1,MATCH(A434,Inputs!$B$6:$D$6,0)),IF(INDEX(Roster!$D$6:$D$108,MATCH(D434,Roster!$A$6:$A$108,0))&gt;=15,INDEX(Inputs!$B$17:$D$17,1,MATCH(A434,Inputs!$B$6:$D$6,0)),IF(INDEX(Roster!$D$6:$D$108,MATCH(D434,Roster!$A$6:$A$108,0))&gt;=10,INDEX(Inputs!$B$16:$D$16,1,MATCH(A434,Inputs!$B$6:$D$6,0)),IF(INDEX(Roster!$D$6:$D$108,MATCH(D434,Roster!$A$6:$A$108,0))&gt;=5,INDEX(Inputs!$B$15:$D$15,1,MATCH(A434,Inputs!$B$6:$D$6,0)),0)))))</x:f>
        <x:v>80</x:v>
      </x:c>
      <x:c r="M434" s="20" t="n">
        <x:f>G434*I434</x:f>
        <x:v>31135</x:v>
      </x:c>
      <x:c r="N434" s="20" t="n">
        <x:f>G434*J434</x:f>
        <x:v>4550</x:v>
      </x:c>
      <x:c r="O434" s="20" t="n">
        <x:f>G434*K434</x:f>
        <x:v>0</x:v>
      </x:c>
      <x:c r="P434" s="20" t="n">
        <x:f>G434*L434</x:f>
        <x:v>1040</x:v>
      </x:c>
      <x:c r="Q434" s="20" t="n">
        <x:f>H434*INDEX(Inputs!$B$13:$D$13,1,MATCH(A434,Inputs!$B$6:$D$6,0))</x:f>
        <x:v>390</x:v>
      </x:c>
      <x:c r="R434" s="20" t="n">
        <x:f>SUM(M434:Q434)</x:f>
        <x:v>37115</x:v>
      </x:c>
      <x:c r="S434" s="20" t="n">
        <x:f>IF(AND(A433=A434,D433=D434),S433+R434,R434)</x:f>
        <x:v>37115</x:v>
      </x:c>
      <x:c r="T434" s="20" t="n">
        <x:f>MIN(S434,INDEX(Inputs!$B$20:$D$20,1,MATCH(A434,Inputs!$B$6:$D$6,0)))*INDEX(Inputs!$B$22:$D$22,1,MATCH(A434,Inputs!$B$6:$D$6,0))+MAX(MIN(S434,INDEX(Inputs!$B$21:$D$21,1,MATCH(A434,Inputs!$B$6:$D$6,0)))-INDEX(Inputs!$B$20:$D$20,1,MATCH(A434,Inputs!$B$6:$D$6,0)),0)*INDEX(Inputs!$B$23:$D$23,1,MATCH(A434,Inputs!$B$6:$D$6,0))+MAX(S434-INDEX(Inputs!$B$21:$D$21,1,MATCH(A434,Inputs!$B$6:$D$6,0)),0)*INDEX(Inputs!$B$24:$D$24,1,MATCH(A434,Inputs!$B$6:$D$6,0))</x:f>
        <x:v>3329.2975</x:v>
      </x:c>
      <x:c r="U434" s="20" t="n">
        <x:f>IF(AND(A433=A434,D433=D434),T433,0)</x:f>
        <x:v>0</x:v>
      </x:c>
      <x:c r="V434" s="20" t="n">
        <x:f>T434-U434</x:f>
        <x:v>3329.2975</x:v>
      </x:c>
      <x:c r="W434" s="20" t="n">
        <x:f>R434+V434</x:f>
        <x:v>40444.2975</x:v>
      </x:c>
      <x:c r="X434" s="14" t="str">
        <x:f>IF(ABS(W434-SUM(M434:Q434)-V434)&lt;0.01,"OK","Check")</x:f>
        <x:v>OK</x:v>
      </x:c>
    </x:row>
    <x:row r="435">
      <x:c r="A435" s="14" t="n">
        <x:v>2027</x:v>
      </x:c>
      <x:c r="B435" s="14" t="str">
        <x:v>Q2</x:v>
      </x:c>
      <x:c r="C435" s="14" t="n">
        <x:v>2</x:v>
      </x:c>
      <x:c r="D435" s="14" t="n">
        <x:v>5</x:v>
      </x:c>
      <x:c r="E435" s="14" t="str">
        <x:f>INDEX(Roster!$B$6:$B$108,MATCH(D435,Roster!$A$6:$A$108,0))</x:f>
        <x:v>Associate Principal</x:v>
      </x:c>
      <x:c r="F435" s="14" t="str">
        <x:f>INDEX(Roster!$F$6:$F$108,MATCH(D435,Roster!$A$6:$A$108,0))</x:f>
        <x:v>Yes</x:v>
      </x:c>
      <x:c r="G435" s="14" t="n">
        <x:f>INDEX(Inputs!$B$7:$D$7,1,MATCH(A435,Inputs!$B$6:$D$6,0))</x:f>
        <x:v>13</x:v>
      </x:c>
      <x:c r="H435" s="14" t="n">
        <x:f>MIN(=INDEX(Inputs!$B$7:$D$7,1,MATCH(A435,Inputs!$B$6:$D$6,0)),MAX(0,INDEX(Inputs!$B$14:$D$14,1,MATCH(A435,Inputs!$B$6:$D$6,0))-(C435-1)*=INDEX(Inputs!$B$7:$D$7,1,MATCH(A435,Inputs!$B$6:$D$6,0))))</x:f>
        <x:v>13</x:v>
      </x:c>
      <x:c r="I435" s="20" t="n">
        <x:f>INDEX(Inputs!$B$8:$D$8,1,MATCH(A435,Inputs!$B$6:$D$6,0))</x:f>
        <x:v>2395</x:v>
      </x:c>
      <x:c r="J435" s="20" t="n">
        <x:f>INDEX(Roster!$C$6:$C$108,MATCH(D435,Roster!$A$6:$A$108,0))*(1+INDEX(Inputs!$B$9:$D$9,1,MATCH(A435,Inputs!$B$6:$D$6,0)))</x:f>
        <x:v>350</x:v>
      </x:c>
      <x:c r="K435" s="20" t="n">
        <x:f>IF(=INDEX(Roster!$F$6:$F$108,MATCH(D435,Roster!$A$6:$A$108,0))="Yes",0,=INDEX(Inputs!$B$8:$D$8,1,MATCH(A435,Inputs!$B$6:$D$6,0))*IF(=INDEX(Roster!$B$6:$B$108,MATCH(D435,Roster!$A$6:$A$108,0))="Principal",INDEX(Inputs!$B$10:$D$10,1,MATCH(A435,Inputs!$B$6:$D$6,0)),IF(=INDEX(Roster!$B$6:$B$108,MATCH(D435,Roster!$A$6:$A$108,0))="Associate Principal",INDEX(Inputs!$B$11:$D$11,1,MATCH(A435,Inputs!$B$6:$D$6,0)),IF(=INDEX(Roster!$B$6:$B$108,MATCH(D435,Roster!$A$6:$A$108,0))="Assistant Principal",INDEX(Inputs!$B$12:$D$12,1,MATCH(A435,Inputs!$B$6:$D$6,0)),0))))</x:f>
        <x:v>0</x:v>
      </x:c>
      <x:c r="L435" s="20" t="n">
        <x:f>IF(INDEX(Roster!$D$6:$D$108,MATCH(D435,Roster!$A$6:$A$108,0))&gt;=25,INDEX(Inputs!$B$19:$D$19,1,MATCH(A435,Inputs!$B$6:$D$6,0)),IF(INDEX(Roster!$D$6:$D$108,MATCH(D435,Roster!$A$6:$A$108,0))&gt;=20,INDEX(Inputs!$B$18:$D$18,1,MATCH(A435,Inputs!$B$6:$D$6,0)),IF(INDEX(Roster!$D$6:$D$108,MATCH(D435,Roster!$A$6:$A$108,0))&gt;=15,INDEX(Inputs!$B$17:$D$17,1,MATCH(A435,Inputs!$B$6:$D$6,0)),IF(INDEX(Roster!$D$6:$D$108,MATCH(D435,Roster!$A$6:$A$108,0))&gt;=10,INDEX(Inputs!$B$16:$D$16,1,MATCH(A435,Inputs!$B$6:$D$6,0)),IF(INDEX(Roster!$D$6:$D$108,MATCH(D435,Roster!$A$6:$A$108,0))&gt;=5,INDEX(Inputs!$B$15:$D$15,1,MATCH(A435,Inputs!$B$6:$D$6,0)),0)))))</x:f>
        <x:v>80</x:v>
      </x:c>
      <x:c r="M435" s="20" t="n">
        <x:f>G435*I435</x:f>
        <x:v>31135</x:v>
      </x:c>
      <x:c r="N435" s="20" t="n">
        <x:f>G435*J435</x:f>
        <x:v>4550</x:v>
      </x:c>
      <x:c r="O435" s="20" t="n">
        <x:f>G435*K435</x:f>
        <x:v>0</x:v>
      </x:c>
      <x:c r="P435" s="20" t="n">
        <x:f>G435*L435</x:f>
        <x:v>1040</x:v>
      </x:c>
      <x:c r="Q435" s="20" t="n">
        <x:f>H435*INDEX(Inputs!$B$13:$D$13,1,MATCH(A435,Inputs!$B$6:$D$6,0))</x:f>
        <x:v>390</x:v>
      </x:c>
      <x:c r="R435" s="20" t="n">
        <x:f>SUM(M435:Q435)</x:f>
        <x:v>37115</x:v>
      </x:c>
      <x:c r="S435" s="20" t="n">
        <x:f>IF(AND(A434=A435,D434=D435),S434+R435,R435)</x:f>
        <x:v>74230</x:v>
      </x:c>
      <x:c r="T435" s="20" t="n">
        <x:f>MIN(S435,INDEX(Inputs!$B$20:$D$20,1,MATCH(A435,Inputs!$B$6:$D$6,0)))*INDEX(Inputs!$B$22:$D$22,1,MATCH(A435,Inputs!$B$6:$D$6,0))+MAX(MIN(S435,INDEX(Inputs!$B$21:$D$21,1,MATCH(A435,Inputs!$B$6:$D$6,0)))-INDEX(Inputs!$B$20:$D$20,1,MATCH(A435,Inputs!$B$6:$D$6,0)),0)*INDEX(Inputs!$B$23:$D$23,1,MATCH(A435,Inputs!$B$6:$D$6,0))+MAX(S435-INDEX(Inputs!$B$21:$D$21,1,MATCH(A435,Inputs!$B$6:$D$6,0)),0)*INDEX(Inputs!$B$24:$D$24,1,MATCH(A435,Inputs!$B$6:$D$6,0))</x:f>
        <x:v>6168.595</x:v>
      </x:c>
      <x:c r="U435" s="20" t="n">
        <x:f>IF(AND(A434=A435,D434=D435),T434,0)</x:f>
        <x:v>3329.2975</x:v>
      </x:c>
      <x:c r="V435" s="20" t="n">
        <x:f>T435-U435</x:f>
        <x:v>2839.2975</x:v>
      </x:c>
      <x:c r="W435" s="20" t="n">
        <x:f>R435+V435</x:f>
        <x:v>39954.2975</x:v>
      </x:c>
      <x:c r="X435" s="14" t="str">
        <x:f>IF(ABS(W435-SUM(M435:Q435)-V435)&lt;0.01,"OK","Check")</x:f>
        <x:v>OK</x:v>
      </x:c>
    </x:row>
    <x:row r="436">
      <x:c r="A436" s="14" t="n">
        <x:v>2027</x:v>
      </x:c>
      <x:c r="B436" s="14" t="str">
        <x:v>Q3</x:v>
      </x:c>
      <x:c r="C436" s="14" t="n">
        <x:v>3</x:v>
      </x:c>
      <x:c r="D436" s="14" t="n">
        <x:v>5</x:v>
      </x:c>
      <x:c r="E436" s="14" t="str">
        <x:f>INDEX(Roster!$B$6:$B$108,MATCH(D436,Roster!$A$6:$A$108,0))</x:f>
        <x:v>Associate Principal</x:v>
      </x:c>
      <x:c r="F436" s="14" t="str">
        <x:f>INDEX(Roster!$F$6:$F$108,MATCH(D436,Roster!$A$6:$A$108,0))</x:f>
        <x:v>Yes</x:v>
      </x:c>
      <x:c r="G436" s="14" t="n">
        <x:f>INDEX(Inputs!$B$7:$D$7,1,MATCH(A436,Inputs!$B$6:$D$6,0))</x:f>
        <x:v>13</x:v>
      </x:c>
      <x:c r="H436" s="14" t="n">
        <x:f>MIN(=INDEX(Inputs!$B$7:$D$7,1,MATCH(A436,Inputs!$B$6:$D$6,0)),MAX(0,INDEX(Inputs!$B$14:$D$14,1,MATCH(A436,Inputs!$B$6:$D$6,0))-(C436-1)*=INDEX(Inputs!$B$7:$D$7,1,MATCH(A436,Inputs!$B$6:$D$6,0))))</x:f>
        <x:v>13</x:v>
      </x:c>
      <x:c r="I436" s="20" t="n">
        <x:f>INDEX(Inputs!$B$8:$D$8,1,MATCH(A436,Inputs!$B$6:$D$6,0))</x:f>
        <x:v>2395</x:v>
      </x:c>
      <x:c r="J436" s="20" t="n">
        <x:f>INDEX(Roster!$C$6:$C$108,MATCH(D436,Roster!$A$6:$A$108,0))*(1+INDEX(Inputs!$B$9:$D$9,1,MATCH(A436,Inputs!$B$6:$D$6,0)))</x:f>
        <x:v>350</x:v>
      </x:c>
      <x:c r="K436" s="20" t="n">
        <x:f>IF(=INDEX(Roster!$F$6:$F$108,MATCH(D436,Roster!$A$6:$A$108,0))="Yes",0,=INDEX(Inputs!$B$8:$D$8,1,MATCH(A436,Inputs!$B$6:$D$6,0))*IF(=INDEX(Roster!$B$6:$B$108,MATCH(D436,Roster!$A$6:$A$108,0))="Principal",INDEX(Inputs!$B$10:$D$10,1,MATCH(A436,Inputs!$B$6:$D$6,0)),IF(=INDEX(Roster!$B$6:$B$108,MATCH(D436,Roster!$A$6:$A$108,0))="Associate Principal",INDEX(Inputs!$B$11:$D$11,1,MATCH(A436,Inputs!$B$6:$D$6,0)),IF(=INDEX(Roster!$B$6:$B$108,MATCH(D436,Roster!$A$6:$A$108,0))="Assistant Principal",INDEX(Inputs!$B$12:$D$12,1,MATCH(A436,Inputs!$B$6:$D$6,0)),0))))</x:f>
        <x:v>0</x:v>
      </x:c>
      <x:c r="L436" s="20" t="n">
        <x:f>IF(INDEX(Roster!$D$6:$D$108,MATCH(D436,Roster!$A$6:$A$108,0))&gt;=25,INDEX(Inputs!$B$19:$D$19,1,MATCH(A436,Inputs!$B$6:$D$6,0)),IF(INDEX(Roster!$D$6:$D$108,MATCH(D436,Roster!$A$6:$A$108,0))&gt;=20,INDEX(Inputs!$B$18:$D$18,1,MATCH(A436,Inputs!$B$6:$D$6,0)),IF(INDEX(Roster!$D$6:$D$108,MATCH(D436,Roster!$A$6:$A$108,0))&gt;=15,INDEX(Inputs!$B$17:$D$17,1,MATCH(A436,Inputs!$B$6:$D$6,0)),IF(INDEX(Roster!$D$6:$D$108,MATCH(D436,Roster!$A$6:$A$108,0))&gt;=10,INDEX(Inputs!$B$16:$D$16,1,MATCH(A436,Inputs!$B$6:$D$6,0)),IF(INDEX(Roster!$D$6:$D$108,MATCH(D436,Roster!$A$6:$A$108,0))&gt;=5,INDEX(Inputs!$B$15:$D$15,1,MATCH(A436,Inputs!$B$6:$D$6,0)),0)))))</x:f>
        <x:v>80</x:v>
      </x:c>
      <x:c r="M436" s="20" t="n">
        <x:f>G436*I436</x:f>
        <x:v>31135</x:v>
      </x:c>
      <x:c r="N436" s="20" t="n">
        <x:f>G436*J436</x:f>
        <x:v>4550</x:v>
      </x:c>
      <x:c r="O436" s="20" t="n">
        <x:f>G436*K436</x:f>
        <x:v>0</x:v>
      </x:c>
      <x:c r="P436" s="20" t="n">
        <x:f>G436*L436</x:f>
        <x:v>1040</x:v>
      </x:c>
      <x:c r="Q436" s="20" t="n">
        <x:f>H436*INDEX(Inputs!$B$13:$D$13,1,MATCH(A436,Inputs!$B$6:$D$6,0))</x:f>
        <x:v>390</x:v>
      </x:c>
      <x:c r="R436" s="20" t="n">
        <x:f>SUM(M436:Q436)</x:f>
        <x:v>37115</x:v>
      </x:c>
      <x:c r="S436" s="20" t="n">
        <x:f>IF(AND(A435=A436,D435=D436),S435+R436,R436)</x:f>
        <x:v>111345</x:v>
      </x:c>
      <x:c r="T436" s="20" t="n">
        <x:f>MIN(S436,INDEX(Inputs!$B$20:$D$20,1,MATCH(A436,Inputs!$B$6:$D$6,0)))*INDEX(Inputs!$B$22:$D$22,1,MATCH(A436,Inputs!$B$6:$D$6,0))+MAX(MIN(S436,INDEX(Inputs!$B$21:$D$21,1,MATCH(A436,Inputs!$B$6:$D$6,0)))-INDEX(Inputs!$B$20:$D$20,1,MATCH(A436,Inputs!$B$6:$D$6,0)),0)*INDEX(Inputs!$B$23:$D$23,1,MATCH(A436,Inputs!$B$6:$D$6,0))+MAX(S436-INDEX(Inputs!$B$21:$D$21,1,MATCH(A436,Inputs!$B$6:$D$6,0)),0)*INDEX(Inputs!$B$24:$D$24,1,MATCH(A436,Inputs!$B$6:$D$6,0))</x:f>
        <x:v>9007.8925</x:v>
      </x:c>
      <x:c r="U436" s="20" t="n">
        <x:f>IF(AND(A435=A436,D435=D436),T435,0)</x:f>
        <x:v>6168.595</x:v>
      </x:c>
      <x:c r="V436" s="20" t="n">
        <x:f>T436-U436</x:f>
        <x:v>2839.2974999999997</x:v>
      </x:c>
      <x:c r="W436" s="20" t="n">
        <x:f>R436+V436</x:f>
        <x:v>39954.2975</x:v>
      </x:c>
      <x:c r="X436" s="14" t="str">
        <x:f>IF(ABS(W436-SUM(M436:Q436)-V436)&lt;0.01,"OK","Check")</x:f>
        <x:v>OK</x:v>
      </x:c>
    </x:row>
    <x:row r="437">
      <x:c r="A437" s="14" t="n">
        <x:v>2027</x:v>
      </x:c>
      <x:c r="B437" s="14" t="str">
        <x:v>Q4</x:v>
      </x:c>
      <x:c r="C437" s="14" t="n">
        <x:v>4</x:v>
      </x:c>
      <x:c r="D437" s="14" t="n">
        <x:v>5</x:v>
      </x:c>
      <x:c r="E437" s="14" t="str">
        <x:f>INDEX(Roster!$B$6:$B$108,MATCH(D437,Roster!$A$6:$A$108,0))</x:f>
        <x:v>Associate Principal</x:v>
      </x:c>
      <x:c r="F437" s="14" t="str">
        <x:f>INDEX(Roster!$F$6:$F$108,MATCH(D437,Roster!$A$6:$A$108,0))</x:f>
        <x:v>Yes</x:v>
      </x:c>
      <x:c r="G437" s="14" t="n">
        <x:f>INDEX(Inputs!$B$7:$D$7,1,MATCH(A437,Inputs!$B$6:$D$6,0))</x:f>
        <x:v>13</x:v>
      </x:c>
      <x:c r="H437" s="14" t="n">
        <x:f>MIN(=INDEX(Inputs!$B$7:$D$7,1,MATCH(A437,Inputs!$B$6:$D$6,0)),MAX(0,INDEX(Inputs!$B$14:$D$14,1,MATCH(A437,Inputs!$B$6:$D$6,0))-(C437-1)*=INDEX(Inputs!$B$7:$D$7,1,MATCH(A437,Inputs!$B$6:$D$6,0))))</x:f>
        <x:v>0</x:v>
      </x:c>
      <x:c r="I437" s="20" t="n">
        <x:f>INDEX(Inputs!$B$8:$D$8,1,MATCH(A437,Inputs!$B$6:$D$6,0))</x:f>
        <x:v>2395</x:v>
      </x:c>
      <x:c r="J437" s="20" t="n">
        <x:f>INDEX(Roster!$C$6:$C$108,MATCH(D437,Roster!$A$6:$A$108,0))*(1+INDEX(Inputs!$B$9:$D$9,1,MATCH(A437,Inputs!$B$6:$D$6,0)))</x:f>
        <x:v>350</x:v>
      </x:c>
      <x:c r="K437" s="20" t="n">
        <x:f>IF(=INDEX(Roster!$F$6:$F$108,MATCH(D437,Roster!$A$6:$A$108,0))="Yes",0,=INDEX(Inputs!$B$8:$D$8,1,MATCH(A437,Inputs!$B$6:$D$6,0))*IF(=INDEX(Roster!$B$6:$B$108,MATCH(D437,Roster!$A$6:$A$108,0))="Principal",INDEX(Inputs!$B$10:$D$10,1,MATCH(A437,Inputs!$B$6:$D$6,0)),IF(=INDEX(Roster!$B$6:$B$108,MATCH(D437,Roster!$A$6:$A$108,0))="Associate Principal",INDEX(Inputs!$B$11:$D$11,1,MATCH(A437,Inputs!$B$6:$D$6,0)),IF(=INDEX(Roster!$B$6:$B$108,MATCH(D437,Roster!$A$6:$A$108,0))="Assistant Principal",INDEX(Inputs!$B$12:$D$12,1,MATCH(A437,Inputs!$B$6:$D$6,0)),0))))</x:f>
        <x:v>0</x:v>
      </x:c>
      <x:c r="L437" s="20" t="n">
        <x:f>IF(INDEX(Roster!$D$6:$D$108,MATCH(D437,Roster!$A$6:$A$108,0))&gt;=25,INDEX(Inputs!$B$19:$D$19,1,MATCH(A437,Inputs!$B$6:$D$6,0)),IF(INDEX(Roster!$D$6:$D$108,MATCH(D437,Roster!$A$6:$A$108,0))&gt;=20,INDEX(Inputs!$B$18:$D$18,1,MATCH(A437,Inputs!$B$6:$D$6,0)),IF(INDEX(Roster!$D$6:$D$108,MATCH(D437,Roster!$A$6:$A$108,0))&gt;=15,INDEX(Inputs!$B$17:$D$17,1,MATCH(A437,Inputs!$B$6:$D$6,0)),IF(INDEX(Roster!$D$6:$D$108,MATCH(D437,Roster!$A$6:$A$108,0))&gt;=10,INDEX(Inputs!$B$16:$D$16,1,MATCH(A437,Inputs!$B$6:$D$6,0)),IF(INDEX(Roster!$D$6:$D$108,MATCH(D437,Roster!$A$6:$A$108,0))&gt;=5,INDEX(Inputs!$B$15:$D$15,1,MATCH(A437,Inputs!$B$6:$D$6,0)),0)))))</x:f>
        <x:v>80</x:v>
      </x:c>
      <x:c r="M437" s="20" t="n">
        <x:f>G437*I437</x:f>
        <x:v>31135</x:v>
      </x:c>
      <x:c r="N437" s="20" t="n">
        <x:f>G437*J437</x:f>
        <x:v>4550</x:v>
      </x:c>
      <x:c r="O437" s="20" t="n">
        <x:f>G437*K437</x:f>
        <x:v>0</x:v>
      </x:c>
      <x:c r="P437" s="20" t="n">
        <x:f>G437*L437</x:f>
        <x:v>1040</x:v>
      </x:c>
      <x:c r="Q437" s="20" t="n">
        <x:f>H437*INDEX(Inputs!$B$13:$D$13,1,MATCH(A437,Inputs!$B$6:$D$6,0))</x:f>
        <x:v>0</x:v>
      </x:c>
      <x:c r="R437" s="20" t="n">
        <x:f>SUM(M437:Q437)</x:f>
        <x:v>36725</x:v>
      </x:c>
      <x:c r="S437" s="20" t="n">
        <x:f>IF(AND(A436=A437,D436=D437),S436+R437,R437)</x:f>
        <x:v>148070</x:v>
      </x:c>
      <x:c r="T437" s="20" t="n">
        <x:f>MIN(S437,INDEX(Inputs!$B$20:$D$20,1,MATCH(A437,Inputs!$B$6:$D$6,0)))*INDEX(Inputs!$B$22:$D$22,1,MATCH(A437,Inputs!$B$6:$D$6,0))+MAX(MIN(S437,INDEX(Inputs!$B$21:$D$21,1,MATCH(A437,Inputs!$B$6:$D$6,0)))-INDEX(Inputs!$B$20:$D$20,1,MATCH(A437,Inputs!$B$6:$D$6,0)),0)*INDEX(Inputs!$B$23:$D$23,1,MATCH(A437,Inputs!$B$6:$D$6,0))+MAX(S437-INDEX(Inputs!$B$21:$D$21,1,MATCH(A437,Inputs!$B$6:$D$6,0)),0)*INDEX(Inputs!$B$24:$D$24,1,MATCH(A437,Inputs!$B$6:$D$6,0))</x:f>
        <x:v>10060.957</x:v>
      </x:c>
      <x:c r="U437" s="20" t="n">
        <x:f>IF(AND(A436=A437,D436=D437),T436,0)</x:f>
        <x:v>9007.8925</x:v>
      </x:c>
      <x:c r="V437" s="20" t="n">
        <x:f>T437-U437</x:f>
        <x:v>1053.0645000000004</x:v>
      </x:c>
      <x:c r="W437" s="20" t="n">
        <x:f>R437+V437</x:f>
        <x:v>37778.0645</x:v>
      </x:c>
      <x:c r="X437" s="14" t="str">
        <x:f>IF(ABS(W437-SUM(M437:Q437)-V437)&lt;0.01,"OK","Check")</x:f>
        <x:v>OK</x:v>
      </x:c>
    </x:row>
    <x:row r="438">
      <x:c r="A438" s="14" t="n">
        <x:v>2027</x:v>
      </x:c>
      <x:c r="B438" s="14" t="str">
        <x:v>Q1</x:v>
      </x:c>
      <x:c r="C438" s="14" t="n">
        <x:v>1</x:v>
      </x:c>
      <x:c r="D438" s="14" t="n">
        <x:v>6</x:v>
      </x:c>
      <x:c r="E438" s="14" t="str">
        <x:f>INDEX(Roster!$B$6:$B$108,MATCH(D438,Roster!$A$6:$A$108,0))</x:f>
        <x:v>Principal</x:v>
      </x:c>
      <x:c r="F438" s="14" t="str">
        <x:f>INDEX(Roster!$F$6:$F$108,MATCH(D438,Roster!$A$6:$A$108,0))</x:f>
        <x:v>No</x:v>
      </x:c>
      <x:c r="G438" s="14" t="n">
        <x:f>INDEX(Inputs!$B$7:$D$7,1,MATCH(A438,Inputs!$B$6:$D$6,0))</x:f>
        <x:v>13</x:v>
      </x:c>
      <x:c r="H438" s="14" t="n">
        <x:f>MIN(=INDEX(Inputs!$B$7:$D$7,1,MATCH(A438,Inputs!$B$6:$D$6,0)),MAX(0,INDEX(Inputs!$B$14:$D$14,1,MATCH(A438,Inputs!$B$6:$D$6,0))-(C438-1)*=INDEX(Inputs!$B$7:$D$7,1,MATCH(A438,Inputs!$B$6:$D$6,0))))</x:f>
        <x:v>13</x:v>
      </x:c>
      <x:c r="I438" s="20" t="n">
        <x:f>INDEX(Inputs!$B$8:$D$8,1,MATCH(A438,Inputs!$B$6:$D$6,0))</x:f>
        <x:v>2395</x:v>
      </x:c>
      <x:c r="J438" s="20" t="n">
        <x:f>INDEX(Roster!$C$6:$C$108,MATCH(D438,Roster!$A$6:$A$108,0))*(1+INDEX(Inputs!$B$9:$D$9,1,MATCH(A438,Inputs!$B$6:$D$6,0)))</x:f>
        <x:v>1500</x:v>
      </x:c>
      <x:c r="K438" s="20" t="n">
        <x:f>IF(=INDEX(Roster!$F$6:$F$108,MATCH(D438,Roster!$A$6:$A$108,0))="Yes",0,=INDEX(Inputs!$B$8:$D$8,1,MATCH(A438,Inputs!$B$6:$D$6,0))*IF(=INDEX(Roster!$B$6:$B$108,MATCH(D438,Roster!$A$6:$A$108,0))="Principal",INDEX(Inputs!$B$10:$D$10,1,MATCH(A438,Inputs!$B$6:$D$6,0)),IF(=INDEX(Roster!$B$6:$B$108,MATCH(D438,Roster!$A$6:$A$108,0))="Associate Principal",INDEX(Inputs!$B$11:$D$11,1,MATCH(A438,Inputs!$B$6:$D$6,0)),IF(=INDEX(Roster!$B$6:$B$108,MATCH(D438,Roster!$A$6:$A$108,0))="Assistant Principal",INDEX(Inputs!$B$12:$D$12,1,MATCH(A438,Inputs!$B$6:$D$6,0)),0))))</x:f>
        <x:v>479</x:v>
      </x:c>
      <x:c r="L438" s="20" t="n">
        <x:f>IF(INDEX(Roster!$D$6:$D$108,MATCH(D438,Roster!$A$6:$A$108,0))&gt;=25,INDEX(Inputs!$B$19:$D$19,1,MATCH(A438,Inputs!$B$6:$D$6,0)),IF(INDEX(Roster!$D$6:$D$108,MATCH(D438,Roster!$A$6:$A$108,0))&gt;=20,INDEX(Inputs!$B$18:$D$18,1,MATCH(A438,Inputs!$B$6:$D$6,0)),IF(INDEX(Roster!$D$6:$D$108,MATCH(D438,Roster!$A$6:$A$108,0))&gt;=15,INDEX(Inputs!$B$17:$D$17,1,MATCH(A438,Inputs!$B$6:$D$6,0)),IF(INDEX(Roster!$D$6:$D$108,MATCH(D438,Roster!$A$6:$A$108,0))&gt;=10,INDEX(Inputs!$B$16:$D$16,1,MATCH(A438,Inputs!$B$6:$D$6,0)),IF(INDEX(Roster!$D$6:$D$108,MATCH(D438,Roster!$A$6:$A$108,0))&gt;=5,INDEX(Inputs!$B$15:$D$15,1,MATCH(A438,Inputs!$B$6:$D$6,0)),0)))))</x:f>
        <x:v>60</x:v>
      </x:c>
      <x:c r="M438" s="20" t="n">
        <x:f>G438*I438</x:f>
        <x:v>31135</x:v>
      </x:c>
      <x:c r="N438" s="20" t="n">
        <x:f>G438*J438</x:f>
        <x:v>19500</x:v>
      </x:c>
      <x:c r="O438" s="20" t="n">
        <x:f>G438*K438</x:f>
        <x:v>6227</x:v>
      </x:c>
      <x:c r="P438" s="20" t="n">
        <x:f>G438*L438</x:f>
        <x:v>780</x:v>
      </x:c>
      <x:c r="Q438" s="20" t="n">
        <x:f>H438*INDEX(Inputs!$B$13:$D$13,1,MATCH(A438,Inputs!$B$6:$D$6,0))</x:f>
        <x:v>390</x:v>
      </x:c>
      <x:c r="R438" s="20" t="n">
        <x:f>SUM(M438:Q438)</x:f>
        <x:v>58032</x:v>
      </x:c>
      <x:c r="S438" s="20" t="n">
        <x:f>IF(AND(A437=A438,D437=D438),S437+R438,R438)</x:f>
        <x:v>58032</x:v>
      </x:c>
      <x:c r="T438" s="20" t="n">
        <x:f>MIN(S438,INDEX(Inputs!$B$20:$D$20,1,MATCH(A438,Inputs!$B$6:$D$6,0)))*INDEX(Inputs!$B$22:$D$22,1,MATCH(A438,Inputs!$B$6:$D$6,0))+MAX(MIN(S438,INDEX(Inputs!$B$21:$D$21,1,MATCH(A438,Inputs!$B$6:$D$6,0)))-INDEX(Inputs!$B$20:$D$20,1,MATCH(A438,Inputs!$B$6:$D$6,0)),0)*INDEX(Inputs!$B$23:$D$23,1,MATCH(A438,Inputs!$B$6:$D$6,0))+MAX(S438-INDEX(Inputs!$B$21:$D$21,1,MATCH(A438,Inputs!$B$6:$D$6,0)),0)*INDEX(Inputs!$B$24:$D$24,1,MATCH(A438,Inputs!$B$6:$D$6,0))</x:f>
        <x:v>4929.448</x:v>
      </x:c>
      <x:c r="U438" s="20" t="n">
        <x:f>IF(AND(A437=A438,D437=D438),T437,0)</x:f>
        <x:v>0</x:v>
      </x:c>
      <x:c r="V438" s="20" t="n">
        <x:f>T438-U438</x:f>
        <x:v>4929.448</x:v>
      </x:c>
      <x:c r="W438" s="20" t="n">
        <x:f>R438+V438</x:f>
        <x:v>62961.448000000004</x:v>
      </x:c>
      <x:c r="X438" s="14" t="str">
        <x:f>IF(ABS(W438-SUM(M438:Q438)-V438)&lt;0.01,"OK","Check")</x:f>
        <x:v>OK</x:v>
      </x:c>
    </x:row>
    <x:row r="439">
      <x:c r="A439" s="14" t="n">
        <x:v>2027</x:v>
      </x:c>
      <x:c r="B439" s="14" t="str">
        <x:v>Q2</x:v>
      </x:c>
      <x:c r="C439" s="14" t="n">
        <x:v>2</x:v>
      </x:c>
      <x:c r="D439" s="14" t="n">
        <x:v>6</x:v>
      </x:c>
      <x:c r="E439" s="14" t="str">
        <x:f>INDEX(Roster!$B$6:$B$108,MATCH(D439,Roster!$A$6:$A$108,0))</x:f>
        <x:v>Principal</x:v>
      </x:c>
      <x:c r="F439" s="14" t="str">
        <x:f>INDEX(Roster!$F$6:$F$108,MATCH(D439,Roster!$A$6:$A$108,0))</x:f>
        <x:v>No</x:v>
      </x:c>
      <x:c r="G439" s="14" t="n">
        <x:f>INDEX(Inputs!$B$7:$D$7,1,MATCH(A439,Inputs!$B$6:$D$6,0))</x:f>
        <x:v>13</x:v>
      </x:c>
      <x:c r="H439" s="14" t="n">
        <x:f>MIN(=INDEX(Inputs!$B$7:$D$7,1,MATCH(A439,Inputs!$B$6:$D$6,0)),MAX(0,INDEX(Inputs!$B$14:$D$14,1,MATCH(A439,Inputs!$B$6:$D$6,0))-(C439-1)*=INDEX(Inputs!$B$7:$D$7,1,MATCH(A439,Inputs!$B$6:$D$6,0))))</x:f>
        <x:v>13</x:v>
      </x:c>
      <x:c r="I439" s="20" t="n">
        <x:f>INDEX(Inputs!$B$8:$D$8,1,MATCH(A439,Inputs!$B$6:$D$6,0))</x:f>
        <x:v>2395</x:v>
      </x:c>
      <x:c r="J439" s="20" t="n">
        <x:f>INDEX(Roster!$C$6:$C$108,MATCH(D439,Roster!$A$6:$A$108,0))*(1+INDEX(Inputs!$B$9:$D$9,1,MATCH(A439,Inputs!$B$6:$D$6,0)))</x:f>
        <x:v>1500</x:v>
      </x:c>
      <x:c r="K439" s="20" t="n">
        <x:f>IF(=INDEX(Roster!$F$6:$F$108,MATCH(D439,Roster!$A$6:$A$108,0))="Yes",0,=INDEX(Inputs!$B$8:$D$8,1,MATCH(A439,Inputs!$B$6:$D$6,0))*IF(=INDEX(Roster!$B$6:$B$108,MATCH(D439,Roster!$A$6:$A$108,0))="Principal",INDEX(Inputs!$B$10:$D$10,1,MATCH(A439,Inputs!$B$6:$D$6,0)),IF(=INDEX(Roster!$B$6:$B$108,MATCH(D439,Roster!$A$6:$A$108,0))="Associate Principal",INDEX(Inputs!$B$11:$D$11,1,MATCH(A439,Inputs!$B$6:$D$6,0)),IF(=INDEX(Roster!$B$6:$B$108,MATCH(D439,Roster!$A$6:$A$108,0))="Assistant Principal",INDEX(Inputs!$B$12:$D$12,1,MATCH(A439,Inputs!$B$6:$D$6,0)),0))))</x:f>
        <x:v>479</x:v>
      </x:c>
      <x:c r="L439" s="20" t="n">
        <x:f>IF(INDEX(Roster!$D$6:$D$108,MATCH(D439,Roster!$A$6:$A$108,0))&gt;=25,INDEX(Inputs!$B$19:$D$19,1,MATCH(A439,Inputs!$B$6:$D$6,0)),IF(INDEX(Roster!$D$6:$D$108,MATCH(D439,Roster!$A$6:$A$108,0))&gt;=20,INDEX(Inputs!$B$18:$D$18,1,MATCH(A439,Inputs!$B$6:$D$6,0)),IF(INDEX(Roster!$D$6:$D$108,MATCH(D439,Roster!$A$6:$A$108,0))&gt;=15,INDEX(Inputs!$B$17:$D$17,1,MATCH(A439,Inputs!$B$6:$D$6,0)),IF(INDEX(Roster!$D$6:$D$108,MATCH(D439,Roster!$A$6:$A$108,0))&gt;=10,INDEX(Inputs!$B$16:$D$16,1,MATCH(A439,Inputs!$B$6:$D$6,0)),IF(INDEX(Roster!$D$6:$D$108,MATCH(D439,Roster!$A$6:$A$108,0))&gt;=5,INDEX(Inputs!$B$15:$D$15,1,MATCH(A439,Inputs!$B$6:$D$6,0)),0)))))</x:f>
        <x:v>60</x:v>
      </x:c>
      <x:c r="M439" s="20" t="n">
        <x:f>G439*I439</x:f>
        <x:v>31135</x:v>
      </x:c>
      <x:c r="N439" s="20" t="n">
        <x:f>G439*J439</x:f>
        <x:v>19500</x:v>
      </x:c>
      <x:c r="O439" s="20" t="n">
        <x:f>G439*K439</x:f>
        <x:v>6227</x:v>
      </x:c>
      <x:c r="P439" s="20" t="n">
        <x:f>G439*L439</x:f>
        <x:v>780</x:v>
      </x:c>
      <x:c r="Q439" s="20" t="n">
        <x:f>H439*INDEX(Inputs!$B$13:$D$13,1,MATCH(A439,Inputs!$B$6:$D$6,0))</x:f>
        <x:v>390</x:v>
      </x:c>
      <x:c r="R439" s="20" t="n">
        <x:f>SUM(M439:Q439)</x:f>
        <x:v>58032</x:v>
      </x:c>
      <x:c r="S439" s="20" t="n">
        <x:f>IF(AND(A438=A439,D438=D439),S438+R439,R439)</x:f>
        <x:v>116064</x:v>
      </x:c>
      <x:c r="T439" s="20" t="n">
        <x:f>MIN(S439,INDEX(Inputs!$B$20:$D$20,1,MATCH(A439,Inputs!$B$6:$D$6,0)))*INDEX(Inputs!$B$22:$D$22,1,MATCH(A439,Inputs!$B$6:$D$6,0))+MAX(MIN(S439,INDEX(Inputs!$B$21:$D$21,1,MATCH(A439,Inputs!$B$6:$D$6,0)))-INDEX(Inputs!$B$20:$D$20,1,MATCH(A439,Inputs!$B$6:$D$6,0)),0)*INDEX(Inputs!$B$23:$D$23,1,MATCH(A439,Inputs!$B$6:$D$6,0))+MAX(S439-INDEX(Inputs!$B$21:$D$21,1,MATCH(A439,Inputs!$B$6:$D$6,0)),0)*INDEX(Inputs!$B$24:$D$24,1,MATCH(A439,Inputs!$B$6:$D$6,0))</x:f>
        <x:v>9368.896</x:v>
      </x:c>
      <x:c r="U439" s="20" t="n">
        <x:f>IF(AND(A438=A439,D438=D439),T438,0)</x:f>
        <x:v>4929.448</x:v>
      </x:c>
      <x:c r="V439" s="20" t="n">
        <x:f>T439-U439</x:f>
        <x:v>4439.448</x:v>
      </x:c>
      <x:c r="W439" s="20" t="n">
        <x:f>R439+V439</x:f>
        <x:v>62471.448000000004</x:v>
      </x:c>
      <x:c r="X439" s="14" t="str">
        <x:f>IF(ABS(W439-SUM(M439:Q439)-V439)&lt;0.01,"OK","Check")</x:f>
        <x:v>OK</x:v>
      </x:c>
    </x:row>
    <x:row r="440">
      <x:c r="A440" s="14" t="n">
        <x:v>2027</x:v>
      </x:c>
      <x:c r="B440" s="14" t="str">
        <x:v>Q3</x:v>
      </x:c>
      <x:c r="C440" s="14" t="n">
        <x:v>3</x:v>
      </x:c>
      <x:c r="D440" s="14" t="n">
        <x:v>6</x:v>
      </x:c>
      <x:c r="E440" s="14" t="str">
        <x:f>INDEX(Roster!$B$6:$B$108,MATCH(D440,Roster!$A$6:$A$108,0))</x:f>
        <x:v>Principal</x:v>
      </x:c>
      <x:c r="F440" s="14" t="str">
        <x:f>INDEX(Roster!$F$6:$F$108,MATCH(D440,Roster!$A$6:$A$108,0))</x:f>
        <x:v>No</x:v>
      </x:c>
      <x:c r="G440" s="14" t="n">
        <x:f>INDEX(Inputs!$B$7:$D$7,1,MATCH(A440,Inputs!$B$6:$D$6,0))</x:f>
        <x:v>13</x:v>
      </x:c>
      <x:c r="H440" s="14" t="n">
        <x:f>MIN(=INDEX(Inputs!$B$7:$D$7,1,MATCH(A440,Inputs!$B$6:$D$6,0)),MAX(0,INDEX(Inputs!$B$14:$D$14,1,MATCH(A440,Inputs!$B$6:$D$6,0))-(C440-1)*=INDEX(Inputs!$B$7:$D$7,1,MATCH(A440,Inputs!$B$6:$D$6,0))))</x:f>
        <x:v>13</x:v>
      </x:c>
      <x:c r="I440" s="20" t="n">
        <x:f>INDEX(Inputs!$B$8:$D$8,1,MATCH(A440,Inputs!$B$6:$D$6,0))</x:f>
        <x:v>2395</x:v>
      </x:c>
      <x:c r="J440" s="20" t="n">
        <x:f>INDEX(Roster!$C$6:$C$108,MATCH(D440,Roster!$A$6:$A$108,0))*(1+INDEX(Inputs!$B$9:$D$9,1,MATCH(A440,Inputs!$B$6:$D$6,0)))</x:f>
        <x:v>1500</x:v>
      </x:c>
      <x:c r="K440" s="20" t="n">
        <x:f>IF(=INDEX(Roster!$F$6:$F$108,MATCH(D440,Roster!$A$6:$A$108,0))="Yes",0,=INDEX(Inputs!$B$8:$D$8,1,MATCH(A440,Inputs!$B$6:$D$6,0))*IF(=INDEX(Roster!$B$6:$B$108,MATCH(D440,Roster!$A$6:$A$108,0))="Principal",INDEX(Inputs!$B$10:$D$10,1,MATCH(A440,Inputs!$B$6:$D$6,0)),IF(=INDEX(Roster!$B$6:$B$108,MATCH(D440,Roster!$A$6:$A$108,0))="Associate Principal",INDEX(Inputs!$B$11:$D$11,1,MATCH(A440,Inputs!$B$6:$D$6,0)),IF(=INDEX(Roster!$B$6:$B$108,MATCH(D440,Roster!$A$6:$A$108,0))="Assistant Principal",INDEX(Inputs!$B$12:$D$12,1,MATCH(A440,Inputs!$B$6:$D$6,0)),0))))</x:f>
        <x:v>479</x:v>
      </x:c>
      <x:c r="L440" s="20" t="n">
        <x:f>IF(INDEX(Roster!$D$6:$D$108,MATCH(D440,Roster!$A$6:$A$108,0))&gt;=25,INDEX(Inputs!$B$19:$D$19,1,MATCH(A440,Inputs!$B$6:$D$6,0)),IF(INDEX(Roster!$D$6:$D$108,MATCH(D440,Roster!$A$6:$A$108,0))&gt;=20,INDEX(Inputs!$B$18:$D$18,1,MATCH(A440,Inputs!$B$6:$D$6,0)),IF(INDEX(Roster!$D$6:$D$108,MATCH(D440,Roster!$A$6:$A$108,0))&gt;=15,INDEX(Inputs!$B$17:$D$17,1,MATCH(A440,Inputs!$B$6:$D$6,0)),IF(INDEX(Roster!$D$6:$D$108,MATCH(D440,Roster!$A$6:$A$108,0))&gt;=10,INDEX(Inputs!$B$16:$D$16,1,MATCH(A440,Inputs!$B$6:$D$6,0)),IF(INDEX(Roster!$D$6:$D$108,MATCH(D440,Roster!$A$6:$A$108,0))&gt;=5,INDEX(Inputs!$B$15:$D$15,1,MATCH(A440,Inputs!$B$6:$D$6,0)),0)))))</x:f>
        <x:v>60</x:v>
      </x:c>
      <x:c r="M440" s="20" t="n">
        <x:f>G440*I440</x:f>
        <x:v>31135</x:v>
      </x:c>
      <x:c r="N440" s="20" t="n">
        <x:f>G440*J440</x:f>
        <x:v>19500</x:v>
      </x:c>
      <x:c r="O440" s="20" t="n">
        <x:f>G440*K440</x:f>
        <x:v>6227</x:v>
      </x:c>
      <x:c r="P440" s="20" t="n">
        <x:f>G440*L440</x:f>
        <x:v>780</x:v>
      </x:c>
      <x:c r="Q440" s="20" t="n">
        <x:f>H440*INDEX(Inputs!$B$13:$D$13,1,MATCH(A440,Inputs!$B$6:$D$6,0))</x:f>
        <x:v>390</x:v>
      </x:c>
      <x:c r="R440" s="20" t="n">
        <x:f>SUM(M440:Q440)</x:f>
        <x:v>58032</x:v>
      </x:c>
      <x:c r="S440" s="20" t="n">
        <x:f>IF(AND(A439=A440,D439=D440),S439+R440,R440)</x:f>
        <x:v>174096</x:v>
      </x:c>
      <x:c r="T440" s="20" t="n">
        <x:f>MIN(S440,INDEX(Inputs!$B$20:$D$20,1,MATCH(A440,Inputs!$B$6:$D$6,0)))*INDEX(Inputs!$B$22:$D$22,1,MATCH(A440,Inputs!$B$6:$D$6,0))+MAX(MIN(S440,INDEX(Inputs!$B$21:$D$21,1,MATCH(A440,Inputs!$B$6:$D$6,0)))-INDEX(Inputs!$B$20:$D$20,1,MATCH(A440,Inputs!$B$6:$D$6,0)),0)*INDEX(Inputs!$B$23:$D$23,1,MATCH(A440,Inputs!$B$6:$D$6,0))+MAX(S440-INDEX(Inputs!$B$21:$D$21,1,MATCH(A440,Inputs!$B$6:$D$6,0)),0)*INDEX(Inputs!$B$24:$D$24,1,MATCH(A440,Inputs!$B$6:$D$6,0))</x:f>
        <x:v>10438.333999999999</x:v>
      </x:c>
      <x:c r="U440" s="20" t="n">
        <x:f>IF(AND(A439=A440,D439=D440),T439,0)</x:f>
        <x:v>9368.896</x:v>
      </x:c>
      <x:c r="V440" s="20" t="n">
        <x:f>T440-U440</x:f>
        <x:v>1069.4379999999983</x:v>
      </x:c>
      <x:c r="W440" s="20" t="n">
        <x:f>R440+V440</x:f>
        <x:v>59101.437999999995</x:v>
      </x:c>
      <x:c r="X440" s="14" t="str">
        <x:f>IF(ABS(W440-SUM(M440:Q440)-V440)&lt;0.01,"OK","Check")</x:f>
        <x:v>OK</x:v>
      </x:c>
    </x:row>
    <x:row r="441">
      <x:c r="A441" s="14" t="n">
        <x:v>2027</x:v>
      </x:c>
      <x:c r="B441" s="14" t="str">
        <x:v>Q4</x:v>
      </x:c>
      <x:c r="C441" s="14" t="n">
        <x:v>4</x:v>
      </x:c>
      <x:c r="D441" s="14" t="n">
        <x:v>6</x:v>
      </x:c>
      <x:c r="E441" s="14" t="str">
        <x:f>INDEX(Roster!$B$6:$B$108,MATCH(D441,Roster!$A$6:$A$108,0))</x:f>
        <x:v>Principal</x:v>
      </x:c>
      <x:c r="F441" s="14" t="str">
        <x:f>INDEX(Roster!$F$6:$F$108,MATCH(D441,Roster!$A$6:$A$108,0))</x:f>
        <x:v>No</x:v>
      </x:c>
      <x:c r="G441" s="14" t="n">
        <x:f>INDEX(Inputs!$B$7:$D$7,1,MATCH(A441,Inputs!$B$6:$D$6,0))</x:f>
        <x:v>13</x:v>
      </x:c>
      <x:c r="H441" s="14" t="n">
        <x:f>MIN(=INDEX(Inputs!$B$7:$D$7,1,MATCH(A441,Inputs!$B$6:$D$6,0)),MAX(0,INDEX(Inputs!$B$14:$D$14,1,MATCH(A441,Inputs!$B$6:$D$6,0))-(C441-1)*=INDEX(Inputs!$B$7:$D$7,1,MATCH(A441,Inputs!$B$6:$D$6,0))))</x:f>
        <x:v>0</x:v>
      </x:c>
      <x:c r="I441" s="20" t="n">
        <x:f>INDEX(Inputs!$B$8:$D$8,1,MATCH(A441,Inputs!$B$6:$D$6,0))</x:f>
        <x:v>2395</x:v>
      </x:c>
      <x:c r="J441" s="20" t="n">
        <x:f>INDEX(Roster!$C$6:$C$108,MATCH(D441,Roster!$A$6:$A$108,0))*(1+INDEX(Inputs!$B$9:$D$9,1,MATCH(A441,Inputs!$B$6:$D$6,0)))</x:f>
        <x:v>1500</x:v>
      </x:c>
      <x:c r="K441" s="20" t="n">
        <x:f>IF(=INDEX(Roster!$F$6:$F$108,MATCH(D441,Roster!$A$6:$A$108,0))="Yes",0,=INDEX(Inputs!$B$8:$D$8,1,MATCH(A441,Inputs!$B$6:$D$6,0))*IF(=INDEX(Roster!$B$6:$B$108,MATCH(D441,Roster!$A$6:$A$108,0))="Principal",INDEX(Inputs!$B$10:$D$10,1,MATCH(A441,Inputs!$B$6:$D$6,0)),IF(=INDEX(Roster!$B$6:$B$108,MATCH(D441,Roster!$A$6:$A$108,0))="Associate Principal",INDEX(Inputs!$B$11:$D$11,1,MATCH(A441,Inputs!$B$6:$D$6,0)),IF(=INDEX(Roster!$B$6:$B$108,MATCH(D441,Roster!$A$6:$A$108,0))="Assistant Principal",INDEX(Inputs!$B$12:$D$12,1,MATCH(A441,Inputs!$B$6:$D$6,0)),0))))</x:f>
        <x:v>479</x:v>
      </x:c>
      <x:c r="L441" s="20" t="n">
        <x:f>IF(INDEX(Roster!$D$6:$D$108,MATCH(D441,Roster!$A$6:$A$108,0))&gt;=25,INDEX(Inputs!$B$19:$D$19,1,MATCH(A441,Inputs!$B$6:$D$6,0)),IF(INDEX(Roster!$D$6:$D$108,MATCH(D441,Roster!$A$6:$A$108,0))&gt;=20,INDEX(Inputs!$B$18:$D$18,1,MATCH(A441,Inputs!$B$6:$D$6,0)),IF(INDEX(Roster!$D$6:$D$108,MATCH(D441,Roster!$A$6:$A$108,0))&gt;=15,INDEX(Inputs!$B$17:$D$17,1,MATCH(A441,Inputs!$B$6:$D$6,0)),IF(INDEX(Roster!$D$6:$D$108,MATCH(D441,Roster!$A$6:$A$108,0))&gt;=10,INDEX(Inputs!$B$16:$D$16,1,MATCH(A441,Inputs!$B$6:$D$6,0)),IF(INDEX(Roster!$D$6:$D$108,MATCH(D441,Roster!$A$6:$A$108,0))&gt;=5,INDEX(Inputs!$B$15:$D$15,1,MATCH(A441,Inputs!$B$6:$D$6,0)),0)))))</x:f>
        <x:v>60</x:v>
      </x:c>
      <x:c r="M441" s="20" t="n">
        <x:f>G441*I441</x:f>
        <x:v>31135</x:v>
      </x:c>
      <x:c r="N441" s="20" t="n">
        <x:f>G441*J441</x:f>
        <x:v>19500</x:v>
      </x:c>
      <x:c r="O441" s="20" t="n">
        <x:f>G441*K441</x:f>
        <x:v>6227</x:v>
      </x:c>
      <x:c r="P441" s="20" t="n">
        <x:f>G441*L441</x:f>
        <x:v>780</x:v>
      </x:c>
      <x:c r="Q441" s="20" t="n">
        <x:f>H441*INDEX(Inputs!$B$13:$D$13,1,MATCH(A441,Inputs!$B$6:$D$6,0))</x:f>
        <x:v>0</x:v>
      </x:c>
      <x:c r="R441" s="20" t="n">
        <x:f>SUM(M441:Q441)</x:f>
        <x:v>57642</x:v>
      </x:c>
      <x:c r="S441" s="20" t="n">
        <x:f>IF(AND(A440=A441,D440=D441),S440+R441,R441)</x:f>
        <x:v>231738</x:v>
      </x:c>
      <x:c r="T441" s="20" t="n">
        <x:f>MIN(S441,INDEX(Inputs!$B$20:$D$20,1,MATCH(A441,Inputs!$B$6:$D$6,0)))*INDEX(Inputs!$B$22:$D$22,1,MATCH(A441,Inputs!$B$6:$D$6,0))+MAX(MIN(S441,INDEX(Inputs!$B$21:$D$21,1,MATCH(A441,Inputs!$B$6:$D$6,0)))-INDEX(Inputs!$B$20:$D$20,1,MATCH(A441,Inputs!$B$6:$D$6,0)),0)*INDEX(Inputs!$B$23:$D$23,1,MATCH(A441,Inputs!$B$6:$D$6,0))+MAX(S441-INDEX(Inputs!$B$21:$D$21,1,MATCH(A441,Inputs!$B$6:$D$6,0)),0)*INDEX(Inputs!$B$24:$D$24,1,MATCH(A441,Inputs!$B$6:$D$6,0))</x:f>
        <x:v>11274.143</x:v>
      </x:c>
      <x:c r="U441" s="20" t="n">
        <x:f>IF(AND(A440=A441,D440=D441),T440,0)</x:f>
        <x:v>10438.333999999999</x:v>
      </x:c>
      <x:c r="V441" s="20" t="n">
        <x:f>T441-U441</x:f>
        <x:v>835.8090000000011</x:v>
      </x:c>
      <x:c r="W441" s="20" t="n">
        <x:f>R441+V441</x:f>
        <x:v>58477.809</x:v>
      </x:c>
      <x:c r="X441" s="14" t="str">
        <x:f>IF(ABS(W441-SUM(M441:Q441)-V441)&lt;0.01,"OK","Check")</x:f>
        <x:v>OK</x:v>
      </x:c>
    </x:row>
    <x:row r="442">
      <x:c r="A442" s="14" t="n">
        <x:v>2027</x:v>
      </x:c>
      <x:c r="B442" s="14" t="str">
        <x:v>Q1</x:v>
      </x:c>
      <x:c r="C442" s="14" t="n">
        <x:v>1</x:v>
      </x:c>
      <x:c r="D442" s="14" t="n">
        <x:v>7</x:v>
      </x:c>
      <x:c r="E442" s="14" t="str">
        <x:f>INDEX(Roster!$B$6:$B$108,MATCH(D442,Roster!$A$6:$A$108,0))</x:f>
        <x:v>Principal</x:v>
      </x:c>
      <x:c r="F442" s="14" t="str">
        <x:f>INDEX(Roster!$F$6:$F$108,MATCH(D442,Roster!$A$6:$A$108,0))</x:f>
        <x:v>No</x:v>
      </x:c>
      <x:c r="G442" s="14" t="n">
        <x:f>INDEX(Inputs!$B$7:$D$7,1,MATCH(A442,Inputs!$B$6:$D$6,0))</x:f>
        <x:v>13</x:v>
      </x:c>
      <x:c r="H442" s="14" t="n">
        <x:f>MIN(=INDEX(Inputs!$B$7:$D$7,1,MATCH(A442,Inputs!$B$6:$D$6,0)),MAX(0,INDEX(Inputs!$B$14:$D$14,1,MATCH(A442,Inputs!$B$6:$D$6,0))-(C442-1)*=INDEX(Inputs!$B$7:$D$7,1,MATCH(A442,Inputs!$B$6:$D$6,0))))</x:f>
        <x:v>13</x:v>
      </x:c>
      <x:c r="I442" s="20" t="n">
        <x:f>INDEX(Inputs!$B$8:$D$8,1,MATCH(A442,Inputs!$B$6:$D$6,0))</x:f>
        <x:v>2395</x:v>
      </x:c>
      <x:c r="J442" s="20" t="n">
        <x:f>INDEX(Roster!$C$6:$C$108,MATCH(D442,Roster!$A$6:$A$108,0))*(1+INDEX(Inputs!$B$9:$D$9,1,MATCH(A442,Inputs!$B$6:$D$6,0)))</x:f>
        <x:v>1400</x:v>
      </x:c>
      <x:c r="K442" s="20" t="n">
        <x:f>IF(=INDEX(Roster!$F$6:$F$108,MATCH(D442,Roster!$A$6:$A$108,0))="Yes",0,=INDEX(Inputs!$B$8:$D$8,1,MATCH(A442,Inputs!$B$6:$D$6,0))*IF(=INDEX(Roster!$B$6:$B$108,MATCH(D442,Roster!$A$6:$A$108,0))="Principal",INDEX(Inputs!$B$10:$D$10,1,MATCH(A442,Inputs!$B$6:$D$6,0)),IF(=INDEX(Roster!$B$6:$B$108,MATCH(D442,Roster!$A$6:$A$108,0))="Associate Principal",INDEX(Inputs!$B$11:$D$11,1,MATCH(A442,Inputs!$B$6:$D$6,0)),IF(=INDEX(Roster!$B$6:$B$108,MATCH(D442,Roster!$A$6:$A$108,0))="Assistant Principal",INDEX(Inputs!$B$12:$D$12,1,MATCH(A442,Inputs!$B$6:$D$6,0)),0))))</x:f>
        <x:v>479</x:v>
      </x:c>
      <x:c r="L442" s="20" t="n">
        <x:f>IF(INDEX(Roster!$D$6:$D$108,MATCH(D442,Roster!$A$6:$A$108,0))&gt;=25,INDEX(Inputs!$B$19:$D$19,1,MATCH(A442,Inputs!$B$6:$D$6,0)),IF(INDEX(Roster!$D$6:$D$108,MATCH(D442,Roster!$A$6:$A$108,0))&gt;=20,INDEX(Inputs!$B$18:$D$18,1,MATCH(A442,Inputs!$B$6:$D$6,0)),IF(INDEX(Roster!$D$6:$D$108,MATCH(D442,Roster!$A$6:$A$108,0))&gt;=15,INDEX(Inputs!$B$17:$D$17,1,MATCH(A442,Inputs!$B$6:$D$6,0)),IF(INDEX(Roster!$D$6:$D$108,MATCH(D442,Roster!$A$6:$A$108,0))&gt;=10,INDEX(Inputs!$B$16:$D$16,1,MATCH(A442,Inputs!$B$6:$D$6,0)),IF(INDEX(Roster!$D$6:$D$108,MATCH(D442,Roster!$A$6:$A$108,0))&gt;=5,INDEX(Inputs!$B$15:$D$15,1,MATCH(A442,Inputs!$B$6:$D$6,0)),0)))))</x:f>
        <x:v>50</x:v>
      </x:c>
      <x:c r="M442" s="20" t="n">
        <x:f>G442*I442</x:f>
        <x:v>31135</x:v>
      </x:c>
      <x:c r="N442" s="20" t="n">
        <x:f>G442*J442</x:f>
        <x:v>18200</x:v>
      </x:c>
      <x:c r="O442" s="20" t="n">
        <x:f>G442*K442</x:f>
        <x:v>6227</x:v>
      </x:c>
      <x:c r="P442" s="20" t="n">
        <x:f>G442*L442</x:f>
        <x:v>650</x:v>
      </x:c>
      <x:c r="Q442" s="20" t="n">
        <x:f>H442*INDEX(Inputs!$B$13:$D$13,1,MATCH(A442,Inputs!$B$6:$D$6,0))</x:f>
        <x:v>390</x:v>
      </x:c>
      <x:c r="R442" s="20" t="n">
        <x:f>SUM(M442:Q442)</x:f>
        <x:v>56602</x:v>
      </x:c>
      <x:c r="S442" s="20" t="n">
        <x:f>IF(AND(A441=A442,D441=D442),S441+R442,R442)</x:f>
        <x:v>56602</x:v>
      </x:c>
      <x:c r="T442" s="20" t="n">
        <x:f>MIN(S442,INDEX(Inputs!$B$20:$D$20,1,MATCH(A442,Inputs!$B$6:$D$6,0)))*INDEX(Inputs!$B$22:$D$22,1,MATCH(A442,Inputs!$B$6:$D$6,0))+MAX(MIN(S442,INDEX(Inputs!$B$21:$D$21,1,MATCH(A442,Inputs!$B$6:$D$6,0)))-INDEX(Inputs!$B$20:$D$20,1,MATCH(A442,Inputs!$B$6:$D$6,0)),0)*INDEX(Inputs!$B$23:$D$23,1,MATCH(A442,Inputs!$B$6:$D$6,0))+MAX(S442-INDEX(Inputs!$B$21:$D$21,1,MATCH(A442,Inputs!$B$6:$D$6,0)),0)*INDEX(Inputs!$B$24:$D$24,1,MATCH(A442,Inputs!$B$6:$D$6,0))</x:f>
        <x:v>4820.053</x:v>
      </x:c>
      <x:c r="U442" s="20" t="n">
        <x:f>IF(AND(A441=A442,D441=D442),T441,0)</x:f>
        <x:v>0</x:v>
      </x:c>
      <x:c r="V442" s="20" t="n">
        <x:f>T442-U442</x:f>
        <x:v>4820.053</x:v>
      </x:c>
      <x:c r="W442" s="20" t="n">
        <x:f>R442+V442</x:f>
        <x:v>61422.053</x:v>
      </x:c>
      <x:c r="X442" s="14" t="str">
        <x:f>IF(ABS(W442-SUM(M442:Q442)-V442)&lt;0.01,"OK","Check")</x:f>
        <x:v>OK</x:v>
      </x:c>
    </x:row>
    <x:row r="443">
      <x:c r="A443" s="14" t="n">
        <x:v>2027</x:v>
      </x:c>
      <x:c r="B443" s="14" t="str">
        <x:v>Q2</x:v>
      </x:c>
      <x:c r="C443" s="14" t="n">
        <x:v>2</x:v>
      </x:c>
      <x:c r="D443" s="14" t="n">
        <x:v>7</x:v>
      </x:c>
      <x:c r="E443" s="14" t="str">
        <x:f>INDEX(Roster!$B$6:$B$108,MATCH(D443,Roster!$A$6:$A$108,0))</x:f>
        <x:v>Principal</x:v>
      </x:c>
      <x:c r="F443" s="14" t="str">
        <x:f>INDEX(Roster!$F$6:$F$108,MATCH(D443,Roster!$A$6:$A$108,0))</x:f>
        <x:v>No</x:v>
      </x:c>
      <x:c r="G443" s="14" t="n">
        <x:f>INDEX(Inputs!$B$7:$D$7,1,MATCH(A443,Inputs!$B$6:$D$6,0))</x:f>
        <x:v>13</x:v>
      </x:c>
      <x:c r="H443" s="14" t="n">
        <x:f>MIN(=INDEX(Inputs!$B$7:$D$7,1,MATCH(A443,Inputs!$B$6:$D$6,0)),MAX(0,INDEX(Inputs!$B$14:$D$14,1,MATCH(A443,Inputs!$B$6:$D$6,0))-(C443-1)*=INDEX(Inputs!$B$7:$D$7,1,MATCH(A443,Inputs!$B$6:$D$6,0))))</x:f>
        <x:v>13</x:v>
      </x:c>
      <x:c r="I443" s="20" t="n">
        <x:f>INDEX(Inputs!$B$8:$D$8,1,MATCH(A443,Inputs!$B$6:$D$6,0))</x:f>
        <x:v>2395</x:v>
      </x:c>
      <x:c r="J443" s="20" t="n">
        <x:f>INDEX(Roster!$C$6:$C$108,MATCH(D443,Roster!$A$6:$A$108,0))*(1+INDEX(Inputs!$B$9:$D$9,1,MATCH(A443,Inputs!$B$6:$D$6,0)))</x:f>
        <x:v>1400</x:v>
      </x:c>
      <x:c r="K443" s="20" t="n">
        <x:f>IF(=INDEX(Roster!$F$6:$F$108,MATCH(D443,Roster!$A$6:$A$108,0))="Yes",0,=INDEX(Inputs!$B$8:$D$8,1,MATCH(A443,Inputs!$B$6:$D$6,0))*IF(=INDEX(Roster!$B$6:$B$108,MATCH(D443,Roster!$A$6:$A$108,0))="Principal",INDEX(Inputs!$B$10:$D$10,1,MATCH(A443,Inputs!$B$6:$D$6,0)),IF(=INDEX(Roster!$B$6:$B$108,MATCH(D443,Roster!$A$6:$A$108,0))="Associate Principal",INDEX(Inputs!$B$11:$D$11,1,MATCH(A443,Inputs!$B$6:$D$6,0)),IF(=INDEX(Roster!$B$6:$B$108,MATCH(D443,Roster!$A$6:$A$108,0))="Assistant Principal",INDEX(Inputs!$B$12:$D$12,1,MATCH(A443,Inputs!$B$6:$D$6,0)),0))))</x:f>
        <x:v>479</x:v>
      </x:c>
      <x:c r="L443" s="20" t="n">
        <x:f>IF(INDEX(Roster!$D$6:$D$108,MATCH(D443,Roster!$A$6:$A$108,0))&gt;=25,INDEX(Inputs!$B$19:$D$19,1,MATCH(A443,Inputs!$B$6:$D$6,0)),IF(INDEX(Roster!$D$6:$D$108,MATCH(D443,Roster!$A$6:$A$108,0))&gt;=20,INDEX(Inputs!$B$18:$D$18,1,MATCH(A443,Inputs!$B$6:$D$6,0)),IF(INDEX(Roster!$D$6:$D$108,MATCH(D443,Roster!$A$6:$A$108,0))&gt;=15,INDEX(Inputs!$B$17:$D$17,1,MATCH(A443,Inputs!$B$6:$D$6,0)),IF(INDEX(Roster!$D$6:$D$108,MATCH(D443,Roster!$A$6:$A$108,0))&gt;=10,INDEX(Inputs!$B$16:$D$16,1,MATCH(A443,Inputs!$B$6:$D$6,0)),IF(INDEX(Roster!$D$6:$D$108,MATCH(D443,Roster!$A$6:$A$108,0))&gt;=5,INDEX(Inputs!$B$15:$D$15,1,MATCH(A443,Inputs!$B$6:$D$6,0)),0)))))</x:f>
        <x:v>50</x:v>
      </x:c>
      <x:c r="M443" s="20" t="n">
        <x:f>G443*I443</x:f>
        <x:v>31135</x:v>
      </x:c>
      <x:c r="N443" s="20" t="n">
        <x:f>G443*J443</x:f>
        <x:v>18200</x:v>
      </x:c>
      <x:c r="O443" s="20" t="n">
        <x:f>G443*K443</x:f>
        <x:v>6227</x:v>
      </x:c>
      <x:c r="P443" s="20" t="n">
        <x:f>G443*L443</x:f>
        <x:v>650</x:v>
      </x:c>
      <x:c r="Q443" s="20" t="n">
        <x:f>H443*INDEX(Inputs!$B$13:$D$13,1,MATCH(A443,Inputs!$B$6:$D$6,0))</x:f>
        <x:v>390</x:v>
      </x:c>
      <x:c r="R443" s="20" t="n">
        <x:f>SUM(M443:Q443)</x:f>
        <x:v>56602</x:v>
      </x:c>
      <x:c r="S443" s="20" t="n">
        <x:f>IF(AND(A442=A443,D442=D443),S442+R443,R443)</x:f>
        <x:v>113204</x:v>
      </x:c>
      <x:c r="T443" s="20" t="n">
        <x:f>MIN(S443,INDEX(Inputs!$B$20:$D$20,1,MATCH(A443,Inputs!$B$6:$D$6,0)))*INDEX(Inputs!$B$22:$D$22,1,MATCH(A443,Inputs!$B$6:$D$6,0))+MAX(MIN(S443,INDEX(Inputs!$B$21:$D$21,1,MATCH(A443,Inputs!$B$6:$D$6,0)))-INDEX(Inputs!$B$20:$D$20,1,MATCH(A443,Inputs!$B$6:$D$6,0)),0)*INDEX(Inputs!$B$23:$D$23,1,MATCH(A443,Inputs!$B$6:$D$6,0))+MAX(S443-INDEX(Inputs!$B$21:$D$21,1,MATCH(A443,Inputs!$B$6:$D$6,0)),0)*INDEX(Inputs!$B$24:$D$24,1,MATCH(A443,Inputs!$B$6:$D$6,0))</x:f>
        <x:v>9150.106</x:v>
      </x:c>
      <x:c r="U443" s="20" t="n">
        <x:f>IF(AND(A442=A443,D442=D443),T442,0)</x:f>
        <x:v>4820.053</x:v>
      </x:c>
      <x:c r="V443" s="20" t="n">
        <x:f>T443-U443</x:f>
        <x:v>4330.053</x:v>
      </x:c>
      <x:c r="W443" s="20" t="n">
        <x:f>R443+V443</x:f>
        <x:v>60932.053</x:v>
      </x:c>
      <x:c r="X443" s="14" t="str">
        <x:f>IF(ABS(W443-SUM(M443:Q443)-V443)&lt;0.01,"OK","Check")</x:f>
        <x:v>OK</x:v>
      </x:c>
    </x:row>
    <x:row r="444">
      <x:c r="A444" s="14" t="n">
        <x:v>2027</x:v>
      </x:c>
      <x:c r="B444" s="14" t="str">
        <x:v>Q3</x:v>
      </x:c>
      <x:c r="C444" s="14" t="n">
        <x:v>3</x:v>
      </x:c>
      <x:c r="D444" s="14" t="n">
        <x:v>7</x:v>
      </x:c>
      <x:c r="E444" s="14" t="str">
        <x:f>INDEX(Roster!$B$6:$B$108,MATCH(D444,Roster!$A$6:$A$108,0))</x:f>
        <x:v>Principal</x:v>
      </x:c>
      <x:c r="F444" s="14" t="str">
        <x:f>INDEX(Roster!$F$6:$F$108,MATCH(D444,Roster!$A$6:$A$108,0))</x:f>
        <x:v>No</x:v>
      </x:c>
      <x:c r="G444" s="14" t="n">
        <x:f>INDEX(Inputs!$B$7:$D$7,1,MATCH(A444,Inputs!$B$6:$D$6,0))</x:f>
        <x:v>13</x:v>
      </x:c>
      <x:c r="H444" s="14" t="n">
        <x:f>MIN(=INDEX(Inputs!$B$7:$D$7,1,MATCH(A444,Inputs!$B$6:$D$6,0)),MAX(0,INDEX(Inputs!$B$14:$D$14,1,MATCH(A444,Inputs!$B$6:$D$6,0))-(C444-1)*=INDEX(Inputs!$B$7:$D$7,1,MATCH(A444,Inputs!$B$6:$D$6,0))))</x:f>
        <x:v>13</x:v>
      </x:c>
      <x:c r="I444" s="20" t="n">
        <x:f>INDEX(Inputs!$B$8:$D$8,1,MATCH(A444,Inputs!$B$6:$D$6,0))</x:f>
        <x:v>2395</x:v>
      </x:c>
      <x:c r="J444" s="20" t="n">
        <x:f>INDEX(Roster!$C$6:$C$108,MATCH(D444,Roster!$A$6:$A$108,0))*(1+INDEX(Inputs!$B$9:$D$9,1,MATCH(A444,Inputs!$B$6:$D$6,0)))</x:f>
        <x:v>1400</x:v>
      </x:c>
      <x:c r="K444" s="20" t="n">
        <x:f>IF(=INDEX(Roster!$F$6:$F$108,MATCH(D444,Roster!$A$6:$A$108,0))="Yes",0,=INDEX(Inputs!$B$8:$D$8,1,MATCH(A444,Inputs!$B$6:$D$6,0))*IF(=INDEX(Roster!$B$6:$B$108,MATCH(D444,Roster!$A$6:$A$108,0))="Principal",INDEX(Inputs!$B$10:$D$10,1,MATCH(A444,Inputs!$B$6:$D$6,0)),IF(=INDEX(Roster!$B$6:$B$108,MATCH(D444,Roster!$A$6:$A$108,0))="Associate Principal",INDEX(Inputs!$B$11:$D$11,1,MATCH(A444,Inputs!$B$6:$D$6,0)),IF(=INDEX(Roster!$B$6:$B$108,MATCH(D444,Roster!$A$6:$A$108,0))="Assistant Principal",INDEX(Inputs!$B$12:$D$12,1,MATCH(A444,Inputs!$B$6:$D$6,0)),0))))</x:f>
        <x:v>479</x:v>
      </x:c>
      <x:c r="L444" s="20" t="n">
        <x:f>IF(INDEX(Roster!$D$6:$D$108,MATCH(D444,Roster!$A$6:$A$108,0))&gt;=25,INDEX(Inputs!$B$19:$D$19,1,MATCH(A444,Inputs!$B$6:$D$6,0)),IF(INDEX(Roster!$D$6:$D$108,MATCH(D444,Roster!$A$6:$A$108,0))&gt;=20,INDEX(Inputs!$B$18:$D$18,1,MATCH(A444,Inputs!$B$6:$D$6,0)),IF(INDEX(Roster!$D$6:$D$108,MATCH(D444,Roster!$A$6:$A$108,0))&gt;=15,INDEX(Inputs!$B$17:$D$17,1,MATCH(A444,Inputs!$B$6:$D$6,0)),IF(INDEX(Roster!$D$6:$D$108,MATCH(D444,Roster!$A$6:$A$108,0))&gt;=10,INDEX(Inputs!$B$16:$D$16,1,MATCH(A444,Inputs!$B$6:$D$6,0)),IF(INDEX(Roster!$D$6:$D$108,MATCH(D444,Roster!$A$6:$A$108,0))&gt;=5,INDEX(Inputs!$B$15:$D$15,1,MATCH(A444,Inputs!$B$6:$D$6,0)),0)))))</x:f>
        <x:v>50</x:v>
      </x:c>
      <x:c r="M444" s="20" t="n">
        <x:f>G444*I444</x:f>
        <x:v>31135</x:v>
      </x:c>
      <x:c r="N444" s="20" t="n">
        <x:f>G444*J444</x:f>
        <x:v>18200</x:v>
      </x:c>
      <x:c r="O444" s="20" t="n">
        <x:f>G444*K444</x:f>
        <x:v>6227</x:v>
      </x:c>
      <x:c r="P444" s="20" t="n">
        <x:f>G444*L444</x:f>
        <x:v>650</x:v>
      </x:c>
      <x:c r="Q444" s="20" t="n">
        <x:f>H444*INDEX(Inputs!$B$13:$D$13,1,MATCH(A444,Inputs!$B$6:$D$6,0))</x:f>
        <x:v>390</x:v>
      </x:c>
      <x:c r="R444" s="20" t="n">
        <x:f>SUM(M444:Q444)</x:f>
        <x:v>56602</x:v>
      </x:c>
      <x:c r="S444" s="20" t="n">
        <x:f>IF(AND(A443=A444,D443=D444),S443+R444,R444)</x:f>
        <x:v>169806</x:v>
      </x:c>
      <x:c r="T444" s="20" t="n">
        <x:f>MIN(S444,INDEX(Inputs!$B$20:$D$20,1,MATCH(A444,Inputs!$B$6:$D$6,0)))*INDEX(Inputs!$B$22:$D$22,1,MATCH(A444,Inputs!$B$6:$D$6,0))+MAX(MIN(S444,INDEX(Inputs!$B$21:$D$21,1,MATCH(A444,Inputs!$B$6:$D$6,0)))-INDEX(Inputs!$B$20:$D$20,1,MATCH(A444,Inputs!$B$6:$D$6,0)),0)*INDEX(Inputs!$B$23:$D$23,1,MATCH(A444,Inputs!$B$6:$D$6,0))+MAX(S444-INDEX(Inputs!$B$21:$D$21,1,MATCH(A444,Inputs!$B$6:$D$6,0)),0)*INDEX(Inputs!$B$24:$D$24,1,MATCH(A444,Inputs!$B$6:$D$6,0))</x:f>
        <x:v>10376.128999999999</x:v>
      </x:c>
      <x:c r="U444" s="20" t="n">
        <x:f>IF(AND(A443=A444,D443=D444),T443,0)</x:f>
        <x:v>9150.106</x:v>
      </x:c>
      <x:c r="V444" s="20" t="n">
        <x:f>T444-U444</x:f>
        <x:v>1226.0229999999992</x:v>
      </x:c>
      <x:c r="W444" s="20" t="n">
        <x:f>R444+V444</x:f>
        <x:v>57828.023</x:v>
      </x:c>
      <x:c r="X444" s="14" t="str">
        <x:f>IF(ABS(W444-SUM(M444:Q444)-V444)&lt;0.01,"OK","Check")</x:f>
        <x:v>OK</x:v>
      </x:c>
    </x:row>
    <x:row r="445">
      <x:c r="A445" s="14" t="n">
        <x:v>2027</x:v>
      </x:c>
      <x:c r="B445" s="14" t="str">
        <x:v>Q4</x:v>
      </x:c>
      <x:c r="C445" s="14" t="n">
        <x:v>4</x:v>
      </x:c>
      <x:c r="D445" s="14" t="n">
        <x:v>7</x:v>
      </x:c>
      <x:c r="E445" s="14" t="str">
        <x:f>INDEX(Roster!$B$6:$B$108,MATCH(D445,Roster!$A$6:$A$108,0))</x:f>
        <x:v>Principal</x:v>
      </x:c>
      <x:c r="F445" s="14" t="str">
        <x:f>INDEX(Roster!$F$6:$F$108,MATCH(D445,Roster!$A$6:$A$108,0))</x:f>
        <x:v>No</x:v>
      </x:c>
      <x:c r="G445" s="14" t="n">
        <x:f>INDEX(Inputs!$B$7:$D$7,1,MATCH(A445,Inputs!$B$6:$D$6,0))</x:f>
        <x:v>13</x:v>
      </x:c>
      <x:c r="H445" s="14" t="n">
        <x:f>MIN(=INDEX(Inputs!$B$7:$D$7,1,MATCH(A445,Inputs!$B$6:$D$6,0)),MAX(0,INDEX(Inputs!$B$14:$D$14,1,MATCH(A445,Inputs!$B$6:$D$6,0))-(C445-1)*=INDEX(Inputs!$B$7:$D$7,1,MATCH(A445,Inputs!$B$6:$D$6,0))))</x:f>
        <x:v>0</x:v>
      </x:c>
      <x:c r="I445" s="20" t="n">
        <x:f>INDEX(Inputs!$B$8:$D$8,1,MATCH(A445,Inputs!$B$6:$D$6,0))</x:f>
        <x:v>2395</x:v>
      </x:c>
      <x:c r="J445" s="20" t="n">
        <x:f>INDEX(Roster!$C$6:$C$108,MATCH(D445,Roster!$A$6:$A$108,0))*(1+INDEX(Inputs!$B$9:$D$9,1,MATCH(A445,Inputs!$B$6:$D$6,0)))</x:f>
        <x:v>1400</x:v>
      </x:c>
      <x:c r="K445" s="20" t="n">
        <x:f>IF(=INDEX(Roster!$F$6:$F$108,MATCH(D445,Roster!$A$6:$A$108,0))="Yes",0,=INDEX(Inputs!$B$8:$D$8,1,MATCH(A445,Inputs!$B$6:$D$6,0))*IF(=INDEX(Roster!$B$6:$B$108,MATCH(D445,Roster!$A$6:$A$108,0))="Principal",INDEX(Inputs!$B$10:$D$10,1,MATCH(A445,Inputs!$B$6:$D$6,0)),IF(=INDEX(Roster!$B$6:$B$108,MATCH(D445,Roster!$A$6:$A$108,0))="Associate Principal",INDEX(Inputs!$B$11:$D$11,1,MATCH(A445,Inputs!$B$6:$D$6,0)),IF(=INDEX(Roster!$B$6:$B$108,MATCH(D445,Roster!$A$6:$A$108,0))="Assistant Principal",INDEX(Inputs!$B$12:$D$12,1,MATCH(A445,Inputs!$B$6:$D$6,0)),0))))</x:f>
        <x:v>479</x:v>
      </x:c>
      <x:c r="L445" s="20" t="n">
        <x:f>IF(INDEX(Roster!$D$6:$D$108,MATCH(D445,Roster!$A$6:$A$108,0))&gt;=25,INDEX(Inputs!$B$19:$D$19,1,MATCH(A445,Inputs!$B$6:$D$6,0)),IF(INDEX(Roster!$D$6:$D$108,MATCH(D445,Roster!$A$6:$A$108,0))&gt;=20,INDEX(Inputs!$B$18:$D$18,1,MATCH(A445,Inputs!$B$6:$D$6,0)),IF(INDEX(Roster!$D$6:$D$108,MATCH(D445,Roster!$A$6:$A$108,0))&gt;=15,INDEX(Inputs!$B$17:$D$17,1,MATCH(A445,Inputs!$B$6:$D$6,0)),IF(INDEX(Roster!$D$6:$D$108,MATCH(D445,Roster!$A$6:$A$108,0))&gt;=10,INDEX(Inputs!$B$16:$D$16,1,MATCH(A445,Inputs!$B$6:$D$6,0)),IF(INDEX(Roster!$D$6:$D$108,MATCH(D445,Roster!$A$6:$A$108,0))&gt;=5,INDEX(Inputs!$B$15:$D$15,1,MATCH(A445,Inputs!$B$6:$D$6,0)),0)))))</x:f>
        <x:v>50</x:v>
      </x:c>
      <x:c r="M445" s="20" t="n">
        <x:f>G445*I445</x:f>
        <x:v>31135</x:v>
      </x:c>
      <x:c r="N445" s="20" t="n">
        <x:f>G445*J445</x:f>
        <x:v>18200</x:v>
      </x:c>
      <x:c r="O445" s="20" t="n">
        <x:f>G445*K445</x:f>
        <x:v>6227</x:v>
      </x:c>
      <x:c r="P445" s="20" t="n">
        <x:f>G445*L445</x:f>
        <x:v>650</x:v>
      </x:c>
      <x:c r="Q445" s="20" t="n">
        <x:f>H445*INDEX(Inputs!$B$13:$D$13,1,MATCH(A445,Inputs!$B$6:$D$6,0))</x:f>
        <x:v>0</x:v>
      </x:c>
      <x:c r="R445" s="20" t="n">
        <x:f>SUM(M445:Q445)</x:f>
        <x:v>56212</x:v>
      </x:c>
      <x:c r="S445" s="20" t="n">
        <x:f>IF(AND(A444=A445,D444=D445),S444+R445,R445)</x:f>
        <x:v>226018</x:v>
      </x:c>
      <x:c r="T445" s="20" t="n">
        <x:f>MIN(S445,INDEX(Inputs!$B$20:$D$20,1,MATCH(A445,Inputs!$B$6:$D$6,0)))*INDEX(Inputs!$B$22:$D$22,1,MATCH(A445,Inputs!$B$6:$D$6,0))+MAX(MIN(S445,INDEX(Inputs!$B$21:$D$21,1,MATCH(A445,Inputs!$B$6:$D$6,0)))-INDEX(Inputs!$B$20:$D$20,1,MATCH(A445,Inputs!$B$6:$D$6,0)),0)*INDEX(Inputs!$B$23:$D$23,1,MATCH(A445,Inputs!$B$6:$D$6,0))+MAX(S445-INDEX(Inputs!$B$21:$D$21,1,MATCH(A445,Inputs!$B$6:$D$6,0)),0)*INDEX(Inputs!$B$24:$D$24,1,MATCH(A445,Inputs!$B$6:$D$6,0))</x:f>
        <x:v>11191.203</x:v>
      </x:c>
      <x:c r="U445" s="20" t="n">
        <x:f>IF(AND(A444=A445,D444=D445),T444,0)</x:f>
        <x:v>10376.128999999999</x:v>
      </x:c>
      <x:c r="V445" s="20" t="n">
        <x:f>T445-U445</x:f>
        <x:v>815.0740000000005</x:v>
      </x:c>
      <x:c r="W445" s="20" t="n">
        <x:f>R445+V445</x:f>
        <x:v>57027.074</x:v>
      </x:c>
      <x:c r="X445" s="14" t="str">
        <x:f>IF(ABS(W445-SUM(M445:Q445)-V445)&lt;0.01,"OK","Check")</x:f>
        <x:v>OK</x:v>
      </x:c>
    </x:row>
    <x:row r="446">
      <x:c r="A446" s="14" t="n">
        <x:v>2027</x:v>
      </x:c>
      <x:c r="B446" s="14" t="str">
        <x:v>Q1</x:v>
      </x:c>
      <x:c r="C446" s="14" t="n">
        <x:v>1</x:v>
      </x:c>
      <x:c r="D446" s="14" t="n">
        <x:v>8</x:v>
      </x:c>
      <x:c r="E446" s="14" t="str">
        <x:f>INDEX(Roster!$B$6:$B$108,MATCH(D446,Roster!$A$6:$A$108,0))</x:f>
        <x:v>Principal</x:v>
      </x:c>
      <x:c r="F446" s="14" t="str">
        <x:f>INDEX(Roster!$F$6:$F$108,MATCH(D446,Roster!$A$6:$A$108,0))</x:f>
        <x:v>No</x:v>
      </x:c>
      <x:c r="G446" s="14" t="n">
        <x:f>INDEX(Inputs!$B$7:$D$7,1,MATCH(A446,Inputs!$B$6:$D$6,0))</x:f>
        <x:v>13</x:v>
      </x:c>
      <x:c r="H446" s="14" t="n">
        <x:f>MIN(=INDEX(Inputs!$B$7:$D$7,1,MATCH(A446,Inputs!$B$6:$D$6,0)),MAX(0,INDEX(Inputs!$B$14:$D$14,1,MATCH(A446,Inputs!$B$6:$D$6,0))-(C446-1)*=INDEX(Inputs!$B$7:$D$7,1,MATCH(A446,Inputs!$B$6:$D$6,0))))</x:f>
        <x:v>13</x:v>
      </x:c>
      <x:c r="I446" s="20" t="n">
        <x:f>INDEX(Inputs!$B$8:$D$8,1,MATCH(A446,Inputs!$B$6:$D$6,0))</x:f>
        <x:v>2395</x:v>
      </x:c>
      <x:c r="J446" s="20" t="n">
        <x:f>INDEX(Roster!$C$6:$C$108,MATCH(D446,Roster!$A$6:$A$108,0))*(1+INDEX(Inputs!$B$9:$D$9,1,MATCH(A446,Inputs!$B$6:$D$6,0)))</x:f>
        <x:v>700</x:v>
      </x:c>
      <x:c r="K446" s="20" t="n">
        <x:f>IF(=INDEX(Roster!$F$6:$F$108,MATCH(D446,Roster!$A$6:$A$108,0))="Yes",0,=INDEX(Inputs!$B$8:$D$8,1,MATCH(A446,Inputs!$B$6:$D$6,0))*IF(=INDEX(Roster!$B$6:$B$108,MATCH(D446,Roster!$A$6:$A$108,0))="Principal",INDEX(Inputs!$B$10:$D$10,1,MATCH(A446,Inputs!$B$6:$D$6,0)),IF(=INDEX(Roster!$B$6:$B$108,MATCH(D446,Roster!$A$6:$A$108,0))="Associate Principal",INDEX(Inputs!$B$11:$D$11,1,MATCH(A446,Inputs!$B$6:$D$6,0)),IF(=INDEX(Roster!$B$6:$B$108,MATCH(D446,Roster!$A$6:$A$108,0))="Assistant Principal",INDEX(Inputs!$B$12:$D$12,1,MATCH(A446,Inputs!$B$6:$D$6,0)),0))))</x:f>
        <x:v>479</x:v>
      </x:c>
      <x:c r="L446" s="20" t="n">
        <x:f>IF(INDEX(Roster!$D$6:$D$108,MATCH(D446,Roster!$A$6:$A$108,0))&gt;=25,INDEX(Inputs!$B$19:$D$19,1,MATCH(A446,Inputs!$B$6:$D$6,0)),IF(INDEX(Roster!$D$6:$D$108,MATCH(D446,Roster!$A$6:$A$108,0))&gt;=20,INDEX(Inputs!$B$18:$D$18,1,MATCH(A446,Inputs!$B$6:$D$6,0)),IF(INDEX(Roster!$D$6:$D$108,MATCH(D446,Roster!$A$6:$A$108,0))&gt;=15,INDEX(Inputs!$B$17:$D$17,1,MATCH(A446,Inputs!$B$6:$D$6,0)),IF(INDEX(Roster!$D$6:$D$108,MATCH(D446,Roster!$A$6:$A$108,0))&gt;=10,INDEX(Inputs!$B$16:$D$16,1,MATCH(A446,Inputs!$B$6:$D$6,0)),IF(INDEX(Roster!$D$6:$D$108,MATCH(D446,Roster!$A$6:$A$108,0))&gt;=5,INDEX(Inputs!$B$15:$D$15,1,MATCH(A446,Inputs!$B$6:$D$6,0)),0)))))</x:f>
        <x:v>50</x:v>
      </x:c>
      <x:c r="M446" s="20" t="n">
        <x:f>G446*I446</x:f>
        <x:v>31135</x:v>
      </x:c>
      <x:c r="N446" s="20" t="n">
        <x:f>G446*J446</x:f>
        <x:v>9100</x:v>
      </x:c>
      <x:c r="O446" s="20" t="n">
        <x:f>G446*K446</x:f>
        <x:v>6227</x:v>
      </x:c>
      <x:c r="P446" s="20" t="n">
        <x:f>G446*L446</x:f>
        <x:v>650</x:v>
      </x:c>
      <x:c r="Q446" s="20" t="n">
        <x:f>H446*INDEX(Inputs!$B$13:$D$13,1,MATCH(A446,Inputs!$B$6:$D$6,0))</x:f>
        <x:v>390</x:v>
      </x:c>
      <x:c r="R446" s="20" t="n">
        <x:f>SUM(M446:Q446)</x:f>
        <x:v>47502</x:v>
      </x:c>
      <x:c r="S446" s="20" t="n">
        <x:f>IF(AND(A445=A446,D445=D446),S445+R446,R446)</x:f>
        <x:v>47502</x:v>
      </x:c>
      <x:c r="T446" s="20" t="n">
        <x:f>MIN(S446,INDEX(Inputs!$B$20:$D$20,1,MATCH(A446,Inputs!$B$6:$D$6,0)))*INDEX(Inputs!$B$22:$D$22,1,MATCH(A446,Inputs!$B$6:$D$6,0))+MAX(MIN(S446,INDEX(Inputs!$B$21:$D$21,1,MATCH(A446,Inputs!$B$6:$D$6,0)))-INDEX(Inputs!$B$20:$D$20,1,MATCH(A446,Inputs!$B$6:$D$6,0)),0)*INDEX(Inputs!$B$23:$D$23,1,MATCH(A446,Inputs!$B$6:$D$6,0))+MAX(S446-INDEX(Inputs!$B$21:$D$21,1,MATCH(A446,Inputs!$B$6:$D$6,0)),0)*INDEX(Inputs!$B$24:$D$24,1,MATCH(A446,Inputs!$B$6:$D$6,0))</x:f>
        <x:v>4123.903</x:v>
      </x:c>
      <x:c r="U446" s="20" t="n">
        <x:f>IF(AND(A445=A446,D445=D446),T445,0)</x:f>
        <x:v>0</x:v>
      </x:c>
      <x:c r="V446" s="20" t="n">
        <x:f>T446-U446</x:f>
        <x:v>4123.903</x:v>
      </x:c>
      <x:c r="W446" s="20" t="n">
        <x:f>R446+V446</x:f>
        <x:v>51625.903</x:v>
      </x:c>
      <x:c r="X446" s="14" t="str">
        <x:f>IF(ABS(W446-SUM(M446:Q446)-V446)&lt;0.01,"OK","Check")</x:f>
        <x:v>OK</x:v>
      </x:c>
    </x:row>
    <x:row r="447">
      <x:c r="A447" s="14" t="n">
        <x:v>2027</x:v>
      </x:c>
      <x:c r="B447" s="14" t="str">
        <x:v>Q2</x:v>
      </x:c>
      <x:c r="C447" s="14" t="n">
        <x:v>2</x:v>
      </x:c>
      <x:c r="D447" s="14" t="n">
        <x:v>8</x:v>
      </x:c>
      <x:c r="E447" s="14" t="str">
        <x:f>INDEX(Roster!$B$6:$B$108,MATCH(D447,Roster!$A$6:$A$108,0))</x:f>
        <x:v>Principal</x:v>
      </x:c>
      <x:c r="F447" s="14" t="str">
        <x:f>INDEX(Roster!$F$6:$F$108,MATCH(D447,Roster!$A$6:$A$108,0))</x:f>
        <x:v>No</x:v>
      </x:c>
      <x:c r="G447" s="14" t="n">
        <x:f>INDEX(Inputs!$B$7:$D$7,1,MATCH(A447,Inputs!$B$6:$D$6,0))</x:f>
        <x:v>13</x:v>
      </x:c>
      <x:c r="H447" s="14" t="n">
        <x:f>MIN(=INDEX(Inputs!$B$7:$D$7,1,MATCH(A447,Inputs!$B$6:$D$6,0)),MAX(0,INDEX(Inputs!$B$14:$D$14,1,MATCH(A447,Inputs!$B$6:$D$6,0))-(C447-1)*=INDEX(Inputs!$B$7:$D$7,1,MATCH(A447,Inputs!$B$6:$D$6,0))))</x:f>
        <x:v>13</x:v>
      </x:c>
      <x:c r="I447" s="20" t="n">
        <x:f>INDEX(Inputs!$B$8:$D$8,1,MATCH(A447,Inputs!$B$6:$D$6,0))</x:f>
        <x:v>2395</x:v>
      </x:c>
      <x:c r="J447" s="20" t="n">
        <x:f>INDEX(Roster!$C$6:$C$108,MATCH(D447,Roster!$A$6:$A$108,0))*(1+INDEX(Inputs!$B$9:$D$9,1,MATCH(A447,Inputs!$B$6:$D$6,0)))</x:f>
        <x:v>700</x:v>
      </x:c>
      <x:c r="K447" s="20" t="n">
        <x:f>IF(=INDEX(Roster!$F$6:$F$108,MATCH(D447,Roster!$A$6:$A$108,0))="Yes",0,=INDEX(Inputs!$B$8:$D$8,1,MATCH(A447,Inputs!$B$6:$D$6,0))*IF(=INDEX(Roster!$B$6:$B$108,MATCH(D447,Roster!$A$6:$A$108,0))="Principal",INDEX(Inputs!$B$10:$D$10,1,MATCH(A447,Inputs!$B$6:$D$6,0)),IF(=INDEX(Roster!$B$6:$B$108,MATCH(D447,Roster!$A$6:$A$108,0))="Associate Principal",INDEX(Inputs!$B$11:$D$11,1,MATCH(A447,Inputs!$B$6:$D$6,0)),IF(=INDEX(Roster!$B$6:$B$108,MATCH(D447,Roster!$A$6:$A$108,0))="Assistant Principal",INDEX(Inputs!$B$12:$D$12,1,MATCH(A447,Inputs!$B$6:$D$6,0)),0))))</x:f>
        <x:v>479</x:v>
      </x:c>
      <x:c r="L447" s="20" t="n">
        <x:f>IF(INDEX(Roster!$D$6:$D$108,MATCH(D447,Roster!$A$6:$A$108,0))&gt;=25,INDEX(Inputs!$B$19:$D$19,1,MATCH(A447,Inputs!$B$6:$D$6,0)),IF(INDEX(Roster!$D$6:$D$108,MATCH(D447,Roster!$A$6:$A$108,0))&gt;=20,INDEX(Inputs!$B$18:$D$18,1,MATCH(A447,Inputs!$B$6:$D$6,0)),IF(INDEX(Roster!$D$6:$D$108,MATCH(D447,Roster!$A$6:$A$108,0))&gt;=15,INDEX(Inputs!$B$17:$D$17,1,MATCH(A447,Inputs!$B$6:$D$6,0)),IF(INDEX(Roster!$D$6:$D$108,MATCH(D447,Roster!$A$6:$A$108,0))&gt;=10,INDEX(Inputs!$B$16:$D$16,1,MATCH(A447,Inputs!$B$6:$D$6,0)),IF(INDEX(Roster!$D$6:$D$108,MATCH(D447,Roster!$A$6:$A$108,0))&gt;=5,INDEX(Inputs!$B$15:$D$15,1,MATCH(A447,Inputs!$B$6:$D$6,0)),0)))))</x:f>
        <x:v>50</x:v>
      </x:c>
      <x:c r="M447" s="20" t="n">
        <x:f>G447*I447</x:f>
        <x:v>31135</x:v>
      </x:c>
      <x:c r="N447" s="20" t="n">
        <x:f>G447*J447</x:f>
        <x:v>9100</x:v>
      </x:c>
      <x:c r="O447" s="20" t="n">
        <x:f>G447*K447</x:f>
        <x:v>6227</x:v>
      </x:c>
      <x:c r="P447" s="20" t="n">
        <x:f>G447*L447</x:f>
        <x:v>650</x:v>
      </x:c>
      <x:c r="Q447" s="20" t="n">
        <x:f>H447*INDEX(Inputs!$B$13:$D$13,1,MATCH(A447,Inputs!$B$6:$D$6,0))</x:f>
        <x:v>390</x:v>
      </x:c>
      <x:c r="R447" s="20" t="n">
        <x:f>SUM(M447:Q447)</x:f>
        <x:v>47502</x:v>
      </x:c>
      <x:c r="S447" s="20" t="n">
        <x:f>IF(AND(A446=A447,D446=D447),S446+R447,R447)</x:f>
        <x:v>95004</x:v>
      </x:c>
      <x:c r="T447" s="20" t="n">
        <x:f>MIN(S447,INDEX(Inputs!$B$20:$D$20,1,MATCH(A447,Inputs!$B$6:$D$6,0)))*INDEX(Inputs!$B$22:$D$22,1,MATCH(A447,Inputs!$B$6:$D$6,0))+MAX(MIN(S447,INDEX(Inputs!$B$21:$D$21,1,MATCH(A447,Inputs!$B$6:$D$6,0)))-INDEX(Inputs!$B$20:$D$20,1,MATCH(A447,Inputs!$B$6:$D$6,0)),0)*INDEX(Inputs!$B$23:$D$23,1,MATCH(A447,Inputs!$B$6:$D$6,0))+MAX(S447-INDEX(Inputs!$B$21:$D$21,1,MATCH(A447,Inputs!$B$6:$D$6,0)),0)*INDEX(Inputs!$B$24:$D$24,1,MATCH(A447,Inputs!$B$6:$D$6,0))</x:f>
        <x:v>7757.806</x:v>
      </x:c>
      <x:c r="U447" s="20" t="n">
        <x:f>IF(AND(A446=A447,D446=D447),T446,0)</x:f>
        <x:v>4123.903</x:v>
      </x:c>
      <x:c r="V447" s="20" t="n">
        <x:f>T447-U447</x:f>
        <x:v>3633.9029999999993</x:v>
      </x:c>
      <x:c r="W447" s="20" t="n">
        <x:f>R447+V447</x:f>
        <x:v>51135.903</x:v>
      </x:c>
      <x:c r="X447" s="14" t="str">
        <x:f>IF(ABS(W447-SUM(M447:Q447)-V447)&lt;0.01,"OK","Check")</x:f>
        <x:v>OK</x:v>
      </x:c>
    </x:row>
    <x:row r="448">
      <x:c r="A448" s="14" t="n">
        <x:v>2027</x:v>
      </x:c>
      <x:c r="B448" s="14" t="str">
        <x:v>Q3</x:v>
      </x:c>
      <x:c r="C448" s="14" t="n">
        <x:v>3</x:v>
      </x:c>
      <x:c r="D448" s="14" t="n">
        <x:v>8</x:v>
      </x:c>
      <x:c r="E448" s="14" t="str">
        <x:f>INDEX(Roster!$B$6:$B$108,MATCH(D448,Roster!$A$6:$A$108,0))</x:f>
        <x:v>Principal</x:v>
      </x:c>
      <x:c r="F448" s="14" t="str">
        <x:f>INDEX(Roster!$F$6:$F$108,MATCH(D448,Roster!$A$6:$A$108,0))</x:f>
        <x:v>No</x:v>
      </x:c>
      <x:c r="G448" s="14" t="n">
        <x:f>INDEX(Inputs!$B$7:$D$7,1,MATCH(A448,Inputs!$B$6:$D$6,0))</x:f>
        <x:v>13</x:v>
      </x:c>
      <x:c r="H448" s="14" t="n">
        <x:f>MIN(=INDEX(Inputs!$B$7:$D$7,1,MATCH(A448,Inputs!$B$6:$D$6,0)),MAX(0,INDEX(Inputs!$B$14:$D$14,1,MATCH(A448,Inputs!$B$6:$D$6,0))-(C448-1)*=INDEX(Inputs!$B$7:$D$7,1,MATCH(A448,Inputs!$B$6:$D$6,0))))</x:f>
        <x:v>13</x:v>
      </x:c>
      <x:c r="I448" s="20" t="n">
        <x:f>INDEX(Inputs!$B$8:$D$8,1,MATCH(A448,Inputs!$B$6:$D$6,0))</x:f>
        <x:v>2395</x:v>
      </x:c>
      <x:c r="J448" s="20" t="n">
        <x:f>INDEX(Roster!$C$6:$C$108,MATCH(D448,Roster!$A$6:$A$108,0))*(1+INDEX(Inputs!$B$9:$D$9,1,MATCH(A448,Inputs!$B$6:$D$6,0)))</x:f>
        <x:v>700</x:v>
      </x:c>
      <x:c r="K448" s="20" t="n">
        <x:f>IF(=INDEX(Roster!$F$6:$F$108,MATCH(D448,Roster!$A$6:$A$108,0))="Yes",0,=INDEX(Inputs!$B$8:$D$8,1,MATCH(A448,Inputs!$B$6:$D$6,0))*IF(=INDEX(Roster!$B$6:$B$108,MATCH(D448,Roster!$A$6:$A$108,0))="Principal",INDEX(Inputs!$B$10:$D$10,1,MATCH(A448,Inputs!$B$6:$D$6,0)),IF(=INDEX(Roster!$B$6:$B$108,MATCH(D448,Roster!$A$6:$A$108,0))="Associate Principal",INDEX(Inputs!$B$11:$D$11,1,MATCH(A448,Inputs!$B$6:$D$6,0)),IF(=INDEX(Roster!$B$6:$B$108,MATCH(D448,Roster!$A$6:$A$108,0))="Assistant Principal",INDEX(Inputs!$B$12:$D$12,1,MATCH(A448,Inputs!$B$6:$D$6,0)),0))))</x:f>
        <x:v>479</x:v>
      </x:c>
      <x:c r="L448" s="20" t="n">
        <x:f>IF(INDEX(Roster!$D$6:$D$108,MATCH(D448,Roster!$A$6:$A$108,0))&gt;=25,INDEX(Inputs!$B$19:$D$19,1,MATCH(A448,Inputs!$B$6:$D$6,0)),IF(INDEX(Roster!$D$6:$D$108,MATCH(D448,Roster!$A$6:$A$108,0))&gt;=20,INDEX(Inputs!$B$18:$D$18,1,MATCH(A448,Inputs!$B$6:$D$6,0)),IF(INDEX(Roster!$D$6:$D$108,MATCH(D448,Roster!$A$6:$A$108,0))&gt;=15,INDEX(Inputs!$B$17:$D$17,1,MATCH(A448,Inputs!$B$6:$D$6,0)),IF(INDEX(Roster!$D$6:$D$108,MATCH(D448,Roster!$A$6:$A$108,0))&gt;=10,INDEX(Inputs!$B$16:$D$16,1,MATCH(A448,Inputs!$B$6:$D$6,0)),IF(INDEX(Roster!$D$6:$D$108,MATCH(D448,Roster!$A$6:$A$108,0))&gt;=5,INDEX(Inputs!$B$15:$D$15,1,MATCH(A448,Inputs!$B$6:$D$6,0)),0)))))</x:f>
        <x:v>50</x:v>
      </x:c>
      <x:c r="M448" s="20" t="n">
        <x:f>G448*I448</x:f>
        <x:v>31135</x:v>
      </x:c>
      <x:c r="N448" s="20" t="n">
        <x:f>G448*J448</x:f>
        <x:v>9100</x:v>
      </x:c>
      <x:c r="O448" s="20" t="n">
        <x:f>G448*K448</x:f>
        <x:v>6227</x:v>
      </x:c>
      <x:c r="P448" s="20" t="n">
        <x:f>G448*L448</x:f>
        <x:v>650</x:v>
      </x:c>
      <x:c r="Q448" s="20" t="n">
        <x:f>H448*INDEX(Inputs!$B$13:$D$13,1,MATCH(A448,Inputs!$B$6:$D$6,0))</x:f>
        <x:v>390</x:v>
      </x:c>
      <x:c r="R448" s="20" t="n">
        <x:f>SUM(M448:Q448)</x:f>
        <x:v>47502</x:v>
      </x:c>
      <x:c r="S448" s="20" t="n">
        <x:f>IF(AND(A447=A448,D447=D448),S447+R448,R448)</x:f>
        <x:v>142506</x:v>
      </x:c>
      <x:c r="T448" s="20" t="n">
        <x:f>MIN(S448,INDEX(Inputs!$B$20:$D$20,1,MATCH(A448,Inputs!$B$6:$D$6,0)))*INDEX(Inputs!$B$22:$D$22,1,MATCH(A448,Inputs!$B$6:$D$6,0))+MAX(MIN(S448,INDEX(Inputs!$B$21:$D$21,1,MATCH(A448,Inputs!$B$6:$D$6,0)))-INDEX(Inputs!$B$20:$D$20,1,MATCH(A448,Inputs!$B$6:$D$6,0)),0)*INDEX(Inputs!$B$23:$D$23,1,MATCH(A448,Inputs!$B$6:$D$6,0))+MAX(S448-INDEX(Inputs!$B$21:$D$21,1,MATCH(A448,Inputs!$B$6:$D$6,0)),0)*INDEX(Inputs!$B$24:$D$24,1,MATCH(A448,Inputs!$B$6:$D$6,0))</x:f>
        <x:v>9980.279</x:v>
      </x:c>
      <x:c r="U448" s="20" t="n">
        <x:f>IF(AND(A447=A448,D447=D448),T447,0)</x:f>
        <x:v>7757.806</x:v>
      </x:c>
      <x:c r="V448" s="20" t="n">
        <x:f>T448-U448</x:f>
        <x:v>2222.473000000001</x:v>
      </x:c>
      <x:c r="W448" s="20" t="n">
        <x:f>R448+V448</x:f>
        <x:v>49724.473</x:v>
      </x:c>
      <x:c r="X448" s="14" t="str">
        <x:f>IF(ABS(W448-SUM(M448:Q448)-V448)&lt;0.01,"OK","Check")</x:f>
        <x:v>OK</x:v>
      </x:c>
    </x:row>
    <x:row r="449">
      <x:c r="A449" s="14" t="n">
        <x:v>2027</x:v>
      </x:c>
      <x:c r="B449" s="14" t="str">
        <x:v>Q4</x:v>
      </x:c>
      <x:c r="C449" s="14" t="n">
        <x:v>4</x:v>
      </x:c>
      <x:c r="D449" s="14" t="n">
        <x:v>8</x:v>
      </x:c>
      <x:c r="E449" s="14" t="str">
        <x:f>INDEX(Roster!$B$6:$B$108,MATCH(D449,Roster!$A$6:$A$108,0))</x:f>
        <x:v>Principal</x:v>
      </x:c>
      <x:c r="F449" s="14" t="str">
        <x:f>INDEX(Roster!$F$6:$F$108,MATCH(D449,Roster!$A$6:$A$108,0))</x:f>
        <x:v>No</x:v>
      </x:c>
      <x:c r="G449" s="14" t="n">
        <x:f>INDEX(Inputs!$B$7:$D$7,1,MATCH(A449,Inputs!$B$6:$D$6,0))</x:f>
        <x:v>13</x:v>
      </x:c>
      <x:c r="H449" s="14" t="n">
        <x:f>MIN(=INDEX(Inputs!$B$7:$D$7,1,MATCH(A449,Inputs!$B$6:$D$6,0)),MAX(0,INDEX(Inputs!$B$14:$D$14,1,MATCH(A449,Inputs!$B$6:$D$6,0))-(C449-1)*=INDEX(Inputs!$B$7:$D$7,1,MATCH(A449,Inputs!$B$6:$D$6,0))))</x:f>
        <x:v>0</x:v>
      </x:c>
      <x:c r="I449" s="20" t="n">
        <x:f>INDEX(Inputs!$B$8:$D$8,1,MATCH(A449,Inputs!$B$6:$D$6,0))</x:f>
        <x:v>2395</x:v>
      </x:c>
      <x:c r="J449" s="20" t="n">
        <x:f>INDEX(Roster!$C$6:$C$108,MATCH(D449,Roster!$A$6:$A$108,0))*(1+INDEX(Inputs!$B$9:$D$9,1,MATCH(A449,Inputs!$B$6:$D$6,0)))</x:f>
        <x:v>700</x:v>
      </x:c>
      <x:c r="K449" s="20" t="n">
        <x:f>IF(=INDEX(Roster!$F$6:$F$108,MATCH(D449,Roster!$A$6:$A$108,0))="Yes",0,=INDEX(Inputs!$B$8:$D$8,1,MATCH(A449,Inputs!$B$6:$D$6,0))*IF(=INDEX(Roster!$B$6:$B$108,MATCH(D449,Roster!$A$6:$A$108,0))="Principal",INDEX(Inputs!$B$10:$D$10,1,MATCH(A449,Inputs!$B$6:$D$6,0)),IF(=INDEX(Roster!$B$6:$B$108,MATCH(D449,Roster!$A$6:$A$108,0))="Associate Principal",INDEX(Inputs!$B$11:$D$11,1,MATCH(A449,Inputs!$B$6:$D$6,0)),IF(=INDEX(Roster!$B$6:$B$108,MATCH(D449,Roster!$A$6:$A$108,0))="Assistant Principal",INDEX(Inputs!$B$12:$D$12,1,MATCH(A449,Inputs!$B$6:$D$6,0)),0))))</x:f>
        <x:v>479</x:v>
      </x:c>
      <x:c r="L449" s="20" t="n">
        <x:f>IF(INDEX(Roster!$D$6:$D$108,MATCH(D449,Roster!$A$6:$A$108,0))&gt;=25,INDEX(Inputs!$B$19:$D$19,1,MATCH(A449,Inputs!$B$6:$D$6,0)),IF(INDEX(Roster!$D$6:$D$108,MATCH(D449,Roster!$A$6:$A$108,0))&gt;=20,INDEX(Inputs!$B$18:$D$18,1,MATCH(A449,Inputs!$B$6:$D$6,0)),IF(INDEX(Roster!$D$6:$D$108,MATCH(D449,Roster!$A$6:$A$108,0))&gt;=15,INDEX(Inputs!$B$17:$D$17,1,MATCH(A449,Inputs!$B$6:$D$6,0)),IF(INDEX(Roster!$D$6:$D$108,MATCH(D449,Roster!$A$6:$A$108,0))&gt;=10,INDEX(Inputs!$B$16:$D$16,1,MATCH(A449,Inputs!$B$6:$D$6,0)),IF(INDEX(Roster!$D$6:$D$108,MATCH(D449,Roster!$A$6:$A$108,0))&gt;=5,INDEX(Inputs!$B$15:$D$15,1,MATCH(A449,Inputs!$B$6:$D$6,0)),0)))))</x:f>
        <x:v>50</x:v>
      </x:c>
      <x:c r="M449" s="20" t="n">
        <x:f>G449*I449</x:f>
        <x:v>31135</x:v>
      </x:c>
      <x:c r="N449" s="20" t="n">
        <x:f>G449*J449</x:f>
        <x:v>9100</x:v>
      </x:c>
      <x:c r="O449" s="20" t="n">
        <x:f>G449*K449</x:f>
        <x:v>6227</x:v>
      </x:c>
      <x:c r="P449" s="20" t="n">
        <x:f>G449*L449</x:f>
        <x:v>650</x:v>
      </x:c>
      <x:c r="Q449" s="20" t="n">
        <x:f>H449*INDEX(Inputs!$B$13:$D$13,1,MATCH(A449,Inputs!$B$6:$D$6,0))</x:f>
        <x:v>0</x:v>
      </x:c>
      <x:c r="R449" s="20" t="n">
        <x:f>SUM(M449:Q449)</x:f>
        <x:v>47112</x:v>
      </x:c>
      <x:c r="S449" s="20" t="n">
        <x:f>IF(AND(A448=A449,D448=D449),S448+R449,R449)</x:f>
        <x:v>189618</x:v>
      </x:c>
      <x:c r="T449" s="20" t="n">
        <x:f>MIN(S449,INDEX(Inputs!$B$20:$D$20,1,MATCH(A449,Inputs!$B$6:$D$6,0)))*INDEX(Inputs!$B$22:$D$22,1,MATCH(A449,Inputs!$B$6:$D$6,0))+MAX(MIN(S449,INDEX(Inputs!$B$21:$D$21,1,MATCH(A449,Inputs!$B$6:$D$6,0)))-INDEX(Inputs!$B$20:$D$20,1,MATCH(A449,Inputs!$B$6:$D$6,0)),0)*INDEX(Inputs!$B$23:$D$23,1,MATCH(A449,Inputs!$B$6:$D$6,0))+MAX(S449-INDEX(Inputs!$B$21:$D$21,1,MATCH(A449,Inputs!$B$6:$D$6,0)),0)*INDEX(Inputs!$B$24:$D$24,1,MATCH(A449,Inputs!$B$6:$D$6,0))</x:f>
        <x:v>10663.403</x:v>
      </x:c>
      <x:c r="U449" s="20" t="n">
        <x:f>IF(AND(A448=A449,D448=D449),T448,0)</x:f>
        <x:v>9980.279</x:v>
      </x:c>
      <x:c r="V449" s="20" t="n">
        <x:f>T449-U449</x:f>
        <x:v>683.1239999999998</x:v>
      </x:c>
      <x:c r="W449" s="20" t="n">
        <x:f>R449+V449</x:f>
        <x:v>47795.123999999996</x:v>
      </x:c>
      <x:c r="X449" s="14" t="str">
        <x:f>IF(ABS(W449-SUM(M449:Q449)-V449)&lt;0.01,"OK","Check")</x:f>
        <x:v>OK</x:v>
      </x:c>
    </x:row>
    <x:row r="450">
      <x:c r="A450" s="14" t="n">
        <x:v>2027</x:v>
      </x:c>
      <x:c r="B450" s="14" t="str">
        <x:v>Q1</x:v>
      </x:c>
      <x:c r="C450" s="14" t="n">
        <x:v>1</x:v>
      </x:c>
      <x:c r="D450" s="14" t="n">
        <x:v>9</x:v>
      </x:c>
      <x:c r="E450" s="14" t="str">
        <x:f>INDEX(Roster!$B$6:$B$108,MATCH(D450,Roster!$A$6:$A$108,0))</x:f>
      </x:c>
      <x:c r="F450" s="14" t="str">
        <x:f>INDEX(Roster!$F$6:$F$108,MATCH(D450,Roster!$A$6:$A$108,0))</x:f>
        <x:v>No</x:v>
      </x:c>
      <x:c r="G450" s="14" t="n">
        <x:f>INDEX(Inputs!$B$7:$D$7,1,MATCH(A450,Inputs!$B$6:$D$6,0))</x:f>
        <x:v>13</x:v>
      </x:c>
      <x:c r="H450" s="14" t="n">
        <x:f>MIN(=INDEX(Inputs!$B$7:$D$7,1,MATCH(A450,Inputs!$B$6:$D$6,0)),MAX(0,INDEX(Inputs!$B$14:$D$14,1,MATCH(A450,Inputs!$B$6:$D$6,0))-(C450-1)*=INDEX(Inputs!$B$7:$D$7,1,MATCH(A450,Inputs!$B$6:$D$6,0))))</x:f>
        <x:v>13</x:v>
      </x:c>
      <x:c r="I450" s="20" t="n">
        <x:f>INDEX(Inputs!$B$8:$D$8,1,MATCH(A450,Inputs!$B$6:$D$6,0))</x:f>
        <x:v>2395</x:v>
      </x:c>
      <x:c r="J450" s="20" t="n">
        <x:f>INDEX(Roster!$C$6:$C$108,MATCH(D450,Roster!$A$6:$A$108,0))*(1+INDEX(Inputs!$B$9:$D$9,1,MATCH(A450,Inputs!$B$6:$D$6,0)))</x:f>
        <x:v>40</x:v>
      </x:c>
      <x:c r="K450" s="20" t="n">
        <x:f>IF(=INDEX(Roster!$F$6:$F$108,MATCH(D450,Roster!$A$6:$A$108,0))="Yes",0,=INDEX(Inputs!$B$8:$D$8,1,MATCH(A450,Inputs!$B$6:$D$6,0))*IF(=INDEX(Roster!$B$6:$B$108,MATCH(D450,Roster!$A$6:$A$108,0))="Principal",INDEX(Inputs!$B$10:$D$10,1,MATCH(A450,Inputs!$B$6:$D$6,0)),IF(=INDEX(Roster!$B$6:$B$108,MATCH(D450,Roster!$A$6:$A$108,0))="Associate Principal",INDEX(Inputs!$B$11:$D$11,1,MATCH(A450,Inputs!$B$6:$D$6,0)),IF(=INDEX(Roster!$B$6:$B$108,MATCH(D450,Roster!$A$6:$A$108,0))="Assistant Principal",INDEX(Inputs!$B$12:$D$12,1,MATCH(A450,Inputs!$B$6:$D$6,0)),0))))</x:f>
        <x:v>0</x:v>
      </x:c>
      <x:c r="L450" s="20" t="n">
        <x:f>IF(INDEX(Roster!$D$6:$D$108,MATCH(D450,Roster!$A$6:$A$108,0))&gt;=25,INDEX(Inputs!$B$19:$D$19,1,MATCH(A450,Inputs!$B$6:$D$6,0)),IF(INDEX(Roster!$D$6:$D$108,MATCH(D450,Roster!$A$6:$A$108,0))&gt;=20,INDEX(Inputs!$B$18:$D$18,1,MATCH(A450,Inputs!$B$6:$D$6,0)),IF(INDEX(Roster!$D$6:$D$108,MATCH(D450,Roster!$A$6:$A$108,0))&gt;=15,INDEX(Inputs!$B$17:$D$17,1,MATCH(A450,Inputs!$B$6:$D$6,0)),IF(INDEX(Roster!$D$6:$D$108,MATCH(D450,Roster!$A$6:$A$108,0))&gt;=10,INDEX(Inputs!$B$16:$D$16,1,MATCH(A450,Inputs!$B$6:$D$6,0)),IF(INDEX(Roster!$D$6:$D$108,MATCH(D450,Roster!$A$6:$A$108,0))&gt;=5,INDEX(Inputs!$B$15:$D$15,1,MATCH(A450,Inputs!$B$6:$D$6,0)),0)))))</x:f>
        <x:v>80</x:v>
      </x:c>
      <x:c r="M450" s="20" t="n">
        <x:f>G450*I450</x:f>
        <x:v>31135</x:v>
      </x:c>
      <x:c r="N450" s="20" t="n">
        <x:f>G450*J450</x:f>
        <x:v>520</x:v>
      </x:c>
      <x:c r="O450" s="20" t="n">
        <x:f>G450*K450</x:f>
        <x:v>0</x:v>
      </x:c>
      <x:c r="P450" s="20" t="n">
        <x:f>G450*L450</x:f>
        <x:v>1040</x:v>
      </x:c>
      <x:c r="Q450" s="20" t="n">
        <x:f>H450*INDEX(Inputs!$B$13:$D$13,1,MATCH(A450,Inputs!$B$6:$D$6,0))</x:f>
        <x:v>390</x:v>
      </x:c>
      <x:c r="R450" s="20" t="n">
        <x:f>SUM(M450:Q450)</x:f>
        <x:v>33085</x:v>
      </x:c>
      <x:c r="S450" s="20" t="n">
        <x:f>IF(AND(A449=A450,D449=D450),S449+R450,R450)</x:f>
        <x:v>33085</x:v>
      </x:c>
      <x:c r="T450" s="20" t="n">
        <x:f>MIN(S450,INDEX(Inputs!$B$20:$D$20,1,MATCH(A450,Inputs!$B$6:$D$6,0)))*INDEX(Inputs!$B$22:$D$22,1,MATCH(A450,Inputs!$B$6:$D$6,0))+MAX(MIN(S450,INDEX(Inputs!$B$21:$D$21,1,MATCH(A450,Inputs!$B$6:$D$6,0)))-INDEX(Inputs!$B$20:$D$20,1,MATCH(A450,Inputs!$B$6:$D$6,0)),0)*INDEX(Inputs!$B$23:$D$23,1,MATCH(A450,Inputs!$B$6:$D$6,0))+MAX(S450-INDEX(Inputs!$B$21:$D$21,1,MATCH(A450,Inputs!$B$6:$D$6,0)),0)*INDEX(Inputs!$B$24:$D$24,1,MATCH(A450,Inputs!$B$6:$D$6,0))</x:f>
        <x:v>3021.0025</x:v>
      </x:c>
      <x:c r="U450" s="20" t="n">
        <x:f>IF(AND(A449=A450,D449=D450),T449,0)</x:f>
        <x:v>0</x:v>
      </x:c>
      <x:c r="V450" s="20" t="n">
        <x:f>T450-U450</x:f>
        <x:v>3021.0025</x:v>
      </x:c>
      <x:c r="W450" s="20" t="n">
        <x:f>R450+V450</x:f>
        <x:v>36106.0025</x:v>
      </x:c>
      <x:c r="X450" s="14" t="str">
        <x:f>IF(ABS(W450-SUM(M450:Q450)-V450)&lt;0.01,"OK","Check")</x:f>
        <x:v>OK</x:v>
      </x:c>
    </x:row>
    <x:row r="451">
      <x:c r="A451" s="14" t="n">
        <x:v>2027</x:v>
      </x:c>
      <x:c r="B451" s="14" t="str">
        <x:v>Q2</x:v>
      </x:c>
      <x:c r="C451" s="14" t="n">
        <x:v>2</x:v>
      </x:c>
      <x:c r="D451" s="14" t="n">
        <x:v>9</x:v>
      </x:c>
      <x:c r="E451" s="14" t="str">
        <x:f>INDEX(Roster!$B$6:$B$108,MATCH(D451,Roster!$A$6:$A$108,0))</x:f>
      </x:c>
      <x:c r="F451" s="14" t="str">
        <x:f>INDEX(Roster!$F$6:$F$108,MATCH(D451,Roster!$A$6:$A$108,0))</x:f>
        <x:v>No</x:v>
      </x:c>
      <x:c r="G451" s="14" t="n">
        <x:f>INDEX(Inputs!$B$7:$D$7,1,MATCH(A451,Inputs!$B$6:$D$6,0))</x:f>
        <x:v>13</x:v>
      </x:c>
      <x:c r="H451" s="14" t="n">
        <x:f>MIN(=INDEX(Inputs!$B$7:$D$7,1,MATCH(A451,Inputs!$B$6:$D$6,0)),MAX(0,INDEX(Inputs!$B$14:$D$14,1,MATCH(A451,Inputs!$B$6:$D$6,0))-(C451-1)*=INDEX(Inputs!$B$7:$D$7,1,MATCH(A451,Inputs!$B$6:$D$6,0))))</x:f>
        <x:v>13</x:v>
      </x:c>
      <x:c r="I451" s="20" t="n">
        <x:f>INDEX(Inputs!$B$8:$D$8,1,MATCH(A451,Inputs!$B$6:$D$6,0))</x:f>
        <x:v>2395</x:v>
      </x:c>
      <x:c r="J451" s="20" t="n">
        <x:f>INDEX(Roster!$C$6:$C$108,MATCH(D451,Roster!$A$6:$A$108,0))*(1+INDEX(Inputs!$B$9:$D$9,1,MATCH(A451,Inputs!$B$6:$D$6,0)))</x:f>
        <x:v>40</x:v>
      </x:c>
      <x:c r="K451" s="20" t="n">
        <x:f>IF(=INDEX(Roster!$F$6:$F$108,MATCH(D451,Roster!$A$6:$A$108,0))="Yes",0,=INDEX(Inputs!$B$8:$D$8,1,MATCH(A451,Inputs!$B$6:$D$6,0))*IF(=INDEX(Roster!$B$6:$B$108,MATCH(D451,Roster!$A$6:$A$108,0))="Principal",INDEX(Inputs!$B$10:$D$10,1,MATCH(A451,Inputs!$B$6:$D$6,0)),IF(=INDEX(Roster!$B$6:$B$108,MATCH(D451,Roster!$A$6:$A$108,0))="Associate Principal",INDEX(Inputs!$B$11:$D$11,1,MATCH(A451,Inputs!$B$6:$D$6,0)),IF(=INDEX(Roster!$B$6:$B$108,MATCH(D451,Roster!$A$6:$A$108,0))="Assistant Principal",INDEX(Inputs!$B$12:$D$12,1,MATCH(A451,Inputs!$B$6:$D$6,0)),0))))</x:f>
        <x:v>0</x:v>
      </x:c>
      <x:c r="L451" s="20" t="n">
        <x:f>IF(INDEX(Roster!$D$6:$D$108,MATCH(D451,Roster!$A$6:$A$108,0))&gt;=25,INDEX(Inputs!$B$19:$D$19,1,MATCH(A451,Inputs!$B$6:$D$6,0)),IF(INDEX(Roster!$D$6:$D$108,MATCH(D451,Roster!$A$6:$A$108,0))&gt;=20,INDEX(Inputs!$B$18:$D$18,1,MATCH(A451,Inputs!$B$6:$D$6,0)),IF(INDEX(Roster!$D$6:$D$108,MATCH(D451,Roster!$A$6:$A$108,0))&gt;=15,INDEX(Inputs!$B$17:$D$17,1,MATCH(A451,Inputs!$B$6:$D$6,0)),IF(INDEX(Roster!$D$6:$D$108,MATCH(D451,Roster!$A$6:$A$108,0))&gt;=10,INDEX(Inputs!$B$16:$D$16,1,MATCH(A451,Inputs!$B$6:$D$6,0)),IF(INDEX(Roster!$D$6:$D$108,MATCH(D451,Roster!$A$6:$A$108,0))&gt;=5,INDEX(Inputs!$B$15:$D$15,1,MATCH(A451,Inputs!$B$6:$D$6,0)),0)))))</x:f>
        <x:v>80</x:v>
      </x:c>
      <x:c r="M451" s="20" t="n">
        <x:f>G451*I451</x:f>
        <x:v>31135</x:v>
      </x:c>
      <x:c r="N451" s="20" t="n">
        <x:f>G451*J451</x:f>
        <x:v>520</x:v>
      </x:c>
      <x:c r="O451" s="20" t="n">
        <x:f>G451*K451</x:f>
        <x:v>0</x:v>
      </x:c>
      <x:c r="P451" s="20" t="n">
        <x:f>G451*L451</x:f>
        <x:v>1040</x:v>
      </x:c>
      <x:c r="Q451" s="20" t="n">
        <x:f>H451*INDEX(Inputs!$B$13:$D$13,1,MATCH(A451,Inputs!$B$6:$D$6,0))</x:f>
        <x:v>390</x:v>
      </x:c>
      <x:c r="R451" s="20" t="n">
        <x:f>SUM(M451:Q451)</x:f>
        <x:v>33085</x:v>
      </x:c>
      <x:c r="S451" s="20" t="n">
        <x:f>IF(AND(A450=A451,D450=D451),S450+R451,R451)</x:f>
        <x:v>66170</x:v>
      </x:c>
      <x:c r="T451" s="20" t="n">
        <x:f>MIN(S451,INDEX(Inputs!$B$20:$D$20,1,MATCH(A451,Inputs!$B$6:$D$6,0)))*INDEX(Inputs!$B$22:$D$22,1,MATCH(A451,Inputs!$B$6:$D$6,0))+MAX(MIN(S451,INDEX(Inputs!$B$21:$D$21,1,MATCH(A451,Inputs!$B$6:$D$6,0)))-INDEX(Inputs!$B$20:$D$20,1,MATCH(A451,Inputs!$B$6:$D$6,0)),0)*INDEX(Inputs!$B$23:$D$23,1,MATCH(A451,Inputs!$B$6:$D$6,0))+MAX(S451-INDEX(Inputs!$B$21:$D$21,1,MATCH(A451,Inputs!$B$6:$D$6,0)),0)*INDEX(Inputs!$B$24:$D$24,1,MATCH(A451,Inputs!$B$6:$D$6,0))</x:f>
        <x:v>5552.005</x:v>
      </x:c>
      <x:c r="U451" s="20" t="n">
        <x:f>IF(AND(A450=A451,D450=D451),T450,0)</x:f>
        <x:v>3021.0025</x:v>
      </x:c>
      <x:c r="V451" s="20" t="n">
        <x:f>T451-U451</x:f>
        <x:v>2531.0025</x:v>
      </x:c>
      <x:c r="W451" s="20" t="n">
        <x:f>R451+V451</x:f>
        <x:v>35616.0025</x:v>
      </x:c>
      <x:c r="X451" s="14" t="str">
        <x:f>IF(ABS(W451-SUM(M451:Q451)-V451)&lt;0.01,"OK","Check")</x:f>
        <x:v>OK</x:v>
      </x:c>
    </x:row>
    <x:row r="452">
      <x:c r="A452" s="14" t="n">
        <x:v>2027</x:v>
      </x:c>
      <x:c r="B452" s="14" t="str">
        <x:v>Q3</x:v>
      </x:c>
      <x:c r="C452" s="14" t="n">
        <x:v>3</x:v>
      </x:c>
      <x:c r="D452" s="14" t="n">
        <x:v>9</x:v>
      </x:c>
      <x:c r="E452" s="14" t="str">
        <x:f>INDEX(Roster!$B$6:$B$108,MATCH(D452,Roster!$A$6:$A$108,0))</x:f>
      </x:c>
      <x:c r="F452" s="14" t="str">
        <x:f>INDEX(Roster!$F$6:$F$108,MATCH(D452,Roster!$A$6:$A$108,0))</x:f>
        <x:v>No</x:v>
      </x:c>
      <x:c r="G452" s="14" t="n">
        <x:f>INDEX(Inputs!$B$7:$D$7,1,MATCH(A452,Inputs!$B$6:$D$6,0))</x:f>
        <x:v>13</x:v>
      </x:c>
      <x:c r="H452" s="14" t="n">
        <x:f>MIN(=INDEX(Inputs!$B$7:$D$7,1,MATCH(A452,Inputs!$B$6:$D$6,0)),MAX(0,INDEX(Inputs!$B$14:$D$14,1,MATCH(A452,Inputs!$B$6:$D$6,0))-(C452-1)*=INDEX(Inputs!$B$7:$D$7,1,MATCH(A452,Inputs!$B$6:$D$6,0))))</x:f>
        <x:v>13</x:v>
      </x:c>
      <x:c r="I452" s="20" t="n">
        <x:f>INDEX(Inputs!$B$8:$D$8,1,MATCH(A452,Inputs!$B$6:$D$6,0))</x:f>
        <x:v>2395</x:v>
      </x:c>
      <x:c r="J452" s="20" t="n">
        <x:f>INDEX(Roster!$C$6:$C$108,MATCH(D452,Roster!$A$6:$A$108,0))*(1+INDEX(Inputs!$B$9:$D$9,1,MATCH(A452,Inputs!$B$6:$D$6,0)))</x:f>
        <x:v>40</x:v>
      </x:c>
      <x:c r="K452" s="20" t="n">
        <x:f>IF(=INDEX(Roster!$F$6:$F$108,MATCH(D452,Roster!$A$6:$A$108,0))="Yes",0,=INDEX(Inputs!$B$8:$D$8,1,MATCH(A452,Inputs!$B$6:$D$6,0))*IF(=INDEX(Roster!$B$6:$B$108,MATCH(D452,Roster!$A$6:$A$108,0))="Principal",INDEX(Inputs!$B$10:$D$10,1,MATCH(A452,Inputs!$B$6:$D$6,0)),IF(=INDEX(Roster!$B$6:$B$108,MATCH(D452,Roster!$A$6:$A$108,0))="Associate Principal",INDEX(Inputs!$B$11:$D$11,1,MATCH(A452,Inputs!$B$6:$D$6,0)),IF(=INDEX(Roster!$B$6:$B$108,MATCH(D452,Roster!$A$6:$A$108,0))="Assistant Principal",INDEX(Inputs!$B$12:$D$12,1,MATCH(A452,Inputs!$B$6:$D$6,0)),0))))</x:f>
        <x:v>0</x:v>
      </x:c>
      <x:c r="L452" s="20" t="n">
        <x:f>IF(INDEX(Roster!$D$6:$D$108,MATCH(D452,Roster!$A$6:$A$108,0))&gt;=25,INDEX(Inputs!$B$19:$D$19,1,MATCH(A452,Inputs!$B$6:$D$6,0)),IF(INDEX(Roster!$D$6:$D$108,MATCH(D452,Roster!$A$6:$A$108,0))&gt;=20,INDEX(Inputs!$B$18:$D$18,1,MATCH(A452,Inputs!$B$6:$D$6,0)),IF(INDEX(Roster!$D$6:$D$108,MATCH(D452,Roster!$A$6:$A$108,0))&gt;=15,INDEX(Inputs!$B$17:$D$17,1,MATCH(A452,Inputs!$B$6:$D$6,0)),IF(INDEX(Roster!$D$6:$D$108,MATCH(D452,Roster!$A$6:$A$108,0))&gt;=10,INDEX(Inputs!$B$16:$D$16,1,MATCH(A452,Inputs!$B$6:$D$6,0)),IF(INDEX(Roster!$D$6:$D$108,MATCH(D452,Roster!$A$6:$A$108,0))&gt;=5,INDEX(Inputs!$B$15:$D$15,1,MATCH(A452,Inputs!$B$6:$D$6,0)),0)))))</x:f>
        <x:v>80</x:v>
      </x:c>
      <x:c r="M452" s="20" t="n">
        <x:f>G452*I452</x:f>
        <x:v>31135</x:v>
      </x:c>
      <x:c r="N452" s="20" t="n">
        <x:f>G452*J452</x:f>
        <x:v>520</x:v>
      </x:c>
      <x:c r="O452" s="20" t="n">
        <x:f>G452*K452</x:f>
        <x:v>0</x:v>
      </x:c>
      <x:c r="P452" s="20" t="n">
        <x:f>G452*L452</x:f>
        <x:v>1040</x:v>
      </x:c>
      <x:c r="Q452" s="20" t="n">
        <x:f>H452*INDEX(Inputs!$B$13:$D$13,1,MATCH(A452,Inputs!$B$6:$D$6,0))</x:f>
        <x:v>390</x:v>
      </x:c>
      <x:c r="R452" s="20" t="n">
        <x:f>SUM(M452:Q452)</x:f>
        <x:v>33085</x:v>
      </x:c>
      <x:c r="S452" s="20" t="n">
        <x:f>IF(AND(A451=A452,D451=D452),S451+R452,R452)</x:f>
        <x:v>99255</x:v>
      </x:c>
      <x:c r="T452" s="20" t="n">
        <x:f>MIN(S452,INDEX(Inputs!$B$20:$D$20,1,MATCH(A452,Inputs!$B$6:$D$6,0)))*INDEX(Inputs!$B$22:$D$22,1,MATCH(A452,Inputs!$B$6:$D$6,0))+MAX(MIN(S452,INDEX(Inputs!$B$21:$D$21,1,MATCH(A452,Inputs!$B$6:$D$6,0)))-INDEX(Inputs!$B$20:$D$20,1,MATCH(A452,Inputs!$B$6:$D$6,0)),0)*INDEX(Inputs!$B$23:$D$23,1,MATCH(A452,Inputs!$B$6:$D$6,0))+MAX(S452-INDEX(Inputs!$B$21:$D$21,1,MATCH(A452,Inputs!$B$6:$D$6,0)),0)*INDEX(Inputs!$B$24:$D$24,1,MATCH(A452,Inputs!$B$6:$D$6,0))</x:f>
        <x:v>8083.0075</x:v>
      </x:c>
      <x:c r="U452" s="20" t="n">
        <x:f>IF(AND(A451=A452,D451=D452),T451,0)</x:f>
        <x:v>5552.005</x:v>
      </x:c>
      <x:c r="V452" s="20" t="n">
        <x:f>T452-U452</x:f>
        <x:v>2531.0024999999996</x:v>
      </x:c>
      <x:c r="W452" s="20" t="n">
        <x:f>R452+V452</x:f>
        <x:v>35616.0025</x:v>
      </x:c>
      <x:c r="X452" s="14" t="str">
        <x:f>IF(ABS(W452-SUM(M452:Q452)-V452)&lt;0.01,"OK","Check")</x:f>
        <x:v>OK</x:v>
      </x:c>
    </x:row>
    <x:row r="453">
      <x:c r="A453" s="14" t="n">
        <x:v>2027</x:v>
      </x:c>
      <x:c r="B453" s="14" t="str">
        <x:v>Q4</x:v>
      </x:c>
      <x:c r="C453" s="14" t="n">
        <x:v>4</x:v>
      </x:c>
      <x:c r="D453" s="14" t="n">
        <x:v>9</x:v>
      </x:c>
      <x:c r="E453" s="14" t="str">
        <x:f>INDEX(Roster!$B$6:$B$108,MATCH(D453,Roster!$A$6:$A$108,0))</x:f>
      </x:c>
      <x:c r="F453" s="14" t="str">
        <x:f>INDEX(Roster!$F$6:$F$108,MATCH(D453,Roster!$A$6:$A$108,0))</x:f>
        <x:v>No</x:v>
      </x:c>
      <x:c r="G453" s="14" t="n">
        <x:f>INDEX(Inputs!$B$7:$D$7,1,MATCH(A453,Inputs!$B$6:$D$6,0))</x:f>
        <x:v>13</x:v>
      </x:c>
      <x:c r="H453" s="14" t="n">
        <x:f>MIN(=INDEX(Inputs!$B$7:$D$7,1,MATCH(A453,Inputs!$B$6:$D$6,0)),MAX(0,INDEX(Inputs!$B$14:$D$14,1,MATCH(A453,Inputs!$B$6:$D$6,0))-(C453-1)*=INDEX(Inputs!$B$7:$D$7,1,MATCH(A453,Inputs!$B$6:$D$6,0))))</x:f>
        <x:v>0</x:v>
      </x:c>
      <x:c r="I453" s="20" t="n">
        <x:f>INDEX(Inputs!$B$8:$D$8,1,MATCH(A453,Inputs!$B$6:$D$6,0))</x:f>
        <x:v>2395</x:v>
      </x:c>
      <x:c r="J453" s="20" t="n">
        <x:f>INDEX(Roster!$C$6:$C$108,MATCH(D453,Roster!$A$6:$A$108,0))*(1+INDEX(Inputs!$B$9:$D$9,1,MATCH(A453,Inputs!$B$6:$D$6,0)))</x:f>
        <x:v>40</x:v>
      </x:c>
      <x:c r="K453" s="20" t="n">
        <x:f>IF(=INDEX(Roster!$F$6:$F$108,MATCH(D453,Roster!$A$6:$A$108,0))="Yes",0,=INDEX(Inputs!$B$8:$D$8,1,MATCH(A453,Inputs!$B$6:$D$6,0))*IF(=INDEX(Roster!$B$6:$B$108,MATCH(D453,Roster!$A$6:$A$108,0))="Principal",INDEX(Inputs!$B$10:$D$10,1,MATCH(A453,Inputs!$B$6:$D$6,0)),IF(=INDEX(Roster!$B$6:$B$108,MATCH(D453,Roster!$A$6:$A$108,0))="Associate Principal",INDEX(Inputs!$B$11:$D$11,1,MATCH(A453,Inputs!$B$6:$D$6,0)),IF(=INDEX(Roster!$B$6:$B$108,MATCH(D453,Roster!$A$6:$A$108,0))="Assistant Principal",INDEX(Inputs!$B$12:$D$12,1,MATCH(A453,Inputs!$B$6:$D$6,0)),0))))</x:f>
        <x:v>0</x:v>
      </x:c>
      <x:c r="L453" s="20" t="n">
        <x:f>IF(INDEX(Roster!$D$6:$D$108,MATCH(D453,Roster!$A$6:$A$108,0))&gt;=25,INDEX(Inputs!$B$19:$D$19,1,MATCH(A453,Inputs!$B$6:$D$6,0)),IF(INDEX(Roster!$D$6:$D$108,MATCH(D453,Roster!$A$6:$A$108,0))&gt;=20,INDEX(Inputs!$B$18:$D$18,1,MATCH(A453,Inputs!$B$6:$D$6,0)),IF(INDEX(Roster!$D$6:$D$108,MATCH(D453,Roster!$A$6:$A$108,0))&gt;=15,INDEX(Inputs!$B$17:$D$17,1,MATCH(A453,Inputs!$B$6:$D$6,0)),IF(INDEX(Roster!$D$6:$D$108,MATCH(D453,Roster!$A$6:$A$108,0))&gt;=10,INDEX(Inputs!$B$16:$D$16,1,MATCH(A453,Inputs!$B$6:$D$6,0)),IF(INDEX(Roster!$D$6:$D$108,MATCH(D453,Roster!$A$6:$A$108,0))&gt;=5,INDEX(Inputs!$B$15:$D$15,1,MATCH(A453,Inputs!$B$6:$D$6,0)),0)))))</x:f>
        <x:v>80</x:v>
      </x:c>
      <x:c r="M453" s="20" t="n">
        <x:f>G453*I453</x:f>
        <x:v>31135</x:v>
      </x:c>
      <x:c r="N453" s="20" t="n">
        <x:f>G453*J453</x:f>
        <x:v>520</x:v>
      </x:c>
      <x:c r="O453" s="20" t="n">
        <x:f>G453*K453</x:f>
        <x:v>0</x:v>
      </x:c>
      <x:c r="P453" s="20" t="n">
        <x:f>G453*L453</x:f>
        <x:v>1040</x:v>
      </x:c>
      <x:c r="Q453" s="20" t="n">
        <x:f>H453*INDEX(Inputs!$B$13:$D$13,1,MATCH(A453,Inputs!$B$6:$D$6,0))</x:f>
        <x:v>0</x:v>
      </x:c>
      <x:c r="R453" s="20" t="n">
        <x:f>SUM(M453:Q453)</x:f>
        <x:v>32695</x:v>
      </x:c>
      <x:c r="S453" s="20" t="n">
        <x:f>IF(AND(A452=A453,D452=D453),S452+R453,R453)</x:f>
        <x:v>131950</x:v>
      </x:c>
      <x:c r="T453" s="20" t="n">
        <x:f>MIN(S453,INDEX(Inputs!$B$20:$D$20,1,MATCH(A453,Inputs!$B$6:$D$6,0)))*INDEX(Inputs!$B$22:$D$22,1,MATCH(A453,Inputs!$B$6:$D$6,0))+MAX(MIN(S453,INDEX(Inputs!$B$21:$D$21,1,MATCH(A453,Inputs!$B$6:$D$6,0)))-INDEX(Inputs!$B$20:$D$20,1,MATCH(A453,Inputs!$B$6:$D$6,0)),0)*INDEX(Inputs!$B$23:$D$23,1,MATCH(A453,Inputs!$B$6:$D$6,0))+MAX(S453-INDEX(Inputs!$B$21:$D$21,1,MATCH(A453,Inputs!$B$6:$D$6,0)),0)*INDEX(Inputs!$B$24:$D$24,1,MATCH(A453,Inputs!$B$6:$D$6,0))</x:f>
        <x:v>9827.217</x:v>
      </x:c>
      <x:c r="U453" s="20" t="n">
        <x:f>IF(AND(A452=A453,D452=D453),T452,0)</x:f>
        <x:v>8083.0075</x:v>
      </x:c>
      <x:c r="V453" s="20" t="n">
        <x:f>T453-U453</x:f>
        <x:v>1744.2095000000008</x:v>
      </x:c>
      <x:c r="W453" s="20" t="n">
        <x:f>R453+V453</x:f>
        <x:v>34439.2095</x:v>
      </x:c>
      <x:c r="X453" s="14" t="str">
        <x:f>IF(ABS(W453-SUM(M453:Q453)-V453)&lt;0.01,"OK","Check")</x:f>
        <x:v>OK</x:v>
      </x:c>
    </x:row>
    <x:row r="454">
      <x:c r="A454" s="14" t="n">
        <x:v>2027</x:v>
      </x:c>
      <x:c r="B454" s="14" t="str">
        <x:v>Q1</x:v>
      </x:c>
      <x:c r="C454" s="14" t="n">
        <x:v>1</x:v>
      </x:c>
      <x:c r="D454" s="14" t="n">
        <x:v>10</x:v>
      </x:c>
      <x:c r="E454" s="14" t="str">
        <x:f>INDEX(Roster!$B$6:$B$108,MATCH(D454,Roster!$A$6:$A$108,0))</x:f>
        <x:v>Associate Principal</x:v>
      </x:c>
      <x:c r="F454" s="14" t="str">
        <x:f>INDEX(Roster!$F$6:$F$108,MATCH(D454,Roster!$A$6:$A$108,0))</x:f>
        <x:v>No</x:v>
      </x:c>
      <x:c r="G454" s="14" t="n">
        <x:f>INDEX(Inputs!$B$7:$D$7,1,MATCH(A454,Inputs!$B$6:$D$6,0))</x:f>
        <x:v>13</x:v>
      </x:c>
      <x:c r="H454" s="14" t="n">
        <x:f>MIN(=INDEX(Inputs!$B$7:$D$7,1,MATCH(A454,Inputs!$B$6:$D$6,0)),MAX(0,INDEX(Inputs!$B$14:$D$14,1,MATCH(A454,Inputs!$B$6:$D$6,0))-(C454-1)*=INDEX(Inputs!$B$7:$D$7,1,MATCH(A454,Inputs!$B$6:$D$6,0))))</x:f>
        <x:v>13</x:v>
      </x:c>
      <x:c r="I454" s="20" t="n">
        <x:f>INDEX(Inputs!$B$8:$D$8,1,MATCH(A454,Inputs!$B$6:$D$6,0))</x:f>
        <x:v>2395</x:v>
      </x:c>
      <x:c r="J454" s="20" t="n">
        <x:f>INDEX(Roster!$C$6:$C$108,MATCH(D454,Roster!$A$6:$A$108,0))*(1+INDEX(Inputs!$B$9:$D$9,1,MATCH(A454,Inputs!$B$6:$D$6,0)))</x:f>
        <x:v>0</x:v>
      </x:c>
      <x:c r="K454" s="20" t="n">
        <x:f>IF(=INDEX(Roster!$F$6:$F$108,MATCH(D454,Roster!$A$6:$A$108,0))="Yes",0,=INDEX(Inputs!$B$8:$D$8,1,MATCH(A454,Inputs!$B$6:$D$6,0))*IF(=INDEX(Roster!$B$6:$B$108,MATCH(D454,Roster!$A$6:$A$108,0))="Principal",INDEX(Inputs!$B$10:$D$10,1,MATCH(A454,Inputs!$B$6:$D$6,0)),IF(=INDEX(Roster!$B$6:$B$108,MATCH(D454,Roster!$A$6:$A$108,0))="Associate Principal",INDEX(Inputs!$B$11:$D$11,1,MATCH(A454,Inputs!$B$6:$D$6,0)),IF(=INDEX(Roster!$B$6:$B$108,MATCH(D454,Roster!$A$6:$A$108,0))="Assistant Principal",INDEX(Inputs!$B$12:$D$12,1,MATCH(A454,Inputs!$B$6:$D$6,0)),0))))</x:f>
        <x:v>239.5</x:v>
      </x:c>
      <x:c r="L454" s="20" t="n">
        <x:f>IF(INDEX(Roster!$D$6:$D$108,MATCH(D454,Roster!$A$6:$A$108,0))&gt;=25,INDEX(Inputs!$B$19:$D$19,1,MATCH(A454,Inputs!$B$6:$D$6,0)),IF(INDEX(Roster!$D$6:$D$108,MATCH(D454,Roster!$A$6:$A$108,0))&gt;=20,INDEX(Inputs!$B$18:$D$18,1,MATCH(A454,Inputs!$B$6:$D$6,0)),IF(INDEX(Roster!$D$6:$D$108,MATCH(D454,Roster!$A$6:$A$108,0))&gt;=15,INDEX(Inputs!$B$17:$D$17,1,MATCH(A454,Inputs!$B$6:$D$6,0)),IF(INDEX(Roster!$D$6:$D$108,MATCH(D454,Roster!$A$6:$A$108,0))&gt;=10,INDEX(Inputs!$B$16:$D$16,1,MATCH(A454,Inputs!$B$6:$D$6,0)),IF(INDEX(Roster!$D$6:$D$108,MATCH(D454,Roster!$A$6:$A$108,0))&gt;=5,INDEX(Inputs!$B$15:$D$15,1,MATCH(A454,Inputs!$B$6:$D$6,0)),0)))))</x:f>
        <x:v>90</x:v>
      </x:c>
      <x:c r="M454" s="20" t="n">
        <x:f>G454*I454</x:f>
        <x:v>31135</x:v>
      </x:c>
      <x:c r="N454" s="20" t="n">
        <x:f>G454*J454</x:f>
        <x:v>0</x:v>
      </x:c>
      <x:c r="O454" s="20" t="n">
        <x:f>G454*K454</x:f>
        <x:v>3113.5</x:v>
      </x:c>
      <x:c r="P454" s="20" t="n">
        <x:f>G454*L454</x:f>
        <x:v>1170</x:v>
      </x:c>
      <x:c r="Q454" s="20" t="n">
        <x:f>H454*INDEX(Inputs!$B$13:$D$13,1,MATCH(A454,Inputs!$B$6:$D$6,0))</x:f>
        <x:v>390</x:v>
      </x:c>
      <x:c r="R454" s="20" t="n">
        <x:f>SUM(M454:Q454)</x:f>
        <x:v>35808.5</x:v>
      </x:c>
      <x:c r="S454" s="20" t="n">
        <x:f>IF(AND(A453=A454,D453=D454),S453+R454,R454)</x:f>
        <x:v>35808.5</x:v>
      </x:c>
      <x:c r="T454" s="20" t="n">
        <x:f>MIN(S454,INDEX(Inputs!$B$20:$D$20,1,MATCH(A454,Inputs!$B$6:$D$6,0)))*INDEX(Inputs!$B$22:$D$22,1,MATCH(A454,Inputs!$B$6:$D$6,0))+MAX(MIN(S454,INDEX(Inputs!$B$21:$D$21,1,MATCH(A454,Inputs!$B$6:$D$6,0)))-INDEX(Inputs!$B$20:$D$20,1,MATCH(A454,Inputs!$B$6:$D$6,0)),0)*INDEX(Inputs!$B$23:$D$23,1,MATCH(A454,Inputs!$B$6:$D$6,0))+MAX(S454-INDEX(Inputs!$B$21:$D$21,1,MATCH(A454,Inputs!$B$6:$D$6,0)),0)*INDEX(Inputs!$B$24:$D$24,1,MATCH(A454,Inputs!$B$6:$D$6,0))</x:f>
        <x:v>3229.35025</x:v>
      </x:c>
      <x:c r="U454" s="20" t="n">
        <x:f>IF(AND(A453=A454,D453=D454),T453,0)</x:f>
        <x:v>0</x:v>
      </x:c>
      <x:c r="V454" s="20" t="n">
        <x:f>T454-U454</x:f>
        <x:v>3229.35025</x:v>
      </x:c>
      <x:c r="W454" s="20" t="n">
        <x:f>R454+V454</x:f>
        <x:v>39037.85025</x:v>
      </x:c>
      <x:c r="X454" s="14" t="str">
        <x:f>IF(ABS(W454-SUM(M454:Q454)-V454)&lt;0.01,"OK","Check")</x:f>
        <x:v>OK</x:v>
      </x:c>
    </x:row>
    <x:row r="455">
      <x:c r="A455" s="14" t="n">
        <x:v>2027</x:v>
      </x:c>
      <x:c r="B455" s="14" t="str">
        <x:v>Q2</x:v>
      </x:c>
      <x:c r="C455" s="14" t="n">
        <x:v>2</x:v>
      </x:c>
      <x:c r="D455" s="14" t="n">
        <x:v>10</x:v>
      </x:c>
      <x:c r="E455" s="14" t="str">
        <x:f>INDEX(Roster!$B$6:$B$108,MATCH(D455,Roster!$A$6:$A$108,0))</x:f>
        <x:v>Associate Principal</x:v>
      </x:c>
      <x:c r="F455" s="14" t="str">
        <x:f>INDEX(Roster!$F$6:$F$108,MATCH(D455,Roster!$A$6:$A$108,0))</x:f>
        <x:v>No</x:v>
      </x:c>
      <x:c r="G455" s="14" t="n">
        <x:f>INDEX(Inputs!$B$7:$D$7,1,MATCH(A455,Inputs!$B$6:$D$6,0))</x:f>
        <x:v>13</x:v>
      </x:c>
      <x:c r="H455" s="14" t="n">
        <x:f>MIN(=INDEX(Inputs!$B$7:$D$7,1,MATCH(A455,Inputs!$B$6:$D$6,0)),MAX(0,INDEX(Inputs!$B$14:$D$14,1,MATCH(A455,Inputs!$B$6:$D$6,0))-(C455-1)*=INDEX(Inputs!$B$7:$D$7,1,MATCH(A455,Inputs!$B$6:$D$6,0))))</x:f>
        <x:v>13</x:v>
      </x:c>
      <x:c r="I455" s="20" t="n">
        <x:f>INDEX(Inputs!$B$8:$D$8,1,MATCH(A455,Inputs!$B$6:$D$6,0))</x:f>
        <x:v>2395</x:v>
      </x:c>
      <x:c r="J455" s="20" t="n">
        <x:f>INDEX(Roster!$C$6:$C$108,MATCH(D455,Roster!$A$6:$A$108,0))*(1+INDEX(Inputs!$B$9:$D$9,1,MATCH(A455,Inputs!$B$6:$D$6,0)))</x:f>
        <x:v>0</x:v>
      </x:c>
      <x:c r="K455" s="20" t="n">
        <x:f>IF(=INDEX(Roster!$F$6:$F$108,MATCH(D455,Roster!$A$6:$A$108,0))="Yes",0,=INDEX(Inputs!$B$8:$D$8,1,MATCH(A455,Inputs!$B$6:$D$6,0))*IF(=INDEX(Roster!$B$6:$B$108,MATCH(D455,Roster!$A$6:$A$108,0))="Principal",INDEX(Inputs!$B$10:$D$10,1,MATCH(A455,Inputs!$B$6:$D$6,0)),IF(=INDEX(Roster!$B$6:$B$108,MATCH(D455,Roster!$A$6:$A$108,0))="Associate Principal",INDEX(Inputs!$B$11:$D$11,1,MATCH(A455,Inputs!$B$6:$D$6,0)),IF(=INDEX(Roster!$B$6:$B$108,MATCH(D455,Roster!$A$6:$A$108,0))="Assistant Principal",INDEX(Inputs!$B$12:$D$12,1,MATCH(A455,Inputs!$B$6:$D$6,0)),0))))</x:f>
        <x:v>239.5</x:v>
      </x:c>
      <x:c r="L455" s="20" t="n">
        <x:f>IF(INDEX(Roster!$D$6:$D$108,MATCH(D455,Roster!$A$6:$A$108,0))&gt;=25,INDEX(Inputs!$B$19:$D$19,1,MATCH(A455,Inputs!$B$6:$D$6,0)),IF(INDEX(Roster!$D$6:$D$108,MATCH(D455,Roster!$A$6:$A$108,0))&gt;=20,INDEX(Inputs!$B$18:$D$18,1,MATCH(A455,Inputs!$B$6:$D$6,0)),IF(INDEX(Roster!$D$6:$D$108,MATCH(D455,Roster!$A$6:$A$108,0))&gt;=15,INDEX(Inputs!$B$17:$D$17,1,MATCH(A455,Inputs!$B$6:$D$6,0)),IF(INDEX(Roster!$D$6:$D$108,MATCH(D455,Roster!$A$6:$A$108,0))&gt;=10,INDEX(Inputs!$B$16:$D$16,1,MATCH(A455,Inputs!$B$6:$D$6,0)),IF(INDEX(Roster!$D$6:$D$108,MATCH(D455,Roster!$A$6:$A$108,0))&gt;=5,INDEX(Inputs!$B$15:$D$15,1,MATCH(A455,Inputs!$B$6:$D$6,0)),0)))))</x:f>
        <x:v>90</x:v>
      </x:c>
      <x:c r="M455" s="20" t="n">
        <x:f>G455*I455</x:f>
        <x:v>31135</x:v>
      </x:c>
      <x:c r="N455" s="20" t="n">
        <x:f>G455*J455</x:f>
        <x:v>0</x:v>
      </x:c>
      <x:c r="O455" s="20" t="n">
        <x:f>G455*K455</x:f>
        <x:v>3113.5</x:v>
      </x:c>
      <x:c r="P455" s="20" t="n">
        <x:f>G455*L455</x:f>
        <x:v>1170</x:v>
      </x:c>
      <x:c r="Q455" s="20" t="n">
        <x:f>H455*INDEX(Inputs!$B$13:$D$13,1,MATCH(A455,Inputs!$B$6:$D$6,0))</x:f>
        <x:v>390</x:v>
      </x:c>
      <x:c r="R455" s="20" t="n">
        <x:f>SUM(M455:Q455)</x:f>
        <x:v>35808.5</x:v>
      </x:c>
      <x:c r="S455" s="20" t="n">
        <x:f>IF(AND(A454=A455,D454=D455),S454+R455,R455)</x:f>
        <x:v>71617</x:v>
      </x:c>
      <x:c r="T455" s="20" t="n">
        <x:f>MIN(S455,INDEX(Inputs!$B$20:$D$20,1,MATCH(A455,Inputs!$B$6:$D$6,0)))*INDEX(Inputs!$B$22:$D$22,1,MATCH(A455,Inputs!$B$6:$D$6,0))+MAX(MIN(S455,INDEX(Inputs!$B$21:$D$21,1,MATCH(A455,Inputs!$B$6:$D$6,0)))-INDEX(Inputs!$B$20:$D$20,1,MATCH(A455,Inputs!$B$6:$D$6,0)),0)*INDEX(Inputs!$B$23:$D$23,1,MATCH(A455,Inputs!$B$6:$D$6,0))+MAX(S455-INDEX(Inputs!$B$21:$D$21,1,MATCH(A455,Inputs!$B$6:$D$6,0)),0)*INDEX(Inputs!$B$24:$D$24,1,MATCH(A455,Inputs!$B$6:$D$6,0))</x:f>
        <x:v>5968.7005</x:v>
      </x:c>
      <x:c r="U455" s="20" t="n">
        <x:f>IF(AND(A454=A455,D454=D455),T454,0)</x:f>
        <x:v>3229.35025</x:v>
      </x:c>
      <x:c r="V455" s="20" t="n">
        <x:f>T455-U455</x:f>
        <x:v>2739.35025</x:v>
      </x:c>
      <x:c r="W455" s="20" t="n">
        <x:f>R455+V455</x:f>
        <x:v>38547.85025</x:v>
      </x:c>
      <x:c r="X455" s="14" t="str">
        <x:f>IF(ABS(W455-SUM(M455:Q455)-V455)&lt;0.01,"OK","Check")</x:f>
        <x:v>OK</x:v>
      </x:c>
    </x:row>
    <x:row r="456">
      <x:c r="A456" s="14" t="n">
        <x:v>2027</x:v>
      </x:c>
      <x:c r="B456" s="14" t="str">
        <x:v>Q3</x:v>
      </x:c>
      <x:c r="C456" s="14" t="n">
        <x:v>3</x:v>
      </x:c>
      <x:c r="D456" s="14" t="n">
        <x:v>10</x:v>
      </x:c>
      <x:c r="E456" s="14" t="str">
        <x:f>INDEX(Roster!$B$6:$B$108,MATCH(D456,Roster!$A$6:$A$108,0))</x:f>
        <x:v>Associate Principal</x:v>
      </x:c>
      <x:c r="F456" s="14" t="str">
        <x:f>INDEX(Roster!$F$6:$F$108,MATCH(D456,Roster!$A$6:$A$108,0))</x:f>
        <x:v>No</x:v>
      </x:c>
      <x:c r="G456" s="14" t="n">
        <x:f>INDEX(Inputs!$B$7:$D$7,1,MATCH(A456,Inputs!$B$6:$D$6,0))</x:f>
        <x:v>13</x:v>
      </x:c>
      <x:c r="H456" s="14" t="n">
        <x:f>MIN(=INDEX(Inputs!$B$7:$D$7,1,MATCH(A456,Inputs!$B$6:$D$6,0)),MAX(0,INDEX(Inputs!$B$14:$D$14,1,MATCH(A456,Inputs!$B$6:$D$6,0))-(C456-1)*=INDEX(Inputs!$B$7:$D$7,1,MATCH(A456,Inputs!$B$6:$D$6,0))))</x:f>
        <x:v>13</x:v>
      </x:c>
      <x:c r="I456" s="20" t="n">
        <x:f>INDEX(Inputs!$B$8:$D$8,1,MATCH(A456,Inputs!$B$6:$D$6,0))</x:f>
        <x:v>2395</x:v>
      </x:c>
      <x:c r="J456" s="20" t="n">
        <x:f>INDEX(Roster!$C$6:$C$108,MATCH(D456,Roster!$A$6:$A$108,0))*(1+INDEX(Inputs!$B$9:$D$9,1,MATCH(A456,Inputs!$B$6:$D$6,0)))</x:f>
        <x:v>0</x:v>
      </x:c>
      <x:c r="K456" s="20" t="n">
        <x:f>IF(=INDEX(Roster!$F$6:$F$108,MATCH(D456,Roster!$A$6:$A$108,0))="Yes",0,=INDEX(Inputs!$B$8:$D$8,1,MATCH(A456,Inputs!$B$6:$D$6,0))*IF(=INDEX(Roster!$B$6:$B$108,MATCH(D456,Roster!$A$6:$A$108,0))="Principal",INDEX(Inputs!$B$10:$D$10,1,MATCH(A456,Inputs!$B$6:$D$6,0)),IF(=INDEX(Roster!$B$6:$B$108,MATCH(D456,Roster!$A$6:$A$108,0))="Associate Principal",INDEX(Inputs!$B$11:$D$11,1,MATCH(A456,Inputs!$B$6:$D$6,0)),IF(=INDEX(Roster!$B$6:$B$108,MATCH(D456,Roster!$A$6:$A$108,0))="Assistant Principal",INDEX(Inputs!$B$12:$D$12,1,MATCH(A456,Inputs!$B$6:$D$6,0)),0))))</x:f>
        <x:v>239.5</x:v>
      </x:c>
      <x:c r="L456" s="20" t="n">
        <x:f>IF(INDEX(Roster!$D$6:$D$108,MATCH(D456,Roster!$A$6:$A$108,0))&gt;=25,INDEX(Inputs!$B$19:$D$19,1,MATCH(A456,Inputs!$B$6:$D$6,0)),IF(INDEX(Roster!$D$6:$D$108,MATCH(D456,Roster!$A$6:$A$108,0))&gt;=20,INDEX(Inputs!$B$18:$D$18,1,MATCH(A456,Inputs!$B$6:$D$6,0)),IF(INDEX(Roster!$D$6:$D$108,MATCH(D456,Roster!$A$6:$A$108,0))&gt;=15,INDEX(Inputs!$B$17:$D$17,1,MATCH(A456,Inputs!$B$6:$D$6,0)),IF(INDEX(Roster!$D$6:$D$108,MATCH(D456,Roster!$A$6:$A$108,0))&gt;=10,INDEX(Inputs!$B$16:$D$16,1,MATCH(A456,Inputs!$B$6:$D$6,0)),IF(INDEX(Roster!$D$6:$D$108,MATCH(D456,Roster!$A$6:$A$108,0))&gt;=5,INDEX(Inputs!$B$15:$D$15,1,MATCH(A456,Inputs!$B$6:$D$6,0)),0)))))</x:f>
        <x:v>90</x:v>
      </x:c>
      <x:c r="M456" s="20" t="n">
        <x:f>G456*I456</x:f>
        <x:v>31135</x:v>
      </x:c>
      <x:c r="N456" s="20" t="n">
        <x:f>G456*J456</x:f>
        <x:v>0</x:v>
      </x:c>
      <x:c r="O456" s="20" t="n">
        <x:f>G456*K456</x:f>
        <x:v>3113.5</x:v>
      </x:c>
      <x:c r="P456" s="20" t="n">
        <x:f>G456*L456</x:f>
        <x:v>1170</x:v>
      </x:c>
      <x:c r="Q456" s="20" t="n">
        <x:f>H456*INDEX(Inputs!$B$13:$D$13,1,MATCH(A456,Inputs!$B$6:$D$6,0))</x:f>
        <x:v>390</x:v>
      </x:c>
      <x:c r="R456" s="20" t="n">
        <x:f>SUM(M456:Q456)</x:f>
        <x:v>35808.5</x:v>
      </x:c>
      <x:c r="S456" s="20" t="n">
        <x:f>IF(AND(A455=A456,D455=D456),S455+R456,R456)</x:f>
        <x:v>107425.5</x:v>
      </x:c>
      <x:c r="T456" s="20" t="n">
        <x:f>MIN(S456,INDEX(Inputs!$B$20:$D$20,1,MATCH(A456,Inputs!$B$6:$D$6,0)))*INDEX(Inputs!$B$22:$D$22,1,MATCH(A456,Inputs!$B$6:$D$6,0))+MAX(MIN(S456,INDEX(Inputs!$B$21:$D$21,1,MATCH(A456,Inputs!$B$6:$D$6,0)))-INDEX(Inputs!$B$20:$D$20,1,MATCH(A456,Inputs!$B$6:$D$6,0)),0)*INDEX(Inputs!$B$23:$D$23,1,MATCH(A456,Inputs!$B$6:$D$6,0))+MAX(S456-INDEX(Inputs!$B$21:$D$21,1,MATCH(A456,Inputs!$B$6:$D$6,0)),0)*INDEX(Inputs!$B$24:$D$24,1,MATCH(A456,Inputs!$B$6:$D$6,0))</x:f>
        <x:v>8708.050749999999</x:v>
      </x:c>
      <x:c r="U456" s="20" t="n">
        <x:f>IF(AND(A455=A456,D455=D456),T455,0)</x:f>
        <x:v>5968.7005</x:v>
      </x:c>
      <x:c r="V456" s="20" t="n">
        <x:f>T456-U456</x:f>
        <x:v>2739.3502499999986</x:v>
      </x:c>
      <x:c r="W456" s="20" t="n">
        <x:f>R456+V456</x:f>
        <x:v>38547.850249999996</x:v>
      </x:c>
      <x:c r="X456" s="14" t="str">
        <x:f>IF(ABS(W456-SUM(M456:Q456)-V456)&lt;0.01,"OK","Check")</x:f>
        <x:v>OK</x:v>
      </x:c>
    </x:row>
    <x:row r="457">
      <x:c r="A457" s="14" t="n">
        <x:v>2027</x:v>
      </x:c>
      <x:c r="B457" s="14" t="str">
        <x:v>Q4</x:v>
      </x:c>
      <x:c r="C457" s="14" t="n">
        <x:v>4</x:v>
      </x:c>
      <x:c r="D457" s="14" t="n">
        <x:v>10</x:v>
      </x:c>
      <x:c r="E457" s="14" t="str">
        <x:f>INDEX(Roster!$B$6:$B$108,MATCH(D457,Roster!$A$6:$A$108,0))</x:f>
        <x:v>Associate Principal</x:v>
      </x:c>
      <x:c r="F457" s="14" t="str">
        <x:f>INDEX(Roster!$F$6:$F$108,MATCH(D457,Roster!$A$6:$A$108,0))</x:f>
        <x:v>No</x:v>
      </x:c>
      <x:c r="G457" s="14" t="n">
        <x:f>INDEX(Inputs!$B$7:$D$7,1,MATCH(A457,Inputs!$B$6:$D$6,0))</x:f>
        <x:v>13</x:v>
      </x:c>
      <x:c r="H457" s="14" t="n">
        <x:f>MIN(=INDEX(Inputs!$B$7:$D$7,1,MATCH(A457,Inputs!$B$6:$D$6,0)),MAX(0,INDEX(Inputs!$B$14:$D$14,1,MATCH(A457,Inputs!$B$6:$D$6,0))-(C457-1)*=INDEX(Inputs!$B$7:$D$7,1,MATCH(A457,Inputs!$B$6:$D$6,0))))</x:f>
        <x:v>0</x:v>
      </x:c>
      <x:c r="I457" s="20" t="n">
        <x:f>INDEX(Inputs!$B$8:$D$8,1,MATCH(A457,Inputs!$B$6:$D$6,0))</x:f>
        <x:v>2395</x:v>
      </x:c>
      <x:c r="J457" s="20" t="n">
        <x:f>INDEX(Roster!$C$6:$C$108,MATCH(D457,Roster!$A$6:$A$108,0))*(1+INDEX(Inputs!$B$9:$D$9,1,MATCH(A457,Inputs!$B$6:$D$6,0)))</x:f>
        <x:v>0</x:v>
      </x:c>
      <x:c r="K457" s="20" t="n">
        <x:f>IF(=INDEX(Roster!$F$6:$F$108,MATCH(D457,Roster!$A$6:$A$108,0))="Yes",0,=INDEX(Inputs!$B$8:$D$8,1,MATCH(A457,Inputs!$B$6:$D$6,0))*IF(=INDEX(Roster!$B$6:$B$108,MATCH(D457,Roster!$A$6:$A$108,0))="Principal",INDEX(Inputs!$B$10:$D$10,1,MATCH(A457,Inputs!$B$6:$D$6,0)),IF(=INDEX(Roster!$B$6:$B$108,MATCH(D457,Roster!$A$6:$A$108,0))="Associate Principal",INDEX(Inputs!$B$11:$D$11,1,MATCH(A457,Inputs!$B$6:$D$6,0)),IF(=INDEX(Roster!$B$6:$B$108,MATCH(D457,Roster!$A$6:$A$108,0))="Assistant Principal",INDEX(Inputs!$B$12:$D$12,1,MATCH(A457,Inputs!$B$6:$D$6,0)),0))))</x:f>
        <x:v>239.5</x:v>
      </x:c>
      <x:c r="L457" s="20" t="n">
        <x:f>IF(INDEX(Roster!$D$6:$D$108,MATCH(D457,Roster!$A$6:$A$108,0))&gt;=25,INDEX(Inputs!$B$19:$D$19,1,MATCH(A457,Inputs!$B$6:$D$6,0)),IF(INDEX(Roster!$D$6:$D$108,MATCH(D457,Roster!$A$6:$A$108,0))&gt;=20,INDEX(Inputs!$B$18:$D$18,1,MATCH(A457,Inputs!$B$6:$D$6,0)),IF(INDEX(Roster!$D$6:$D$108,MATCH(D457,Roster!$A$6:$A$108,0))&gt;=15,INDEX(Inputs!$B$17:$D$17,1,MATCH(A457,Inputs!$B$6:$D$6,0)),IF(INDEX(Roster!$D$6:$D$108,MATCH(D457,Roster!$A$6:$A$108,0))&gt;=10,INDEX(Inputs!$B$16:$D$16,1,MATCH(A457,Inputs!$B$6:$D$6,0)),IF(INDEX(Roster!$D$6:$D$108,MATCH(D457,Roster!$A$6:$A$108,0))&gt;=5,INDEX(Inputs!$B$15:$D$15,1,MATCH(A457,Inputs!$B$6:$D$6,0)),0)))))</x:f>
        <x:v>90</x:v>
      </x:c>
      <x:c r="M457" s="20" t="n">
        <x:f>G457*I457</x:f>
        <x:v>31135</x:v>
      </x:c>
      <x:c r="N457" s="20" t="n">
        <x:f>G457*J457</x:f>
        <x:v>0</x:v>
      </x:c>
      <x:c r="O457" s="20" t="n">
        <x:f>G457*K457</x:f>
        <x:v>3113.5</x:v>
      </x:c>
      <x:c r="P457" s="20" t="n">
        <x:f>G457*L457</x:f>
        <x:v>1170</x:v>
      </x:c>
      <x:c r="Q457" s="20" t="n">
        <x:f>H457*INDEX(Inputs!$B$13:$D$13,1,MATCH(A457,Inputs!$B$6:$D$6,0))</x:f>
        <x:v>0</x:v>
      </x:c>
      <x:c r="R457" s="20" t="n">
        <x:f>SUM(M457:Q457)</x:f>
        <x:v>35418.5</x:v>
      </x:c>
      <x:c r="S457" s="20" t="n">
        <x:f>IF(AND(A456=A457,D456=D457),S456+R457,R457)</x:f>
        <x:v>142844</x:v>
      </x:c>
      <x:c r="T457" s="20" t="n">
        <x:f>MIN(S457,INDEX(Inputs!$B$20:$D$20,1,MATCH(A457,Inputs!$B$6:$D$6,0)))*INDEX(Inputs!$B$22:$D$22,1,MATCH(A457,Inputs!$B$6:$D$6,0))+MAX(MIN(S457,INDEX(Inputs!$B$21:$D$21,1,MATCH(A457,Inputs!$B$6:$D$6,0)))-INDEX(Inputs!$B$20:$D$20,1,MATCH(A457,Inputs!$B$6:$D$6,0)),0)*INDEX(Inputs!$B$23:$D$23,1,MATCH(A457,Inputs!$B$6:$D$6,0))+MAX(S457-INDEX(Inputs!$B$21:$D$21,1,MATCH(A457,Inputs!$B$6:$D$6,0)),0)*INDEX(Inputs!$B$24:$D$24,1,MATCH(A457,Inputs!$B$6:$D$6,0))</x:f>
        <x:v>9985.18</x:v>
      </x:c>
      <x:c r="U457" s="20" t="n">
        <x:f>IF(AND(A456=A457,D456=D457),T456,0)</x:f>
        <x:v>8708.050749999999</x:v>
      </x:c>
      <x:c r="V457" s="20" t="n">
        <x:f>T457-U457</x:f>
        <x:v>1277.1292500000018</x:v>
      </x:c>
      <x:c r="W457" s="20" t="n">
        <x:f>R457+V457</x:f>
        <x:v>36695.62925</x:v>
      </x:c>
      <x:c r="X457" s="14" t="str">
        <x:f>IF(ABS(W457-SUM(M457:Q457)-V457)&lt;0.01,"OK","Check")</x:f>
        <x:v>OK</x:v>
      </x:c>
    </x:row>
    <x:row r="458">
      <x:c r="A458" s="14" t="n">
        <x:v>2027</x:v>
      </x:c>
      <x:c r="B458" s="14" t="str">
        <x:v>Q1</x:v>
      </x:c>
      <x:c r="C458" s="14" t="n">
        <x:v>1</x:v>
      </x:c>
      <x:c r="D458" s="14" t="n">
        <x:v>11</x:v>
      </x:c>
      <x:c r="E458" s="14" t="str">
        <x:f>INDEX(Roster!$B$6:$B$108,MATCH(D458,Roster!$A$6:$A$108,0))</x:f>
      </x:c>
      <x:c r="F458" s="14" t="str">
        <x:f>INDEX(Roster!$F$6:$F$108,MATCH(D458,Roster!$A$6:$A$108,0))</x:f>
        <x:v>No</x:v>
      </x:c>
      <x:c r="G458" s="14" t="n">
        <x:f>INDEX(Inputs!$B$7:$D$7,1,MATCH(A458,Inputs!$B$6:$D$6,0))</x:f>
        <x:v>13</x:v>
      </x:c>
      <x:c r="H458" s="14" t="n">
        <x:f>MIN(=INDEX(Inputs!$B$7:$D$7,1,MATCH(A458,Inputs!$B$6:$D$6,0)),MAX(0,INDEX(Inputs!$B$14:$D$14,1,MATCH(A458,Inputs!$B$6:$D$6,0))-(C458-1)*=INDEX(Inputs!$B$7:$D$7,1,MATCH(A458,Inputs!$B$6:$D$6,0))))</x:f>
        <x:v>13</x:v>
      </x:c>
      <x:c r="I458" s="20" t="n">
        <x:f>INDEX(Inputs!$B$8:$D$8,1,MATCH(A458,Inputs!$B$6:$D$6,0))</x:f>
        <x:v>2395</x:v>
      </x:c>
      <x:c r="J458" s="20" t="n">
        <x:f>INDEX(Roster!$C$6:$C$108,MATCH(D458,Roster!$A$6:$A$108,0))*(1+INDEX(Inputs!$B$9:$D$9,1,MATCH(A458,Inputs!$B$6:$D$6,0)))</x:f>
        <x:v>150</x:v>
      </x:c>
      <x:c r="K458" s="20" t="n">
        <x:f>IF(=INDEX(Roster!$F$6:$F$108,MATCH(D458,Roster!$A$6:$A$108,0))="Yes",0,=INDEX(Inputs!$B$8:$D$8,1,MATCH(A458,Inputs!$B$6:$D$6,0))*IF(=INDEX(Roster!$B$6:$B$108,MATCH(D458,Roster!$A$6:$A$108,0))="Principal",INDEX(Inputs!$B$10:$D$10,1,MATCH(A458,Inputs!$B$6:$D$6,0)),IF(=INDEX(Roster!$B$6:$B$108,MATCH(D458,Roster!$A$6:$A$108,0))="Associate Principal",INDEX(Inputs!$B$11:$D$11,1,MATCH(A458,Inputs!$B$6:$D$6,0)),IF(=INDEX(Roster!$B$6:$B$108,MATCH(D458,Roster!$A$6:$A$108,0))="Assistant Principal",INDEX(Inputs!$B$12:$D$12,1,MATCH(A458,Inputs!$B$6:$D$6,0)),0))))</x:f>
        <x:v>0</x:v>
      </x:c>
      <x:c r="L458" s="20" t="n">
        <x:f>IF(INDEX(Roster!$D$6:$D$108,MATCH(D458,Roster!$A$6:$A$108,0))&gt;=25,INDEX(Inputs!$B$19:$D$19,1,MATCH(A458,Inputs!$B$6:$D$6,0)),IF(INDEX(Roster!$D$6:$D$108,MATCH(D458,Roster!$A$6:$A$108,0))&gt;=20,INDEX(Inputs!$B$18:$D$18,1,MATCH(A458,Inputs!$B$6:$D$6,0)),IF(INDEX(Roster!$D$6:$D$108,MATCH(D458,Roster!$A$6:$A$108,0))&gt;=15,INDEX(Inputs!$B$17:$D$17,1,MATCH(A458,Inputs!$B$6:$D$6,0)),IF(INDEX(Roster!$D$6:$D$108,MATCH(D458,Roster!$A$6:$A$108,0))&gt;=10,INDEX(Inputs!$B$16:$D$16,1,MATCH(A458,Inputs!$B$6:$D$6,0)),IF(INDEX(Roster!$D$6:$D$108,MATCH(D458,Roster!$A$6:$A$108,0))&gt;=5,INDEX(Inputs!$B$15:$D$15,1,MATCH(A458,Inputs!$B$6:$D$6,0)),0)))))</x:f>
        <x:v>90</x:v>
      </x:c>
      <x:c r="M458" s="20" t="n">
        <x:f>G458*I458</x:f>
        <x:v>31135</x:v>
      </x:c>
      <x:c r="N458" s="20" t="n">
        <x:f>G458*J458</x:f>
        <x:v>1950</x:v>
      </x:c>
      <x:c r="O458" s="20" t="n">
        <x:f>G458*K458</x:f>
        <x:v>0</x:v>
      </x:c>
      <x:c r="P458" s="20" t="n">
        <x:f>G458*L458</x:f>
        <x:v>1170</x:v>
      </x:c>
      <x:c r="Q458" s="20" t="n">
        <x:f>H458*INDEX(Inputs!$B$13:$D$13,1,MATCH(A458,Inputs!$B$6:$D$6,0))</x:f>
        <x:v>390</x:v>
      </x:c>
      <x:c r="R458" s="20" t="n">
        <x:f>SUM(M458:Q458)</x:f>
        <x:v>34645</x:v>
      </x:c>
      <x:c r="S458" s="20" t="n">
        <x:f>IF(AND(A457=A458,D457=D458),S457+R458,R458)</x:f>
        <x:v>34645</x:v>
      </x:c>
      <x:c r="T458" s="20" t="n">
        <x:f>MIN(S458,INDEX(Inputs!$B$20:$D$20,1,MATCH(A458,Inputs!$B$6:$D$6,0)))*INDEX(Inputs!$B$22:$D$22,1,MATCH(A458,Inputs!$B$6:$D$6,0))+MAX(MIN(S458,INDEX(Inputs!$B$21:$D$21,1,MATCH(A458,Inputs!$B$6:$D$6,0)))-INDEX(Inputs!$B$20:$D$20,1,MATCH(A458,Inputs!$B$6:$D$6,0)),0)*INDEX(Inputs!$B$23:$D$23,1,MATCH(A458,Inputs!$B$6:$D$6,0))+MAX(S458-INDEX(Inputs!$B$21:$D$21,1,MATCH(A458,Inputs!$B$6:$D$6,0)),0)*INDEX(Inputs!$B$24:$D$24,1,MATCH(A458,Inputs!$B$6:$D$6,0))</x:f>
        <x:v>3140.3424999999997</x:v>
      </x:c>
      <x:c r="U458" s="20" t="n">
        <x:f>IF(AND(A457=A458,D457=D458),T457,0)</x:f>
        <x:v>0</x:v>
      </x:c>
      <x:c r="V458" s="20" t="n">
        <x:f>T458-U458</x:f>
        <x:v>3140.3424999999997</x:v>
      </x:c>
      <x:c r="W458" s="20" t="n">
        <x:f>R458+V458</x:f>
        <x:v>37785.3425</x:v>
      </x:c>
      <x:c r="X458" s="14" t="str">
        <x:f>IF(ABS(W458-SUM(M458:Q458)-V458)&lt;0.01,"OK","Check")</x:f>
        <x:v>OK</x:v>
      </x:c>
    </x:row>
    <x:row r="459">
      <x:c r="A459" s="14" t="n">
        <x:v>2027</x:v>
      </x:c>
      <x:c r="B459" s="14" t="str">
        <x:v>Q2</x:v>
      </x:c>
      <x:c r="C459" s="14" t="n">
        <x:v>2</x:v>
      </x:c>
      <x:c r="D459" s="14" t="n">
        <x:v>11</x:v>
      </x:c>
      <x:c r="E459" s="14" t="str">
        <x:f>INDEX(Roster!$B$6:$B$108,MATCH(D459,Roster!$A$6:$A$108,0))</x:f>
      </x:c>
      <x:c r="F459" s="14" t="str">
        <x:f>INDEX(Roster!$F$6:$F$108,MATCH(D459,Roster!$A$6:$A$108,0))</x:f>
        <x:v>No</x:v>
      </x:c>
      <x:c r="G459" s="14" t="n">
        <x:f>INDEX(Inputs!$B$7:$D$7,1,MATCH(A459,Inputs!$B$6:$D$6,0))</x:f>
        <x:v>13</x:v>
      </x:c>
      <x:c r="H459" s="14" t="n">
        <x:f>MIN(=INDEX(Inputs!$B$7:$D$7,1,MATCH(A459,Inputs!$B$6:$D$6,0)),MAX(0,INDEX(Inputs!$B$14:$D$14,1,MATCH(A459,Inputs!$B$6:$D$6,0))-(C459-1)*=INDEX(Inputs!$B$7:$D$7,1,MATCH(A459,Inputs!$B$6:$D$6,0))))</x:f>
        <x:v>13</x:v>
      </x:c>
      <x:c r="I459" s="20" t="n">
        <x:f>INDEX(Inputs!$B$8:$D$8,1,MATCH(A459,Inputs!$B$6:$D$6,0))</x:f>
        <x:v>2395</x:v>
      </x:c>
      <x:c r="J459" s="20" t="n">
        <x:f>INDEX(Roster!$C$6:$C$108,MATCH(D459,Roster!$A$6:$A$108,0))*(1+INDEX(Inputs!$B$9:$D$9,1,MATCH(A459,Inputs!$B$6:$D$6,0)))</x:f>
        <x:v>150</x:v>
      </x:c>
      <x:c r="K459" s="20" t="n">
        <x:f>IF(=INDEX(Roster!$F$6:$F$108,MATCH(D459,Roster!$A$6:$A$108,0))="Yes",0,=INDEX(Inputs!$B$8:$D$8,1,MATCH(A459,Inputs!$B$6:$D$6,0))*IF(=INDEX(Roster!$B$6:$B$108,MATCH(D459,Roster!$A$6:$A$108,0))="Principal",INDEX(Inputs!$B$10:$D$10,1,MATCH(A459,Inputs!$B$6:$D$6,0)),IF(=INDEX(Roster!$B$6:$B$108,MATCH(D459,Roster!$A$6:$A$108,0))="Associate Principal",INDEX(Inputs!$B$11:$D$11,1,MATCH(A459,Inputs!$B$6:$D$6,0)),IF(=INDEX(Roster!$B$6:$B$108,MATCH(D459,Roster!$A$6:$A$108,0))="Assistant Principal",INDEX(Inputs!$B$12:$D$12,1,MATCH(A459,Inputs!$B$6:$D$6,0)),0))))</x:f>
        <x:v>0</x:v>
      </x:c>
      <x:c r="L459" s="20" t="n">
        <x:f>IF(INDEX(Roster!$D$6:$D$108,MATCH(D459,Roster!$A$6:$A$108,0))&gt;=25,INDEX(Inputs!$B$19:$D$19,1,MATCH(A459,Inputs!$B$6:$D$6,0)),IF(INDEX(Roster!$D$6:$D$108,MATCH(D459,Roster!$A$6:$A$108,0))&gt;=20,INDEX(Inputs!$B$18:$D$18,1,MATCH(A459,Inputs!$B$6:$D$6,0)),IF(INDEX(Roster!$D$6:$D$108,MATCH(D459,Roster!$A$6:$A$108,0))&gt;=15,INDEX(Inputs!$B$17:$D$17,1,MATCH(A459,Inputs!$B$6:$D$6,0)),IF(INDEX(Roster!$D$6:$D$108,MATCH(D459,Roster!$A$6:$A$108,0))&gt;=10,INDEX(Inputs!$B$16:$D$16,1,MATCH(A459,Inputs!$B$6:$D$6,0)),IF(INDEX(Roster!$D$6:$D$108,MATCH(D459,Roster!$A$6:$A$108,0))&gt;=5,INDEX(Inputs!$B$15:$D$15,1,MATCH(A459,Inputs!$B$6:$D$6,0)),0)))))</x:f>
        <x:v>90</x:v>
      </x:c>
      <x:c r="M459" s="20" t="n">
        <x:f>G459*I459</x:f>
        <x:v>31135</x:v>
      </x:c>
      <x:c r="N459" s="20" t="n">
        <x:f>G459*J459</x:f>
        <x:v>1950</x:v>
      </x:c>
      <x:c r="O459" s="20" t="n">
        <x:f>G459*K459</x:f>
        <x:v>0</x:v>
      </x:c>
      <x:c r="P459" s="20" t="n">
        <x:f>G459*L459</x:f>
        <x:v>1170</x:v>
      </x:c>
      <x:c r="Q459" s="20" t="n">
        <x:f>H459*INDEX(Inputs!$B$13:$D$13,1,MATCH(A459,Inputs!$B$6:$D$6,0))</x:f>
        <x:v>390</x:v>
      </x:c>
      <x:c r="R459" s="20" t="n">
        <x:f>SUM(M459:Q459)</x:f>
        <x:v>34645</x:v>
      </x:c>
      <x:c r="S459" s="20" t="n">
        <x:f>IF(AND(A458=A459,D458=D459),S458+R459,R459)</x:f>
        <x:v>69290</x:v>
      </x:c>
      <x:c r="T459" s="20" t="n">
        <x:f>MIN(S459,INDEX(Inputs!$B$20:$D$20,1,MATCH(A459,Inputs!$B$6:$D$6,0)))*INDEX(Inputs!$B$22:$D$22,1,MATCH(A459,Inputs!$B$6:$D$6,0))+MAX(MIN(S459,INDEX(Inputs!$B$21:$D$21,1,MATCH(A459,Inputs!$B$6:$D$6,0)))-INDEX(Inputs!$B$20:$D$20,1,MATCH(A459,Inputs!$B$6:$D$6,0)),0)*INDEX(Inputs!$B$23:$D$23,1,MATCH(A459,Inputs!$B$6:$D$6,0))+MAX(S459-INDEX(Inputs!$B$21:$D$21,1,MATCH(A459,Inputs!$B$6:$D$6,0)),0)*INDEX(Inputs!$B$24:$D$24,1,MATCH(A459,Inputs!$B$6:$D$6,0))</x:f>
        <x:v>5790.6849999999995</x:v>
      </x:c>
      <x:c r="U459" s="20" t="n">
        <x:f>IF(AND(A458=A459,D458=D459),T458,0)</x:f>
        <x:v>3140.3424999999997</x:v>
      </x:c>
      <x:c r="V459" s="20" t="n">
        <x:f>T459-U459</x:f>
        <x:v>2650.3424999999997</x:v>
      </x:c>
      <x:c r="W459" s="20" t="n">
        <x:f>R459+V459</x:f>
        <x:v>37295.3425</x:v>
      </x:c>
      <x:c r="X459" s="14" t="str">
        <x:f>IF(ABS(W459-SUM(M459:Q459)-V459)&lt;0.01,"OK","Check")</x:f>
        <x:v>OK</x:v>
      </x:c>
    </x:row>
    <x:row r="460">
      <x:c r="A460" s="14" t="n">
        <x:v>2027</x:v>
      </x:c>
      <x:c r="B460" s="14" t="str">
        <x:v>Q3</x:v>
      </x:c>
      <x:c r="C460" s="14" t="n">
        <x:v>3</x:v>
      </x:c>
      <x:c r="D460" s="14" t="n">
        <x:v>11</x:v>
      </x:c>
      <x:c r="E460" s="14" t="str">
        <x:f>INDEX(Roster!$B$6:$B$108,MATCH(D460,Roster!$A$6:$A$108,0))</x:f>
      </x:c>
      <x:c r="F460" s="14" t="str">
        <x:f>INDEX(Roster!$F$6:$F$108,MATCH(D460,Roster!$A$6:$A$108,0))</x:f>
        <x:v>No</x:v>
      </x:c>
      <x:c r="G460" s="14" t="n">
        <x:f>INDEX(Inputs!$B$7:$D$7,1,MATCH(A460,Inputs!$B$6:$D$6,0))</x:f>
        <x:v>13</x:v>
      </x:c>
      <x:c r="H460" s="14" t="n">
        <x:f>MIN(=INDEX(Inputs!$B$7:$D$7,1,MATCH(A460,Inputs!$B$6:$D$6,0)),MAX(0,INDEX(Inputs!$B$14:$D$14,1,MATCH(A460,Inputs!$B$6:$D$6,0))-(C460-1)*=INDEX(Inputs!$B$7:$D$7,1,MATCH(A460,Inputs!$B$6:$D$6,0))))</x:f>
        <x:v>13</x:v>
      </x:c>
      <x:c r="I460" s="20" t="n">
        <x:f>INDEX(Inputs!$B$8:$D$8,1,MATCH(A460,Inputs!$B$6:$D$6,0))</x:f>
        <x:v>2395</x:v>
      </x:c>
      <x:c r="J460" s="20" t="n">
        <x:f>INDEX(Roster!$C$6:$C$108,MATCH(D460,Roster!$A$6:$A$108,0))*(1+INDEX(Inputs!$B$9:$D$9,1,MATCH(A460,Inputs!$B$6:$D$6,0)))</x:f>
        <x:v>150</x:v>
      </x:c>
      <x:c r="K460" s="20" t="n">
        <x:f>IF(=INDEX(Roster!$F$6:$F$108,MATCH(D460,Roster!$A$6:$A$108,0))="Yes",0,=INDEX(Inputs!$B$8:$D$8,1,MATCH(A460,Inputs!$B$6:$D$6,0))*IF(=INDEX(Roster!$B$6:$B$108,MATCH(D460,Roster!$A$6:$A$108,0))="Principal",INDEX(Inputs!$B$10:$D$10,1,MATCH(A460,Inputs!$B$6:$D$6,0)),IF(=INDEX(Roster!$B$6:$B$108,MATCH(D460,Roster!$A$6:$A$108,0))="Associate Principal",INDEX(Inputs!$B$11:$D$11,1,MATCH(A460,Inputs!$B$6:$D$6,0)),IF(=INDEX(Roster!$B$6:$B$108,MATCH(D460,Roster!$A$6:$A$108,0))="Assistant Principal",INDEX(Inputs!$B$12:$D$12,1,MATCH(A460,Inputs!$B$6:$D$6,0)),0))))</x:f>
        <x:v>0</x:v>
      </x:c>
      <x:c r="L460" s="20" t="n">
        <x:f>IF(INDEX(Roster!$D$6:$D$108,MATCH(D460,Roster!$A$6:$A$108,0))&gt;=25,INDEX(Inputs!$B$19:$D$19,1,MATCH(A460,Inputs!$B$6:$D$6,0)),IF(INDEX(Roster!$D$6:$D$108,MATCH(D460,Roster!$A$6:$A$108,0))&gt;=20,INDEX(Inputs!$B$18:$D$18,1,MATCH(A460,Inputs!$B$6:$D$6,0)),IF(INDEX(Roster!$D$6:$D$108,MATCH(D460,Roster!$A$6:$A$108,0))&gt;=15,INDEX(Inputs!$B$17:$D$17,1,MATCH(A460,Inputs!$B$6:$D$6,0)),IF(INDEX(Roster!$D$6:$D$108,MATCH(D460,Roster!$A$6:$A$108,0))&gt;=10,INDEX(Inputs!$B$16:$D$16,1,MATCH(A460,Inputs!$B$6:$D$6,0)),IF(INDEX(Roster!$D$6:$D$108,MATCH(D460,Roster!$A$6:$A$108,0))&gt;=5,INDEX(Inputs!$B$15:$D$15,1,MATCH(A460,Inputs!$B$6:$D$6,0)),0)))))</x:f>
        <x:v>90</x:v>
      </x:c>
      <x:c r="M460" s="20" t="n">
        <x:f>G460*I460</x:f>
        <x:v>31135</x:v>
      </x:c>
      <x:c r="N460" s="20" t="n">
        <x:f>G460*J460</x:f>
        <x:v>1950</x:v>
      </x:c>
      <x:c r="O460" s="20" t="n">
        <x:f>G460*K460</x:f>
        <x:v>0</x:v>
      </x:c>
      <x:c r="P460" s="20" t="n">
        <x:f>G460*L460</x:f>
        <x:v>1170</x:v>
      </x:c>
      <x:c r="Q460" s="20" t="n">
        <x:f>H460*INDEX(Inputs!$B$13:$D$13,1,MATCH(A460,Inputs!$B$6:$D$6,0))</x:f>
        <x:v>390</x:v>
      </x:c>
      <x:c r="R460" s="20" t="n">
        <x:f>SUM(M460:Q460)</x:f>
        <x:v>34645</x:v>
      </x:c>
      <x:c r="S460" s="20" t="n">
        <x:f>IF(AND(A459=A460,D459=D460),S459+R460,R460)</x:f>
        <x:v>103935</x:v>
      </x:c>
      <x:c r="T460" s="20" t="n">
        <x:f>MIN(S460,INDEX(Inputs!$B$20:$D$20,1,MATCH(A460,Inputs!$B$6:$D$6,0)))*INDEX(Inputs!$B$22:$D$22,1,MATCH(A460,Inputs!$B$6:$D$6,0))+MAX(MIN(S460,INDEX(Inputs!$B$21:$D$21,1,MATCH(A460,Inputs!$B$6:$D$6,0)))-INDEX(Inputs!$B$20:$D$20,1,MATCH(A460,Inputs!$B$6:$D$6,0)),0)*INDEX(Inputs!$B$23:$D$23,1,MATCH(A460,Inputs!$B$6:$D$6,0))+MAX(S460-INDEX(Inputs!$B$21:$D$21,1,MATCH(A460,Inputs!$B$6:$D$6,0)),0)*INDEX(Inputs!$B$24:$D$24,1,MATCH(A460,Inputs!$B$6:$D$6,0))</x:f>
        <x:v>8441.0275</x:v>
      </x:c>
      <x:c r="U460" s="20" t="n">
        <x:f>IF(AND(A459=A460,D459=D460),T459,0)</x:f>
        <x:v>5790.6849999999995</x:v>
      </x:c>
      <x:c r="V460" s="20" t="n">
        <x:f>T460-U460</x:f>
        <x:v>2650.3425000000007</x:v>
      </x:c>
      <x:c r="W460" s="20" t="n">
        <x:f>R460+V460</x:f>
        <x:v>37295.3425</x:v>
      </x:c>
      <x:c r="X460" s="14" t="str">
        <x:f>IF(ABS(W460-SUM(M460:Q460)-V460)&lt;0.01,"OK","Check")</x:f>
        <x:v>OK</x:v>
      </x:c>
    </x:row>
    <x:row r="461">
      <x:c r="A461" s="14" t="n">
        <x:v>2027</x:v>
      </x:c>
      <x:c r="B461" s="14" t="str">
        <x:v>Q4</x:v>
      </x:c>
      <x:c r="C461" s="14" t="n">
        <x:v>4</x:v>
      </x:c>
      <x:c r="D461" s="14" t="n">
        <x:v>11</x:v>
      </x:c>
      <x:c r="E461" s="14" t="str">
        <x:f>INDEX(Roster!$B$6:$B$108,MATCH(D461,Roster!$A$6:$A$108,0))</x:f>
      </x:c>
      <x:c r="F461" s="14" t="str">
        <x:f>INDEX(Roster!$F$6:$F$108,MATCH(D461,Roster!$A$6:$A$108,0))</x:f>
        <x:v>No</x:v>
      </x:c>
      <x:c r="G461" s="14" t="n">
        <x:f>INDEX(Inputs!$B$7:$D$7,1,MATCH(A461,Inputs!$B$6:$D$6,0))</x:f>
        <x:v>13</x:v>
      </x:c>
      <x:c r="H461" s="14" t="n">
        <x:f>MIN(=INDEX(Inputs!$B$7:$D$7,1,MATCH(A461,Inputs!$B$6:$D$6,0)),MAX(0,INDEX(Inputs!$B$14:$D$14,1,MATCH(A461,Inputs!$B$6:$D$6,0))-(C461-1)*=INDEX(Inputs!$B$7:$D$7,1,MATCH(A461,Inputs!$B$6:$D$6,0))))</x:f>
        <x:v>0</x:v>
      </x:c>
      <x:c r="I461" s="20" t="n">
        <x:f>INDEX(Inputs!$B$8:$D$8,1,MATCH(A461,Inputs!$B$6:$D$6,0))</x:f>
        <x:v>2395</x:v>
      </x:c>
      <x:c r="J461" s="20" t="n">
        <x:f>INDEX(Roster!$C$6:$C$108,MATCH(D461,Roster!$A$6:$A$108,0))*(1+INDEX(Inputs!$B$9:$D$9,1,MATCH(A461,Inputs!$B$6:$D$6,0)))</x:f>
        <x:v>150</x:v>
      </x:c>
      <x:c r="K461" s="20" t="n">
        <x:f>IF(=INDEX(Roster!$F$6:$F$108,MATCH(D461,Roster!$A$6:$A$108,0))="Yes",0,=INDEX(Inputs!$B$8:$D$8,1,MATCH(A461,Inputs!$B$6:$D$6,0))*IF(=INDEX(Roster!$B$6:$B$108,MATCH(D461,Roster!$A$6:$A$108,0))="Principal",INDEX(Inputs!$B$10:$D$10,1,MATCH(A461,Inputs!$B$6:$D$6,0)),IF(=INDEX(Roster!$B$6:$B$108,MATCH(D461,Roster!$A$6:$A$108,0))="Associate Principal",INDEX(Inputs!$B$11:$D$11,1,MATCH(A461,Inputs!$B$6:$D$6,0)),IF(=INDEX(Roster!$B$6:$B$108,MATCH(D461,Roster!$A$6:$A$108,0))="Assistant Principal",INDEX(Inputs!$B$12:$D$12,1,MATCH(A461,Inputs!$B$6:$D$6,0)),0))))</x:f>
        <x:v>0</x:v>
      </x:c>
      <x:c r="L461" s="20" t="n">
        <x:f>IF(INDEX(Roster!$D$6:$D$108,MATCH(D461,Roster!$A$6:$A$108,0))&gt;=25,INDEX(Inputs!$B$19:$D$19,1,MATCH(A461,Inputs!$B$6:$D$6,0)),IF(INDEX(Roster!$D$6:$D$108,MATCH(D461,Roster!$A$6:$A$108,0))&gt;=20,INDEX(Inputs!$B$18:$D$18,1,MATCH(A461,Inputs!$B$6:$D$6,0)),IF(INDEX(Roster!$D$6:$D$108,MATCH(D461,Roster!$A$6:$A$108,0))&gt;=15,INDEX(Inputs!$B$17:$D$17,1,MATCH(A461,Inputs!$B$6:$D$6,0)),IF(INDEX(Roster!$D$6:$D$108,MATCH(D461,Roster!$A$6:$A$108,0))&gt;=10,INDEX(Inputs!$B$16:$D$16,1,MATCH(A461,Inputs!$B$6:$D$6,0)),IF(INDEX(Roster!$D$6:$D$108,MATCH(D461,Roster!$A$6:$A$108,0))&gt;=5,INDEX(Inputs!$B$15:$D$15,1,MATCH(A461,Inputs!$B$6:$D$6,0)),0)))))</x:f>
        <x:v>90</x:v>
      </x:c>
      <x:c r="M461" s="20" t="n">
        <x:f>G461*I461</x:f>
        <x:v>31135</x:v>
      </x:c>
      <x:c r="N461" s="20" t="n">
        <x:f>G461*J461</x:f>
        <x:v>1950</x:v>
      </x:c>
      <x:c r="O461" s="20" t="n">
        <x:f>G461*K461</x:f>
        <x:v>0</x:v>
      </x:c>
      <x:c r="P461" s="20" t="n">
        <x:f>G461*L461</x:f>
        <x:v>1170</x:v>
      </x:c>
      <x:c r="Q461" s="20" t="n">
        <x:f>H461*INDEX(Inputs!$B$13:$D$13,1,MATCH(A461,Inputs!$B$6:$D$6,0))</x:f>
        <x:v>0</x:v>
      </x:c>
      <x:c r="R461" s="20" t="n">
        <x:f>SUM(M461:Q461)</x:f>
        <x:v>34255</x:v>
      </x:c>
      <x:c r="S461" s="20" t="n">
        <x:f>IF(AND(A460=A461,D460=D461),S460+R461,R461)</x:f>
        <x:v>138190</x:v>
      </x:c>
      <x:c r="T461" s="20" t="n">
        <x:f>MIN(S461,INDEX(Inputs!$B$20:$D$20,1,MATCH(A461,Inputs!$B$6:$D$6,0)))*INDEX(Inputs!$B$22:$D$22,1,MATCH(A461,Inputs!$B$6:$D$6,0))+MAX(MIN(S461,INDEX(Inputs!$B$21:$D$21,1,MATCH(A461,Inputs!$B$6:$D$6,0)))-INDEX(Inputs!$B$20:$D$20,1,MATCH(A461,Inputs!$B$6:$D$6,0)),0)*INDEX(Inputs!$B$23:$D$23,1,MATCH(A461,Inputs!$B$6:$D$6,0))+MAX(S461-INDEX(Inputs!$B$21:$D$21,1,MATCH(A461,Inputs!$B$6:$D$6,0)),0)*INDEX(Inputs!$B$24:$D$24,1,MATCH(A461,Inputs!$B$6:$D$6,0))</x:f>
        <x:v>9917.697</x:v>
      </x:c>
      <x:c r="U461" s="20" t="n">
        <x:f>IF(AND(A460=A461,D460=D461),T460,0)</x:f>
        <x:v>8441.0275</x:v>
      </x:c>
      <x:c r="V461" s="20" t="n">
        <x:f>T461-U461</x:f>
        <x:v>1476.6695</x:v>
      </x:c>
      <x:c r="W461" s="20" t="n">
        <x:f>R461+V461</x:f>
        <x:v>35731.6695</x:v>
      </x:c>
      <x:c r="X461" s="14" t="str">
        <x:f>IF(ABS(W461-SUM(M461:Q461)-V461)&lt;0.01,"OK","Check")</x:f>
        <x:v>OK</x:v>
      </x:c>
    </x:row>
    <x:row r="462">
      <x:c r="A462" s="14" t="n">
        <x:v>2027</x:v>
      </x:c>
      <x:c r="B462" s="14" t="str">
        <x:v>Q1</x:v>
      </x:c>
      <x:c r="C462" s="14" t="n">
        <x:v>1</x:v>
      </x:c>
      <x:c r="D462" s="14" t="n">
        <x:v>12</x:v>
      </x:c>
      <x:c r="E462" s="14" t="str">
        <x:f>INDEX(Roster!$B$6:$B$108,MATCH(D462,Roster!$A$6:$A$108,0))</x:f>
      </x:c>
      <x:c r="F462" s="14" t="str">
        <x:f>INDEX(Roster!$F$6:$F$108,MATCH(D462,Roster!$A$6:$A$108,0))</x:f>
        <x:v>No</x:v>
      </x:c>
      <x:c r="G462" s="14" t="n">
        <x:f>INDEX(Inputs!$B$7:$D$7,1,MATCH(A462,Inputs!$B$6:$D$6,0))</x:f>
        <x:v>13</x:v>
      </x:c>
      <x:c r="H462" s="14" t="n">
        <x:f>MIN(=INDEX(Inputs!$B$7:$D$7,1,MATCH(A462,Inputs!$B$6:$D$6,0)),MAX(0,INDEX(Inputs!$B$14:$D$14,1,MATCH(A462,Inputs!$B$6:$D$6,0))-(C462-1)*=INDEX(Inputs!$B$7:$D$7,1,MATCH(A462,Inputs!$B$6:$D$6,0))))</x:f>
        <x:v>13</x:v>
      </x:c>
      <x:c r="I462" s="20" t="n">
        <x:f>INDEX(Inputs!$B$8:$D$8,1,MATCH(A462,Inputs!$B$6:$D$6,0))</x:f>
        <x:v>2395</x:v>
      </x:c>
      <x:c r="J462" s="20" t="n">
        <x:f>INDEX(Roster!$C$6:$C$108,MATCH(D462,Roster!$A$6:$A$108,0))*(1+INDEX(Inputs!$B$9:$D$9,1,MATCH(A462,Inputs!$B$6:$D$6,0)))</x:f>
        <x:v>50</x:v>
      </x:c>
      <x:c r="K462" s="20" t="n">
        <x:f>IF(=INDEX(Roster!$F$6:$F$108,MATCH(D462,Roster!$A$6:$A$108,0))="Yes",0,=INDEX(Inputs!$B$8:$D$8,1,MATCH(A462,Inputs!$B$6:$D$6,0))*IF(=INDEX(Roster!$B$6:$B$108,MATCH(D462,Roster!$A$6:$A$108,0))="Principal",INDEX(Inputs!$B$10:$D$10,1,MATCH(A462,Inputs!$B$6:$D$6,0)),IF(=INDEX(Roster!$B$6:$B$108,MATCH(D462,Roster!$A$6:$A$108,0))="Associate Principal",INDEX(Inputs!$B$11:$D$11,1,MATCH(A462,Inputs!$B$6:$D$6,0)),IF(=INDEX(Roster!$B$6:$B$108,MATCH(D462,Roster!$A$6:$A$108,0))="Assistant Principal",INDEX(Inputs!$B$12:$D$12,1,MATCH(A462,Inputs!$B$6:$D$6,0)),0))))</x:f>
        <x:v>0</x:v>
      </x:c>
      <x:c r="L462" s="20" t="n">
        <x:f>IF(INDEX(Roster!$D$6:$D$108,MATCH(D462,Roster!$A$6:$A$108,0))&gt;=25,INDEX(Inputs!$B$19:$D$19,1,MATCH(A462,Inputs!$B$6:$D$6,0)),IF(INDEX(Roster!$D$6:$D$108,MATCH(D462,Roster!$A$6:$A$108,0))&gt;=20,INDEX(Inputs!$B$18:$D$18,1,MATCH(A462,Inputs!$B$6:$D$6,0)),IF(INDEX(Roster!$D$6:$D$108,MATCH(D462,Roster!$A$6:$A$108,0))&gt;=15,INDEX(Inputs!$B$17:$D$17,1,MATCH(A462,Inputs!$B$6:$D$6,0)),IF(INDEX(Roster!$D$6:$D$108,MATCH(D462,Roster!$A$6:$A$108,0))&gt;=10,INDEX(Inputs!$B$16:$D$16,1,MATCH(A462,Inputs!$B$6:$D$6,0)),IF(INDEX(Roster!$D$6:$D$108,MATCH(D462,Roster!$A$6:$A$108,0))&gt;=5,INDEX(Inputs!$B$15:$D$15,1,MATCH(A462,Inputs!$B$6:$D$6,0)),0)))))</x:f>
        <x:v>90</x:v>
      </x:c>
      <x:c r="M462" s="20" t="n">
        <x:f>G462*I462</x:f>
        <x:v>31135</x:v>
      </x:c>
      <x:c r="N462" s="20" t="n">
        <x:f>G462*J462</x:f>
        <x:v>650</x:v>
      </x:c>
      <x:c r="O462" s="20" t="n">
        <x:f>G462*K462</x:f>
        <x:v>0</x:v>
      </x:c>
      <x:c r="P462" s="20" t="n">
        <x:f>G462*L462</x:f>
        <x:v>1170</x:v>
      </x:c>
      <x:c r="Q462" s="20" t="n">
        <x:f>H462*INDEX(Inputs!$B$13:$D$13,1,MATCH(A462,Inputs!$B$6:$D$6,0))</x:f>
        <x:v>390</x:v>
      </x:c>
      <x:c r="R462" s="20" t="n">
        <x:f>SUM(M462:Q462)</x:f>
        <x:v>33345</x:v>
      </x:c>
      <x:c r="S462" s="20" t="n">
        <x:f>IF(AND(A461=A462,D461=D462),S461+R462,R462)</x:f>
        <x:v>33345</x:v>
      </x:c>
      <x:c r="T462" s="20" t="n">
        <x:f>MIN(S462,INDEX(Inputs!$B$20:$D$20,1,MATCH(A462,Inputs!$B$6:$D$6,0)))*INDEX(Inputs!$B$22:$D$22,1,MATCH(A462,Inputs!$B$6:$D$6,0))+MAX(MIN(S462,INDEX(Inputs!$B$21:$D$21,1,MATCH(A462,Inputs!$B$6:$D$6,0)))-INDEX(Inputs!$B$20:$D$20,1,MATCH(A462,Inputs!$B$6:$D$6,0)),0)*INDEX(Inputs!$B$23:$D$23,1,MATCH(A462,Inputs!$B$6:$D$6,0))+MAX(S462-INDEX(Inputs!$B$21:$D$21,1,MATCH(A462,Inputs!$B$6:$D$6,0)),0)*INDEX(Inputs!$B$24:$D$24,1,MATCH(A462,Inputs!$B$6:$D$6,0))</x:f>
        <x:v>3040.8925</x:v>
      </x:c>
      <x:c r="U462" s="20" t="n">
        <x:f>IF(AND(A461=A462,D461=D462),T461,0)</x:f>
        <x:v>0</x:v>
      </x:c>
      <x:c r="V462" s="20" t="n">
        <x:f>T462-U462</x:f>
        <x:v>3040.8925</x:v>
      </x:c>
      <x:c r="W462" s="20" t="n">
        <x:f>R462+V462</x:f>
        <x:v>36385.8925</x:v>
      </x:c>
      <x:c r="X462" s="14" t="str">
        <x:f>IF(ABS(W462-SUM(M462:Q462)-V462)&lt;0.01,"OK","Check")</x:f>
        <x:v>OK</x:v>
      </x:c>
    </x:row>
    <x:row r="463">
      <x:c r="A463" s="14" t="n">
        <x:v>2027</x:v>
      </x:c>
      <x:c r="B463" s="14" t="str">
        <x:v>Q2</x:v>
      </x:c>
      <x:c r="C463" s="14" t="n">
        <x:v>2</x:v>
      </x:c>
      <x:c r="D463" s="14" t="n">
        <x:v>12</x:v>
      </x:c>
      <x:c r="E463" s="14" t="str">
        <x:f>INDEX(Roster!$B$6:$B$108,MATCH(D463,Roster!$A$6:$A$108,0))</x:f>
      </x:c>
      <x:c r="F463" s="14" t="str">
        <x:f>INDEX(Roster!$F$6:$F$108,MATCH(D463,Roster!$A$6:$A$108,0))</x:f>
        <x:v>No</x:v>
      </x:c>
      <x:c r="G463" s="14" t="n">
        <x:f>INDEX(Inputs!$B$7:$D$7,1,MATCH(A463,Inputs!$B$6:$D$6,0))</x:f>
        <x:v>13</x:v>
      </x:c>
      <x:c r="H463" s="14" t="n">
        <x:f>MIN(=INDEX(Inputs!$B$7:$D$7,1,MATCH(A463,Inputs!$B$6:$D$6,0)),MAX(0,INDEX(Inputs!$B$14:$D$14,1,MATCH(A463,Inputs!$B$6:$D$6,0))-(C463-1)*=INDEX(Inputs!$B$7:$D$7,1,MATCH(A463,Inputs!$B$6:$D$6,0))))</x:f>
        <x:v>13</x:v>
      </x:c>
      <x:c r="I463" s="20" t="n">
        <x:f>INDEX(Inputs!$B$8:$D$8,1,MATCH(A463,Inputs!$B$6:$D$6,0))</x:f>
        <x:v>2395</x:v>
      </x:c>
      <x:c r="J463" s="20" t="n">
        <x:f>INDEX(Roster!$C$6:$C$108,MATCH(D463,Roster!$A$6:$A$108,0))*(1+INDEX(Inputs!$B$9:$D$9,1,MATCH(A463,Inputs!$B$6:$D$6,0)))</x:f>
        <x:v>50</x:v>
      </x:c>
      <x:c r="K463" s="20" t="n">
        <x:f>IF(=INDEX(Roster!$F$6:$F$108,MATCH(D463,Roster!$A$6:$A$108,0))="Yes",0,=INDEX(Inputs!$B$8:$D$8,1,MATCH(A463,Inputs!$B$6:$D$6,0))*IF(=INDEX(Roster!$B$6:$B$108,MATCH(D463,Roster!$A$6:$A$108,0))="Principal",INDEX(Inputs!$B$10:$D$10,1,MATCH(A463,Inputs!$B$6:$D$6,0)),IF(=INDEX(Roster!$B$6:$B$108,MATCH(D463,Roster!$A$6:$A$108,0))="Associate Principal",INDEX(Inputs!$B$11:$D$11,1,MATCH(A463,Inputs!$B$6:$D$6,0)),IF(=INDEX(Roster!$B$6:$B$108,MATCH(D463,Roster!$A$6:$A$108,0))="Assistant Principal",INDEX(Inputs!$B$12:$D$12,1,MATCH(A463,Inputs!$B$6:$D$6,0)),0))))</x:f>
        <x:v>0</x:v>
      </x:c>
      <x:c r="L463" s="20" t="n">
        <x:f>IF(INDEX(Roster!$D$6:$D$108,MATCH(D463,Roster!$A$6:$A$108,0))&gt;=25,INDEX(Inputs!$B$19:$D$19,1,MATCH(A463,Inputs!$B$6:$D$6,0)),IF(INDEX(Roster!$D$6:$D$108,MATCH(D463,Roster!$A$6:$A$108,0))&gt;=20,INDEX(Inputs!$B$18:$D$18,1,MATCH(A463,Inputs!$B$6:$D$6,0)),IF(INDEX(Roster!$D$6:$D$108,MATCH(D463,Roster!$A$6:$A$108,0))&gt;=15,INDEX(Inputs!$B$17:$D$17,1,MATCH(A463,Inputs!$B$6:$D$6,0)),IF(INDEX(Roster!$D$6:$D$108,MATCH(D463,Roster!$A$6:$A$108,0))&gt;=10,INDEX(Inputs!$B$16:$D$16,1,MATCH(A463,Inputs!$B$6:$D$6,0)),IF(INDEX(Roster!$D$6:$D$108,MATCH(D463,Roster!$A$6:$A$108,0))&gt;=5,INDEX(Inputs!$B$15:$D$15,1,MATCH(A463,Inputs!$B$6:$D$6,0)),0)))))</x:f>
        <x:v>90</x:v>
      </x:c>
      <x:c r="M463" s="20" t="n">
        <x:f>G463*I463</x:f>
        <x:v>31135</x:v>
      </x:c>
      <x:c r="N463" s="20" t="n">
        <x:f>G463*J463</x:f>
        <x:v>650</x:v>
      </x:c>
      <x:c r="O463" s="20" t="n">
        <x:f>G463*K463</x:f>
        <x:v>0</x:v>
      </x:c>
      <x:c r="P463" s="20" t="n">
        <x:f>G463*L463</x:f>
        <x:v>1170</x:v>
      </x:c>
      <x:c r="Q463" s="20" t="n">
        <x:f>H463*INDEX(Inputs!$B$13:$D$13,1,MATCH(A463,Inputs!$B$6:$D$6,0))</x:f>
        <x:v>390</x:v>
      </x:c>
      <x:c r="R463" s="20" t="n">
        <x:f>SUM(M463:Q463)</x:f>
        <x:v>33345</x:v>
      </x:c>
      <x:c r="S463" s="20" t="n">
        <x:f>IF(AND(A462=A463,D462=D463),S462+R463,R463)</x:f>
        <x:v>66690</x:v>
      </x:c>
      <x:c r="T463" s="20" t="n">
        <x:f>MIN(S463,INDEX(Inputs!$B$20:$D$20,1,MATCH(A463,Inputs!$B$6:$D$6,0)))*INDEX(Inputs!$B$22:$D$22,1,MATCH(A463,Inputs!$B$6:$D$6,0))+MAX(MIN(S463,INDEX(Inputs!$B$21:$D$21,1,MATCH(A463,Inputs!$B$6:$D$6,0)))-INDEX(Inputs!$B$20:$D$20,1,MATCH(A463,Inputs!$B$6:$D$6,0)),0)*INDEX(Inputs!$B$23:$D$23,1,MATCH(A463,Inputs!$B$6:$D$6,0))+MAX(S463-INDEX(Inputs!$B$21:$D$21,1,MATCH(A463,Inputs!$B$6:$D$6,0)),0)*INDEX(Inputs!$B$24:$D$24,1,MATCH(A463,Inputs!$B$6:$D$6,0))</x:f>
        <x:v>5591.785</x:v>
      </x:c>
      <x:c r="U463" s="20" t="n">
        <x:f>IF(AND(A462=A463,D462=D463),T462,0)</x:f>
        <x:v>3040.8925</x:v>
      </x:c>
      <x:c r="V463" s="20" t="n">
        <x:f>T463-U463</x:f>
        <x:v>2550.8925</x:v>
      </x:c>
      <x:c r="W463" s="20" t="n">
        <x:f>R463+V463</x:f>
        <x:v>35895.8925</x:v>
      </x:c>
      <x:c r="X463" s="14" t="str">
        <x:f>IF(ABS(W463-SUM(M463:Q463)-V463)&lt;0.01,"OK","Check")</x:f>
        <x:v>OK</x:v>
      </x:c>
    </x:row>
    <x:row r="464">
      <x:c r="A464" s="14" t="n">
        <x:v>2027</x:v>
      </x:c>
      <x:c r="B464" s="14" t="str">
        <x:v>Q3</x:v>
      </x:c>
      <x:c r="C464" s="14" t="n">
        <x:v>3</x:v>
      </x:c>
      <x:c r="D464" s="14" t="n">
        <x:v>12</x:v>
      </x:c>
      <x:c r="E464" s="14" t="str">
        <x:f>INDEX(Roster!$B$6:$B$108,MATCH(D464,Roster!$A$6:$A$108,0))</x:f>
      </x:c>
      <x:c r="F464" s="14" t="str">
        <x:f>INDEX(Roster!$F$6:$F$108,MATCH(D464,Roster!$A$6:$A$108,0))</x:f>
        <x:v>No</x:v>
      </x:c>
      <x:c r="G464" s="14" t="n">
        <x:f>INDEX(Inputs!$B$7:$D$7,1,MATCH(A464,Inputs!$B$6:$D$6,0))</x:f>
        <x:v>13</x:v>
      </x:c>
      <x:c r="H464" s="14" t="n">
        <x:f>MIN(=INDEX(Inputs!$B$7:$D$7,1,MATCH(A464,Inputs!$B$6:$D$6,0)),MAX(0,INDEX(Inputs!$B$14:$D$14,1,MATCH(A464,Inputs!$B$6:$D$6,0))-(C464-1)*=INDEX(Inputs!$B$7:$D$7,1,MATCH(A464,Inputs!$B$6:$D$6,0))))</x:f>
        <x:v>13</x:v>
      </x:c>
      <x:c r="I464" s="20" t="n">
        <x:f>INDEX(Inputs!$B$8:$D$8,1,MATCH(A464,Inputs!$B$6:$D$6,0))</x:f>
        <x:v>2395</x:v>
      </x:c>
      <x:c r="J464" s="20" t="n">
        <x:f>INDEX(Roster!$C$6:$C$108,MATCH(D464,Roster!$A$6:$A$108,0))*(1+INDEX(Inputs!$B$9:$D$9,1,MATCH(A464,Inputs!$B$6:$D$6,0)))</x:f>
        <x:v>50</x:v>
      </x:c>
      <x:c r="K464" s="20" t="n">
        <x:f>IF(=INDEX(Roster!$F$6:$F$108,MATCH(D464,Roster!$A$6:$A$108,0))="Yes",0,=INDEX(Inputs!$B$8:$D$8,1,MATCH(A464,Inputs!$B$6:$D$6,0))*IF(=INDEX(Roster!$B$6:$B$108,MATCH(D464,Roster!$A$6:$A$108,0))="Principal",INDEX(Inputs!$B$10:$D$10,1,MATCH(A464,Inputs!$B$6:$D$6,0)),IF(=INDEX(Roster!$B$6:$B$108,MATCH(D464,Roster!$A$6:$A$108,0))="Associate Principal",INDEX(Inputs!$B$11:$D$11,1,MATCH(A464,Inputs!$B$6:$D$6,0)),IF(=INDEX(Roster!$B$6:$B$108,MATCH(D464,Roster!$A$6:$A$108,0))="Assistant Principal",INDEX(Inputs!$B$12:$D$12,1,MATCH(A464,Inputs!$B$6:$D$6,0)),0))))</x:f>
        <x:v>0</x:v>
      </x:c>
      <x:c r="L464" s="20" t="n">
        <x:f>IF(INDEX(Roster!$D$6:$D$108,MATCH(D464,Roster!$A$6:$A$108,0))&gt;=25,INDEX(Inputs!$B$19:$D$19,1,MATCH(A464,Inputs!$B$6:$D$6,0)),IF(INDEX(Roster!$D$6:$D$108,MATCH(D464,Roster!$A$6:$A$108,0))&gt;=20,INDEX(Inputs!$B$18:$D$18,1,MATCH(A464,Inputs!$B$6:$D$6,0)),IF(INDEX(Roster!$D$6:$D$108,MATCH(D464,Roster!$A$6:$A$108,0))&gt;=15,INDEX(Inputs!$B$17:$D$17,1,MATCH(A464,Inputs!$B$6:$D$6,0)),IF(INDEX(Roster!$D$6:$D$108,MATCH(D464,Roster!$A$6:$A$108,0))&gt;=10,INDEX(Inputs!$B$16:$D$16,1,MATCH(A464,Inputs!$B$6:$D$6,0)),IF(INDEX(Roster!$D$6:$D$108,MATCH(D464,Roster!$A$6:$A$108,0))&gt;=5,INDEX(Inputs!$B$15:$D$15,1,MATCH(A464,Inputs!$B$6:$D$6,0)),0)))))</x:f>
        <x:v>90</x:v>
      </x:c>
      <x:c r="M464" s="20" t="n">
        <x:f>G464*I464</x:f>
        <x:v>31135</x:v>
      </x:c>
      <x:c r="N464" s="20" t="n">
        <x:f>G464*J464</x:f>
        <x:v>650</x:v>
      </x:c>
      <x:c r="O464" s="20" t="n">
        <x:f>G464*K464</x:f>
        <x:v>0</x:v>
      </x:c>
      <x:c r="P464" s="20" t="n">
        <x:f>G464*L464</x:f>
        <x:v>1170</x:v>
      </x:c>
      <x:c r="Q464" s="20" t="n">
        <x:f>H464*INDEX(Inputs!$B$13:$D$13,1,MATCH(A464,Inputs!$B$6:$D$6,0))</x:f>
        <x:v>390</x:v>
      </x:c>
      <x:c r="R464" s="20" t="n">
        <x:f>SUM(M464:Q464)</x:f>
        <x:v>33345</x:v>
      </x:c>
      <x:c r="S464" s="20" t="n">
        <x:f>IF(AND(A463=A464,D463=D464),S463+R464,R464)</x:f>
        <x:v>100035</x:v>
      </x:c>
      <x:c r="T464" s="20" t="n">
        <x:f>MIN(S464,INDEX(Inputs!$B$20:$D$20,1,MATCH(A464,Inputs!$B$6:$D$6,0)))*INDEX(Inputs!$B$22:$D$22,1,MATCH(A464,Inputs!$B$6:$D$6,0))+MAX(MIN(S464,INDEX(Inputs!$B$21:$D$21,1,MATCH(A464,Inputs!$B$6:$D$6,0)))-INDEX(Inputs!$B$20:$D$20,1,MATCH(A464,Inputs!$B$6:$D$6,0)),0)*INDEX(Inputs!$B$23:$D$23,1,MATCH(A464,Inputs!$B$6:$D$6,0))+MAX(S464-INDEX(Inputs!$B$21:$D$21,1,MATCH(A464,Inputs!$B$6:$D$6,0)),0)*INDEX(Inputs!$B$24:$D$24,1,MATCH(A464,Inputs!$B$6:$D$6,0))</x:f>
        <x:v>8142.6775</x:v>
      </x:c>
      <x:c r="U464" s="20" t="n">
        <x:f>IF(AND(A463=A464,D463=D464),T463,0)</x:f>
        <x:v>5591.785</x:v>
      </x:c>
      <x:c r="V464" s="20" t="n">
        <x:f>T464-U464</x:f>
        <x:v>2550.8925</x:v>
      </x:c>
      <x:c r="W464" s="20" t="n">
        <x:f>R464+V464</x:f>
        <x:v>35895.8925</x:v>
      </x:c>
      <x:c r="X464" s="14" t="str">
        <x:f>IF(ABS(W464-SUM(M464:Q464)-V464)&lt;0.01,"OK","Check")</x:f>
        <x:v>OK</x:v>
      </x:c>
    </x:row>
    <x:row r="465">
      <x:c r="A465" s="14" t="n">
        <x:v>2027</x:v>
      </x:c>
      <x:c r="B465" s="14" t="str">
        <x:v>Q4</x:v>
      </x:c>
      <x:c r="C465" s="14" t="n">
        <x:v>4</x:v>
      </x:c>
      <x:c r="D465" s="14" t="n">
        <x:v>12</x:v>
      </x:c>
      <x:c r="E465" s="14" t="str">
        <x:f>INDEX(Roster!$B$6:$B$108,MATCH(D465,Roster!$A$6:$A$108,0))</x:f>
      </x:c>
      <x:c r="F465" s="14" t="str">
        <x:f>INDEX(Roster!$F$6:$F$108,MATCH(D465,Roster!$A$6:$A$108,0))</x:f>
        <x:v>No</x:v>
      </x:c>
      <x:c r="G465" s="14" t="n">
        <x:f>INDEX(Inputs!$B$7:$D$7,1,MATCH(A465,Inputs!$B$6:$D$6,0))</x:f>
        <x:v>13</x:v>
      </x:c>
      <x:c r="H465" s="14" t="n">
        <x:f>MIN(=INDEX(Inputs!$B$7:$D$7,1,MATCH(A465,Inputs!$B$6:$D$6,0)),MAX(0,INDEX(Inputs!$B$14:$D$14,1,MATCH(A465,Inputs!$B$6:$D$6,0))-(C465-1)*=INDEX(Inputs!$B$7:$D$7,1,MATCH(A465,Inputs!$B$6:$D$6,0))))</x:f>
        <x:v>0</x:v>
      </x:c>
      <x:c r="I465" s="20" t="n">
        <x:f>INDEX(Inputs!$B$8:$D$8,1,MATCH(A465,Inputs!$B$6:$D$6,0))</x:f>
        <x:v>2395</x:v>
      </x:c>
      <x:c r="J465" s="20" t="n">
        <x:f>INDEX(Roster!$C$6:$C$108,MATCH(D465,Roster!$A$6:$A$108,0))*(1+INDEX(Inputs!$B$9:$D$9,1,MATCH(A465,Inputs!$B$6:$D$6,0)))</x:f>
        <x:v>50</x:v>
      </x:c>
      <x:c r="K465" s="20" t="n">
        <x:f>IF(=INDEX(Roster!$F$6:$F$108,MATCH(D465,Roster!$A$6:$A$108,0))="Yes",0,=INDEX(Inputs!$B$8:$D$8,1,MATCH(A465,Inputs!$B$6:$D$6,0))*IF(=INDEX(Roster!$B$6:$B$108,MATCH(D465,Roster!$A$6:$A$108,0))="Principal",INDEX(Inputs!$B$10:$D$10,1,MATCH(A465,Inputs!$B$6:$D$6,0)),IF(=INDEX(Roster!$B$6:$B$108,MATCH(D465,Roster!$A$6:$A$108,0))="Associate Principal",INDEX(Inputs!$B$11:$D$11,1,MATCH(A465,Inputs!$B$6:$D$6,0)),IF(=INDEX(Roster!$B$6:$B$108,MATCH(D465,Roster!$A$6:$A$108,0))="Assistant Principal",INDEX(Inputs!$B$12:$D$12,1,MATCH(A465,Inputs!$B$6:$D$6,0)),0))))</x:f>
        <x:v>0</x:v>
      </x:c>
      <x:c r="L465" s="20" t="n">
        <x:f>IF(INDEX(Roster!$D$6:$D$108,MATCH(D465,Roster!$A$6:$A$108,0))&gt;=25,INDEX(Inputs!$B$19:$D$19,1,MATCH(A465,Inputs!$B$6:$D$6,0)),IF(INDEX(Roster!$D$6:$D$108,MATCH(D465,Roster!$A$6:$A$108,0))&gt;=20,INDEX(Inputs!$B$18:$D$18,1,MATCH(A465,Inputs!$B$6:$D$6,0)),IF(INDEX(Roster!$D$6:$D$108,MATCH(D465,Roster!$A$6:$A$108,0))&gt;=15,INDEX(Inputs!$B$17:$D$17,1,MATCH(A465,Inputs!$B$6:$D$6,0)),IF(INDEX(Roster!$D$6:$D$108,MATCH(D465,Roster!$A$6:$A$108,0))&gt;=10,INDEX(Inputs!$B$16:$D$16,1,MATCH(A465,Inputs!$B$6:$D$6,0)),IF(INDEX(Roster!$D$6:$D$108,MATCH(D465,Roster!$A$6:$A$108,0))&gt;=5,INDEX(Inputs!$B$15:$D$15,1,MATCH(A465,Inputs!$B$6:$D$6,0)),0)))))</x:f>
        <x:v>90</x:v>
      </x:c>
      <x:c r="M465" s="20" t="n">
        <x:f>G465*I465</x:f>
        <x:v>31135</x:v>
      </x:c>
      <x:c r="N465" s="20" t="n">
        <x:f>G465*J465</x:f>
        <x:v>650</x:v>
      </x:c>
      <x:c r="O465" s="20" t="n">
        <x:f>G465*K465</x:f>
        <x:v>0</x:v>
      </x:c>
      <x:c r="P465" s="20" t="n">
        <x:f>G465*L465</x:f>
        <x:v>1170</x:v>
      </x:c>
      <x:c r="Q465" s="20" t="n">
        <x:f>H465*INDEX(Inputs!$B$13:$D$13,1,MATCH(A465,Inputs!$B$6:$D$6,0))</x:f>
        <x:v>0</x:v>
      </x:c>
      <x:c r="R465" s="20" t="n">
        <x:f>SUM(M465:Q465)</x:f>
        <x:v>32955</x:v>
      </x:c>
      <x:c r="S465" s="20" t="n">
        <x:f>IF(AND(A464=A465,D464=D465),S464+R465,R465)</x:f>
        <x:v>132990</x:v>
      </x:c>
      <x:c r="T465" s="20" t="n">
        <x:f>MIN(S465,INDEX(Inputs!$B$20:$D$20,1,MATCH(A465,Inputs!$B$6:$D$6,0)))*INDEX(Inputs!$B$22:$D$22,1,MATCH(A465,Inputs!$B$6:$D$6,0))+MAX(MIN(S465,INDEX(Inputs!$B$21:$D$21,1,MATCH(A465,Inputs!$B$6:$D$6,0)))-INDEX(Inputs!$B$20:$D$20,1,MATCH(A465,Inputs!$B$6:$D$6,0)),0)*INDEX(Inputs!$B$23:$D$23,1,MATCH(A465,Inputs!$B$6:$D$6,0))+MAX(S465-INDEX(Inputs!$B$21:$D$21,1,MATCH(A465,Inputs!$B$6:$D$6,0)),0)*INDEX(Inputs!$B$24:$D$24,1,MATCH(A465,Inputs!$B$6:$D$6,0))</x:f>
        <x:v>9842.297</x:v>
      </x:c>
      <x:c r="U465" s="20" t="n">
        <x:f>IF(AND(A464=A465,D464=D465),T464,0)</x:f>
        <x:v>8142.6775</x:v>
      </x:c>
      <x:c r="V465" s="20" t="n">
        <x:f>T465-U465</x:f>
        <x:v>1699.6195000000007</x:v>
      </x:c>
      <x:c r="W465" s="20" t="n">
        <x:f>R465+V465</x:f>
        <x:v>34654.6195</x:v>
      </x:c>
      <x:c r="X465" s="14" t="str">
        <x:f>IF(ABS(W465-SUM(M465:Q465)-V465)&lt;0.01,"OK","Check")</x:f>
        <x:v>OK</x:v>
      </x:c>
    </x:row>
    <x:row r="466">
      <x:c r="A466" s="14" t="n">
        <x:v>2027</x:v>
      </x:c>
      <x:c r="B466" s="14" t="str">
        <x:v>Q1</x:v>
      </x:c>
      <x:c r="C466" s="14" t="n">
        <x:v>1</x:v>
      </x:c>
      <x:c r="D466" s="14" t="n">
        <x:v>13</x:v>
      </x:c>
      <x:c r="E466" s="14" t="str">
        <x:f>INDEX(Roster!$B$6:$B$108,MATCH(D466,Roster!$A$6:$A$108,0))</x:f>
        <x:v>Associate Principal</x:v>
      </x:c>
      <x:c r="F466" s="14" t="str">
        <x:f>INDEX(Roster!$F$6:$F$108,MATCH(D466,Roster!$A$6:$A$108,0))</x:f>
        <x:v>No</x:v>
      </x:c>
      <x:c r="G466" s="14" t="n">
        <x:f>INDEX(Inputs!$B$7:$D$7,1,MATCH(A466,Inputs!$B$6:$D$6,0))</x:f>
        <x:v>13</x:v>
      </x:c>
      <x:c r="H466" s="14" t="n">
        <x:f>MIN(=INDEX(Inputs!$B$7:$D$7,1,MATCH(A466,Inputs!$B$6:$D$6,0)),MAX(0,INDEX(Inputs!$B$14:$D$14,1,MATCH(A466,Inputs!$B$6:$D$6,0))-(C466-1)*=INDEX(Inputs!$B$7:$D$7,1,MATCH(A466,Inputs!$B$6:$D$6,0))))</x:f>
        <x:v>13</x:v>
      </x:c>
      <x:c r="I466" s="20" t="n">
        <x:f>INDEX(Inputs!$B$8:$D$8,1,MATCH(A466,Inputs!$B$6:$D$6,0))</x:f>
        <x:v>2395</x:v>
      </x:c>
      <x:c r="J466" s="20" t="n">
        <x:f>INDEX(Roster!$C$6:$C$108,MATCH(D466,Roster!$A$6:$A$108,0))*(1+INDEX(Inputs!$B$9:$D$9,1,MATCH(A466,Inputs!$B$6:$D$6,0)))</x:f>
        <x:v>350</x:v>
      </x:c>
      <x:c r="K466" s="20" t="n">
        <x:f>IF(=INDEX(Roster!$F$6:$F$108,MATCH(D466,Roster!$A$6:$A$108,0))="Yes",0,=INDEX(Inputs!$B$8:$D$8,1,MATCH(A466,Inputs!$B$6:$D$6,0))*IF(=INDEX(Roster!$B$6:$B$108,MATCH(D466,Roster!$A$6:$A$108,0))="Principal",INDEX(Inputs!$B$10:$D$10,1,MATCH(A466,Inputs!$B$6:$D$6,0)),IF(=INDEX(Roster!$B$6:$B$108,MATCH(D466,Roster!$A$6:$A$108,0))="Associate Principal",INDEX(Inputs!$B$11:$D$11,1,MATCH(A466,Inputs!$B$6:$D$6,0)),IF(=INDEX(Roster!$B$6:$B$108,MATCH(D466,Roster!$A$6:$A$108,0))="Assistant Principal",INDEX(Inputs!$B$12:$D$12,1,MATCH(A466,Inputs!$B$6:$D$6,0)),0))))</x:f>
        <x:v>239.5</x:v>
      </x:c>
      <x:c r="L466" s="20" t="n">
        <x:f>IF(INDEX(Roster!$D$6:$D$108,MATCH(D466,Roster!$A$6:$A$108,0))&gt;=25,INDEX(Inputs!$B$19:$D$19,1,MATCH(A466,Inputs!$B$6:$D$6,0)),IF(INDEX(Roster!$D$6:$D$108,MATCH(D466,Roster!$A$6:$A$108,0))&gt;=20,INDEX(Inputs!$B$18:$D$18,1,MATCH(A466,Inputs!$B$6:$D$6,0)),IF(INDEX(Roster!$D$6:$D$108,MATCH(D466,Roster!$A$6:$A$108,0))&gt;=15,INDEX(Inputs!$B$17:$D$17,1,MATCH(A466,Inputs!$B$6:$D$6,0)),IF(INDEX(Roster!$D$6:$D$108,MATCH(D466,Roster!$A$6:$A$108,0))&gt;=10,INDEX(Inputs!$B$16:$D$16,1,MATCH(A466,Inputs!$B$6:$D$6,0)),IF(INDEX(Roster!$D$6:$D$108,MATCH(D466,Roster!$A$6:$A$108,0))&gt;=5,INDEX(Inputs!$B$15:$D$15,1,MATCH(A466,Inputs!$B$6:$D$6,0)),0)))))</x:f>
        <x:v>50</x:v>
      </x:c>
      <x:c r="M466" s="20" t="n">
        <x:f>G466*I466</x:f>
        <x:v>31135</x:v>
      </x:c>
      <x:c r="N466" s="20" t="n">
        <x:f>G466*J466</x:f>
        <x:v>4550</x:v>
      </x:c>
      <x:c r="O466" s="20" t="n">
        <x:f>G466*K466</x:f>
        <x:v>3113.5</x:v>
      </x:c>
      <x:c r="P466" s="20" t="n">
        <x:f>G466*L466</x:f>
        <x:v>650</x:v>
      </x:c>
      <x:c r="Q466" s="20" t="n">
        <x:f>H466*INDEX(Inputs!$B$13:$D$13,1,MATCH(A466,Inputs!$B$6:$D$6,0))</x:f>
        <x:v>390</x:v>
      </x:c>
      <x:c r="R466" s="20" t="n">
        <x:f>SUM(M466:Q466)</x:f>
        <x:v>39838.5</x:v>
      </x:c>
      <x:c r="S466" s="20" t="n">
        <x:f>IF(AND(A465=A466,D465=D466),S465+R466,R466)</x:f>
        <x:v>39838.5</x:v>
      </x:c>
      <x:c r="T466" s="20" t="n">
        <x:f>MIN(S466,INDEX(Inputs!$B$20:$D$20,1,MATCH(A466,Inputs!$B$6:$D$6,0)))*INDEX(Inputs!$B$22:$D$22,1,MATCH(A466,Inputs!$B$6:$D$6,0))+MAX(MIN(S466,INDEX(Inputs!$B$21:$D$21,1,MATCH(A466,Inputs!$B$6:$D$6,0)))-INDEX(Inputs!$B$20:$D$20,1,MATCH(A466,Inputs!$B$6:$D$6,0)),0)*INDEX(Inputs!$B$23:$D$23,1,MATCH(A466,Inputs!$B$6:$D$6,0))+MAX(S466-INDEX(Inputs!$B$21:$D$21,1,MATCH(A466,Inputs!$B$6:$D$6,0)),0)*INDEX(Inputs!$B$24:$D$24,1,MATCH(A466,Inputs!$B$6:$D$6,0))</x:f>
        <x:v>3537.64525</x:v>
      </x:c>
      <x:c r="U466" s="20" t="n">
        <x:f>IF(AND(A465=A466,D465=D466),T465,0)</x:f>
        <x:v>0</x:v>
      </x:c>
      <x:c r="V466" s="20" t="n">
        <x:f>T466-U466</x:f>
        <x:v>3537.64525</x:v>
      </x:c>
      <x:c r="W466" s="20" t="n">
        <x:f>R466+V466</x:f>
        <x:v>43376.14525</x:v>
      </x:c>
      <x:c r="X466" s="14" t="str">
        <x:f>IF(ABS(W466-SUM(M466:Q466)-V466)&lt;0.01,"OK","Check")</x:f>
        <x:v>OK</x:v>
      </x:c>
    </x:row>
    <x:row r="467">
      <x:c r="A467" s="14" t="n">
        <x:v>2027</x:v>
      </x:c>
      <x:c r="B467" s="14" t="str">
        <x:v>Q2</x:v>
      </x:c>
      <x:c r="C467" s="14" t="n">
        <x:v>2</x:v>
      </x:c>
      <x:c r="D467" s="14" t="n">
        <x:v>13</x:v>
      </x:c>
      <x:c r="E467" s="14" t="str">
        <x:f>INDEX(Roster!$B$6:$B$108,MATCH(D467,Roster!$A$6:$A$108,0))</x:f>
        <x:v>Associate Principal</x:v>
      </x:c>
      <x:c r="F467" s="14" t="str">
        <x:f>INDEX(Roster!$F$6:$F$108,MATCH(D467,Roster!$A$6:$A$108,0))</x:f>
        <x:v>No</x:v>
      </x:c>
      <x:c r="G467" s="14" t="n">
        <x:f>INDEX(Inputs!$B$7:$D$7,1,MATCH(A467,Inputs!$B$6:$D$6,0))</x:f>
        <x:v>13</x:v>
      </x:c>
      <x:c r="H467" s="14" t="n">
        <x:f>MIN(=INDEX(Inputs!$B$7:$D$7,1,MATCH(A467,Inputs!$B$6:$D$6,0)),MAX(0,INDEX(Inputs!$B$14:$D$14,1,MATCH(A467,Inputs!$B$6:$D$6,0))-(C467-1)*=INDEX(Inputs!$B$7:$D$7,1,MATCH(A467,Inputs!$B$6:$D$6,0))))</x:f>
        <x:v>13</x:v>
      </x:c>
      <x:c r="I467" s="20" t="n">
        <x:f>INDEX(Inputs!$B$8:$D$8,1,MATCH(A467,Inputs!$B$6:$D$6,0))</x:f>
        <x:v>2395</x:v>
      </x:c>
      <x:c r="J467" s="20" t="n">
        <x:f>INDEX(Roster!$C$6:$C$108,MATCH(D467,Roster!$A$6:$A$108,0))*(1+INDEX(Inputs!$B$9:$D$9,1,MATCH(A467,Inputs!$B$6:$D$6,0)))</x:f>
        <x:v>350</x:v>
      </x:c>
      <x:c r="K467" s="20" t="n">
        <x:f>IF(=INDEX(Roster!$F$6:$F$108,MATCH(D467,Roster!$A$6:$A$108,0))="Yes",0,=INDEX(Inputs!$B$8:$D$8,1,MATCH(A467,Inputs!$B$6:$D$6,0))*IF(=INDEX(Roster!$B$6:$B$108,MATCH(D467,Roster!$A$6:$A$108,0))="Principal",INDEX(Inputs!$B$10:$D$10,1,MATCH(A467,Inputs!$B$6:$D$6,0)),IF(=INDEX(Roster!$B$6:$B$108,MATCH(D467,Roster!$A$6:$A$108,0))="Associate Principal",INDEX(Inputs!$B$11:$D$11,1,MATCH(A467,Inputs!$B$6:$D$6,0)),IF(=INDEX(Roster!$B$6:$B$108,MATCH(D467,Roster!$A$6:$A$108,0))="Assistant Principal",INDEX(Inputs!$B$12:$D$12,1,MATCH(A467,Inputs!$B$6:$D$6,0)),0))))</x:f>
        <x:v>239.5</x:v>
      </x:c>
      <x:c r="L467" s="20" t="n">
        <x:f>IF(INDEX(Roster!$D$6:$D$108,MATCH(D467,Roster!$A$6:$A$108,0))&gt;=25,INDEX(Inputs!$B$19:$D$19,1,MATCH(A467,Inputs!$B$6:$D$6,0)),IF(INDEX(Roster!$D$6:$D$108,MATCH(D467,Roster!$A$6:$A$108,0))&gt;=20,INDEX(Inputs!$B$18:$D$18,1,MATCH(A467,Inputs!$B$6:$D$6,0)),IF(INDEX(Roster!$D$6:$D$108,MATCH(D467,Roster!$A$6:$A$108,0))&gt;=15,INDEX(Inputs!$B$17:$D$17,1,MATCH(A467,Inputs!$B$6:$D$6,0)),IF(INDEX(Roster!$D$6:$D$108,MATCH(D467,Roster!$A$6:$A$108,0))&gt;=10,INDEX(Inputs!$B$16:$D$16,1,MATCH(A467,Inputs!$B$6:$D$6,0)),IF(INDEX(Roster!$D$6:$D$108,MATCH(D467,Roster!$A$6:$A$108,0))&gt;=5,INDEX(Inputs!$B$15:$D$15,1,MATCH(A467,Inputs!$B$6:$D$6,0)),0)))))</x:f>
        <x:v>50</x:v>
      </x:c>
      <x:c r="M467" s="20" t="n">
        <x:f>G467*I467</x:f>
        <x:v>31135</x:v>
      </x:c>
      <x:c r="N467" s="20" t="n">
        <x:f>G467*J467</x:f>
        <x:v>4550</x:v>
      </x:c>
      <x:c r="O467" s="20" t="n">
        <x:f>G467*K467</x:f>
        <x:v>3113.5</x:v>
      </x:c>
      <x:c r="P467" s="20" t="n">
        <x:f>G467*L467</x:f>
        <x:v>650</x:v>
      </x:c>
      <x:c r="Q467" s="20" t="n">
        <x:f>H467*INDEX(Inputs!$B$13:$D$13,1,MATCH(A467,Inputs!$B$6:$D$6,0))</x:f>
        <x:v>390</x:v>
      </x:c>
      <x:c r="R467" s="20" t="n">
        <x:f>SUM(M467:Q467)</x:f>
        <x:v>39838.5</x:v>
      </x:c>
      <x:c r="S467" s="20" t="n">
        <x:f>IF(AND(A466=A467,D466=D467),S466+R467,R467)</x:f>
        <x:v>79677</x:v>
      </x:c>
      <x:c r="T467" s="20" t="n">
        <x:f>MIN(S467,INDEX(Inputs!$B$20:$D$20,1,MATCH(A467,Inputs!$B$6:$D$6,0)))*INDEX(Inputs!$B$22:$D$22,1,MATCH(A467,Inputs!$B$6:$D$6,0))+MAX(MIN(S467,INDEX(Inputs!$B$21:$D$21,1,MATCH(A467,Inputs!$B$6:$D$6,0)))-INDEX(Inputs!$B$20:$D$20,1,MATCH(A467,Inputs!$B$6:$D$6,0)),0)*INDEX(Inputs!$B$23:$D$23,1,MATCH(A467,Inputs!$B$6:$D$6,0))+MAX(S467-INDEX(Inputs!$B$21:$D$21,1,MATCH(A467,Inputs!$B$6:$D$6,0)),0)*INDEX(Inputs!$B$24:$D$24,1,MATCH(A467,Inputs!$B$6:$D$6,0))</x:f>
        <x:v>6585.2905</x:v>
      </x:c>
      <x:c r="U467" s="20" t="n">
        <x:f>IF(AND(A466=A467,D466=D467),T466,0)</x:f>
        <x:v>3537.64525</x:v>
      </x:c>
      <x:c r="V467" s="20" t="n">
        <x:f>T467-U467</x:f>
        <x:v>3047.64525</x:v>
      </x:c>
      <x:c r="W467" s="20" t="n">
        <x:f>R467+V467</x:f>
        <x:v>42886.14525</x:v>
      </x:c>
      <x:c r="X467" s="14" t="str">
        <x:f>IF(ABS(W467-SUM(M467:Q467)-V467)&lt;0.01,"OK","Check")</x:f>
        <x:v>OK</x:v>
      </x:c>
    </x:row>
    <x:row r="468">
      <x:c r="A468" s="14" t="n">
        <x:v>2027</x:v>
      </x:c>
      <x:c r="B468" s="14" t="str">
        <x:v>Q3</x:v>
      </x:c>
      <x:c r="C468" s="14" t="n">
        <x:v>3</x:v>
      </x:c>
      <x:c r="D468" s="14" t="n">
        <x:v>13</x:v>
      </x:c>
      <x:c r="E468" s="14" t="str">
        <x:f>INDEX(Roster!$B$6:$B$108,MATCH(D468,Roster!$A$6:$A$108,0))</x:f>
        <x:v>Associate Principal</x:v>
      </x:c>
      <x:c r="F468" s="14" t="str">
        <x:f>INDEX(Roster!$F$6:$F$108,MATCH(D468,Roster!$A$6:$A$108,0))</x:f>
        <x:v>No</x:v>
      </x:c>
      <x:c r="G468" s="14" t="n">
        <x:f>INDEX(Inputs!$B$7:$D$7,1,MATCH(A468,Inputs!$B$6:$D$6,0))</x:f>
        <x:v>13</x:v>
      </x:c>
      <x:c r="H468" s="14" t="n">
        <x:f>MIN(=INDEX(Inputs!$B$7:$D$7,1,MATCH(A468,Inputs!$B$6:$D$6,0)),MAX(0,INDEX(Inputs!$B$14:$D$14,1,MATCH(A468,Inputs!$B$6:$D$6,0))-(C468-1)*=INDEX(Inputs!$B$7:$D$7,1,MATCH(A468,Inputs!$B$6:$D$6,0))))</x:f>
        <x:v>13</x:v>
      </x:c>
      <x:c r="I468" s="20" t="n">
        <x:f>INDEX(Inputs!$B$8:$D$8,1,MATCH(A468,Inputs!$B$6:$D$6,0))</x:f>
        <x:v>2395</x:v>
      </x:c>
      <x:c r="J468" s="20" t="n">
        <x:f>INDEX(Roster!$C$6:$C$108,MATCH(D468,Roster!$A$6:$A$108,0))*(1+INDEX(Inputs!$B$9:$D$9,1,MATCH(A468,Inputs!$B$6:$D$6,0)))</x:f>
        <x:v>350</x:v>
      </x:c>
      <x:c r="K468" s="20" t="n">
        <x:f>IF(=INDEX(Roster!$F$6:$F$108,MATCH(D468,Roster!$A$6:$A$108,0))="Yes",0,=INDEX(Inputs!$B$8:$D$8,1,MATCH(A468,Inputs!$B$6:$D$6,0))*IF(=INDEX(Roster!$B$6:$B$108,MATCH(D468,Roster!$A$6:$A$108,0))="Principal",INDEX(Inputs!$B$10:$D$10,1,MATCH(A468,Inputs!$B$6:$D$6,0)),IF(=INDEX(Roster!$B$6:$B$108,MATCH(D468,Roster!$A$6:$A$108,0))="Associate Principal",INDEX(Inputs!$B$11:$D$11,1,MATCH(A468,Inputs!$B$6:$D$6,0)),IF(=INDEX(Roster!$B$6:$B$108,MATCH(D468,Roster!$A$6:$A$108,0))="Assistant Principal",INDEX(Inputs!$B$12:$D$12,1,MATCH(A468,Inputs!$B$6:$D$6,0)),0))))</x:f>
        <x:v>239.5</x:v>
      </x:c>
      <x:c r="L468" s="20" t="n">
        <x:f>IF(INDEX(Roster!$D$6:$D$108,MATCH(D468,Roster!$A$6:$A$108,0))&gt;=25,INDEX(Inputs!$B$19:$D$19,1,MATCH(A468,Inputs!$B$6:$D$6,0)),IF(INDEX(Roster!$D$6:$D$108,MATCH(D468,Roster!$A$6:$A$108,0))&gt;=20,INDEX(Inputs!$B$18:$D$18,1,MATCH(A468,Inputs!$B$6:$D$6,0)),IF(INDEX(Roster!$D$6:$D$108,MATCH(D468,Roster!$A$6:$A$108,0))&gt;=15,INDEX(Inputs!$B$17:$D$17,1,MATCH(A468,Inputs!$B$6:$D$6,0)),IF(INDEX(Roster!$D$6:$D$108,MATCH(D468,Roster!$A$6:$A$108,0))&gt;=10,INDEX(Inputs!$B$16:$D$16,1,MATCH(A468,Inputs!$B$6:$D$6,0)),IF(INDEX(Roster!$D$6:$D$108,MATCH(D468,Roster!$A$6:$A$108,0))&gt;=5,INDEX(Inputs!$B$15:$D$15,1,MATCH(A468,Inputs!$B$6:$D$6,0)),0)))))</x:f>
        <x:v>50</x:v>
      </x:c>
      <x:c r="M468" s="20" t="n">
        <x:f>G468*I468</x:f>
        <x:v>31135</x:v>
      </x:c>
      <x:c r="N468" s="20" t="n">
        <x:f>G468*J468</x:f>
        <x:v>4550</x:v>
      </x:c>
      <x:c r="O468" s="20" t="n">
        <x:f>G468*K468</x:f>
        <x:v>3113.5</x:v>
      </x:c>
      <x:c r="P468" s="20" t="n">
        <x:f>G468*L468</x:f>
        <x:v>650</x:v>
      </x:c>
      <x:c r="Q468" s="20" t="n">
        <x:f>H468*INDEX(Inputs!$B$13:$D$13,1,MATCH(A468,Inputs!$B$6:$D$6,0))</x:f>
        <x:v>390</x:v>
      </x:c>
      <x:c r="R468" s="20" t="n">
        <x:f>SUM(M468:Q468)</x:f>
        <x:v>39838.5</x:v>
      </x:c>
      <x:c r="S468" s="20" t="n">
        <x:f>IF(AND(A467=A468,D467=D468),S467+R468,R468)</x:f>
        <x:v>119515.5</x:v>
      </x:c>
      <x:c r="T468" s="20" t="n">
        <x:f>MIN(S468,INDEX(Inputs!$B$20:$D$20,1,MATCH(A468,Inputs!$B$6:$D$6,0)))*INDEX(Inputs!$B$22:$D$22,1,MATCH(A468,Inputs!$B$6:$D$6,0))+MAX(MIN(S468,INDEX(Inputs!$B$21:$D$21,1,MATCH(A468,Inputs!$B$6:$D$6,0)))-INDEX(Inputs!$B$20:$D$20,1,MATCH(A468,Inputs!$B$6:$D$6,0)),0)*INDEX(Inputs!$B$23:$D$23,1,MATCH(A468,Inputs!$B$6:$D$6,0))+MAX(S468-INDEX(Inputs!$B$21:$D$21,1,MATCH(A468,Inputs!$B$6:$D$6,0)),0)*INDEX(Inputs!$B$24:$D$24,1,MATCH(A468,Inputs!$B$6:$D$6,0))</x:f>
        <x:v>9632.93575</x:v>
      </x:c>
      <x:c r="U468" s="20" t="n">
        <x:f>IF(AND(A467=A468,D467=D468),T467,0)</x:f>
        <x:v>6585.2905</x:v>
      </x:c>
      <x:c r="V468" s="20" t="n">
        <x:f>T468-U468</x:f>
        <x:v>3047.6452500000005</x:v>
      </x:c>
      <x:c r="W468" s="20" t="n">
        <x:f>R468+V468</x:f>
        <x:v>42886.14525</x:v>
      </x:c>
      <x:c r="X468" s="14" t="str">
        <x:f>IF(ABS(W468-SUM(M468:Q468)-V468)&lt;0.01,"OK","Check")</x:f>
        <x:v>OK</x:v>
      </x:c>
    </x:row>
    <x:row r="469">
      <x:c r="A469" s="14" t="n">
        <x:v>2027</x:v>
      </x:c>
      <x:c r="B469" s="14" t="str">
        <x:v>Q4</x:v>
      </x:c>
      <x:c r="C469" s="14" t="n">
        <x:v>4</x:v>
      </x:c>
      <x:c r="D469" s="14" t="n">
        <x:v>13</x:v>
      </x:c>
      <x:c r="E469" s="14" t="str">
        <x:f>INDEX(Roster!$B$6:$B$108,MATCH(D469,Roster!$A$6:$A$108,0))</x:f>
        <x:v>Associate Principal</x:v>
      </x:c>
      <x:c r="F469" s="14" t="str">
        <x:f>INDEX(Roster!$F$6:$F$108,MATCH(D469,Roster!$A$6:$A$108,0))</x:f>
        <x:v>No</x:v>
      </x:c>
      <x:c r="G469" s="14" t="n">
        <x:f>INDEX(Inputs!$B$7:$D$7,1,MATCH(A469,Inputs!$B$6:$D$6,0))</x:f>
        <x:v>13</x:v>
      </x:c>
      <x:c r="H469" s="14" t="n">
        <x:f>MIN(=INDEX(Inputs!$B$7:$D$7,1,MATCH(A469,Inputs!$B$6:$D$6,0)),MAX(0,INDEX(Inputs!$B$14:$D$14,1,MATCH(A469,Inputs!$B$6:$D$6,0))-(C469-1)*=INDEX(Inputs!$B$7:$D$7,1,MATCH(A469,Inputs!$B$6:$D$6,0))))</x:f>
        <x:v>0</x:v>
      </x:c>
      <x:c r="I469" s="20" t="n">
        <x:f>INDEX(Inputs!$B$8:$D$8,1,MATCH(A469,Inputs!$B$6:$D$6,0))</x:f>
        <x:v>2395</x:v>
      </x:c>
      <x:c r="J469" s="20" t="n">
        <x:f>INDEX(Roster!$C$6:$C$108,MATCH(D469,Roster!$A$6:$A$108,0))*(1+INDEX(Inputs!$B$9:$D$9,1,MATCH(A469,Inputs!$B$6:$D$6,0)))</x:f>
        <x:v>350</x:v>
      </x:c>
      <x:c r="K469" s="20" t="n">
        <x:f>IF(=INDEX(Roster!$F$6:$F$108,MATCH(D469,Roster!$A$6:$A$108,0))="Yes",0,=INDEX(Inputs!$B$8:$D$8,1,MATCH(A469,Inputs!$B$6:$D$6,0))*IF(=INDEX(Roster!$B$6:$B$108,MATCH(D469,Roster!$A$6:$A$108,0))="Principal",INDEX(Inputs!$B$10:$D$10,1,MATCH(A469,Inputs!$B$6:$D$6,0)),IF(=INDEX(Roster!$B$6:$B$108,MATCH(D469,Roster!$A$6:$A$108,0))="Associate Principal",INDEX(Inputs!$B$11:$D$11,1,MATCH(A469,Inputs!$B$6:$D$6,0)),IF(=INDEX(Roster!$B$6:$B$108,MATCH(D469,Roster!$A$6:$A$108,0))="Assistant Principal",INDEX(Inputs!$B$12:$D$12,1,MATCH(A469,Inputs!$B$6:$D$6,0)),0))))</x:f>
        <x:v>239.5</x:v>
      </x:c>
      <x:c r="L469" s="20" t="n">
        <x:f>IF(INDEX(Roster!$D$6:$D$108,MATCH(D469,Roster!$A$6:$A$108,0))&gt;=25,INDEX(Inputs!$B$19:$D$19,1,MATCH(A469,Inputs!$B$6:$D$6,0)),IF(INDEX(Roster!$D$6:$D$108,MATCH(D469,Roster!$A$6:$A$108,0))&gt;=20,INDEX(Inputs!$B$18:$D$18,1,MATCH(A469,Inputs!$B$6:$D$6,0)),IF(INDEX(Roster!$D$6:$D$108,MATCH(D469,Roster!$A$6:$A$108,0))&gt;=15,INDEX(Inputs!$B$17:$D$17,1,MATCH(A469,Inputs!$B$6:$D$6,0)),IF(INDEX(Roster!$D$6:$D$108,MATCH(D469,Roster!$A$6:$A$108,0))&gt;=10,INDEX(Inputs!$B$16:$D$16,1,MATCH(A469,Inputs!$B$6:$D$6,0)),IF(INDEX(Roster!$D$6:$D$108,MATCH(D469,Roster!$A$6:$A$108,0))&gt;=5,INDEX(Inputs!$B$15:$D$15,1,MATCH(A469,Inputs!$B$6:$D$6,0)),0)))))</x:f>
        <x:v>50</x:v>
      </x:c>
      <x:c r="M469" s="20" t="n">
        <x:f>G469*I469</x:f>
        <x:v>31135</x:v>
      </x:c>
      <x:c r="N469" s="20" t="n">
        <x:f>G469*J469</x:f>
        <x:v>4550</x:v>
      </x:c>
      <x:c r="O469" s="20" t="n">
        <x:f>G469*K469</x:f>
        <x:v>3113.5</x:v>
      </x:c>
      <x:c r="P469" s="20" t="n">
        <x:f>G469*L469</x:f>
        <x:v>650</x:v>
      </x:c>
      <x:c r="Q469" s="20" t="n">
        <x:f>H469*INDEX(Inputs!$B$13:$D$13,1,MATCH(A469,Inputs!$B$6:$D$6,0))</x:f>
        <x:v>0</x:v>
      </x:c>
      <x:c r="R469" s="20" t="n">
        <x:f>SUM(M469:Q469)</x:f>
        <x:v>39448.5</x:v>
      </x:c>
      <x:c r="S469" s="20" t="n">
        <x:f>IF(AND(A468=A469,D468=D469),S468+R469,R469)</x:f>
        <x:v>158964</x:v>
      </x:c>
      <x:c r="T469" s="20" t="n">
        <x:f>MIN(S469,INDEX(Inputs!$B$20:$D$20,1,MATCH(A469,Inputs!$B$6:$D$6,0)))*INDEX(Inputs!$B$22:$D$22,1,MATCH(A469,Inputs!$B$6:$D$6,0))+MAX(MIN(S469,INDEX(Inputs!$B$21:$D$21,1,MATCH(A469,Inputs!$B$6:$D$6,0)))-INDEX(Inputs!$B$20:$D$20,1,MATCH(A469,Inputs!$B$6:$D$6,0)),0)*INDEX(Inputs!$B$23:$D$23,1,MATCH(A469,Inputs!$B$6:$D$6,0))+MAX(S469-INDEX(Inputs!$B$21:$D$21,1,MATCH(A469,Inputs!$B$6:$D$6,0)),0)*INDEX(Inputs!$B$24:$D$24,1,MATCH(A469,Inputs!$B$6:$D$6,0))</x:f>
        <x:v>10218.92</x:v>
      </x:c>
      <x:c r="U469" s="20" t="n">
        <x:f>IF(AND(A468=A469,D468=D469),T468,0)</x:f>
        <x:v>9632.93575</x:v>
      </x:c>
      <x:c r="V469" s="20" t="n">
        <x:f>T469-U469</x:f>
        <x:v>585.9842499999995</x:v>
      </x:c>
      <x:c r="W469" s="20" t="n">
        <x:f>R469+V469</x:f>
        <x:v>40034.48425</x:v>
      </x:c>
      <x:c r="X469" s="14" t="str">
        <x:f>IF(ABS(W469-SUM(M469:Q469)-V469)&lt;0.01,"OK","Check")</x:f>
        <x:v>OK</x:v>
      </x:c>
    </x:row>
    <x:row r="470">
      <x:c r="A470" s="14" t="n">
        <x:v>2027</x:v>
      </x:c>
      <x:c r="B470" s="14" t="str">
        <x:v>Q1</x:v>
      </x:c>
      <x:c r="C470" s="14" t="n">
        <x:v>1</x:v>
      </x:c>
      <x:c r="D470" s="14" t="n">
        <x:v>14</x:v>
      </x:c>
      <x:c r="E470" s="14" t="str">
        <x:f>INDEX(Roster!$B$6:$B$108,MATCH(D470,Roster!$A$6:$A$108,0))</x:f>
        <x:v>Associate Principal</x:v>
      </x:c>
      <x:c r="F470" s="14" t="str">
        <x:f>INDEX(Roster!$F$6:$F$108,MATCH(D470,Roster!$A$6:$A$108,0))</x:f>
        <x:v>No</x:v>
      </x:c>
      <x:c r="G470" s="14" t="n">
        <x:f>INDEX(Inputs!$B$7:$D$7,1,MATCH(A470,Inputs!$B$6:$D$6,0))</x:f>
        <x:v>13</x:v>
      </x:c>
      <x:c r="H470" s="14" t="n">
        <x:f>MIN(=INDEX(Inputs!$B$7:$D$7,1,MATCH(A470,Inputs!$B$6:$D$6,0)),MAX(0,INDEX(Inputs!$B$14:$D$14,1,MATCH(A470,Inputs!$B$6:$D$6,0))-(C470-1)*=INDEX(Inputs!$B$7:$D$7,1,MATCH(A470,Inputs!$B$6:$D$6,0))))</x:f>
        <x:v>13</x:v>
      </x:c>
      <x:c r="I470" s="20" t="n">
        <x:f>INDEX(Inputs!$B$8:$D$8,1,MATCH(A470,Inputs!$B$6:$D$6,0))</x:f>
        <x:v>2395</x:v>
      </x:c>
      <x:c r="J470" s="20" t="n">
        <x:f>INDEX(Roster!$C$6:$C$108,MATCH(D470,Roster!$A$6:$A$108,0))*(1+INDEX(Inputs!$B$9:$D$9,1,MATCH(A470,Inputs!$B$6:$D$6,0)))</x:f>
        <x:v>650</x:v>
      </x:c>
      <x:c r="K470" s="20" t="n">
        <x:f>IF(=INDEX(Roster!$F$6:$F$108,MATCH(D470,Roster!$A$6:$A$108,0))="Yes",0,=INDEX(Inputs!$B$8:$D$8,1,MATCH(A470,Inputs!$B$6:$D$6,0))*IF(=INDEX(Roster!$B$6:$B$108,MATCH(D470,Roster!$A$6:$A$108,0))="Principal",INDEX(Inputs!$B$10:$D$10,1,MATCH(A470,Inputs!$B$6:$D$6,0)),IF(=INDEX(Roster!$B$6:$B$108,MATCH(D470,Roster!$A$6:$A$108,0))="Associate Principal",INDEX(Inputs!$B$11:$D$11,1,MATCH(A470,Inputs!$B$6:$D$6,0)),IF(=INDEX(Roster!$B$6:$B$108,MATCH(D470,Roster!$A$6:$A$108,0))="Assistant Principal",INDEX(Inputs!$B$12:$D$12,1,MATCH(A470,Inputs!$B$6:$D$6,0)),0))))</x:f>
        <x:v>239.5</x:v>
      </x:c>
      <x:c r="L470" s="20" t="n">
        <x:f>IF(INDEX(Roster!$D$6:$D$108,MATCH(D470,Roster!$A$6:$A$108,0))&gt;=25,INDEX(Inputs!$B$19:$D$19,1,MATCH(A470,Inputs!$B$6:$D$6,0)),IF(INDEX(Roster!$D$6:$D$108,MATCH(D470,Roster!$A$6:$A$108,0))&gt;=20,INDEX(Inputs!$B$18:$D$18,1,MATCH(A470,Inputs!$B$6:$D$6,0)),IF(INDEX(Roster!$D$6:$D$108,MATCH(D470,Roster!$A$6:$A$108,0))&gt;=15,INDEX(Inputs!$B$17:$D$17,1,MATCH(A470,Inputs!$B$6:$D$6,0)),IF(INDEX(Roster!$D$6:$D$108,MATCH(D470,Roster!$A$6:$A$108,0))&gt;=10,INDEX(Inputs!$B$16:$D$16,1,MATCH(A470,Inputs!$B$6:$D$6,0)),IF(INDEX(Roster!$D$6:$D$108,MATCH(D470,Roster!$A$6:$A$108,0))&gt;=5,INDEX(Inputs!$B$15:$D$15,1,MATCH(A470,Inputs!$B$6:$D$6,0)),0)))))</x:f>
        <x:v>50</x:v>
      </x:c>
      <x:c r="M470" s="20" t="n">
        <x:f>G470*I470</x:f>
        <x:v>31135</x:v>
      </x:c>
      <x:c r="N470" s="20" t="n">
        <x:f>G470*J470</x:f>
        <x:v>8450</x:v>
      </x:c>
      <x:c r="O470" s="20" t="n">
        <x:f>G470*K470</x:f>
        <x:v>3113.5</x:v>
      </x:c>
      <x:c r="P470" s="20" t="n">
        <x:f>G470*L470</x:f>
        <x:v>650</x:v>
      </x:c>
      <x:c r="Q470" s="20" t="n">
        <x:f>H470*INDEX(Inputs!$B$13:$D$13,1,MATCH(A470,Inputs!$B$6:$D$6,0))</x:f>
        <x:v>390</x:v>
      </x:c>
      <x:c r="R470" s="20" t="n">
        <x:f>SUM(M470:Q470)</x:f>
        <x:v>43738.5</x:v>
      </x:c>
      <x:c r="S470" s="20" t="n">
        <x:f>IF(AND(A469=A470,D469=D470),S469+R470,R470)</x:f>
        <x:v>43738.5</x:v>
      </x:c>
      <x:c r="T470" s="20" t="n">
        <x:f>MIN(S470,INDEX(Inputs!$B$20:$D$20,1,MATCH(A470,Inputs!$B$6:$D$6,0)))*INDEX(Inputs!$B$22:$D$22,1,MATCH(A470,Inputs!$B$6:$D$6,0))+MAX(MIN(S470,INDEX(Inputs!$B$21:$D$21,1,MATCH(A470,Inputs!$B$6:$D$6,0)))-INDEX(Inputs!$B$20:$D$20,1,MATCH(A470,Inputs!$B$6:$D$6,0)),0)*INDEX(Inputs!$B$23:$D$23,1,MATCH(A470,Inputs!$B$6:$D$6,0))+MAX(S470-INDEX(Inputs!$B$21:$D$21,1,MATCH(A470,Inputs!$B$6:$D$6,0)),0)*INDEX(Inputs!$B$24:$D$24,1,MATCH(A470,Inputs!$B$6:$D$6,0))</x:f>
        <x:v>3835.99525</x:v>
      </x:c>
      <x:c r="U470" s="20" t="n">
        <x:f>IF(AND(A469=A470,D469=D470),T469,0)</x:f>
        <x:v>0</x:v>
      </x:c>
      <x:c r="V470" s="20" t="n">
        <x:f>T470-U470</x:f>
        <x:v>3835.99525</x:v>
      </x:c>
      <x:c r="W470" s="20" t="n">
        <x:f>R470+V470</x:f>
        <x:v>47574.49525</x:v>
      </x:c>
      <x:c r="X470" s="14" t="str">
        <x:f>IF(ABS(W470-SUM(M470:Q470)-V470)&lt;0.01,"OK","Check")</x:f>
        <x:v>OK</x:v>
      </x:c>
    </x:row>
    <x:row r="471">
      <x:c r="A471" s="14" t="n">
        <x:v>2027</x:v>
      </x:c>
      <x:c r="B471" s="14" t="str">
        <x:v>Q2</x:v>
      </x:c>
      <x:c r="C471" s="14" t="n">
        <x:v>2</x:v>
      </x:c>
      <x:c r="D471" s="14" t="n">
        <x:v>14</x:v>
      </x:c>
      <x:c r="E471" s="14" t="str">
        <x:f>INDEX(Roster!$B$6:$B$108,MATCH(D471,Roster!$A$6:$A$108,0))</x:f>
        <x:v>Associate Principal</x:v>
      </x:c>
      <x:c r="F471" s="14" t="str">
        <x:f>INDEX(Roster!$F$6:$F$108,MATCH(D471,Roster!$A$6:$A$108,0))</x:f>
        <x:v>No</x:v>
      </x:c>
      <x:c r="G471" s="14" t="n">
        <x:f>INDEX(Inputs!$B$7:$D$7,1,MATCH(A471,Inputs!$B$6:$D$6,0))</x:f>
        <x:v>13</x:v>
      </x:c>
      <x:c r="H471" s="14" t="n">
        <x:f>MIN(=INDEX(Inputs!$B$7:$D$7,1,MATCH(A471,Inputs!$B$6:$D$6,0)),MAX(0,INDEX(Inputs!$B$14:$D$14,1,MATCH(A471,Inputs!$B$6:$D$6,0))-(C471-1)*=INDEX(Inputs!$B$7:$D$7,1,MATCH(A471,Inputs!$B$6:$D$6,0))))</x:f>
        <x:v>13</x:v>
      </x:c>
      <x:c r="I471" s="20" t="n">
        <x:f>INDEX(Inputs!$B$8:$D$8,1,MATCH(A471,Inputs!$B$6:$D$6,0))</x:f>
        <x:v>2395</x:v>
      </x:c>
      <x:c r="J471" s="20" t="n">
        <x:f>INDEX(Roster!$C$6:$C$108,MATCH(D471,Roster!$A$6:$A$108,0))*(1+INDEX(Inputs!$B$9:$D$9,1,MATCH(A471,Inputs!$B$6:$D$6,0)))</x:f>
        <x:v>650</x:v>
      </x:c>
      <x:c r="K471" s="20" t="n">
        <x:f>IF(=INDEX(Roster!$F$6:$F$108,MATCH(D471,Roster!$A$6:$A$108,0))="Yes",0,=INDEX(Inputs!$B$8:$D$8,1,MATCH(A471,Inputs!$B$6:$D$6,0))*IF(=INDEX(Roster!$B$6:$B$108,MATCH(D471,Roster!$A$6:$A$108,0))="Principal",INDEX(Inputs!$B$10:$D$10,1,MATCH(A471,Inputs!$B$6:$D$6,0)),IF(=INDEX(Roster!$B$6:$B$108,MATCH(D471,Roster!$A$6:$A$108,0))="Associate Principal",INDEX(Inputs!$B$11:$D$11,1,MATCH(A471,Inputs!$B$6:$D$6,0)),IF(=INDEX(Roster!$B$6:$B$108,MATCH(D471,Roster!$A$6:$A$108,0))="Assistant Principal",INDEX(Inputs!$B$12:$D$12,1,MATCH(A471,Inputs!$B$6:$D$6,0)),0))))</x:f>
        <x:v>239.5</x:v>
      </x:c>
      <x:c r="L471" s="20" t="n">
        <x:f>IF(INDEX(Roster!$D$6:$D$108,MATCH(D471,Roster!$A$6:$A$108,0))&gt;=25,INDEX(Inputs!$B$19:$D$19,1,MATCH(A471,Inputs!$B$6:$D$6,0)),IF(INDEX(Roster!$D$6:$D$108,MATCH(D471,Roster!$A$6:$A$108,0))&gt;=20,INDEX(Inputs!$B$18:$D$18,1,MATCH(A471,Inputs!$B$6:$D$6,0)),IF(INDEX(Roster!$D$6:$D$108,MATCH(D471,Roster!$A$6:$A$108,0))&gt;=15,INDEX(Inputs!$B$17:$D$17,1,MATCH(A471,Inputs!$B$6:$D$6,0)),IF(INDEX(Roster!$D$6:$D$108,MATCH(D471,Roster!$A$6:$A$108,0))&gt;=10,INDEX(Inputs!$B$16:$D$16,1,MATCH(A471,Inputs!$B$6:$D$6,0)),IF(INDEX(Roster!$D$6:$D$108,MATCH(D471,Roster!$A$6:$A$108,0))&gt;=5,INDEX(Inputs!$B$15:$D$15,1,MATCH(A471,Inputs!$B$6:$D$6,0)),0)))))</x:f>
        <x:v>50</x:v>
      </x:c>
      <x:c r="M471" s="20" t="n">
        <x:f>G471*I471</x:f>
        <x:v>31135</x:v>
      </x:c>
      <x:c r="N471" s="20" t="n">
        <x:f>G471*J471</x:f>
        <x:v>8450</x:v>
      </x:c>
      <x:c r="O471" s="20" t="n">
        <x:f>G471*K471</x:f>
        <x:v>3113.5</x:v>
      </x:c>
      <x:c r="P471" s="20" t="n">
        <x:f>G471*L471</x:f>
        <x:v>650</x:v>
      </x:c>
      <x:c r="Q471" s="20" t="n">
        <x:f>H471*INDEX(Inputs!$B$13:$D$13,1,MATCH(A471,Inputs!$B$6:$D$6,0))</x:f>
        <x:v>390</x:v>
      </x:c>
      <x:c r="R471" s="20" t="n">
        <x:f>SUM(M471:Q471)</x:f>
        <x:v>43738.5</x:v>
      </x:c>
      <x:c r="S471" s="20" t="n">
        <x:f>IF(AND(A470=A471,D470=D471),S470+R471,R471)</x:f>
        <x:v>87477</x:v>
      </x:c>
      <x:c r="T471" s="20" t="n">
        <x:f>MIN(S471,INDEX(Inputs!$B$20:$D$20,1,MATCH(A471,Inputs!$B$6:$D$6,0)))*INDEX(Inputs!$B$22:$D$22,1,MATCH(A471,Inputs!$B$6:$D$6,0))+MAX(MIN(S471,INDEX(Inputs!$B$21:$D$21,1,MATCH(A471,Inputs!$B$6:$D$6,0)))-INDEX(Inputs!$B$20:$D$20,1,MATCH(A471,Inputs!$B$6:$D$6,0)),0)*INDEX(Inputs!$B$23:$D$23,1,MATCH(A471,Inputs!$B$6:$D$6,0))+MAX(S471-INDEX(Inputs!$B$21:$D$21,1,MATCH(A471,Inputs!$B$6:$D$6,0)),0)*INDEX(Inputs!$B$24:$D$24,1,MATCH(A471,Inputs!$B$6:$D$6,0))</x:f>
        <x:v>7181.9905</x:v>
      </x:c>
      <x:c r="U471" s="20" t="n">
        <x:f>IF(AND(A470=A471,D470=D471),T470,0)</x:f>
        <x:v>3835.99525</x:v>
      </x:c>
      <x:c r="V471" s="20" t="n">
        <x:f>T471-U471</x:f>
        <x:v>3345.99525</x:v>
      </x:c>
      <x:c r="W471" s="20" t="n">
        <x:f>R471+V471</x:f>
        <x:v>47084.49525</x:v>
      </x:c>
      <x:c r="X471" s="14" t="str">
        <x:f>IF(ABS(W471-SUM(M471:Q471)-V471)&lt;0.01,"OK","Check")</x:f>
        <x:v>OK</x:v>
      </x:c>
    </x:row>
    <x:row r="472">
      <x:c r="A472" s="14" t="n">
        <x:v>2027</x:v>
      </x:c>
      <x:c r="B472" s="14" t="str">
        <x:v>Q3</x:v>
      </x:c>
      <x:c r="C472" s="14" t="n">
        <x:v>3</x:v>
      </x:c>
      <x:c r="D472" s="14" t="n">
        <x:v>14</x:v>
      </x:c>
      <x:c r="E472" s="14" t="str">
        <x:f>INDEX(Roster!$B$6:$B$108,MATCH(D472,Roster!$A$6:$A$108,0))</x:f>
        <x:v>Associate Principal</x:v>
      </x:c>
      <x:c r="F472" s="14" t="str">
        <x:f>INDEX(Roster!$F$6:$F$108,MATCH(D472,Roster!$A$6:$A$108,0))</x:f>
        <x:v>No</x:v>
      </x:c>
      <x:c r="G472" s="14" t="n">
        <x:f>INDEX(Inputs!$B$7:$D$7,1,MATCH(A472,Inputs!$B$6:$D$6,0))</x:f>
        <x:v>13</x:v>
      </x:c>
      <x:c r="H472" s="14" t="n">
        <x:f>MIN(=INDEX(Inputs!$B$7:$D$7,1,MATCH(A472,Inputs!$B$6:$D$6,0)),MAX(0,INDEX(Inputs!$B$14:$D$14,1,MATCH(A472,Inputs!$B$6:$D$6,0))-(C472-1)*=INDEX(Inputs!$B$7:$D$7,1,MATCH(A472,Inputs!$B$6:$D$6,0))))</x:f>
        <x:v>13</x:v>
      </x:c>
      <x:c r="I472" s="20" t="n">
        <x:f>INDEX(Inputs!$B$8:$D$8,1,MATCH(A472,Inputs!$B$6:$D$6,0))</x:f>
        <x:v>2395</x:v>
      </x:c>
      <x:c r="J472" s="20" t="n">
        <x:f>INDEX(Roster!$C$6:$C$108,MATCH(D472,Roster!$A$6:$A$108,0))*(1+INDEX(Inputs!$B$9:$D$9,1,MATCH(A472,Inputs!$B$6:$D$6,0)))</x:f>
        <x:v>650</x:v>
      </x:c>
      <x:c r="K472" s="20" t="n">
        <x:f>IF(=INDEX(Roster!$F$6:$F$108,MATCH(D472,Roster!$A$6:$A$108,0))="Yes",0,=INDEX(Inputs!$B$8:$D$8,1,MATCH(A472,Inputs!$B$6:$D$6,0))*IF(=INDEX(Roster!$B$6:$B$108,MATCH(D472,Roster!$A$6:$A$108,0))="Principal",INDEX(Inputs!$B$10:$D$10,1,MATCH(A472,Inputs!$B$6:$D$6,0)),IF(=INDEX(Roster!$B$6:$B$108,MATCH(D472,Roster!$A$6:$A$108,0))="Associate Principal",INDEX(Inputs!$B$11:$D$11,1,MATCH(A472,Inputs!$B$6:$D$6,0)),IF(=INDEX(Roster!$B$6:$B$108,MATCH(D472,Roster!$A$6:$A$108,0))="Assistant Principal",INDEX(Inputs!$B$12:$D$12,1,MATCH(A472,Inputs!$B$6:$D$6,0)),0))))</x:f>
        <x:v>239.5</x:v>
      </x:c>
      <x:c r="L472" s="20" t="n">
        <x:f>IF(INDEX(Roster!$D$6:$D$108,MATCH(D472,Roster!$A$6:$A$108,0))&gt;=25,INDEX(Inputs!$B$19:$D$19,1,MATCH(A472,Inputs!$B$6:$D$6,0)),IF(INDEX(Roster!$D$6:$D$108,MATCH(D472,Roster!$A$6:$A$108,0))&gt;=20,INDEX(Inputs!$B$18:$D$18,1,MATCH(A472,Inputs!$B$6:$D$6,0)),IF(INDEX(Roster!$D$6:$D$108,MATCH(D472,Roster!$A$6:$A$108,0))&gt;=15,INDEX(Inputs!$B$17:$D$17,1,MATCH(A472,Inputs!$B$6:$D$6,0)),IF(INDEX(Roster!$D$6:$D$108,MATCH(D472,Roster!$A$6:$A$108,0))&gt;=10,INDEX(Inputs!$B$16:$D$16,1,MATCH(A472,Inputs!$B$6:$D$6,0)),IF(INDEX(Roster!$D$6:$D$108,MATCH(D472,Roster!$A$6:$A$108,0))&gt;=5,INDEX(Inputs!$B$15:$D$15,1,MATCH(A472,Inputs!$B$6:$D$6,0)),0)))))</x:f>
        <x:v>50</x:v>
      </x:c>
      <x:c r="M472" s="20" t="n">
        <x:f>G472*I472</x:f>
        <x:v>31135</x:v>
      </x:c>
      <x:c r="N472" s="20" t="n">
        <x:f>G472*J472</x:f>
        <x:v>8450</x:v>
      </x:c>
      <x:c r="O472" s="20" t="n">
        <x:f>G472*K472</x:f>
        <x:v>3113.5</x:v>
      </x:c>
      <x:c r="P472" s="20" t="n">
        <x:f>G472*L472</x:f>
        <x:v>650</x:v>
      </x:c>
      <x:c r="Q472" s="20" t="n">
        <x:f>H472*INDEX(Inputs!$B$13:$D$13,1,MATCH(A472,Inputs!$B$6:$D$6,0))</x:f>
        <x:v>390</x:v>
      </x:c>
      <x:c r="R472" s="20" t="n">
        <x:f>SUM(M472:Q472)</x:f>
        <x:v>43738.5</x:v>
      </x:c>
      <x:c r="S472" s="20" t="n">
        <x:f>IF(AND(A471=A472,D471=D472),S471+R472,R472)</x:f>
        <x:v>131215.5</x:v>
      </x:c>
      <x:c r="T472" s="20" t="n">
        <x:f>MIN(S472,INDEX(Inputs!$B$20:$D$20,1,MATCH(A472,Inputs!$B$6:$D$6,0)))*INDEX(Inputs!$B$22:$D$22,1,MATCH(A472,Inputs!$B$6:$D$6,0))+MAX(MIN(S472,INDEX(Inputs!$B$21:$D$21,1,MATCH(A472,Inputs!$B$6:$D$6,0)))-INDEX(Inputs!$B$20:$D$20,1,MATCH(A472,Inputs!$B$6:$D$6,0)),0)*INDEX(Inputs!$B$23:$D$23,1,MATCH(A472,Inputs!$B$6:$D$6,0))+MAX(S472-INDEX(Inputs!$B$21:$D$21,1,MATCH(A472,Inputs!$B$6:$D$6,0)),0)*INDEX(Inputs!$B$24:$D$24,1,MATCH(A472,Inputs!$B$6:$D$6,0))</x:f>
        <x:v>9816.56675</x:v>
      </x:c>
      <x:c r="U472" s="20" t="n">
        <x:f>IF(AND(A471=A472,D471=D472),T471,0)</x:f>
        <x:v>7181.9905</x:v>
      </x:c>
      <x:c r="V472" s="20" t="n">
        <x:f>T472-U472</x:f>
        <x:v>2634.57625</x:v>
      </x:c>
      <x:c r="W472" s="20" t="n">
        <x:f>R472+V472</x:f>
        <x:v>46373.07625</x:v>
      </x:c>
      <x:c r="X472" s="14" t="str">
        <x:f>IF(ABS(W472-SUM(M472:Q472)-V472)&lt;0.01,"OK","Check")</x:f>
        <x:v>OK</x:v>
      </x:c>
    </x:row>
    <x:row r="473">
      <x:c r="A473" s="14" t="n">
        <x:v>2027</x:v>
      </x:c>
      <x:c r="B473" s="14" t="str">
        <x:v>Q4</x:v>
      </x:c>
      <x:c r="C473" s="14" t="n">
        <x:v>4</x:v>
      </x:c>
      <x:c r="D473" s="14" t="n">
        <x:v>14</x:v>
      </x:c>
      <x:c r="E473" s="14" t="str">
        <x:f>INDEX(Roster!$B$6:$B$108,MATCH(D473,Roster!$A$6:$A$108,0))</x:f>
        <x:v>Associate Principal</x:v>
      </x:c>
      <x:c r="F473" s="14" t="str">
        <x:f>INDEX(Roster!$F$6:$F$108,MATCH(D473,Roster!$A$6:$A$108,0))</x:f>
        <x:v>No</x:v>
      </x:c>
      <x:c r="G473" s="14" t="n">
        <x:f>INDEX(Inputs!$B$7:$D$7,1,MATCH(A473,Inputs!$B$6:$D$6,0))</x:f>
        <x:v>13</x:v>
      </x:c>
      <x:c r="H473" s="14" t="n">
        <x:f>MIN(=INDEX(Inputs!$B$7:$D$7,1,MATCH(A473,Inputs!$B$6:$D$6,0)),MAX(0,INDEX(Inputs!$B$14:$D$14,1,MATCH(A473,Inputs!$B$6:$D$6,0))-(C473-1)*=INDEX(Inputs!$B$7:$D$7,1,MATCH(A473,Inputs!$B$6:$D$6,0))))</x:f>
        <x:v>0</x:v>
      </x:c>
      <x:c r="I473" s="20" t="n">
        <x:f>INDEX(Inputs!$B$8:$D$8,1,MATCH(A473,Inputs!$B$6:$D$6,0))</x:f>
        <x:v>2395</x:v>
      </x:c>
      <x:c r="J473" s="20" t="n">
        <x:f>INDEX(Roster!$C$6:$C$108,MATCH(D473,Roster!$A$6:$A$108,0))*(1+INDEX(Inputs!$B$9:$D$9,1,MATCH(A473,Inputs!$B$6:$D$6,0)))</x:f>
        <x:v>650</x:v>
      </x:c>
      <x:c r="K473" s="20" t="n">
        <x:f>IF(=INDEX(Roster!$F$6:$F$108,MATCH(D473,Roster!$A$6:$A$108,0))="Yes",0,=INDEX(Inputs!$B$8:$D$8,1,MATCH(A473,Inputs!$B$6:$D$6,0))*IF(=INDEX(Roster!$B$6:$B$108,MATCH(D473,Roster!$A$6:$A$108,0))="Principal",INDEX(Inputs!$B$10:$D$10,1,MATCH(A473,Inputs!$B$6:$D$6,0)),IF(=INDEX(Roster!$B$6:$B$108,MATCH(D473,Roster!$A$6:$A$108,0))="Associate Principal",INDEX(Inputs!$B$11:$D$11,1,MATCH(A473,Inputs!$B$6:$D$6,0)),IF(=INDEX(Roster!$B$6:$B$108,MATCH(D473,Roster!$A$6:$A$108,0))="Assistant Principal",INDEX(Inputs!$B$12:$D$12,1,MATCH(A473,Inputs!$B$6:$D$6,0)),0))))</x:f>
        <x:v>239.5</x:v>
      </x:c>
      <x:c r="L473" s="20" t="n">
        <x:f>IF(INDEX(Roster!$D$6:$D$108,MATCH(D473,Roster!$A$6:$A$108,0))&gt;=25,INDEX(Inputs!$B$19:$D$19,1,MATCH(A473,Inputs!$B$6:$D$6,0)),IF(INDEX(Roster!$D$6:$D$108,MATCH(D473,Roster!$A$6:$A$108,0))&gt;=20,INDEX(Inputs!$B$18:$D$18,1,MATCH(A473,Inputs!$B$6:$D$6,0)),IF(INDEX(Roster!$D$6:$D$108,MATCH(D473,Roster!$A$6:$A$108,0))&gt;=15,INDEX(Inputs!$B$17:$D$17,1,MATCH(A473,Inputs!$B$6:$D$6,0)),IF(INDEX(Roster!$D$6:$D$108,MATCH(D473,Roster!$A$6:$A$108,0))&gt;=10,INDEX(Inputs!$B$16:$D$16,1,MATCH(A473,Inputs!$B$6:$D$6,0)),IF(INDEX(Roster!$D$6:$D$108,MATCH(D473,Roster!$A$6:$A$108,0))&gt;=5,INDEX(Inputs!$B$15:$D$15,1,MATCH(A473,Inputs!$B$6:$D$6,0)),0)))))</x:f>
        <x:v>50</x:v>
      </x:c>
      <x:c r="M473" s="20" t="n">
        <x:f>G473*I473</x:f>
        <x:v>31135</x:v>
      </x:c>
      <x:c r="N473" s="20" t="n">
        <x:f>G473*J473</x:f>
        <x:v>8450</x:v>
      </x:c>
      <x:c r="O473" s="20" t="n">
        <x:f>G473*K473</x:f>
        <x:v>3113.5</x:v>
      </x:c>
      <x:c r="P473" s="20" t="n">
        <x:f>G473*L473</x:f>
        <x:v>650</x:v>
      </x:c>
      <x:c r="Q473" s="20" t="n">
        <x:f>H473*INDEX(Inputs!$B$13:$D$13,1,MATCH(A473,Inputs!$B$6:$D$6,0))</x:f>
        <x:v>0</x:v>
      </x:c>
      <x:c r="R473" s="20" t="n">
        <x:f>SUM(M473:Q473)</x:f>
        <x:v>43348.5</x:v>
      </x:c>
      <x:c r="S473" s="20" t="n">
        <x:f>IF(AND(A472=A473,D472=D473),S472+R473,R473)</x:f>
        <x:v>174564</x:v>
      </x:c>
      <x:c r="T473" s="20" t="n">
        <x:f>MIN(S473,INDEX(Inputs!$B$20:$D$20,1,MATCH(A473,Inputs!$B$6:$D$6,0)))*INDEX(Inputs!$B$22:$D$22,1,MATCH(A473,Inputs!$B$6:$D$6,0))+MAX(MIN(S473,INDEX(Inputs!$B$21:$D$21,1,MATCH(A473,Inputs!$B$6:$D$6,0)))-INDEX(Inputs!$B$20:$D$20,1,MATCH(A473,Inputs!$B$6:$D$6,0)),0)*INDEX(Inputs!$B$23:$D$23,1,MATCH(A473,Inputs!$B$6:$D$6,0))+MAX(S473-INDEX(Inputs!$B$21:$D$21,1,MATCH(A473,Inputs!$B$6:$D$6,0)),0)*INDEX(Inputs!$B$24:$D$24,1,MATCH(A473,Inputs!$B$6:$D$6,0))</x:f>
        <x:v>10445.119999999999</x:v>
      </x:c>
      <x:c r="U473" s="20" t="n">
        <x:f>IF(AND(A472=A473,D472=D473),T472,0)</x:f>
        <x:v>9816.56675</x:v>
      </x:c>
      <x:c r="V473" s="20" t="n">
        <x:f>T473-U473</x:f>
        <x:v>628.553249999999</x:v>
      </x:c>
      <x:c r="W473" s="20" t="n">
        <x:f>R473+V473</x:f>
        <x:v>43977.05325</x:v>
      </x:c>
      <x:c r="X473" s="14" t="str">
        <x:f>IF(ABS(W473-SUM(M473:Q473)-V473)&lt;0.01,"OK","Check")</x:f>
        <x:v>OK</x:v>
      </x:c>
    </x:row>
    <x:row r="474">
      <x:c r="A474" s="14" t="n">
        <x:v>2027</x:v>
      </x:c>
      <x:c r="B474" s="14" t="str">
        <x:v>Q1</x:v>
      </x:c>
      <x:c r="C474" s="14" t="n">
        <x:v>1</x:v>
      </x:c>
      <x:c r="D474" s="14" t="n">
        <x:v>15</x:v>
      </x:c>
      <x:c r="E474" s="14" t="str">
        <x:f>INDEX(Roster!$B$6:$B$108,MATCH(D474,Roster!$A$6:$A$108,0))</x:f>
      </x:c>
      <x:c r="F474" s="14" t="str">
        <x:f>INDEX(Roster!$F$6:$F$108,MATCH(D474,Roster!$A$6:$A$108,0))</x:f>
        <x:v>No</x:v>
      </x:c>
      <x:c r="G474" s="14" t="n">
        <x:f>INDEX(Inputs!$B$7:$D$7,1,MATCH(A474,Inputs!$B$6:$D$6,0))</x:f>
        <x:v>13</x:v>
      </x:c>
      <x:c r="H474" s="14" t="n">
        <x:f>MIN(=INDEX(Inputs!$B$7:$D$7,1,MATCH(A474,Inputs!$B$6:$D$6,0)),MAX(0,INDEX(Inputs!$B$14:$D$14,1,MATCH(A474,Inputs!$B$6:$D$6,0))-(C474-1)*=INDEX(Inputs!$B$7:$D$7,1,MATCH(A474,Inputs!$B$6:$D$6,0))))</x:f>
        <x:v>13</x:v>
      </x:c>
      <x:c r="I474" s="20" t="n">
        <x:f>INDEX(Inputs!$B$8:$D$8,1,MATCH(A474,Inputs!$B$6:$D$6,0))</x:f>
        <x:v>2395</x:v>
      </x:c>
      <x:c r="J474" s="20" t="n">
        <x:f>INDEX(Roster!$C$6:$C$108,MATCH(D474,Roster!$A$6:$A$108,0))*(1+INDEX(Inputs!$B$9:$D$9,1,MATCH(A474,Inputs!$B$6:$D$6,0)))</x:f>
        <x:v>30</x:v>
      </x:c>
      <x:c r="K474" s="20" t="n">
        <x:f>IF(=INDEX(Roster!$F$6:$F$108,MATCH(D474,Roster!$A$6:$A$108,0))="Yes",0,=INDEX(Inputs!$B$8:$D$8,1,MATCH(A474,Inputs!$B$6:$D$6,0))*IF(=INDEX(Roster!$B$6:$B$108,MATCH(D474,Roster!$A$6:$A$108,0))="Principal",INDEX(Inputs!$B$10:$D$10,1,MATCH(A474,Inputs!$B$6:$D$6,0)),IF(=INDEX(Roster!$B$6:$B$108,MATCH(D474,Roster!$A$6:$A$108,0))="Associate Principal",INDEX(Inputs!$B$11:$D$11,1,MATCH(A474,Inputs!$B$6:$D$6,0)),IF(=INDEX(Roster!$B$6:$B$108,MATCH(D474,Roster!$A$6:$A$108,0))="Assistant Principal",INDEX(Inputs!$B$12:$D$12,1,MATCH(A474,Inputs!$B$6:$D$6,0)),0))))</x:f>
        <x:v>0</x:v>
      </x:c>
      <x:c r="L474" s="20" t="n">
        <x:f>IF(INDEX(Roster!$D$6:$D$108,MATCH(D474,Roster!$A$6:$A$108,0))&gt;=25,INDEX(Inputs!$B$19:$D$19,1,MATCH(A474,Inputs!$B$6:$D$6,0)),IF(INDEX(Roster!$D$6:$D$108,MATCH(D474,Roster!$A$6:$A$108,0))&gt;=20,INDEX(Inputs!$B$18:$D$18,1,MATCH(A474,Inputs!$B$6:$D$6,0)),IF(INDEX(Roster!$D$6:$D$108,MATCH(D474,Roster!$A$6:$A$108,0))&gt;=15,INDEX(Inputs!$B$17:$D$17,1,MATCH(A474,Inputs!$B$6:$D$6,0)),IF(INDEX(Roster!$D$6:$D$108,MATCH(D474,Roster!$A$6:$A$108,0))&gt;=10,INDEX(Inputs!$B$16:$D$16,1,MATCH(A474,Inputs!$B$6:$D$6,0)),IF(INDEX(Roster!$D$6:$D$108,MATCH(D474,Roster!$A$6:$A$108,0))&gt;=5,INDEX(Inputs!$B$15:$D$15,1,MATCH(A474,Inputs!$B$6:$D$6,0)),0)))))</x:f>
        <x:v>80</x:v>
      </x:c>
      <x:c r="M474" s="20" t="n">
        <x:f>G474*I474</x:f>
        <x:v>31135</x:v>
      </x:c>
      <x:c r="N474" s="20" t="n">
        <x:f>G474*J474</x:f>
        <x:v>390</x:v>
      </x:c>
      <x:c r="O474" s="20" t="n">
        <x:f>G474*K474</x:f>
        <x:v>0</x:v>
      </x:c>
      <x:c r="P474" s="20" t="n">
        <x:f>G474*L474</x:f>
        <x:v>1040</x:v>
      </x:c>
      <x:c r="Q474" s="20" t="n">
        <x:f>H474*INDEX(Inputs!$B$13:$D$13,1,MATCH(A474,Inputs!$B$6:$D$6,0))</x:f>
        <x:v>390</x:v>
      </x:c>
      <x:c r="R474" s="20" t="n">
        <x:f>SUM(M474:Q474)</x:f>
        <x:v>32955</x:v>
      </x:c>
      <x:c r="S474" s="20" t="n">
        <x:f>IF(AND(A473=A474,D473=D474),S473+R474,R474)</x:f>
        <x:v>32955</x:v>
      </x:c>
      <x:c r="T474" s="20" t="n">
        <x:f>MIN(S474,INDEX(Inputs!$B$20:$D$20,1,MATCH(A474,Inputs!$B$6:$D$6,0)))*INDEX(Inputs!$B$22:$D$22,1,MATCH(A474,Inputs!$B$6:$D$6,0))+MAX(MIN(S474,INDEX(Inputs!$B$21:$D$21,1,MATCH(A474,Inputs!$B$6:$D$6,0)))-INDEX(Inputs!$B$20:$D$20,1,MATCH(A474,Inputs!$B$6:$D$6,0)),0)*INDEX(Inputs!$B$23:$D$23,1,MATCH(A474,Inputs!$B$6:$D$6,0))+MAX(S474-INDEX(Inputs!$B$21:$D$21,1,MATCH(A474,Inputs!$B$6:$D$6,0)),0)*INDEX(Inputs!$B$24:$D$24,1,MATCH(A474,Inputs!$B$6:$D$6,0))</x:f>
        <x:v>3011.0575</x:v>
      </x:c>
      <x:c r="U474" s="20" t="n">
        <x:f>IF(AND(A473=A474,D473=D474),T473,0)</x:f>
        <x:v>0</x:v>
      </x:c>
      <x:c r="V474" s="20" t="n">
        <x:f>T474-U474</x:f>
        <x:v>3011.0575</x:v>
      </x:c>
      <x:c r="W474" s="20" t="n">
        <x:f>R474+V474</x:f>
        <x:v>35966.0575</x:v>
      </x:c>
      <x:c r="X474" s="14" t="str">
        <x:f>IF(ABS(W474-SUM(M474:Q474)-V474)&lt;0.01,"OK","Check")</x:f>
        <x:v>OK</x:v>
      </x:c>
    </x:row>
    <x:row r="475">
      <x:c r="A475" s="14" t="n">
        <x:v>2027</x:v>
      </x:c>
      <x:c r="B475" s="14" t="str">
        <x:v>Q2</x:v>
      </x:c>
      <x:c r="C475" s="14" t="n">
        <x:v>2</x:v>
      </x:c>
      <x:c r="D475" s="14" t="n">
        <x:v>15</x:v>
      </x:c>
      <x:c r="E475" s="14" t="str">
        <x:f>INDEX(Roster!$B$6:$B$108,MATCH(D475,Roster!$A$6:$A$108,0))</x:f>
      </x:c>
      <x:c r="F475" s="14" t="str">
        <x:f>INDEX(Roster!$F$6:$F$108,MATCH(D475,Roster!$A$6:$A$108,0))</x:f>
        <x:v>No</x:v>
      </x:c>
      <x:c r="G475" s="14" t="n">
        <x:f>INDEX(Inputs!$B$7:$D$7,1,MATCH(A475,Inputs!$B$6:$D$6,0))</x:f>
        <x:v>13</x:v>
      </x:c>
      <x:c r="H475" s="14" t="n">
        <x:f>MIN(=INDEX(Inputs!$B$7:$D$7,1,MATCH(A475,Inputs!$B$6:$D$6,0)),MAX(0,INDEX(Inputs!$B$14:$D$14,1,MATCH(A475,Inputs!$B$6:$D$6,0))-(C475-1)*=INDEX(Inputs!$B$7:$D$7,1,MATCH(A475,Inputs!$B$6:$D$6,0))))</x:f>
        <x:v>13</x:v>
      </x:c>
      <x:c r="I475" s="20" t="n">
        <x:f>INDEX(Inputs!$B$8:$D$8,1,MATCH(A475,Inputs!$B$6:$D$6,0))</x:f>
        <x:v>2395</x:v>
      </x:c>
      <x:c r="J475" s="20" t="n">
        <x:f>INDEX(Roster!$C$6:$C$108,MATCH(D475,Roster!$A$6:$A$108,0))*(1+INDEX(Inputs!$B$9:$D$9,1,MATCH(A475,Inputs!$B$6:$D$6,0)))</x:f>
        <x:v>30</x:v>
      </x:c>
      <x:c r="K475" s="20" t="n">
        <x:f>IF(=INDEX(Roster!$F$6:$F$108,MATCH(D475,Roster!$A$6:$A$108,0))="Yes",0,=INDEX(Inputs!$B$8:$D$8,1,MATCH(A475,Inputs!$B$6:$D$6,0))*IF(=INDEX(Roster!$B$6:$B$108,MATCH(D475,Roster!$A$6:$A$108,0))="Principal",INDEX(Inputs!$B$10:$D$10,1,MATCH(A475,Inputs!$B$6:$D$6,0)),IF(=INDEX(Roster!$B$6:$B$108,MATCH(D475,Roster!$A$6:$A$108,0))="Associate Principal",INDEX(Inputs!$B$11:$D$11,1,MATCH(A475,Inputs!$B$6:$D$6,0)),IF(=INDEX(Roster!$B$6:$B$108,MATCH(D475,Roster!$A$6:$A$108,0))="Assistant Principal",INDEX(Inputs!$B$12:$D$12,1,MATCH(A475,Inputs!$B$6:$D$6,0)),0))))</x:f>
        <x:v>0</x:v>
      </x:c>
      <x:c r="L475" s="20" t="n">
        <x:f>IF(INDEX(Roster!$D$6:$D$108,MATCH(D475,Roster!$A$6:$A$108,0))&gt;=25,INDEX(Inputs!$B$19:$D$19,1,MATCH(A475,Inputs!$B$6:$D$6,0)),IF(INDEX(Roster!$D$6:$D$108,MATCH(D475,Roster!$A$6:$A$108,0))&gt;=20,INDEX(Inputs!$B$18:$D$18,1,MATCH(A475,Inputs!$B$6:$D$6,0)),IF(INDEX(Roster!$D$6:$D$108,MATCH(D475,Roster!$A$6:$A$108,0))&gt;=15,INDEX(Inputs!$B$17:$D$17,1,MATCH(A475,Inputs!$B$6:$D$6,0)),IF(INDEX(Roster!$D$6:$D$108,MATCH(D475,Roster!$A$6:$A$108,0))&gt;=10,INDEX(Inputs!$B$16:$D$16,1,MATCH(A475,Inputs!$B$6:$D$6,0)),IF(INDEX(Roster!$D$6:$D$108,MATCH(D475,Roster!$A$6:$A$108,0))&gt;=5,INDEX(Inputs!$B$15:$D$15,1,MATCH(A475,Inputs!$B$6:$D$6,0)),0)))))</x:f>
        <x:v>80</x:v>
      </x:c>
      <x:c r="M475" s="20" t="n">
        <x:f>G475*I475</x:f>
        <x:v>31135</x:v>
      </x:c>
      <x:c r="N475" s="20" t="n">
        <x:f>G475*J475</x:f>
        <x:v>390</x:v>
      </x:c>
      <x:c r="O475" s="20" t="n">
        <x:f>G475*K475</x:f>
        <x:v>0</x:v>
      </x:c>
      <x:c r="P475" s="20" t="n">
        <x:f>G475*L475</x:f>
        <x:v>1040</x:v>
      </x:c>
      <x:c r="Q475" s="20" t="n">
        <x:f>H475*INDEX(Inputs!$B$13:$D$13,1,MATCH(A475,Inputs!$B$6:$D$6,0))</x:f>
        <x:v>390</x:v>
      </x:c>
      <x:c r="R475" s="20" t="n">
        <x:f>SUM(M475:Q475)</x:f>
        <x:v>32955</x:v>
      </x:c>
      <x:c r="S475" s="20" t="n">
        <x:f>IF(AND(A474=A475,D474=D475),S474+R475,R475)</x:f>
        <x:v>65910</x:v>
      </x:c>
      <x:c r="T475" s="20" t="n">
        <x:f>MIN(S475,INDEX(Inputs!$B$20:$D$20,1,MATCH(A475,Inputs!$B$6:$D$6,0)))*INDEX(Inputs!$B$22:$D$22,1,MATCH(A475,Inputs!$B$6:$D$6,0))+MAX(MIN(S475,INDEX(Inputs!$B$21:$D$21,1,MATCH(A475,Inputs!$B$6:$D$6,0)))-INDEX(Inputs!$B$20:$D$20,1,MATCH(A475,Inputs!$B$6:$D$6,0)),0)*INDEX(Inputs!$B$23:$D$23,1,MATCH(A475,Inputs!$B$6:$D$6,0))+MAX(S475-INDEX(Inputs!$B$21:$D$21,1,MATCH(A475,Inputs!$B$6:$D$6,0)),0)*INDEX(Inputs!$B$24:$D$24,1,MATCH(A475,Inputs!$B$6:$D$6,0))</x:f>
        <x:v>5532.115</x:v>
      </x:c>
      <x:c r="U475" s="20" t="n">
        <x:f>IF(AND(A474=A475,D474=D475),T474,0)</x:f>
        <x:v>3011.0575</x:v>
      </x:c>
      <x:c r="V475" s="20" t="n">
        <x:f>T475-U475</x:f>
        <x:v>2521.0575</x:v>
      </x:c>
      <x:c r="W475" s="20" t="n">
        <x:f>R475+V475</x:f>
        <x:v>35476.0575</x:v>
      </x:c>
      <x:c r="X475" s="14" t="str">
        <x:f>IF(ABS(W475-SUM(M475:Q475)-V475)&lt;0.01,"OK","Check")</x:f>
        <x:v>OK</x:v>
      </x:c>
    </x:row>
    <x:row r="476">
      <x:c r="A476" s="14" t="n">
        <x:v>2027</x:v>
      </x:c>
      <x:c r="B476" s="14" t="str">
        <x:v>Q3</x:v>
      </x:c>
      <x:c r="C476" s="14" t="n">
        <x:v>3</x:v>
      </x:c>
      <x:c r="D476" s="14" t="n">
        <x:v>15</x:v>
      </x:c>
      <x:c r="E476" s="14" t="str">
        <x:f>INDEX(Roster!$B$6:$B$108,MATCH(D476,Roster!$A$6:$A$108,0))</x:f>
      </x:c>
      <x:c r="F476" s="14" t="str">
        <x:f>INDEX(Roster!$F$6:$F$108,MATCH(D476,Roster!$A$6:$A$108,0))</x:f>
        <x:v>No</x:v>
      </x:c>
      <x:c r="G476" s="14" t="n">
        <x:f>INDEX(Inputs!$B$7:$D$7,1,MATCH(A476,Inputs!$B$6:$D$6,0))</x:f>
        <x:v>13</x:v>
      </x:c>
      <x:c r="H476" s="14" t="n">
        <x:f>MIN(=INDEX(Inputs!$B$7:$D$7,1,MATCH(A476,Inputs!$B$6:$D$6,0)),MAX(0,INDEX(Inputs!$B$14:$D$14,1,MATCH(A476,Inputs!$B$6:$D$6,0))-(C476-1)*=INDEX(Inputs!$B$7:$D$7,1,MATCH(A476,Inputs!$B$6:$D$6,0))))</x:f>
        <x:v>13</x:v>
      </x:c>
      <x:c r="I476" s="20" t="n">
        <x:f>INDEX(Inputs!$B$8:$D$8,1,MATCH(A476,Inputs!$B$6:$D$6,0))</x:f>
        <x:v>2395</x:v>
      </x:c>
      <x:c r="J476" s="20" t="n">
        <x:f>INDEX(Roster!$C$6:$C$108,MATCH(D476,Roster!$A$6:$A$108,0))*(1+INDEX(Inputs!$B$9:$D$9,1,MATCH(A476,Inputs!$B$6:$D$6,0)))</x:f>
        <x:v>30</x:v>
      </x:c>
      <x:c r="K476" s="20" t="n">
        <x:f>IF(=INDEX(Roster!$F$6:$F$108,MATCH(D476,Roster!$A$6:$A$108,0))="Yes",0,=INDEX(Inputs!$B$8:$D$8,1,MATCH(A476,Inputs!$B$6:$D$6,0))*IF(=INDEX(Roster!$B$6:$B$108,MATCH(D476,Roster!$A$6:$A$108,0))="Principal",INDEX(Inputs!$B$10:$D$10,1,MATCH(A476,Inputs!$B$6:$D$6,0)),IF(=INDEX(Roster!$B$6:$B$108,MATCH(D476,Roster!$A$6:$A$108,0))="Associate Principal",INDEX(Inputs!$B$11:$D$11,1,MATCH(A476,Inputs!$B$6:$D$6,0)),IF(=INDEX(Roster!$B$6:$B$108,MATCH(D476,Roster!$A$6:$A$108,0))="Assistant Principal",INDEX(Inputs!$B$12:$D$12,1,MATCH(A476,Inputs!$B$6:$D$6,0)),0))))</x:f>
        <x:v>0</x:v>
      </x:c>
      <x:c r="L476" s="20" t="n">
        <x:f>IF(INDEX(Roster!$D$6:$D$108,MATCH(D476,Roster!$A$6:$A$108,0))&gt;=25,INDEX(Inputs!$B$19:$D$19,1,MATCH(A476,Inputs!$B$6:$D$6,0)),IF(INDEX(Roster!$D$6:$D$108,MATCH(D476,Roster!$A$6:$A$108,0))&gt;=20,INDEX(Inputs!$B$18:$D$18,1,MATCH(A476,Inputs!$B$6:$D$6,0)),IF(INDEX(Roster!$D$6:$D$108,MATCH(D476,Roster!$A$6:$A$108,0))&gt;=15,INDEX(Inputs!$B$17:$D$17,1,MATCH(A476,Inputs!$B$6:$D$6,0)),IF(INDEX(Roster!$D$6:$D$108,MATCH(D476,Roster!$A$6:$A$108,0))&gt;=10,INDEX(Inputs!$B$16:$D$16,1,MATCH(A476,Inputs!$B$6:$D$6,0)),IF(INDEX(Roster!$D$6:$D$108,MATCH(D476,Roster!$A$6:$A$108,0))&gt;=5,INDEX(Inputs!$B$15:$D$15,1,MATCH(A476,Inputs!$B$6:$D$6,0)),0)))))</x:f>
        <x:v>80</x:v>
      </x:c>
      <x:c r="M476" s="20" t="n">
        <x:f>G476*I476</x:f>
        <x:v>31135</x:v>
      </x:c>
      <x:c r="N476" s="20" t="n">
        <x:f>G476*J476</x:f>
        <x:v>390</x:v>
      </x:c>
      <x:c r="O476" s="20" t="n">
        <x:f>G476*K476</x:f>
        <x:v>0</x:v>
      </x:c>
      <x:c r="P476" s="20" t="n">
        <x:f>G476*L476</x:f>
        <x:v>1040</x:v>
      </x:c>
      <x:c r="Q476" s="20" t="n">
        <x:f>H476*INDEX(Inputs!$B$13:$D$13,1,MATCH(A476,Inputs!$B$6:$D$6,0))</x:f>
        <x:v>390</x:v>
      </x:c>
      <x:c r="R476" s="20" t="n">
        <x:f>SUM(M476:Q476)</x:f>
        <x:v>32955</x:v>
      </x:c>
      <x:c r="S476" s="20" t="n">
        <x:f>IF(AND(A475=A476,D475=D476),S475+R476,R476)</x:f>
        <x:v>98865</x:v>
      </x:c>
      <x:c r="T476" s="20" t="n">
        <x:f>MIN(S476,INDEX(Inputs!$B$20:$D$20,1,MATCH(A476,Inputs!$B$6:$D$6,0)))*INDEX(Inputs!$B$22:$D$22,1,MATCH(A476,Inputs!$B$6:$D$6,0))+MAX(MIN(S476,INDEX(Inputs!$B$21:$D$21,1,MATCH(A476,Inputs!$B$6:$D$6,0)))-INDEX(Inputs!$B$20:$D$20,1,MATCH(A476,Inputs!$B$6:$D$6,0)),0)*INDEX(Inputs!$B$23:$D$23,1,MATCH(A476,Inputs!$B$6:$D$6,0))+MAX(S476-INDEX(Inputs!$B$21:$D$21,1,MATCH(A476,Inputs!$B$6:$D$6,0)),0)*INDEX(Inputs!$B$24:$D$24,1,MATCH(A476,Inputs!$B$6:$D$6,0))</x:f>
        <x:v>8053.1725</x:v>
      </x:c>
      <x:c r="U476" s="20" t="n">
        <x:f>IF(AND(A475=A476,D475=D476),T475,0)</x:f>
        <x:v>5532.115</x:v>
      </x:c>
      <x:c r="V476" s="20" t="n">
        <x:f>T476-U476</x:f>
        <x:v>2521.0575</x:v>
      </x:c>
      <x:c r="W476" s="20" t="n">
        <x:f>R476+V476</x:f>
        <x:v>35476.0575</x:v>
      </x:c>
      <x:c r="X476" s="14" t="str">
        <x:f>IF(ABS(W476-SUM(M476:Q476)-V476)&lt;0.01,"OK","Check")</x:f>
        <x:v>OK</x:v>
      </x:c>
    </x:row>
    <x:row r="477">
      <x:c r="A477" s="14" t="n">
        <x:v>2027</x:v>
      </x:c>
      <x:c r="B477" s="14" t="str">
        <x:v>Q4</x:v>
      </x:c>
      <x:c r="C477" s="14" t="n">
        <x:v>4</x:v>
      </x:c>
      <x:c r="D477" s="14" t="n">
        <x:v>15</x:v>
      </x:c>
      <x:c r="E477" s="14" t="str">
        <x:f>INDEX(Roster!$B$6:$B$108,MATCH(D477,Roster!$A$6:$A$108,0))</x:f>
      </x:c>
      <x:c r="F477" s="14" t="str">
        <x:f>INDEX(Roster!$F$6:$F$108,MATCH(D477,Roster!$A$6:$A$108,0))</x:f>
        <x:v>No</x:v>
      </x:c>
      <x:c r="G477" s="14" t="n">
        <x:f>INDEX(Inputs!$B$7:$D$7,1,MATCH(A477,Inputs!$B$6:$D$6,0))</x:f>
        <x:v>13</x:v>
      </x:c>
      <x:c r="H477" s="14" t="n">
        <x:f>MIN(=INDEX(Inputs!$B$7:$D$7,1,MATCH(A477,Inputs!$B$6:$D$6,0)),MAX(0,INDEX(Inputs!$B$14:$D$14,1,MATCH(A477,Inputs!$B$6:$D$6,0))-(C477-1)*=INDEX(Inputs!$B$7:$D$7,1,MATCH(A477,Inputs!$B$6:$D$6,0))))</x:f>
        <x:v>0</x:v>
      </x:c>
      <x:c r="I477" s="20" t="n">
        <x:f>INDEX(Inputs!$B$8:$D$8,1,MATCH(A477,Inputs!$B$6:$D$6,0))</x:f>
        <x:v>2395</x:v>
      </x:c>
      <x:c r="J477" s="20" t="n">
        <x:f>INDEX(Roster!$C$6:$C$108,MATCH(D477,Roster!$A$6:$A$108,0))*(1+INDEX(Inputs!$B$9:$D$9,1,MATCH(A477,Inputs!$B$6:$D$6,0)))</x:f>
        <x:v>30</x:v>
      </x:c>
      <x:c r="K477" s="20" t="n">
        <x:f>IF(=INDEX(Roster!$F$6:$F$108,MATCH(D477,Roster!$A$6:$A$108,0))="Yes",0,=INDEX(Inputs!$B$8:$D$8,1,MATCH(A477,Inputs!$B$6:$D$6,0))*IF(=INDEX(Roster!$B$6:$B$108,MATCH(D477,Roster!$A$6:$A$108,0))="Principal",INDEX(Inputs!$B$10:$D$10,1,MATCH(A477,Inputs!$B$6:$D$6,0)),IF(=INDEX(Roster!$B$6:$B$108,MATCH(D477,Roster!$A$6:$A$108,0))="Associate Principal",INDEX(Inputs!$B$11:$D$11,1,MATCH(A477,Inputs!$B$6:$D$6,0)),IF(=INDEX(Roster!$B$6:$B$108,MATCH(D477,Roster!$A$6:$A$108,0))="Assistant Principal",INDEX(Inputs!$B$12:$D$12,1,MATCH(A477,Inputs!$B$6:$D$6,0)),0))))</x:f>
        <x:v>0</x:v>
      </x:c>
      <x:c r="L477" s="20" t="n">
        <x:f>IF(INDEX(Roster!$D$6:$D$108,MATCH(D477,Roster!$A$6:$A$108,0))&gt;=25,INDEX(Inputs!$B$19:$D$19,1,MATCH(A477,Inputs!$B$6:$D$6,0)),IF(INDEX(Roster!$D$6:$D$108,MATCH(D477,Roster!$A$6:$A$108,0))&gt;=20,INDEX(Inputs!$B$18:$D$18,1,MATCH(A477,Inputs!$B$6:$D$6,0)),IF(INDEX(Roster!$D$6:$D$108,MATCH(D477,Roster!$A$6:$A$108,0))&gt;=15,INDEX(Inputs!$B$17:$D$17,1,MATCH(A477,Inputs!$B$6:$D$6,0)),IF(INDEX(Roster!$D$6:$D$108,MATCH(D477,Roster!$A$6:$A$108,0))&gt;=10,INDEX(Inputs!$B$16:$D$16,1,MATCH(A477,Inputs!$B$6:$D$6,0)),IF(INDEX(Roster!$D$6:$D$108,MATCH(D477,Roster!$A$6:$A$108,0))&gt;=5,INDEX(Inputs!$B$15:$D$15,1,MATCH(A477,Inputs!$B$6:$D$6,0)),0)))))</x:f>
        <x:v>80</x:v>
      </x:c>
      <x:c r="M477" s="20" t="n">
        <x:f>G477*I477</x:f>
        <x:v>31135</x:v>
      </x:c>
      <x:c r="N477" s="20" t="n">
        <x:f>G477*J477</x:f>
        <x:v>390</x:v>
      </x:c>
      <x:c r="O477" s="20" t="n">
        <x:f>G477*K477</x:f>
        <x:v>0</x:v>
      </x:c>
      <x:c r="P477" s="20" t="n">
        <x:f>G477*L477</x:f>
        <x:v>1040</x:v>
      </x:c>
      <x:c r="Q477" s="20" t="n">
        <x:f>H477*INDEX(Inputs!$B$13:$D$13,1,MATCH(A477,Inputs!$B$6:$D$6,0))</x:f>
        <x:v>0</x:v>
      </x:c>
      <x:c r="R477" s="20" t="n">
        <x:f>SUM(M477:Q477)</x:f>
        <x:v>32565</x:v>
      </x:c>
      <x:c r="S477" s="20" t="n">
        <x:f>IF(AND(A476=A477,D476=D477),S476+R477,R477)</x:f>
        <x:v>131430</x:v>
      </x:c>
      <x:c r="T477" s="20" t="n">
        <x:f>MIN(S477,INDEX(Inputs!$B$20:$D$20,1,MATCH(A477,Inputs!$B$6:$D$6,0)))*INDEX(Inputs!$B$22:$D$22,1,MATCH(A477,Inputs!$B$6:$D$6,0))+MAX(MIN(S477,INDEX(Inputs!$B$21:$D$21,1,MATCH(A477,Inputs!$B$6:$D$6,0)))-INDEX(Inputs!$B$20:$D$20,1,MATCH(A477,Inputs!$B$6:$D$6,0)),0)*INDEX(Inputs!$B$23:$D$23,1,MATCH(A477,Inputs!$B$6:$D$6,0))+MAX(S477-INDEX(Inputs!$B$21:$D$21,1,MATCH(A477,Inputs!$B$6:$D$6,0)),0)*INDEX(Inputs!$B$24:$D$24,1,MATCH(A477,Inputs!$B$6:$D$6,0))</x:f>
        <x:v>9819.677</x:v>
      </x:c>
      <x:c r="U477" s="20" t="n">
        <x:f>IF(AND(A476=A477,D476=D477),T476,0)</x:f>
        <x:v>8053.1725</x:v>
      </x:c>
      <x:c r="V477" s="20" t="n">
        <x:f>T477-U477</x:f>
        <x:v>1766.5045</x:v>
      </x:c>
      <x:c r="W477" s="20" t="n">
        <x:f>R477+V477</x:f>
        <x:v>34331.5045</x:v>
      </x:c>
      <x:c r="X477" s="14" t="str">
        <x:f>IF(ABS(W477-SUM(M477:Q477)-V477)&lt;0.01,"OK","Check")</x:f>
        <x:v>OK</x:v>
      </x:c>
    </x:row>
    <x:row r="478">
      <x:c r="A478" s="14" t="n">
        <x:v>2027</x:v>
      </x:c>
      <x:c r="B478" s="14" t="str">
        <x:v>Q1</x:v>
      </x:c>
      <x:c r="C478" s="14" t="n">
        <x:v>1</x:v>
      </x:c>
      <x:c r="D478" s="14" t="n">
        <x:v>16</x:v>
      </x:c>
      <x:c r="E478" s="14" t="str">
        <x:f>INDEX(Roster!$B$6:$B$108,MATCH(D478,Roster!$A$6:$A$108,0))</x:f>
      </x:c>
      <x:c r="F478" s="14" t="str">
        <x:f>INDEX(Roster!$F$6:$F$108,MATCH(D478,Roster!$A$6:$A$108,0))</x:f>
        <x:v>No</x:v>
      </x:c>
      <x:c r="G478" s="14" t="n">
        <x:f>INDEX(Inputs!$B$7:$D$7,1,MATCH(A478,Inputs!$B$6:$D$6,0))</x:f>
        <x:v>13</x:v>
      </x:c>
      <x:c r="H478" s="14" t="n">
        <x:f>MIN(=INDEX(Inputs!$B$7:$D$7,1,MATCH(A478,Inputs!$B$6:$D$6,0)),MAX(0,INDEX(Inputs!$B$14:$D$14,1,MATCH(A478,Inputs!$B$6:$D$6,0))-(C478-1)*=INDEX(Inputs!$B$7:$D$7,1,MATCH(A478,Inputs!$B$6:$D$6,0))))</x:f>
        <x:v>13</x:v>
      </x:c>
      <x:c r="I478" s="20" t="n">
        <x:f>INDEX(Inputs!$B$8:$D$8,1,MATCH(A478,Inputs!$B$6:$D$6,0))</x:f>
        <x:v>2395</x:v>
      </x:c>
      <x:c r="J478" s="20" t="n">
        <x:f>INDEX(Roster!$C$6:$C$108,MATCH(D478,Roster!$A$6:$A$108,0))*(1+INDEX(Inputs!$B$9:$D$9,1,MATCH(A478,Inputs!$B$6:$D$6,0)))</x:f>
        <x:v>0</x:v>
      </x:c>
      <x:c r="K478" s="20" t="n">
        <x:f>IF(=INDEX(Roster!$F$6:$F$108,MATCH(D478,Roster!$A$6:$A$108,0))="Yes",0,=INDEX(Inputs!$B$8:$D$8,1,MATCH(A478,Inputs!$B$6:$D$6,0))*IF(=INDEX(Roster!$B$6:$B$108,MATCH(D478,Roster!$A$6:$A$108,0))="Principal",INDEX(Inputs!$B$10:$D$10,1,MATCH(A478,Inputs!$B$6:$D$6,0)),IF(=INDEX(Roster!$B$6:$B$108,MATCH(D478,Roster!$A$6:$A$108,0))="Associate Principal",INDEX(Inputs!$B$11:$D$11,1,MATCH(A478,Inputs!$B$6:$D$6,0)),IF(=INDEX(Roster!$B$6:$B$108,MATCH(D478,Roster!$A$6:$A$108,0))="Assistant Principal",INDEX(Inputs!$B$12:$D$12,1,MATCH(A478,Inputs!$B$6:$D$6,0)),0))))</x:f>
        <x:v>0</x:v>
      </x:c>
      <x:c r="L478" s="20" t="n">
        <x:f>IF(INDEX(Roster!$D$6:$D$108,MATCH(D478,Roster!$A$6:$A$108,0))&gt;=25,INDEX(Inputs!$B$19:$D$19,1,MATCH(A478,Inputs!$B$6:$D$6,0)),IF(INDEX(Roster!$D$6:$D$108,MATCH(D478,Roster!$A$6:$A$108,0))&gt;=20,INDEX(Inputs!$B$18:$D$18,1,MATCH(A478,Inputs!$B$6:$D$6,0)),IF(INDEX(Roster!$D$6:$D$108,MATCH(D478,Roster!$A$6:$A$108,0))&gt;=15,INDEX(Inputs!$B$17:$D$17,1,MATCH(A478,Inputs!$B$6:$D$6,0)),IF(INDEX(Roster!$D$6:$D$108,MATCH(D478,Roster!$A$6:$A$108,0))&gt;=10,INDEX(Inputs!$B$16:$D$16,1,MATCH(A478,Inputs!$B$6:$D$6,0)),IF(INDEX(Roster!$D$6:$D$108,MATCH(D478,Roster!$A$6:$A$108,0))&gt;=5,INDEX(Inputs!$B$15:$D$15,1,MATCH(A478,Inputs!$B$6:$D$6,0)),0)))))</x:f>
        <x:v>50</x:v>
      </x:c>
      <x:c r="M478" s="20" t="n">
        <x:f>G478*I478</x:f>
        <x:v>31135</x:v>
      </x:c>
      <x:c r="N478" s="20" t="n">
        <x:f>G478*J478</x:f>
        <x:v>0</x:v>
      </x:c>
      <x:c r="O478" s="20" t="n">
        <x:f>G478*K478</x:f>
        <x:v>0</x:v>
      </x:c>
      <x:c r="P478" s="20" t="n">
        <x:f>G478*L478</x:f>
        <x:v>650</x:v>
      </x:c>
      <x:c r="Q478" s="20" t="n">
        <x:f>H478*INDEX(Inputs!$B$13:$D$13,1,MATCH(A478,Inputs!$B$6:$D$6,0))</x:f>
        <x:v>390</x:v>
      </x:c>
      <x:c r="R478" s="20" t="n">
        <x:f>SUM(M478:Q478)</x:f>
        <x:v>32175</x:v>
      </x:c>
      <x:c r="S478" s="20" t="n">
        <x:f>IF(AND(A477=A478,D477=D478),S477+R478,R478)</x:f>
        <x:v>32175</x:v>
      </x:c>
      <x:c r="T478" s="20" t="n">
        <x:f>MIN(S478,INDEX(Inputs!$B$20:$D$20,1,MATCH(A478,Inputs!$B$6:$D$6,0)))*INDEX(Inputs!$B$22:$D$22,1,MATCH(A478,Inputs!$B$6:$D$6,0))+MAX(MIN(S478,INDEX(Inputs!$B$21:$D$21,1,MATCH(A478,Inputs!$B$6:$D$6,0)))-INDEX(Inputs!$B$20:$D$20,1,MATCH(A478,Inputs!$B$6:$D$6,0)),0)*INDEX(Inputs!$B$23:$D$23,1,MATCH(A478,Inputs!$B$6:$D$6,0))+MAX(S478-INDEX(Inputs!$B$21:$D$21,1,MATCH(A478,Inputs!$B$6:$D$6,0)),0)*INDEX(Inputs!$B$24:$D$24,1,MATCH(A478,Inputs!$B$6:$D$6,0))</x:f>
        <x:v>2951.3875</x:v>
      </x:c>
      <x:c r="U478" s="20" t="n">
        <x:f>IF(AND(A477=A478,D477=D478),T477,0)</x:f>
        <x:v>0</x:v>
      </x:c>
      <x:c r="V478" s="20" t="n">
        <x:f>T478-U478</x:f>
        <x:v>2951.3875</x:v>
      </x:c>
      <x:c r="W478" s="20" t="n">
        <x:f>R478+V478</x:f>
        <x:v>35126.3875</x:v>
      </x:c>
      <x:c r="X478" s="14" t="str">
        <x:f>IF(ABS(W478-SUM(M478:Q478)-V478)&lt;0.01,"OK","Check")</x:f>
        <x:v>OK</x:v>
      </x:c>
    </x:row>
    <x:row r="479">
      <x:c r="A479" s="14" t="n">
        <x:v>2027</x:v>
      </x:c>
      <x:c r="B479" s="14" t="str">
        <x:v>Q2</x:v>
      </x:c>
      <x:c r="C479" s="14" t="n">
        <x:v>2</x:v>
      </x:c>
      <x:c r="D479" s="14" t="n">
        <x:v>16</x:v>
      </x:c>
      <x:c r="E479" s="14" t="str">
        <x:f>INDEX(Roster!$B$6:$B$108,MATCH(D479,Roster!$A$6:$A$108,0))</x:f>
      </x:c>
      <x:c r="F479" s="14" t="str">
        <x:f>INDEX(Roster!$F$6:$F$108,MATCH(D479,Roster!$A$6:$A$108,0))</x:f>
        <x:v>No</x:v>
      </x:c>
      <x:c r="G479" s="14" t="n">
        <x:f>INDEX(Inputs!$B$7:$D$7,1,MATCH(A479,Inputs!$B$6:$D$6,0))</x:f>
        <x:v>13</x:v>
      </x:c>
      <x:c r="H479" s="14" t="n">
        <x:f>MIN(=INDEX(Inputs!$B$7:$D$7,1,MATCH(A479,Inputs!$B$6:$D$6,0)),MAX(0,INDEX(Inputs!$B$14:$D$14,1,MATCH(A479,Inputs!$B$6:$D$6,0))-(C479-1)*=INDEX(Inputs!$B$7:$D$7,1,MATCH(A479,Inputs!$B$6:$D$6,0))))</x:f>
        <x:v>13</x:v>
      </x:c>
      <x:c r="I479" s="20" t="n">
        <x:f>INDEX(Inputs!$B$8:$D$8,1,MATCH(A479,Inputs!$B$6:$D$6,0))</x:f>
        <x:v>2395</x:v>
      </x:c>
      <x:c r="J479" s="20" t="n">
        <x:f>INDEX(Roster!$C$6:$C$108,MATCH(D479,Roster!$A$6:$A$108,0))*(1+INDEX(Inputs!$B$9:$D$9,1,MATCH(A479,Inputs!$B$6:$D$6,0)))</x:f>
        <x:v>0</x:v>
      </x:c>
      <x:c r="K479" s="20" t="n">
        <x:f>IF(=INDEX(Roster!$F$6:$F$108,MATCH(D479,Roster!$A$6:$A$108,0))="Yes",0,=INDEX(Inputs!$B$8:$D$8,1,MATCH(A479,Inputs!$B$6:$D$6,0))*IF(=INDEX(Roster!$B$6:$B$108,MATCH(D479,Roster!$A$6:$A$108,0))="Principal",INDEX(Inputs!$B$10:$D$10,1,MATCH(A479,Inputs!$B$6:$D$6,0)),IF(=INDEX(Roster!$B$6:$B$108,MATCH(D479,Roster!$A$6:$A$108,0))="Associate Principal",INDEX(Inputs!$B$11:$D$11,1,MATCH(A479,Inputs!$B$6:$D$6,0)),IF(=INDEX(Roster!$B$6:$B$108,MATCH(D479,Roster!$A$6:$A$108,0))="Assistant Principal",INDEX(Inputs!$B$12:$D$12,1,MATCH(A479,Inputs!$B$6:$D$6,0)),0))))</x:f>
        <x:v>0</x:v>
      </x:c>
      <x:c r="L479" s="20" t="n">
        <x:f>IF(INDEX(Roster!$D$6:$D$108,MATCH(D479,Roster!$A$6:$A$108,0))&gt;=25,INDEX(Inputs!$B$19:$D$19,1,MATCH(A479,Inputs!$B$6:$D$6,0)),IF(INDEX(Roster!$D$6:$D$108,MATCH(D479,Roster!$A$6:$A$108,0))&gt;=20,INDEX(Inputs!$B$18:$D$18,1,MATCH(A479,Inputs!$B$6:$D$6,0)),IF(INDEX(Roster!$D$6:$D$108,MATCH(D479,Roster!$A$6:$A$108,0))&gt;=15,INDEX(Inputs!$B$17:$D$17,1,MATCH(A479,Inputs!$B$6:$D$6,0)),IF(INDEX(Roster!$D$6:$D$108,MATCH(D479,Roster!$A$6:$A$108,0))&gt;=10,INDEX(Inputs!$B$16:$D$16,1,MATCH(A479,Inputs!$B$6:$D$6,0)),IF(INDEX(Roster!$D$6:$D$108,MATCH(D479,Roster!$A$6:$A$108,0))&gt;=5,INDEX(Inputs!$B$15:$D$15,1,MATCH(A479,Inputs!$B$6:$D$6,0)),0)))))</x:f>
        <x:v>50</x:v>
      </x:c>
      <x:c r="M479" s="20" t="n">
        <x:f>G479*I479</x:f>
        <x:v>31135</x:v>
      </x:c>
      <x:c r="N479" s="20" t="n">
        <x:f>G479*J479</x:f>
        <x:v>0</x:v>
      </x:c>
      <x:c r="O479" s="20" t="n">
        <x:f>G479*K479</x:f>
        <x:v>0</x:v>
      </x:c>
      <x:c r="P479" s="20" t="n">
        <x:f>G479*L479</x:f>
        <x:v>650</x:v>
      </x:c>
      <x:c r="Q479" s="20" t="n">
        <x:f>H479*INDEX(Inputs!$B$13:$D$13,1,MATCH(A479,Inputs!$B$6:$D$6,0))</x:f>
        <x:v>390</x:v>
      </x:c>
      <x:c r="R479" s="20" t="n">
        <x:f>SUM(M479:Q479)</x:f>
        <x:v>32175</x:v>
      </x:c>
      <x:c r="S479" s="20" t="n">
        <x:f>IF(AND(A478=A479,D478=D479),S478+R479,R479)</x:f>
        <x:v>64350</x:v>
      </x:c>
      <x:c r="T479" s="20" t="n">
        <x:f>MIN(S479,INDEX(Inputs!$B$20:$D$20,1,MATCH(A479,Inputs!$B$6:$D$6,0)))*INDEX(Inputs!$B$22:$D$22,1,MATCH(A479,Inputs!$B$6:$D$6,0))+MAX(MIN(S479,INDEX(Inputs!$B$21:$D$21,1,MATCH(A479,Inputs!$B$6:$D$6,0)))-INDEX(Inputs!$B$20:$D$20,1,MATCH(A479,Inputs!$B$6:$D$6,0)),0)*INDEX(Inputs!$B$23:$D$23,1,MATCH(A479,Inputs!$B$6:$D$6,0))+MAX(S479-INDEX(Inputs!$B$21:$D$21,1,MATCH(A479,Inputs!$B$6:$D$6,0)),0)*INDEX(Inputs!$B$24:$D$24,1,MATCH(A479,Inputs!$B$6:$D$6,0))</x:f>
        <x:v>5412.775</x:v>
      </x:c>
      <x:c r="U479" s="20" t="n">
        <x:f>IF(AND(A478=A479,D478=D479),T478,0)</x:f>
        <x:v>2951.3875</x:v>
      </x:c>
      <x:c r="V479" s="20" t="n">
        <x:f>T479-U479</x:f>
        <x:v>2461.3875</x:v>
      </x:c>
      <x:c r="W479" s="20" t="n">
        <x:f>R479+V479</x:f>
        <x:v>34636.3875</x:v>
      </x:c>
      <x:c r="X479" s="14" t="str">
        <x:f>IF(ABS(W479-SUM(M479:Q479)-V479)&lt;0.01,"OK","Check")</x:f>
        <x:v>OK</x:v>
      </x:c>
    </x:row>
    <x:row r="480">
      <x:c r="A480" s="14" t="n">
        <x:v>2027</x:v>
      </x:c>
      <x:c r="B480" s="14" t="str">
        <x:v>Q3</x:v>
      </x:c>
      <x:c r="C480" s="14" t="n">
        <x:v>3</x:v>
      </x:c>
      <x:c r="D480" s="14" t="n">
        <x:v>16</x:v>
      </x:c>
      <x:c r="E480" s="14" t="str">
        <x:f>INDEX(Roster!$B$6:$B$108,MATCH(D480,Roster!$A$6:$A$108,0))</x:f>
      </x:c>
      <x:c r="F480" s="14" t="str">
        <x:f>INDEX(Roster!$F$6:$F$108,MATCH(D480,Roster!$A$6:$A$108,0))</x:f>
        <x:v>No</x:v>
      </x:c>
      <x:c r="G480" s="14" t="n">
        <x:f>INDEX(Inputs!$B$7:$D$7,1,MATCH(A480,Inputs!$B$6:$D$6,0))</x:f>
        <x:v>13</x:v>
      </x:c>
      <x:c r="H480" s="14" t="n">
        <x:f>MIN(=INDEX(Inputs!$B$7:$D$7,1,MATCH(A480,Inputs!$B$6:$D$6,0)),MAX(0,INDEX(Inputs!$B$14:$D$14,1,MATCH(A480,Inputs!$B$6:$D$6,0))-(C480-1)*=INDEX(Inputs!$B$7:$D$7,1,MATCH(A480,Inputs!$B$6:$D$6,0))))</x:f>
        <x:v>13</x:v>
      </x:c>
      <x:c r="I480" s="20" t="n">
        <x:f>INDEX(Inputs!$B$8:$D$8,1,MATCH(A480,Inputs!$B$6:$D$6,0))</x:f>
        <x:v>2395</x:v>
      </x:c>
      <x:c r="J480" s="20" t="n">
        <x:f>INDEX(Roster!$C$6:$C$108,MATCH(D480,Roster!$A$6:$A$108,0))*(1+INDEX(Inputs!$B$9:$D$9,1,MATCH(A480,Inputs!$B$6:$D$6,0)))</x:f>
        <x:v>0</x:v>
      </x:c>
      <x:c r="K480" s="20" t="n">
        <x:f>IF(=INDEX(Roster!$F$6:$F$108,MATCH(D480,Roster!$A$6:$A$108,0))="Yes",0,=INDEX(Inputs!$B$8:$D$8,1,MATCH(A480,Inputs!$B$6:$D$6,0))*IF(=INDEX(Roster!$B$6:$B$108,MATCH(D480,Roster!$A$6:$A$108,0))="Principal",INDEX(Inputs!$B$10:$D$10,1,MATCH(A480,Inputs!$B$6:$D$6,0)),IF(=INDEX(Roster!$B$6:$B$108,MATCH(D480,Roster!$A$6:$A$108,0))="Associate Principal",INDEX(Inputs!$B$11:$D$11,1,MATCH(A480,Inputs!$B$6:$D$6,0)),IF(=INDEX(Roster!$B$6:$B$108,MATCH(D480,Roster!$A$6:$A$108,0))="Assistant Principal",INDEX(Inputs!$B$12:$D$12,1,MATCH(A480,Inputs!$B$6:$D$6,0)),0))))</x:f>
        <x:v>0</x:v>
      </x:c>
      <x:c r="L480" s="20" t="n">
        <x:f>IF(INDEX(Roster!$D$6:$D$108,MATCH(D480,Roster!$A$6:$A$108,0))&gt;=25,INDEX(Inputs!$B$19:$D$19,1,MATCH(A480,Inputs!$B$6:$D$6,0)),IF(INDEX(Roster!$D$6:$D$108,MATCH(D480,Roster!$A$6:$A$108,0))&gt;=20,INDEX(Inputs!$B$18:$D$18,1,MATCH(A480,Inputs!$B$6:$D$6,0)),IF(INDEX(Roster!$D$6:$D$108,MATCH(D480,Roster!$A$6:$A$108,0))&gt;=15,INDEX(Inputs!$B$17:$D$17,1,MATCH(A480,Inputs!$B$6:$D$6,0)),IF(INDEX(Roster!$D$6:$D$108,MATCH(D480,Roster!$A$6:$A$108,0))&gt;=10,INDEX(Inputs!$B$16:$D$16,1,MATCH(A480,Inputs!$B$6:$D$6,0)),IF(INDEX(Roster!$D$6:$D$108,MATCH(D480,Roster!$A$6:$A$108,0))&gt;=5,INDEX(Inputs!$B$15:$D$15,1,MATCH(A480,Inputs!$B$6:$D$6,0)),0)))))</x:f>
        <x:v>50</x:v>
      </x:c>
      <x:c r="M480" s="20" t="n">
        <x:f>G480*I480</x:f>
        <x:v>31135</x:v>
      </x:c>
      <x:c r="N480" s="20" t="n">
        <x:f>G480*J480</x:f>
        <x:v>0</x:v>
      </x:c>
      <x:c r="O480" s="20" t="n">
        <x:f>G480*K480</x:f>
        <x:v>0</x:v>
      </x:c>
      <x:c r="P480" s="20" t="n">
        <x:f>G480*L480</x:f>
        <x:v>650</x:v>
      </x:c>
      <x:c r="Q480" s="20" t="n">
        <x:f>H480*INDEX(Inputs!$B$13:$D$13,1,MATCH(A480,Inputs!$B$6:$D$6,0))</x:f>
        <x:v>390</x:v>
      </x:c>
      <x:c r="R480" s="20" t="n">
        <x:f>SUM(M480:Q480)</x:f>
        <x:v>32175</x:v>
      </x:c>
      <x:c r="S480" s="20" t="n">
        <x:f>IF(AND(A479=A480,D479=D480),S479+R480,R480)</x:f>
        <x:v>96525</x:v>
      </x:c>
      <x:c r="T480" s="20" t="n">
        <x:f>MIN(S480,INDEX(Inputs!$B$20:$D$20,1,MATCH(A480,Inputs!$B$6:$D$6,0)))*INDEX(Inputs!$B$22:$D$22,1,MATCH(A480,Inputs!$B$6:$D$6,0))+MAX(MIN(S480,INDEX(Inputs!$B$21:$D$21,1,MATCH(A480,Inputs!$B$6:$D$6,0)))-INDEX(Inputs!$B$20:$D$20,1,MATCH(A480,Inputs!$B$6:$D$6,0)),0)*INDEX(Inputs!$B$23:$D$23,1,MATCH(A480,Inputs!$B$6:$D$6,0))+MAX(S480-INDEX(Inputs!$B$21:$D$21,1,MATCH(A480,Inputs!$B$6:$D$6,0)),0)*INDEX(Inputs!$B$24:$D$24,1,MATCH(A480,Inputs!$B$6:$D$6,0))</x:f>
        <x:v>7874.162499999999</x:v>
      </x:c>
      <x:c r="U480" s="20" t="n">
        <x:f>IF(AND(A479=A480,D479=D480),T479,0)</x:f>
        <x:v>5412.775</x:v>
      </x:c>
      <x:c r="V480" s="20" t="n">
        <x:f>T480-U480</x:f>
        <x:v>2461.3875</x:v>
      </x:c>
      <x:c r="W480" s="20" t="n">
        <x:f>R480+V480</x:f>
        <x:v>34636.3875</x:v>
      </x:c>
      <x:c r="X480" s="14" t="str">
        <x:f>IF(ABS(W480-SUM(M480:Q480)-V480)&lt;0.01,"OK","Check")</x:f>
        <x:v>OK</x:v>
      </x:c>
    </x:row>
    <x:row r="481">
      <x:c r="A481" s="14" t="n">
        <x:v>2027</x:v>
      </x:c>
      <x:c r="B481" s="14" t="str">
        <x:v>Q4</x:v>
      </x:c>
      <x:c r="C481" s="14" t="n">
        <x:v>4</x:v>
      </x:c>
      <x:c r="D481" s="14" t="n">
        <x:v>16</x:v>
      </x:c>
      <x:c r="E481" s="14" t="str">
        <x:f>INDEX(Roster!$B$6:$B$108,MATCH(D481,Roster!$A$6:$A$108,0))</x:f>
      </x:c>
      <x:c r="F481" s="14" t="str">
        <x:f>INDEX(Roster!$F$6:$F$108,MATCH(D481,Roster!$A$6:$A$108,0))</x:f>
        <x:v>No</x:v>
      </x:c>
      <x:c r="G481" s="14" t="n">
        <x:f>INDEX(Inputs!$B$7:$D$7,1,MATCH(A481,Inputs!$B$6:$D$6,0))</x:f>
        <x:v>13</x:v>
      </x:c>
      <x:c r="H481" s="14" t="n">
        <x:f>MIN(=INDEX(Inputs!$B$7:$D$7,1,MATCH(A481,Inputs!$B$6:$D$6,0)),MAX(0,INDEX(Inputs!$B$14:$D$14,1,MATCH(A481,Inputs!$B$6:$D$6,0))-(C481-1)*=INDEX(Inputs!$B$7:$D$7,1,MATCH(A481,Inputs!$B$6:$D$6,0))))</x:f>
        <x:v>0</x:v>
      </x:c>
      <x:c r="I481" s="20" t="n">
        <x:f>INDEX(Inputs!$B$8:$D$8,1,MATCH(A481,Inputs!$B$6:$D$6,0))</x:f>
        <x:v>2395</x:v>
      </x:c>
      <x:c r="J481" s="20" t="n">
        <x:f>INDEX(Roster!$C$6:$C$108,MATCH(D481,Roster!$A$6:$A$108,0))*(1+INDEX(Inputs!$B$9:$D$9,1,MATCH(A481,Inputs!$B$6:$D$6,0)))</x:f>
        <x:v>0</x:v>
      </x:c>
      <x:c r="K481" s="20" t="n">
        <x:f>IF(=INDEX(Roster!$F$6:$F$108,MATCH(D481,Roster!$A$6:$A$108,0))="Yes",0,=INDEX(Inputs!$B$8:$D$8,1,MATCH(A481,Inputs!$B$6:$D$6,0))*IF(=INDEX(Roster!$B$6:$B$108,MATCH(D481,Roster!$A$6:$A$108,0))="Principal",INDEX(Inputs!$B$10:$D$10,1,MATCH(A481,Inputs!$B$6:$D$6,0)),IF(=INDEX(Roster!$B$6:$B$108,MATCH(D481,Roster!$A$6:$A$108,0))="Associate Principal",INDEX(Inputs!$B$11:$D$11,1,MATCH(A481,Inputs!$B$6:$D$6,0)),IF(=INDEX(Roster!$B$6:$B$108,MATCH(D481,Roster!$A$6:$A$108,0))="Assistant Principal",INDEX(Inputs!$B$12:$D$12,1,MATCH(A481,Inputs!$B$6:$D$6,0)),0))))</x:f>
        <x:v>0</x:v>
      </x:c>
      <x:c r="L481" s="20" t="n">
        <x:f>IF(INDEX(Roster!$D$6:$D$108,MATCH(D481,Roster!$A$6:$A$108,0))&gt;=25,INDEX(Inputs!$B$19:$D$19,1,MATCH(A481,Inputs!$B$6:$D$6,0)),IF(INDEX(Roster!$D$6:$D$108,MATCH(D481,Roster!$A$6:$A$108,0))&gt;=20,INDEX(Inputs!$B$18:$D$18,1,MATCH(A481,Inputs!$B$6:$D$6,0)),IF(INDEX(Roster!$D$6:$D$108,MATCH(D481,Roster!$A$6:$A$108,0))&gt;=15,INDEX(Inputs!$B$17:$D$17,1,MATCH(A481,Inputs!$B$6:$D$6,0)),IF(INDEX(Roster!$D$6:$D$108,MATCH(D481,Roster!$A$6:$A$108,0))&gt;=10,INDEX(Inputs!$B$16:$D$16,1,MATCH(A481,Inputs!$B$6:$D$6,0)),IF(INDEX(Roster!$D$6:$D$108,MATCH(D481,Roster!$A$6:$A$108,0))&gt;=5,INDEX(Inputs!$B$15:$D$15,1,MATCH(A481,Inputs!$B$6:$D$6,0)),0)))))</x:f>
        <x:v>50</x:v>
      </x:c>
      <x:c r="M481" s="20" t="n">
        <x:f>G481*I481</x:f>
        <x:v>31135</x:v>
      </x:c>
      <x:c r="N481" s="20" t="n">
        <x:f>G481*J481</x:f>
        <x:v>0</x:v>
      </x:c>
      <x:c r="O481" s="20" t="n">
        <x:f>G481*K481</x:f>
        <x:v>0</x:v>
      </x:c>
      <x:c r="P481" s="20" t="n">
        <x:f>G481*L481</x:f>
        <x:v>650</x:v>
      </x:c>
      <x:c r="Q481" s="20" t="n">
        <x:f>H481*INDEX(Inputs!$B$13:$D$13,1,MATCH(A481,Inputs!$B$6:$D$6,0))</x:f>
        <x:v>0</x:v>
      </x:c>
      <x:c r="R481" s="20" t="n">
        <x:f>SUM(M481:Q481)</x:f>
        <x:v>31785</x:v>
      </x:c>
      <x:c r="S481" s="20" t="n">
        <x:f>IF(AND(A480=A481,D480=D481),S480+R481,R481)</x:f>
        <x:v>128310</x:v>
      </x:c>
      <x:c r="T481" s="20" t="n">
        <x:f>MIN(S481,INDEX(Inputs!$B$20:$D$20,1,MATCH(A481,Inputs!$B$6:$D$6,0)))*INDEX(Inputs!$B$22:$D$22,1,MATCH(A481,Inputs!$B$6:$D$6,0))+MAX(MIN(S481,INDEX(Inputs!$B$21:$D$21,1,MATCH(A481,Inputs!$B$6:$D$6,0)))-INDEX(Inputs!$B$20:$D$20,1,MATCH(A481,Inputs!$B$6:$D$6,0)),0)*INDEX(Inputs!$B$23:$D$23,1,MATCH(A481,Inputs!$B$6:$D$6,0))+MAX(S481-INDEX(Inputs!$B$21:$D$21,1,MATCH(A481,Inputs!$B$6:$D$6,0)),0)*INDEX(Inputs!$B$24:$D$24,1,MATCH(A481,Inputs!$B$6:$D$6,0))</x:f>
        <x:v>9774.437</x:v>
      </x:c>
      <x:c r="U481" s="20" t="n">
        <x:f>IF(AND(A480=A481,D480=D481),T480,0)</x:f>
        <x:v>7874.162499999999</x:v>
      </x:c>
      <x:c r="V481" s="20" t="n">
        <x:f>T481-U481</x:f>
        <x:v>1900.2745000000004</x:v>
      </x:c>
      <x:c r="W481" s="20" t="n">
        <x:f>R481+V481</x:f>
        <x:v>33685.2745</x:v>
      </x:c>
      <x:c r="X481" s="14" t="str">
        <x:f>IF(ABS(W481-SUM(M481:Q481)-V481)&lt;0.01,"OK","Check")</x:f>
        <x:v>OK</x:v>
      </x:c>
    </x:row>
    <x:row r="482">
      <x:c r="A482" s="14" t="n">
        <x:v>2027</x:v>
      </x:c>
      <x:c r="B482" s="14" t="str">
        <x:v>Q1</x:v>
      </x:c>
      <x:c r="C482" s="14" t="n">
        <x:v>1</x:v>
      </x:c>
      <x:c r="D482" s="14" t="n">
        <x:v>17</x:v>
      </x:c>
      <x:c r="E482" s="14" t="str">
        <x:f>INDEX(Roster!$B$6:$B$108,MATCH(D482,Roster!$A$6:$A$108,0))</x:f>
      </x:c>
      <x:c r="F482" s="14" t="str">
        <x:f>INDEX(Roster!$F$6:$F$108,MATCH(D482,Roster!$A$6:$A$108,0))</x:f>
        <x:v>No</x:v>
      </x:c>
      <x:c r="G482" s="14" t="n">
        <x:f>INDEX(Inputs!$B$7:$D$7,1,MATCH(A482,Inputs!$B$6:$D$6,0))</x:f>
        <x:v>13</x:v>
      </x:c>
      <x:c r="H482" s="14" t="n">
        <x:f>MIN(=INDEX(Inputs!$B$7:$D$7,1,MATCH(A482,Inputs!$B$6:$D$6,0)),MAX(0,INDEX(Inputs!$B$14:$D$14,1,MATCH(A482,Inputs!$B$6:$D$6,0))-(C482-1)*=INDEX(Inputs!$B$7:$D$7,1,MATCH(A482,Inputs!$B$6:$D$6,0))))</x:f>
        <x:v>13</x:v>
      </x:c>
      <x:c r="I482" s="20" t="n">
        <x:f>INDEX(Inputs!$B$8:$D$8,1,MATCH(A482,Inputs!$B$6:$D$6,0))</x:f>
        <x:v>2395</x:v>
      </x:c>
      <x:c r="J482" s="20" t="n">
        <x:f>INDEX(Roster!$C$6:$C$108,MATCH(D482,Roster!$A$6:$A$108,0))*(1+INDEX(Inputs!$B$9:$D$9,1,MATCH(A482,Inputs!$B$6:$D$6,0)))</x:f>
        <x:v>20</x:v>
      </x:c>
      <x:c r="K482" s="20" t="n">
        <x:f>IF(=INDEX(Roster!$F$6:$F$108,MATCH(D482,Roster!$A$6:$A$108,0))="Yes",0,=INDEX(Inputs!$B$8:$D$8,1,MATCH(A482,Inputs!$B$6:$D$6,0))*IF(=INDEX(Roster!$B$6:$B$108,MATCH(D482,Roster!$A$6:$A$108,0))="Principal",INDEX(Inputs!$B$10:$D$10,1,MATCH(A482,Inputs!$B$6:$D$6,0)),IF(=INDEX(Roster!$B$6:$B$108,MATCH(D482,Roster!$A$6:$A$108,0))="Associate Principal",INDEX(Inputs!$B$11:$D$11,1,MATCH(A482,Inputs!$B$6:$D$6,0)),IF(=INDEX(Roster!$B$6:$B$108,MATCH(D482,Roster!$A$6:$A$108,0))="Assistant Principal",INDEX(Inputs!$B$12:$D$12,1,MATCH(A482,Inputs!$B$6:$D$6,0)),0))))</x:f>
        <x:v>0</x:v>
      </x:c>
      <x:c r="L482" s="20" t="n">
        <x:f>IF(INDEX(Roster!$D$6:$D$108,MATCH(D482,Roster!$A$6:$A$108,0))&gt;=25,INDEX(Inputs!$B$19:$D$19,1,MATCH(A482,Inputs!$B$6:$D$6,0)),IF(INDEX(Roster!$D$6:$D$108,MATCH(D482,Roster!$A$6:$A$108,0))&gt;=20,INDEX(Inputs!$B$18:$D$18,1,MATCH(A482,Inputs!$B$6:$D$6,0)),IF(INDEX(Roster!$D$6:$D$108,MATCH(D482,Roster!$A$6:$A$108,0))&gt;=15,INDEX(Inputs!$B$17:$D$17,1,MATCH(A482,Inputs!$B$6:$D$6,0)),IF(INDEX(Roster!$D$6:$D$108,MATCH(D482,Roster!$A$6:$A$108,0))&gt;=10,INDEX(Inputs!$B$16:$D$16,1,MATCH(A482,Inputs!$B$6:$D$6,0)),IF(INDEX(Roster!$D$6:$D$108,MATCH(D482,Roster!$A$6:$A$108,0))&gt;=5,INDEX(Inputs!$B$15:$D$15,1,MATCH(A482,Inputs!$B$6:$D$6,0)),0)))))</x:f>
        <x:v>60</x:v>
      </x:c>
      <x:c r="M482" s="20" t="n">
        <x:f>G482*I482</x:f>
        <x:v>31135</x:v>
      </x:c>
      <x:c r="N482" s="20" t="n">
        <x:f>G482*J482</x:f>
        <x:v>260</x:v>
      </x:c>
      <x:c r="O482" s="20" t="n">
        <x:f>G482*K482</x:f>
        <x:v>0</x:v>
      </x:c>
      <x:c r="P482" s="20" t="n">
        <x:f>G482*L482</x:f>
        <x:v>780</x:v>
      </x:c>
      <x:c r="Q482" s="20" t="n">
        <x:f>H482*INDEX(Inputs!$B$13:$D$13,1,MATCH(A482,Inputs!$B$6:$D$6,0))</x:f>
        <x:v>390</x:v>
      </x:c>
      <x:c r="R482" s="20" t="n">
        <x:f>SUM(M482:Q482)</x:f>
        <x:v>32565</x:v>
      </x:c>
      <x:c r="S482" s="20" t="n">
        <x:f>IF(AND(A481=A482,D481=D482),S481+R482,R482)</x:f>
        <x:v>32565</x:v>
      </x:c>
      <x:c r="T482" s="20" t="n">
        <x:f>MIN(S482,INDEX(Inputs!$B$20:$D$20,1,MATCH(A482,Inputs!$B$6:$D$6,0)))*INDEX(Inputs!$B$22:$D$22,1,MATCH(A482,Inputs!$B$6:$D$6,0))+MAX(MIN(S482,INDEX(Inputs!$B$21:$D$21,1,MATCH(A482,Inputs!$B$6:$D$6,0)))-INDEX(Inputs!$B$20:$D$20,1,MATCH(A482,Inputs!$B$6:$D$6,0)),0)*INDEX(Inputs!$B$23:$D$23,1,MATCH(A482,Inputs!$B$6:$D$6,0))+MAX(S482-INDEX(Inputs!$B$21:$D$21,1,MATCH(A482,Inputs!$B$6:$D$6,0)),0)*INDEX(Inputs!$B$24:$D$24,1,MATCH(A482,Inputs!$B$6:$D$6,0))</x:f>
        <x:v>2981.2225</x:v>
      </x:c>
      <x:c r="U482" s="20" t="n">
        <x:f>IF(AND(A481=A482,D481=D482),T481,0)</x:f>
        <x:v>0</x:v>
      </x:c>
      <x:c r="V482" s="20" t="n">
        <x:f>T482-U482</x:f>
        <x:v>2981.2225</x:v>
      </x:c>
      <x:c r="W482" s="20" t="n">
        <x:f>R482+V482</x:f>
        <x:v>35546.2225</x:v>
      </x:c>
      <x:c r="X482" s="14" t="str">
        <x:f>IF(ABS(W482-SUM(M482:Q482)-V482)&lt;0.01,"OK","Check")</x:f>
        <x:v>OK</x:v>
      </x:c>
    </x:row>
    <x:row r="483">
      <x:c r="A483" s="14" t="n">
        <x:v>2027</x:v>
      </x:c>
      <x:c r="B483" s="14" t="str">
        <x:v>Q2</x:v>
      </x:c>
      <x:c r="C483" s="14" t="n">
        <x:v>2</x:v>
      </x:c>
      <x:c r="D483" s="14" t="n">
        <x:v>17</x:v>
      </x:c>
      <x:c r="E483" s="14" t="str">
        <x:f>INDEX(Roster!$B$6:$B$108,MATCH(D483,Roster!$A$6:$A$108,0))</x:f>
      </x:c>
      <x:c r="F483" s="14" t="str">
        <x:f>INDEX(Roster!$F$6:$F$108,MATCH(D483,Roster!$A$6:$A$108,0))</x:f>
        <x:v>No</x:v>
      </x:c>
      <x:c r="G483" s="14" t="n">
        <x:f>INDEX(Inputs!$B$7:$D$7,1,MATCH(A483,Inputs!$B$6:$D$6,0))</x:f>
        <x:v>13</x:v>
      </x:c>
      <x:c r="H483" s="14" t="n">
        <x:f>MIN(=INDEX(Inputs!$B$7:$D$7,1,MATCH(A483,Inputs!$B$6:$D$6,0)),MAX(0,INDEX(Inputs!$B$14:$D$14,1,MATCH(A483,Inputs!$B$6:$D$6,0))-(C483-1)*=INDEX(Inputs!$B$7:$D$7,1,MATCH(A483,Inputs!$B$6:$D$6,0))))</x:f>
        <x:v>13</x:v>
      </x:c>
      <x:c r="I483" s="20" t="n">
        <x:f>INDEX(Inputs!$B$8:$D$8,1,MATCH(A483,Inputs!$B$6:$D$6,0))</x:f>
        <x:v>2395</x:v>
      </x:c>
      <x:c r="J483" s="20" t="n">
        <x:f>INDEX(Roster!$C$6:$C$108,MATCH(D483,Roster!$A$6:$A$108,0))*(1+INDEX(Inputs!$B$9:$D$9,1,MATCH(A483,Inputs!$B$6:$D$6,0)))</x:f>
        <x:v>20</x:v>
      </x:c>
      <x:c r="K483" s="20" t="n">
        <x:f>IF(=INDEX(Roster!$F$6:$F$108,MATCH(D483,Roster!$A$6:$A$108,0))="Yes",0,=INDEX(Inputs!$B$8:$D$8,1,MATCH(A483,Inputs!$B$6:$D$6,0))*IF(=INDEX(Roster!$B$6:$B$108,MATCH(D483,Roster!$A$6:$A$108,0))="Principal",INDEX(Inputs!$B$10:$D$10,1,MATCH(A483,Inputs!$B$6:$D$6,0)),IF(=INDEX(Roster!$B$6:$B$108,MATCH(D483,Roster!$A$6:$A$108,0))="Associate Principal",INDEX(Inputs!$B$11:$D$11,1,MATCH(A483,Inputs!$B$6:$D$6,0)),IF(=INDEX(Roster!$B$6:$B$108,MATCH(D483,Roster!$A$6:$A$108,0))="Assistant Principal",INDEX(Inputs!$B$12:$D$12,1,MATCH(A483,Inputs!$B$6:$D$6,0)),0))))</x:f>
        <x:v>0</x:v>
      </x:c>
      <x:c r="L483" s="20" t="n">
        <x:f>IF(INDEX(Roster!$D$6:$D$108,MATCH(D483,Roster!$A$6:$A$108,0))&gt;=25,INDEX(Inputs!$B$19:$D$19,1,MATCH(A483,Inputs!$B$6:$D$6,0)),IF(INDEX(Roster!$D$6:$D$108,MATCH(D483,Roster!$A$6:$A$108,0))&gt;=20,INDEX(Inputs!$B$18:$D$18,1,MATCH(A483,Inputs!$B$6:$D$6,0)),IF(INDEX(Roster!$D$6:$D$108,MATCH(D483,Roster!$A$6:$A$108,0))&gt;=15,INDEX(Inputs!$B$17:$D$17,1,MATCH(A483,Inputs!$B$6:$D$6,0)),IF(INDEX(Roster!$D$6:$D$108,MATCH(D483,Roster!$A$6:$A$108,0))&gt;=10,INDEX(Inputs!$B$16:$D$16,1,MATCH(A483,Inputs!$B$6:$D$6,0)),IF(INDEX(Roster!$D$6:$D$108,MATCH(D483,Roster!$A$6:$A$108,0))&gt;=5,INDEX(Inputs!$B$15:$D$15,1,MATCH(A483,Inputs!$B$6:$D$6,0)),0)))))</x:f>
        <x:v>60</x:v>
      </x:c>
      <x:c r="M483" s="20" t="n">
        <x:f>G483*I483</x:f>
        <x:v>31135</x:v>
      </x:c>
      <x:c r="N483" s="20" t="n">
        <x:f>G483*J483</x:f>
        <x:v>260</x:v>
      </x:c>
      <x:c r="O483" s="20" t="n">
        <x:f>G483*K483</x:f>
        <x:v>0</x:v>
      </x:c>
      <x:c r="P483" s="20" t="n">
        <x:f>G483*L483</x:f>
        <x:v>780</x:v>
      </x:c>
      <x:c r="Q483" s="20" t="n">
        <x:f>H483*INDEX(Inputs!$B$13:$D$13,1,MATCH(A483,Inputs!$B$6:$D$6,0))</x:f>
        <x:v>390</x:v>
      </x:c>
      <x:c r="R483" s="20" t="n">
        <x:f>SUM(M483:Q483)</x:f>
        <x:v>32565</x:v>
      </x:c>
      <x:c r="S483" s="20" t="n">
        <x:f>IF(AND(A482=A483,D482=D483),S482+R483,R483)</x:f>
        <x:v>65130</x:v>
      </x:c>
      <x:c r="T483" s="20" t="n">
        <x:f>MIN(S483,INDEX(Inputs!$B$20:$D$20,1,MATCH(A483,Inputs!$B$6:$D$6,0)))*INDEX(Inputs!$B$22:$D$22,1,MATCH(A483,Inputs!$B$6:$D$6,0))+MAX(MIN(S483,INDEX(Inputs!$B$21:$D$21,1,MATCH(A483,Inputs!$B$6:$D$6,0)))-INDEX(Inputs!$B$20:$D$20,1,MATCH(A483,Inputs!$B$6:$D$6,0)),0)*INDEX(Inputs!$B$23:$D$23,1,MATCH(A483,Inputs!$B$6:$D$6,0))+MAX(S483-INDEX(Inputs!$B$21:$D$21,1,MATCH(A483,Inputs!$B$6:$D$6,0)),0)*INDEX(Inputs!$B$24:$D$24,1,MATCH(A483,Inputs!$B$6:$D$6,0))</x:f>
        <x:v>5472.445</x:v>
      </x:c>
      <x:c r="U483" s="20" t="n">
        <x:f>IF(AND(A482=A483,D482=D483),T482,0)</x:f>
        <x:v>2981.2225</x:v>
      </x:c>
      <x:c r="V483" s="20" t="n">
        <x:f>T483-U483</x:f>
        <x:v>2491.2225</x:v>
      </x:c>
      <x:c r="W483" s="20" t="n">
        <x:f>R483+V483</x:f>
        <x:v>35056.2225</x:v>
      </x:c>
      <x:c r="X483" s="14" t="str">
        <x:f>IF(ABS(W483-SUM(M483:Q483)-V483)&lt;0.01,"OK","Check")</x:f>
        <x:v>OK</x:v>
      </x:c>
    </x:row>
    <x:row r="484">
      <x:c r="A484" s="14" t="n">
        <x:v>2027</x:v>
      </x:c>
      <x:c r="B484" s="14" t="str">
        <x:v>Q3</x:v>
      </x:c>
      <x:c r="C484" s="14" t="n">
        <x:v>3</x:v>
      </x:c>
      <x:c r="D484" s="14" t="n">
        <x:v>17</x:v>
      </x:c>
      <x:c r="E484" s="14" t="str">
        <x:f>INDEX(Roster!$B$6:$B$108,MATCH(D484,Roster!$A$6:$A$108,0))</x:f>
      </x:c>
      <x:c r="F484" s="14" t="str">
        <x:f>INDEX(Roster!$F$6:$F$108,MATCH(D484,Roster!$A$6:$A$108,0))</x:f>
        <x:v>No</x:v>
      </x:c>
      <x:c r="G484" s="14" t="n">
        <x:f>INDEX(Inputs!$B$7:$D$7,1,MATCH(A484,Inputs!$B$6:$D$6,0))</x:f>
        <x:v>13</x:v>
      </x:c>
      <x:c r="H484" s="14" t="n">
        <x:f>MIN(=INDEX(Inputs!$B$7:$D$7,1,MATCH(A484,Inputs!$B$6:$D$6,0)),MAX(0,INDEX(Inputs!$B$14:$D$14,1,MATCH(A484,Inputs!$B$6:$D$6,0))-(C484-1)*=INDEX(Inputs!$B$7:$D$7,1,MATCH(A484,Inputs!$B$6:$D$6,0))))</x:f>
        <x:v>13</x:v>
      </x:c>
      <x:c r="I484" s="20" t="n">
        <x:f>INDEX(Inputs!$B$8:$D$8,1,MATCH(A484,Inputs!$B$6:$D$6,0))</x:f>
        <x:v>2395</x:v>
      </x:c>
      <x:c r="J484" s="20" t="n">
        <x:f>INDEX(Roster!$C$6:$C$108,MATCH(D484,Roster!$A$6:$A$108,0))*(1+INDEX(Inputs!$B$9:$D$9,1,MATCH(A484,Inputs!$B$6:$D$6,0)))</x:f>
        <x:v>20</x:v>
      </x:c>
      <x:c r="K484" s="20" t="n">
        <x:f>IF(=INDEX(Roster!$F$6:$F$108,MATCH(D484,Roster!$A$6:$A$108,0))="Yes",0,=INDEX(Inputs!$B$8:$D$8,1,MATCH(A484,Inputs!$B$6:$D$6,0))*IF(=INDEX(Roster!$B$6:$B$108,MATCH(D484,Roster!$A$6:$A$108,0))="Principal",INDEX(Inputs!$B$10:$D$10,1,MATCH(A484,Inputs!$B$6:$D$6,0)),IF(=INDEX(Roster!$B$6:$B$108,MATCH(D484,Roster!$A$6:$A$108,0))="Associate Principal",INDEX(Inputs!$B$11:$D$11,1,MATCH(A484,Inputs!$B$6:$D$6,0)),IF(=INDEX(Roster!$B$6:$B$108,MATCH(D484,Roster!$A$6:$A$108,0))="Assistant Principal",INDEX(Inputs!$B$12:$D$12,1,MATCH(A484,Inputs!$B$6:$D$6,0)),0))))</x:f>
        <x:v>0</x:v>
      </x:c>
      <x:c r="L484" s="20" t="n">
        <x:f>IF(INDEX(Roster!$D$6:$D$108,MATCH(D484,Roster!$A$6:$A$108,0))&gt;=25,INDEX(Inputs!$B$19:$D$19,1,MATCH(A484,Inputs!$B$6:$D$6,0)),IF(INDEX(Roster!$D$6:$D$108,MATCH(D484,Roster!$A$6:$A$108,0))&gt;=20,INDEX(Inputs!$B$18:$D$18,1,MATCH(A484,Inputs!$B$6:$D$6,0)),IF(INDEX(Roster!$D$6:$D$108,MATCH(D484,Roster!$A$6:$A$108,0))&gt;=15,INDEX(Inputs!$B$17:$D$17,1,MATCH(A484,Inputs!$B$6:$D$6,0)),IF(INDEX(Roster!$D$6:$D$108,MATCH(D484,Roster!$A$6:$A$108,0))&gt;=10,INDEX(Inputs!$B$16:$D$16,1,MATCH(A484,Inputs!$B$6:$D$6,0)),IF(INDEX(Roster!$D$6:$D$108,MATCH(D484,Roster!$A$6:$A$108,0))&gt;=5,INDEX(Inputs!$B$15:$D$15,1,MATCH(A484,Inputs!$B$6:$D$6,0)),0)))))</x:f>
        <x:v>60</x:v>
      </x:c>
      <x:c r="M484" s="20" t="n">
        <x:f>G484*I484</x:f>
        <x:v>31135</x:v>
      </x:c>
      <x:c r="N484" s="20" t="n">
        <x:f>G484*J484</x:f>
        <x:v>260</x:v>
      </x:c>
      <x:c r="O484" s="20" t="n">
        <x:f>G484*K484</x:f>
        <x:v>0</x:v>
      </x:c>
      <x:c r="P484" s="20" t="n">
        <x:f>G484*L484</x:f>
        <x:v>780</x:v>
      </x:c>
      <x:c r="Q484" s="20" t="n">
        <x:f>H484*INDEX(Inputs!$B$13:$D$13,1,MATCH(A484,Inputs!$B$6:$D$6,0))</x:f>
        <x:v>390</x:v>
      </x:c>
      <x:c r="R484" s="20" t="n">
        <x:f>SUM(M484:Q484)</x:f>
        <x:v>32565</x:v>
      </x:c>
      <x:c r="S484" s="20" t="n">
        <x:f>IF(AND(A483=A484,D483=D484),S483+R484,R484)</x:f>
        <x:v>97695</x:v>
      </x:c>
      <x:c r="T484" s="20" t="n">
        <x:f>MIN(S484,INDEX(Inputs!$B$20:$D$20,1,MATCH(A484,Inputs!$B$6:$D$6,0)))*INDEX(Inputs!$B$22:$D$22,1,MATCH(A484,Inputs!$B$6:$D$6,0))+MAX(MIN(S484,INDEX(Inputs!$B$21:$D$21,1,MATCH(A484,Inputs!$B$6:$D$6,0)))-INDEX(Inputs!$B$20:$D$20,1,MATCH(A484,Inputs!$B$6:$D$6,0)),0)*INDEX(Inputs!$B$23:$D$23,1,MATCH(A484,Inputs!$B$6:$D$6,0))+MAX(S484-INDEX(Inputs!$B$21:$D$21,1,MATCH(A484,Inputs!$B$6:$D$6,0)),0)*INDEX(Inputs!$B$24:$D$24,1,MATCH(A484,Inputs!$B$6:$D$6,0))</x:f>
        <x:v>7963.6675</x:v>
      </x:c>
      <x:c r="U484" s="20" t="n">
        <x:f>IF(AND(A483=A484,D483=D484),T483,0)</x:f>
        <x:v>5472.445</x:v>
      </x:c>
      <x:c r="V484" s="20" t="n">
        <x:f>T484-U484</x:f>
        <x:v>2491.2225</x:v>
      </x:c>
      <x:c r="W484" s="20" t="n">
        <x:f>R484+V484</x:f>
        <x:v>35056.2225</x:v>
      </x:c>
      <x:c r="X484" s="14" t="str">
        <x:f>IF(ABS(W484-SUM(M484:Q484)-V484)&lt;0.01,"OK","Check")</x:f>
        <x:v>OK</x:v>
      </x:c>
    </x:row>
    <x:row r="485">
      <x:c r="A485" s="14" t="n">
        <x:v>2027</x:v>
      </x:c>
      <x:c r="B485" s="14" t="str">
        <x:v>Q4</x:v>
      </x:c>
      <x:c r="C485" s="14" t="n">
        <x:v>4</x:v>
      </x:c>
      <x:c r="D485" s="14" t="n">
        <x:v>17</x:v>
      </x:c>
      <x:c r="E485" s="14" t="str">
        <x:f>INDEX(Roster!$B$6:$B$108,MATCH(D485,Roster!$A$6:$A$108,0))</x:f>
      </x:c>
      <x:c r="F485" s="14" t="str">
        <x:f>INDEX(Roster!$F$6:$F$108,MATCH(D485,Roster!$A$6:$A$108,0))</x:f>
        <x:v>No</x:v>
      </x:c>
      <x:c r="G485" s="14" t="n">
        <x:f>INDEX(Inputs!$B$7:$D$7,1,MATCH(A485,Inputs!$B$6:$D$6,0))</x:f>
        <x:v>13</x:v>
      </x:c>
      <x:c r="H485" s="14" t="n">
        <x:f>MIN(=INDEX(Inputs!$B$7:$D$7,1,MATCH(A485,Inputs!$B$6:$D$6,0)),MAX(0,INDEX(Inputs!$B$14:$D$14,1,MATCH(A485,Inputs!$B$6:$D$6,0))-(C485-1)*=INDEX(Inputs!$B$7:$D$7,1,MATCH(A485,Inputs!$B$6:$D$6,0))))</x:f>
        <x:v>0</x:v>
      </x:c>
      <x:c r="I485" s="20" t="n">
        <x:f>INDEX(Inputs!$B$8:$D$8,1,MATCH(A485,Inputs!$B$6:$D$6,0))</x:f>
        <x:v>2395</x:v>
      </x:c>
      <x:c r="J485" s="20" t="n">
        <x:f>INDEX(Roster!$C$6:$C$108,MATCH(D485,Roster!$A$6:$A$108,0))*(1+INDEX(Inputs!$B$9:$D$9,1,MATCH(A485,Inputs!$B$6:$D$6,0)))</x:f>
        <x:v>20</x:v>
      </x:c>
      <x:c r="K485" s="20" t="n">
        <x:f>IF(=INDEX(Roster!$F$6:$F$108,MATCH(D485,Roster!$A$6:$A$108,0))="Yes",0,=INDEX(Inputs!$B$8:$D$8,1,MATCH(A485,Inputs!$B$6:$D$6,0))*IF(=INDEX(Roster!$B$6:$B$108,MATCH(D485,Roster!$A$6:$A$108,0))="Principal",INDEX(Inputs!$B$10:$D$10,1,MATCH(A485,Inputs!$B$6:$D$6,0)),IF(=INDEX(Roster!$B$6:$B$108,MATCH(D485,Roster!$A$6:$A$108,0))="Associate Principal",INDEX(Inputs!$B$11:$D$11,1,MATCH(A485,Inputs!$B$6:$D$6,0)),IF(=INDEX(Roster!$B$6:$B$108,MATCH(D485,Roster!$A$6:$A$108,0))="Assistant Principal",INDEX(Inputs!$B$12:$D$12,1,MATCH(A485,Inputs!$B$6:$D$6,0)),0))))</x:f>
        <x:v>0</x:v>
      </x:c>
      <x:c r="L485" s="20" t="n">
        <x:f>IF(INDEX(Roster!$D$6:$D$108,MATCH(D485,Roster!$A$6:$A$108,0))&gt;=25,INDEX(Inputs!$B$19:$D$19,1,MATCH(A485,Inputs!$B$6:$D$6,0)),IF(INDEX(Roster!$D$6:$D$108,MATCH(D485,Roster!$A$6:$A$108,0))&gt;=20,INDEX(Inputs!$B$18:$D$18,1,MATCH(A485,Inputs!$B$6:$D$6,0)),IF(INDEX(Roster!$D$6:$D$108,MATCH(D485,Roster!$A$6:$A$108,0))&gt;=15,INDEX(Inputs!$B$17:$D$17,1,MATCH(A485,Inputs!$B$6:$D$6,0)),IF(INDEX(Roster!$D$6:$D$108,MATCH(D485,Roster!$A$6:$A$108,0))&gt;=10,INDEX(Inputs!$B$16:$D$16,1,MATCH(A485,Inputs!$B$6:$D$6,0)),IF(INDEX(Roster!$D$6:$D$108,MATCH(D485,Roster!$A$6:$A$108,0))&gt;=5,INDEX(Inputs!$B$15:$D$15,1,MATCH(A485,Inputs!$B$6:$D$6,0)),0)))))</x:f>
        <x:v>60</x:v>
      </x:c>
      <x:c r="M485" s="20" t="n">
        <x:f>G485*I485</x:f>
        <x:v>31135</x:v>
      </x:c>
      <x:c r="N485" s="20" t="n">
        <x:f>G485*J485</x:f>
        <x:v>260</x:v>
      </x:c>
      <x:c r="O485" s="20" t="n">
        <x:f>G485*K485</x:f>
        <x:v>0</x:v>
      </x:c>
      <x:c r="P485" s="20" t="n">
        <x:f>G485*L485</x:f>
        <x:v>780</x:v>
      </x:c>
      <x:c r="Q485" s="20" t="n">
        <x:f>H485*INDEX(Inputs!$B$13:$D$13,1,MATCH(A485,Inputs!$B$6:$D$6,0))</x:f>
        <x:v>0</x:v>
      </x:c>
      <x:c r="R485" s="20" t="n">
        <x:f>SUM(M485:Q485)</x:f>
        <x:v>32175</x:v>
      </x:c>
      <x:c r="S485" s="20" t="n">
        <x:f>IF(AND(A484=A485,D484=D485),S484+R485,R485)</x:f>
        <x:v>129870</x:v>
      </x:c>
      <x:c r="T485" s="20" t="n">
        <x:f>MIN(S485,INDEX(Inputs!$B$20:$D$20,1,MATCH(A485,Inputs!$B$6:$D$6,0)))*INDEX(Inputs!$B$22:$D$22,1,MATCH(A485,Inputs!$B$6:$D$6,0))+MAX(MIN(S485,INDEX(Inputs!$B$21:$D$21,1,MATCH(A485,Inputs!$B$6:$D$6,0)))-INDEX(Inputs!$B$20:$D$20,1,MATCH(A485,Inputs!$B$6:$D$6,0)),0)*INDEX(Inputs!$B$23:$D$23,1,MATCH(A485,Inputs!$B$6:$D$6,0))+MAX(S485-INDEX(Inputs!$B$21:$D$21,1,MATCH(A485,Inputs!$B$6:$D$6,0)),0)*INDEX(Inputs!$B$24:$D$24,1,MATCH(A485,Inputs!$B$6:$D$6,0))</x:f>
        <x:v>9797.057</x:v>
      </x:c>
      <x:c r="U485" s="20" t="n">
        <x:f>IF(AND(A484=A485,D484=D485),T484,0)</x:f>
        <x:v>7963.6675</x:v>
      </x:c>
      <x:c r="V485" s="20" t="n">
        <x:f>T485-U485</x:f>
        <x:v>1833.3895000000011</x:v>
      </x:c>
      <x:c r="W485" s="20" t="n">
        <x:f>R485+V485</x:f>
        <x:v>34008.389500000005</x:v>
      </x:c>
      <x:c r="X485" s="14" t="str">
        <x:f>IF(ABS(W485-SUM(M485:Q485)-V485)&lt;0.01,"OK","Check")</x:f>
        <x:v>OK</x:v>
      </x:c>
    </x:row>
    <x:row r="486">
      <x:c r="A486" s="14" t="n">
        <x:v>2027</x:v>
      </x:c>
      <x:c r="B486" s="14" t="str">
        <x:v>Q1</x:v>
      </x:c>
      <x:c r="C486" s="14" t="n">
        <x:v>1</x:v>
      </x:c>
      <x:c r="D486" s="14" t="n">
        <x:v>18</x:v>
      </x:c>
      <x:c r="E486" s="14" t="str">
        <x:f>INDEX(Roster!$B$6:$B$108,MATCH(D486,Roster!$A$6:$A$108,0))</x:f>
      </x:c>
      <x:c r="F486" s="14" t="str">
        <x:f>INDEX(Roster!$F$6:$F$108,MATCH(D486,Roster!$A$6:$A$108,0))</x:f>
        <x:v>No</x:v>
      </x:c>
      <x:c r="G486" s="14" t="n">
        <x:f>INDEX(Inputs!$B$7:$D$7,1,MATCH(A486,Inputs!$B$6:$D$6,0))</x:f>
        <x:v>13</x:v>
      </x:c>
      <x:c r="H486" s="14" t="n">
        <x:f>MIN(=INDEX(Inputs!$B$7:$D$7,1,MATCH(A486,Inputs!$B$6:$D$6,0)),MAX(0,INDEX(Inputs!$B$14:$D$14,1,MATCH(A486,Inputs!$B$6:$D$6,0))-(C486-1)*=INDEX(Inputs!$B$7:$D$7,1,MATCH(A486,Inputs!$B$6:$D$6,0))))</x:f>
        <x:v>13</x:v>
      </x:c>
      <x:c r="I486" s="20" t="n">
        <x:f>INDEX(Inputs!$B$8:$D$8,1,MATCH(A486,Inputs!$B$6:$D$6,0))</x:f>
        <x:v>2395</x:v>
      </x:c>
      <x:c r="J486" s="20" t="n">
        <x:f>INDEX(Roster!$C$6:$C$108,MATCH(D486,Roster!$A$6:$A$108,0))*(1+INDEX(Inputs!$B$9:$D$9,1,MATCH(A486,Inputs!$B$6:$D$6,0)))</x:f>
        <x:v>0</x:v>
      </x:c>
      <x:c r="K486" s="20" t="n">
        <x:f>IF(=INDEX(Roster!$F$6:$F$108,MATCH(D486,Roster!$A$6:$A$108,0))="Yes",0,=INDEX(Inputs!$B$8:$D$8,1,MATCH(A486,Inputs!$B$6:$D$6,0))*IF(=INDEX(Roster!$B$6:$B$108,MATCH(D486,Roster!$A$6:$A$108,0))="Principal",INDEX(Inputs!$B$10:$D$10,1,MATCH(A486,Inputs!$B$6:$D$6,0)),IF(=INDEX(Roster!$B$6:$B$108,MATCH(D486,Roster!$A$6:$A$108,0))="Associate Principal",INDEX(Inputs!$B$11:$D$11,1,MATCH(A486,Inputs!$B$6:$D$6,0)),IF(=INDEX(Roster!$B$6:$B$108,MATCH(D486,Roster!$A$6:$A$108,0))="Assistant Principal",INDEX(Inputs!$B$12:$D$12,1,MATCH(A486,Inputs!$B$6:$D$6,0)),0))))</x:f>
        <x:v>0</x:v>
      </x:c>
      <x:c r="L486" s="20" t="n">
        <x:f>IF(INDEX(Roster!$D$6:$D$108,MATCH(D486,Roster!$A$6:$A$108,0))&gt;=25,INDEX(Inputs!$B$19:$D$19,1,MATCH(A486,Inputs!$B$6:$D$6,0)),IF(INDEX(Roster!$D$6:$D$108,MATCH(D486,Roster!$A$6:$A$108,0))&gt;=20,INDEX(Inputs!$B$18:$D$18,1,MATCH(A486,Inputs!$B$6:$D$6,0)),IF(INDEX(Roster!$D$6:$D$108,MATCH(D486,Roster!$A$6:$A$108,0))&gt;=15,INDEX(Inputs!$B$17:$D$17,1,MATCH(A486,Inputs!$B$6:$D$6,0)),IF(INDEX(Roster!$D$6:$D$108,MATCH(D486,Roster!$A$6:$A$108,0))&gt;=10,INDEX(Inputs!$B$16:$D$16,1,MATCH(A486,Inputs!$B$6:$D$6,0)),IF(INDEX(Roster!$D$6:$D$108,MATCH(D486,Roster!$A$6:$A$108,0))&gt;=5,INDEX(Inputs!$B$15:$D$15,1,MATCH(A486,Inputs!$B$6:$D$6,0)),0)))))</x:f>
        <x:v>60</x:v>
      </x:c>
      <x:c r="M486" s="20" t="n">
        <x:f>G486*I486</x:f>
        <x:v>31135</x:v>
      </x:c>
      <x:c r="N486" s="20" t="n">
        <x:f>G486*J486</x:f>
        <x:v>0</x:v>
      </x:c>
      <x:c r="O486" s="20" t="n">
        <x:f>G486*K486</x:f>
        <x:v>0</x:v>
      </x:c>
      <x:c r="P486" s="20" t="n">
        <x:f>G486*L486</x:f>
        <x:v>780</x:v>
      </x:c>
      <x:c r="Q486" s="20" t="n">
        <x:f>H486*INDEX(Inputs!$B$13:$D$13,1,MATCH(A486,Inputs!$B$6:$D$6,0))</x:f>
        <x:v>390</x:v>
      </x:c>
      <x:c r="R486" s="20" t="n">
        <x:f>SUM(M486:Q486)</x:f>
        <x:v>32305</x:v>
      </x:c>
      <x:c r="S486" s="20" t="n">
        <x:f>IF(AND(A485=A486,D485=D486),S485+R486,R486)</x:f>
        <x:v>32305</x:v>
      </x:c>
      <x:c r="T486" s="20" t="n">
        <x:f>MIN(S486,INDEX(Inputs!$B$20:$D$20,1,MATCH(A486,Inputs!$B$6:$D$6,0)))*INDEX(Inputs!$B$22:$D$22,1,MATCH(A486,Inputs!$B$6:$D$6,0))+MAX(MIN(S486,INDEX(Inputs!$B$21:$D$21,1,MATCH(A486,Inputs!$B$6:$D$6,0)))-INDEX(Inputs!$B$20:$D$20,1,MATCH(A486,Inputs!$B$6:$D$6,0)),0)*INDEX(Inputs!$B$23:$D$23,1,MATCH(A486,Inputs!$B$6:$D$6,0))+MAX(S486-INDEX(Inputs!$B$21:$D$21,1,MATCH(A486,Inputs!$B$6:$D$6,0)),0)*INDEX(Inputs!$B$24:$D$24,1,MATCH(A486,Inputs!$B$6:$D$6,0))</x:f>
        <x:v>2961.3325</x:v>
      </x:c>
      <x:c r="U486" s="20" t="n">
        <x:f>IF(AND(A485=A486,D485=D486),T485,0)</x:f>
        <x:v>0</x:v>
      </x:c>
      <x:c r="V486" s="20" t="n">
        <x:f>T486-U486</x:f>
        <x:v>2961.3325</x:v>
      </x:c>
      <x:c r="W486" s="20" t="n">
        <x:f>R486+V486</x:f>
        <x:v>35266.3325</x:v>
      </x:c>
      <x:c r="X486" s="14" t="str">
        <x:f>IF(ABS(W486-SUM(M486:Q486)-V486)&lt;0.01,"OK","Check")</x:f>
        <x:v>OK</x:v>
      </x:c>
    </x:row>
    <x:row r="487">
      <x:c r="A487" s="14" t="n">
        <x:v>2027</x:v>
      </x:c>
      <x:c r="B487" s="14" t="str">
        <x:v>Q2</x:v>
      </x:c>
      <x:c r="C487" s="14" t="n">
        <x:v>2</x:v>
      </x:c>
      <x:c r="D487" s="14" t="n">
        <x:v>18</x:v>
      </x:c>
      <x:c r="E487" s="14" t="str">
        <x:f>INDEX(Roster!$B$6:$B$108,MATCH(D487,Roster!$A$6:$A$108,0))</x:f>
      </x:c>
      <x:c r="F487" s="14" t="str">
        <x:f>INDEX(Roster!$F$6:$F$108,MATCH(D487,Roster!$A$6:$A$108,0))</x:f>
        <x:v>No</x:v>
      </x:c>
      <x:c r="G487" s="14" t="n">
        <x:f>INDEX(Inputs!$B$7:$D$7,1,MATCH(A487,Inputs!$B$6:$D$6,0))</x:f>
        <x:v>13</x:v>
      </x:c>
      <x:c r="H487" s="14" t="n">
        <x:f>MIN(=INDEX(Inputs!$B$7:$D$7,1,MATCH(A487,Inputs!$B$6:$D$6,0)),MAX(0,INDEX(Inputs!$B$14:$D$14,1,MATCH(A487,Inputs!$B$6:$D$6,0))-(C487-1)*=INDEX(Inputs!$B$7:$D$7,1,MATCH(A487,Inputs!$B$6:$D$6,0))))</x:f>
        <x:v>13</x:v>
      </x:c>
      <x:c r="I487" s="20" t="n">
        <x:f>INDEX(Inputs!$B$8:$D$8,1,MATCH(A487,Inputs!$B$6:$D$6,0))</x:f>
        <x:v>2395</x:v>
      </x:c>
      <x:c r="J487" s="20" t="n">
        <x:f>INDEX(Roster!$C$6:$C$108,MATCH(D487,Roster!$A$6:$A$108,0))*(1+INDEX(Inputs!$B$9:$D$9,1,MATCH(A487,Inputs!$B$6:$D$6,0)))</x:f>
        <x:v>0</x:v>
      </x:c>
      <x:c r="K487" s="20" t="n">
        <x:f>IF(=INDEX(Roster!$F$6:$F$108,MATCH(D487,Roster!$A$6:$A$108,0))="Yes",0,=INDEX(Inputs!$B$8:$D$8,1,MATCH(A487,Inputs!$B$6:$D$6,0))*IF(=INDEX(Roster!$B$6:$B$108,MATCH(D487,Roster!$A$6:$A$108,0))="Principal",INDEX(Inputs!$B$10:$D$10,1,MATCH(A487,Inputs!$B$6:$D$6,0)),IF(=INDEX(Roster!$B$6:$B$108,MATCH(D487,Roster!$A$6:$A$108,0))="Associate Principal",INDEX(Inputs!$B$11:$D$11,1,MATCH(A487,Inputs!$B$6:$D$6,0)),IF(=INDEX(Roster!$B$6:$B$108,MATCH(D487,Roster!$A$6:$A$108,0))="Assistant Principal",INDEX(Inputs!$B$12:$D$12,1,MATCH(A487,Inputs!$B$6:$D$6,0)),0))))</x:f>
        <x:v>0</x:v>
      </x:c>
      <x:c r="L487" s="20" t="n">
        <x:f>IF(INDEX(Roster!$D$6:$D$108,MATCH(D487,Roster!$A$6:$A$108,0))&gt;=25,INDEX(Inputs!$B$19:$D$19,1,MATCH(A487,Inputs!$B$6:$D$6,0)),IF(INDEX(Roster!$D$6:$D$108,MATCH(D487,Roster!$A$6:$A$108,0))&gt;=20,INDEX(Inputs!$B$18:$D$18,1,MATCH(A487,Inputs!$B$6:$D$6,0)),IF(INDEX(Roster!$D$6:$D$108,MATCH(D487,Roster!$A$6:$A$108,0))&gt;=15,INDEX(Inputs!$B$17:$D$17,1,MATCH(A487,Inputs!$B$6:$D$6,0)),IF(INDEX(Roster!$D$6:$D$108,MATCH(D487,Roster!$A$6:$A$108,0))&gt;=10,INDEX(Inputs!$B$16:$D$16,1,MATCH(A487,Inputs!$B$6:$D$6,0)),IF(INDEX(Roster!$D$6:$D$108,MATCH(D487,Roster!$A$6:$A$108,0))&gt;=5,INDEX(Inputs!$B$15:$D$15,1,MATCH(A487,Inputs!$B$6:$D$6,0)),0)))))</x:f>
        <x:v>60</x:v>
      </x:c>
      <x:c r="M487" s="20" t="n">
        <x:f>G487*I487</x:f>
        <x:v>31135</x:v>
      </x:c>
      <x:c r="N487" s="20" t="n">
        <x:f>G487*J487</x:f>
        <x:v>0</x:v>
      </x:c>
      <x:c r="O487" s="20" t="n">
        <x:f>G487*K487</x:f>
        <x:v>0</x:v>
      </x:c>
      <x:c r="P487" s="20" t="n">
        <x:f>G487*L487</x:f>
        <x:v>780</x:v>
      </x:c>
      <x:c r="Q487" s="20" t="n">
        <x:f>H487*INDEX(Inputs!$B$13:$D$13,1,MATCH(A487,Inputs!$B$6:$D$6,0))</x:f>
        <x:v>390</x:v>
      </x:c>
      <x:c r="R487" s="20" t="n">
        <x:f>SUM(M487:Q487)</x:f>
        <x:v>32305</x:v>
      </x:c>
      <x:c r="S487" s="20" t="n">
        <x:f>IF(AND(A486=A487,D486=D487),S486+R487,R487)</x:f>
        <x:v>64610</x:v>
      </x:c>
      <x:c r="T487" s="20" t="n">
        <x:f>MIN(S487,INDEX(Inputs!$B$20:$D$20,1,MATCH(A487,Inputs!$B$6:$D$6,0)))*INDEX(Inputs!$B$22:$D$22,1,MATCH(A487,Inputs!$B$6:$D$6,0))+MAX(MIN(S487,INDEX(Inputs!$B$21:$D$21,1,MATCH(A487,Inputs!$B$6:$D$6,0)))-INDEX(Inputs!$B$20:$D$20,1,MATCH(A487,Inputs!$B$6:$D$6,0)),0)*INDEX(Inputs!$B$23:$D$23,1,MATCH(A487,Inputs!$B$6:$D$6,0))+MAX(S487-INDEX(Inputs!$B$21:$D$21,1,MATCH(A487,Inputs!$B$6:$D$6,0)),0)*INDEX(Inputs!$B$24:$D$24,1,MATCH(A487,Inputs!$B$6:$D$6,0))</x:f>
        <x:v>5432.665</x:v>
      </x:c>
      <x:c r="U487" s="20" t="n">
        <x:f>IF(AND(A486=A487,D486=D487),T486,0)</x:f>
        <x:v>2961.3325</x:v>
      </x:c>
      <x:c r="V487" s="20" t="n">
        <x:f>T487-U487</x:f>
        <x:v>2471.3325</x:v>
      </x:c>
      <x:c r="W487" s="20" t="n">
        <x:f>R487+V487</x:f>
        <x:v>34776.3325</x:v>
      </x:c>
      <x:c r="X487" s="14" t="str">
        <x:f>IF(ABS(W487-SUM(M487:Q487)-V487)&lt;0.01,"OK","Check")</x:f>
        <x:v>OK</x:v>
      </x:c>
    </x:row>
    <x:row r="488">
      <x:c r="A488" s="14" t="n">
        <x:v>2027</x:v>
      </x:c>
      <x:c r="B488" s="14" t="str">
        <x:v>Q3</x:v>
      </x:c>
      <x:c r="C488" s="14" t="n">
        <x:v>3</x:v>
      </x:c>
      <x:c r="D488" s="14" t="n">
        <x:v>18</x:v>
      </x:c>
      <x:c r="E488" s="14" t="str">
        <x:f>INDEX(Roster!$B$6:$B$108,MATCH(D488,Roster!$A$6:$A$108,0))</x:f>
      </x:c>
      <x:c r="F488" s="14" t="str">
        <x:f>INDEX(Roster!$F$6:$F$108,MATCH(D488,Roster!$A$6:$A$108,0))</x:f>
        <x:v>No</x:v>
      </x:c>
      <x:c r="G488" s="14" t="n">
        <x:f>INDEX(Inputs!$B$7:$D$7,1,MATCH(A488,Inputs!$B$6:$D$6,0))</x:f>
        <x:v>13</x:v>
      </x:c>
      <x:c r="H488" s="14" t="n">
        <x:f>MIN(=INDEX(Inputs!$B$7:$D$7,1,MATCH(A488,Inputs!$B$6:$D$6,0)),MAX(0,INDEX(Inputs!$B$14:$D$14,1,MATCH(A488,Inputs!$B$6:$D$6,0))-(C488-1)*=INDEX(Inputs!$B$7:$D$7,1,MATCH(A488,Inputs!$B$6:$D$6,0))))</x:f>
        <x:v>13</x:v>
      </x:c>
      <x:c r="I488" s="20" t="n">
        <x:f>INDEX(Inputs!$B$8:$D$8,1,MATCH(A488,Inputs!$B$6:$D$6,0))</x:f>
        <x:v>2395</x:v>
      </x:c>
      <x:c r="J488" s="20" t="n">
        <x:f>INDEX(Roster!$C$6:$C$108,MATCH(D488,Roster!$A$6:$A$108,0))*(1+INDEX(Inputs!$B$9:$D$9,1,MATCH(A488,Inputs!$B$6:$D$6,0)))</x:f>
        <x:v>0</x:v>
      </x:c>
      <x:c r="K488" s="20" t="n">
        <x:f>IF(=INDEX(Roster!$F$6:$F$108,MATCH(D488,Roster!$A$6:$A$108,0))="Yes",0,=INDEX(Inputs!$B$8:$D$8,1,MATCH(A488,Inputs!$B$6:$D$6,0))*IF(=INDEX(Roster!$B$6:$B$108,MATCH(D488,Roster!$A$6:$A$108,0))="Principal",INDEX(Inputs!$B$10:$D$10,1,MATCH(A488,Inputs!$B$6:$D$6,0)),IF(=INDEX(Roster!$B$6:$B$108,MATCH(D488,Roster!$A$6:$A$108,0))="Associate Principal",INDEX(Inputs!$B$11:$D$11,1,MATCH(A488,Inputs!$B$6:$D$6,0)),IF(=INDEX(Roster!$B$6:$B$108,MATCH(D488,Roster!$A$6:$A$108,0))="Assistant Principal",INDEX(Inputs!$B$12:$D$12,1,MATCH(A488,Inputs!$B$6:$D$6,0)),0))))</x:f>
        <x:v>0</x:v>
      </x:c>
      <x:c r="L488" s="20" t="n">
        <x:f>IF(INDEX(Roster!$D$6:$D$108,MATCH(D488,Roster!$A$6:$A$108,0))&gt;=25,INDEX(Inputs!$B$19:$D$19,1,MATCH(A488,Inputs!$B$6:$D$6,0)),IF(INDEX(Roster!$D$6:$D$108,MATCH(D488,Roster!$A$6:$A$108,0))&gt;=20,INDEX(Inputs!$B$18:$D$18,1,MATCH(A488,Inputs!$B$6:$D$6,0)),IF(INDEX(Roster!$D$6:$D$108,MATCH(D488,Roster!$A$6:$A$108,0))&gt;=15,INDEX(Inputs!$B$17:$D$17,1,MATCH(A488,Inputs!$B$6:$D$6,0)),IF(INDEX(Roster!$D$6:$D$108,MATCH(D488,Roster!$A$6:$A$108,0))&gt;=10,INDEX(Inputs!$B$16:$D$16,1,MATCH(A488,Inputs!$B$6:$D$6,0)),IF(INDEX(Roster!$D$6:$D$108,MATCH(D488,Roster!$A$6:$A$108,0))&gt;=5,INDEX(Inputs!$B$15:$D$15,1,MATCH(A488,Inputs!$B$6:$D$6,0)),0)))))</x:f>
        <x:v>60</x:v>
      </x:c>
      <x:c r="M488" s="20" t="n">
        <x:f>G488*I488</x:f>
        <x:v>31135</x:v>
      </x:c>
      <x:c r="N488" s="20" t="n">
        <x:f>G488*J488</x:f>
        <x:v>0</x:v>
      </x:c>
      <x:c r="O488" s="20" t="n">
        <x:f>G488*K488</x:f>
        <x:v>0</x:v>
      </x:c>
      <x:c r="P488" s="20" t="n">
        <x:f>G488*L488</x:f>
        <x:v>780</x:v>
      </x:c>
      <x:c r="Q488" s="20" t="n">
        <x:f>H488*INDEX(Inputs!$B$13:$D$13,1,MATCH(A488,Inputs!$B$6:$D$6,0))</x:f>
        <x:v>390</x:v>
      </x:c>
      <x:c r="R488" s="20" t="n">
        <x:f>SUM(M488:Q488)</x:f>
        <x:v>32305</x:v>
      </x:c>
      <x:c r="S488" s="20" t="n">
        <x:f>IF(AND(A487=A488,D487=D488),S487+R488,R488)</x:f>
        <x:v>96915</x:v>
      </x:c>
      <x:c r="T488" s="20" t="n">
        <x:f>MIN(S488,INDEX(Inputs!$B$20:$D$20,1,MATCH(A488,Inputs!$B$6:$D$6,0)))*INDEX(Inputs!$B$22:$D$22,1,MATCH(A488,Inputs!$B$6:$D$6,0))+MAX(MIN(S488,INDEX(Inputs!$B$21:$D$21,1,MATCH(A488,Inputs!$B$6:$D$6,0)))-INDEX(Inputs!$B$20:$D$20,1,MATCH(A488,Inputs!$B$6:$D$6,0)),0)*INDEX(Inputs!$B$23:$D$23,1,MATCH(A488,Inputs!$B$6:$D$6,0))+MAX(S488-INDEX(Inputs!$B$21:$D$21,1,MATCH(A488,Inputs!$B$6:$D$6,0)),0)*INDEX(Inputs!$B$24:$D$24,1,MATCH(A488,Inputs!$B$6:$D$6,0))</x:f>
        <x:v>7903.9974999999995</x:v>
      </x:c>
      <x:c r="U488" s="20" t="n">
        <x:f>IF(AND(A487=A488,D487=D488),T487,0)</x:f>
        <x:v>5432.665</x:v>
      </x:c>
      <x:c r="V488" s="20" t="n">
        <x:f>T488-U488</x:f>
        <x:v>2471.3324999999995</x:v>
      </x:c>
      <x:c r="W488" s="20" t="n">
        <x:f>R488+V488</x:f>
        <x:v>34776.3325</x:v>
      </x:c>
      <x:c r="X488" s="14" t="str">
        <x:f>IF(ABS(W488-SUM(M488:Q488)-V488)&lt;0.01,"OK","Check")</x:f>
        <x:v>OK</x:v>
      </x:c>
    </x:row>
    <x:row r="489">
      <x:c r="A489" s="14" t="n">
        <x:v>2027</x:v>
      </x:c>
      <x:c r="B489" s="14" t="str">
        <x:v>Q4</x:v>
      </x:c>
      <x:c r="C489" s="14" t="n">
        <x:v>4</x:v>
      </x:c>
      <x:c r="D489" s="14" t="n">
        <x:v>18</x:v>
      </x:c>
      <x:c r="E489" s="14" t="str">
        <x:f>INDEX(Roster!$B$6:$B$108,MATCH(D489,Roster!$A$6:$A$108,0))</x:f>
      </x:c>
      <x:c r="F489" s="14" t="str">
        <x:f>INDEX(Roster!$F$6:$F$108,MATCH(D489,Roster!$A$6:$A$108,0))</x:f>
        <x:v>No</x:v>
      </x:c>
      <x:c r="G489" s="14" t="n">
        <x:f>INDEX(Inputs!$B$7:$D$7,1,MATCH(A489,Inputs!$B$6:$D$6,0))</x:f>
        <x:v>13</x:v>
      </x:c>
      <x:c r="H489" s="14" t="n">
        <x:f>MIN(=INDEX(Inputs!$B$7:$D$7,1,MATCH(A489,Inputs!$B$6:$D$6,0)),MAX(0,INDEX(Inputs!$B$14:$D$14,1,MATCH(A489,Inputs!$B$6:$D$6,0))-(C489-1)*=INDEX(Inputs!$B$7:$D$7,1,MATCH(A489,Inputs!$B$6:$D$6,0))))</x:f>
        <x:v>0</x:v>
      </x:c>
      <x:c r="I489" s="20" t="n">
        <x:f>INDEX(Inputs!$B$8:$D$8,1,MATCH(A489,Inputs!$B$6:$D$6,0))</x:f>
        <x:v>2395</x:v>
      </x:c>
      <x:c r="J489" s="20" t="n">
        <x:f>INDEX(Roster!$C$6:$C$108,MATCH(D489,Roster!$A$6:$A$108,0))*(1+INDEX(Inputs!$B$9:$D$9,1,MATCH(A489,Inputs!$B$6:$D$6,0)))</x:f>
        <x:v>0</x:v>
      </x:c>
      <x:c r="K489" s="20" t="n">
        <x:f>IF(=INDEX(Roster!$F$6:$F$108,MATCH(D489,Roster!$A$6:$A$108,0))="Yes",0,=INDEX(Inputs!$B$8:$D$8,1,MATCH(A489,Inputs!$B$6:$D$6,0))*IF(=INDEX(Roster!$B$6:$B$108,MATCH(D489,Roster!$A$6:$A$108,0))="Principal",INDEX(Inputs!$B$10:$D$10,1,MATCH(A489,Inputs!$B$6:$D$6,0)),IF(=INDEX(Roster!$B$6:$B$108,MATCH(D489,Roster!$A$6:$A$108,0))="Associate Principal",INDEX(Inputs!$B$11:$D$11,1,MATCH(A489,Inputs!$B$6:$D$6,0)),IF(=INDEX(Roster!$B$6:$B$108,MATCH(D489,Roster!$A$6:$A$108,0))="Assistant Principal",INDEX(Inputs!$B$12:$D$12,1,MATCH(A489,Inputs!$B$6:$D$6,0)),0))))</x:f>
        <x:v>0</x:v>
      </x:c>
      <x:c r="L489" s="20" t="n">
        <x:f>IF(INDEX(Roster!$D$6:$D$108,MATCH(D489,Roster!$A$6:$A$108,0))&gt;=25,INDEX(Inputs!$B$19:$D$19,1,MATCH(A489,Inputs!$B$6:$D$6,0)),IF(INDEX(Roster!$D$6:$D$108,MATCH(D489,Roster!$A$6:$A$108,0))&gt;=20,INDEX(Inputs!$B$18:$D$18,1,MATCH(A489,Inputs!$B$6:$D$6,0)),IF(INDEX(Roster!$D$6:$D$108,MATCH(D489,Roster!$A$6:$A$108,0))&gt;=15,INDEX(Inputs!$B$17:$D$17,1,MATCH(A489,Inputs!$B$6:$D$6,0)),IF(INDEX(Roster!$D$6:$D$108,MATCH(D489,Roster!$A$6:$A$108,0))&gt;=10,INDEX(Inputs!$B$16:$D$16,1,MATCH(A489,Inputs!$B$6:$D$6,0)),IF(INDEX(Roster!$D$6:$D$108,MATCH(D489,Roster!$A$6:$A$108,0))&gt;=5,INDEX(Inputs!$B$15:$D$15,1,MATCH(A489,Inputs!$B$6:$D$6,0)),0)))))</x:f>
        <x:v>60</x:v>
      </x:c>
      <x:c r="M489" s="20" t="n">
        <x:f>G489*I489</x:f>
        <x:v>31135</x:v>
      </x:c>
      <x:c r="N489" s="20" t="n">
        <x:f>G489*J489</x:f>
        <x:v>0</x:v>
      </x:c>
      <x:c r="O489" s="20" t="n">
        <x:f>G489*K489</x:f>
        <x:v>0</x:v>
      </x:c>
      <x:c r="P489" s="20" t="n">
        <x:f>G489*L489</x:f>
        <x:v>780</x:v>
      </x:c>
      <x:c r="Q489" s="20" t="n">
        <x:f>H489*INDEX(Inputs!$B$13:$D$13,1,MATCH(A489,Inputs!$B$6:$D$6,0))</x:f>
        <x:v>0</x:v>
      </x:c>
      <x:c r="R489" s="20" t="n">
        <x:f>SUM(M489:Q489)</x:f>
        <x:v>31915</x:v>
      </x:c>
      <x:c r="S489" s="20" t="n">
        <x:f>IF(AND(A488=A489,D488=D489),S488+R489,R489)</x:f>
        <x:v>128830</x:v>
      </x:c>
      <x:c r="T489" s="20" t="n">
        <x:f>MIN(S489,INDEX(Inputs!$B$20:$D$20,1,MATCH(A489,Inputs!$B$6:$D$6,0)))*INDEX(Inputs!$B$22:$D$22,1,MATCH(A489,Inputs!$B$6:$D$6,0))+MAX(MIN(S489,INDEX(Inputs!$B$21:$D$21,1,MATCH(A489,Inputs!$B$6:$D$6,0)))-INDEX(Inputs!$B$20:$D$20,1,MATCH(A489,Inputs!$B$6:$D$6,0)),0)*INDEX(Inputs!$B$23:$D$23,1,MATCH(A489,Inputs!$B$6:$D$6,0))+MAX(S489-INDEX(Inputs!$B$21:$D$21,1,MATCH(A489,Inputs!$B$6:$D$6,0)),0)*INDEX(Inputs!$B$24:$D$24,1,MATCH(A489,Inputs!$B$6:$D$6,0))</x:f>
        <x:v>9781.976999999999</x:v>
      </x:c>
      <x:c r="U489" s="20" t="n">
        <x:f>IF(AND(A488=A489,D488=D489),T488,0)</x:f>
        <x:v>7903.9974999999995</x:v>
      </x:c>
      <x:c r="V489" s="20" t="n">
        <x:f>T489-U489</x:f>
        <x:v>1877.9794999999995</x:v>
      </x:c>
      <x:c r="W489" s="20" t="n">
        <x:f>R489+V489</x:f>
        <x:v>33792.9795</x:v>
      </x:c>
      <x:c r="X489" s="14" t="str">
        <x:f>IF(ABS(W489-SUM(M489:Q489)-V489)&lt;0.01,"OK","Check")</x:f>
        <x:v>OK</x:v>
      </x:c>
    </x:row>
    <x:row r="490">
      <x:c r="A490" s="14" t="n">
        <x:v>2027</x:v>
      </x:c>
      <x:c r="B490" s="14" t="str">
        <x:v>Q1</x:v>
      </x:c>
      <x:c r="C490" s="14" t="n">
        <x:v>1</x:v>
      </x:c>
      <x:c r="D490" s="14" t="n">
        <x:v>19</x:v>
      </x:c>
      <x:c r="E490" s="14" t="str">
        <x:f>INDEX(Roster!$B$6:$B$108,MATCH(D490,Roster!$A$6:$A$108,0))</x:f>
      </x:c>
      <x:c r="F490" s="14" t="str">
        <x:f>INDEX(Roster!$F$6:$F$108,MATCH(D490,Roster!$A$6:$A$108,0))</x:f>
        <x:v>No</x:v>
      </x:c>
      <x:c r="G490" s="14" t="n">
        <x:f>INDEX(Inputs!$B$7:$D$7,1,MATCH(A490,Inputs!$B$6:$D$6,0))</x:f>
        <x:v>13</x:v>
      </x:c>
      <x:c r="H490" s="14" t="n">
        <x:f>MIN(=INDEX(Inputs!$B$7:$D$7,1,MATCH(A490,Inputs!$B$6:$D$6,0)),MAX(0,INDEX(Inputs!$B$14:$D$14,1,MATCH(A490,Inputs!$B$6:$D$6,0))-(C490-1)*=INDEX(Inputs!$B$7:$D$7,1,MATCH(A490,Inputs!$B$6:$D$6,0))))</x:f>
        <x:v>13</x:v>
      </x:c>
      <x:c r="I490" s="20" t="n">
        <x:f>INDEX(Inputs!$B$8:$D$8,1,MATCH(A490,Inputs!$B$6:$D$6,0))</x:f>
        <x:v>2395</x:v>
      </x:c>
      <x:c r="J490" s="20" t="n">
        <x:f>INDEX(Roster!$C$6:$C$108,MATCH(D490,Roster!$A$6:$A$108,0))*(1+INDEX(Inputs!$B$9:$D$9,1,MATCH(A490,Inputs!$B$6:$D$6,0)))</x:f>
        <x:v>60</x:v>
      </x:c>
      <x:c r="K490" s="20" t="n">
        <x:f>IF(=INDEX(Roster!$F$6:$F$108,MATCH(D490,Roster!$A$6:$A$108,0))="Yes",0,=INDEX(Inputs!$B$8:$D$8,1,MATCH(A490,Inputs!$B$6:$D$6,0))*IF(=INDEX(Roster!$B$6:$B$108,MATCH(D490,Roster!$A$6:$A$108,0))="Principal",INDEX(Inputs!$B$10:$D$10,1,MATCH(A490,Inputs!$B$6:$D$6,0)),IF(=INDEX(Roster!$B$6:$B$108,MATCH(D490,Roster!$A$6:$A$108,0))="Associate Principal",INDEX(Inputs!$B$11:$D$11,1,MATCH(A490,Inputs!$B$6:$D$6,0)),IF(=INDEX(Roster!$B$6:$B$108,MATCH(D490,Roster!$A$6:$A$108,0))="Assistant Principal",INDEX(Inputs!$B$12:$D$12,1,MATCH(A490,Inputs!$B$6:$D$6,0)),0))))</x:f>
        <x:v>0</x:v>
      </x:c>
      <x:c r="L490" s="20" t="n">
        <x:f>IF(INDEX(Roster!$D$6:$D$108,MATCH(D490,Roster!$A$6:$A$108,0))&gt;=25,INDEX(Inputs!$B$19:$D$19,1,MATCH(A490,Inputs!$B$6:$D$6,0)),IF(INDEX(Roster!$D$6:$D$108,MATCH(D490,Roster!$A$6:$A$108,0))&gt;=20,INDEX(Inputs!$B$18:$D$18,1,MATCH(A490,Inputs!$B$6:$D$6,0)),IF(INDEX(Roster!$D$6:$D$108,MATCH(D490,Roster!$A$6:$A$108,0))&gt;=15,INDEX(Inputs!$B$17:$D$17,1,MATCH(A490,Inputs!$B$6:$D$6,0)),IF(INDEX(Roster!$D$6:$D$108,MATCH(D490,Roster!$A$6:$A$108,0))&gt;=10,INDEX(Inputs!$B$16:$D$16,1,MATCH(A490,Inputs!$B$6:$D$6,0)),IF(INDEX(Roster!$D$6:$D$108,MATCH(D490,Roster!$A$6:$A$108,0))&gt;=5,INDEX(Inputs!$B$15:$D$15,1,MATCH(A490,Inputs!$B$6:$D$6,0)),0)))))</x:f>
        <x:v>0</x:v>
      </x:c>
      <x:c r="M490" s="20" t="n">
        <x:f>G490*I490</x:f>
        <x:v>31135</x:v>
      </x:c>
      <x:c r="N490" s="20" t="n">
        <x:f>G490*J490</x:f>
        <x:v>780</x:v>
      </x:c>
      <x:c r="O490" s="20" t="n">
        <x:f>G490*K490</x:f>
        <x:v>0</x:v>
      </x:c>
      <x:c r="P490" s="20" t="n">
        <x:f>G490*L490</x:f>
        <x:v>0</x:v>
      </x:c>
      <x:c r="Q490" s="20" t="n">
        <x:f>H490*INDEX(Inputs!$B$13:$D$13,1,MATCH(A490,Inputs!$B$6:$D$6,0))</x:f>
        <x:v>390</x:v>
      </x:c>
      <x:c r="R490" s="20" t="n">
        <x:f>SUM(M490:Q490)</x:f>
        <x:v>32305</x:v>
      </x:c>
      <x:c r="S490" s="20" t="n">
        <x:f>IF(AND(A489=A490,D489=D490),S489+R490,R490)</x:f>
        <x:v>32305</x:v>
      </x:c>
      <x:c r="T490" s="20" t="n">
        <x:f>MIN(S490,INDEX(Inputs!$B$20:$D$20,1,MATCH(A490,Inputs!$B$6:$D$6,0)))*INDEX(Inputs!$B$22:$D$22,1,MATCH(A490,Inputs!$B$6:$D$6,0))+MAX(MIN(S490,INDEX(Inputs!$B$21:$D$21,1,MATCH(A490,Inputs!$B$6:$D$6,0)))-INDEX(Inputs!$B$20:$D$20,1,MATCH(A490,Inputs!$B$6:$D$6,0)),0)*INDEX(Inputs!$B$23:$D$23,1,MATCH(A490,Inputs!$B$6:$D$6,0))+MAX(S490-INDEX(Inputs!$B$21:$D$21,1,MATCH(A490,Inputs!$B$6:$D$6,0)),0)*INDEX(Inputs!$B$24:$D$24,1,MATCH(A490,Inputs!$B$6:$D$6,0))</x:f>
        <x:v>2961.3325</x:v>
      </x:c>
      <x:c r="U490" s="20" t="n">
        <x:f>IF(AND(A489=A490,D489=D490),T489,0)</x:f>
        <x:v>0</x:v>
      </x:c>
      <x:c r="V490" s="20" t="n">
        <x:f>T490-U490</x:f>
        <x:v>2961.3325</x:v>
      </x:c>
      <x:c r="W490" s="20" t="n">
        <x:f>R490+V490</x:f>
        <x:v>35266.3325</x:v>
      </x:c>
      <x:c r="X490" s="14" t="str">
        <x:f>IF(ABS(W490-SUM(M490:Q490)-V490)&lt;0.01,"OK","Check")</x:f>
        <x:v>OK</x:v>
      </x:c>
    </x:row>
    <x:row r="491">
      <x:c r="A491" s="14" t="n">
        <x:v>2027</x:v>
      </x:c>
      <x:c r="B491" s="14" t="str">
        <x:v>Q2</x:v>
      </x:c>
      <x:c r="C491" s="14" t="n">
        <x:v>2</x:v>
      </x:c>
      <x:c r="D491" s="14" t="n">
        <x:v>19</x:v>
      </x:c>
      <x:c r="E491" s="14" t="str">
        <x:f>INDEX(Roster!$B$6:$B$108,MATCH(D491,Roster!$A$6:$A$108,0))</x:f>
      </x:c>
      <x:c r="F491" s="14" t="str">
        <x:f>INDEX(Roster!$F$6:$F$108,MATCH(D491,Roster!$A$6:$A$108,0))</x:f>
        <x:v>No</x:v>
      </x:c>
      <x:c r="G491" s="14" t="n">
        <x:f>INDEX(Inputs!$B$7:$D$7,1,MATCH(A491,Inputs!$B$6:$D$6,0))</x:f>
        <x:v>13</x:v>
      </x:c>
      <x:c r="H491" s="14" t="n">
        <x:f>MIN(=INDEX(Inputs!$B$7:$D$7,1,MATCH(A491,Inputs!$B$6:$D$6,0)),MAX(0,INDEX(Inputs!$B$14:$D$14,1,MATCH(A491,Inputs!$B$6:$D$6,0))-(C491-1)*=INDEX(Inputs!$B$7:$D$7,1,MATCH(A491,Inputs!$B$6:$D$6,0))))</x:f>
        <x:v>13</x:v>
      </x:c>
      <x:c r="I491" s="20" t="n">
        <x:f>INDEX(Inputs!$B$8:$D$8,1,MATCH(A491,Inputs!$B$6:$D$6,0))</x:f>
        <x:v>2395</x:v>
      </x:c>
      <x:c r="J491" s="20" t="n">
        <x:f>INDEX(Roster!$C$6:$C$108,MATCH(D491,Roster!$A$6:$A$108,0))*(1+INDEX(Inputs!$B$9:$D$9,1,MATCH(A491,Inputs!$B$6:$D$6,0)))</x:f>
        <x:v>60</x:v>
      </x:c>
      <x:c r="K491" s="20" t="n">
        <x:f>IF(=INDEX(Roster!$F$6:$F$108,MATCH(D491,Roster!$A$6:$A$108,0))="Yes",0,=INDEX(Inputs!$B$8:$D$8,1,MATCH(A491,Inputs!$B$6:$D$6,0))*IF(=INDEX(Roster!$B$6:$B$108,MATCH(D491,Roster!$A$6:$A$108,0))="Principal",INDEX(Inputs!$B$10:$D$10,1,MATCH(A491,Inputs!$B$6:$D$6,0)),IF(=INDEX(Roster!$B$6:$B$108,MATCH(D491,Roster!$A$6:$A$108,0))="Associate Principal",INDEX(Inputs!$B$11:$D$11,1,MATCH(A491,Inputs!$B$6:$D$6,0)),IF(=INDEX(Roster!$B$6:$B$108,MATCH(D491,Roster!$A$6:$A$108,0))="Assistant Principal",INDEX(Inputs!$B$12:$D$12,1,MATCH(A491,Inputs!$B$6:$D$6,0)),0))))</x:f>
        <x:v>0</x:v>
      </x:c>
      <x:c r="L491" s="20" t="n">
        <x:f>IF(INDEX(Roster!$D$6:$D$108,MATCH(D491,Roster!$A$6:$A$108,0))&gt;=25,INDEX(Inputs!$B$19:$D$19,1,MATCH(A491,Inputs!$B$6:$D$6,0)),IF(INDEX(Roster!$D$6:$D$108,MATCH(D491,Roster!$A$6:$A$108,0))&gt;=20,INDEX(Inputs!$B$18:$D$18,1,MATCH(A491,Inputs!$B$6:$D$6,0)),IF(INDEX(Roster!$D$6:$D$108,MATCH(D491,Roster!$A$6:$A$108,0))&gt;=15,INDEX(Inputs!$B$17:$D$17,1,MATCH(A491,Inputs!$B$6:$D$6,0)),IF(INDEX(Roster!$D$6:$D$108,MATCH(D491,Roster!$A$6:$A$108,0))&gt;=10,INDEX(Inputs!$B$16:$D$16,1,MATCH(A491,Inputs!$B$6:$D$6,0)),IF(INDEX(Roster!$D$6:$D$108,MATCH(D491,Roster!$A$6:$A$108,0))&gt;=5,INDEX(Inputs!$B$15:$D$15,1,MATCH(A491,Inputs!$B$6:$D$6,0)),0)))))</x:f>
        <x:v>0</x:v>
      </x:c>
      <x:c r="M491" s="20" t="n">
        <x:f>G491*I491</x:f>
        <x:v>31135</x:v>
      </x:c>
      <x:c r="N491" s="20" t="n">
        <x:f>G491*J491</x:f>
        <x:v>780</x:v>
      </x:c>
      <x:c r="O491" s="20" t="n">
        <x:f>G491*K491</x:f>
        <x:v>0</x:v>
      </x:c>
      <x:c r="P491" s="20" t="n">
        <x:f>G491*L491</x:f>
        <x:v>0</x:v>
      </x:c>
      <x:c r="Q491" s="20" t="n">
        <x:f>H491*INDEX(Inputs!$B$13:$D$13,1,MATCH(A491,Inputs!$B$6:$D$6,0))</x:f>
        <x:v>390</x:v>
      </x:c>
      <x:c r="R491" s="20" t="n">
        <x:f>SUM(M491:Q491)</x:f>
        <x:v>32305</x:v>
      </x:c>
      <x:c r="S491" s="20" t="n">
        <x:f>IF(AND(A490=A491,D490=D491),S490+R491,R491)</x:f>
        <x:v>64610</x:v>
      </x:c>
      <x:c r="T491" s="20" t="n">
        <x:f>MIN(S491,INDEX(Inputs!$B$20:$D$20,1,MATCH(A491,Inputs!$B$6:$D$6,0)))*INDEX(Inputs!$B$22:$D$22,1,MATCH(A491,Inputs!$B$6:$D$6,0))+MAX(MIN(S491,INDEX(Inputs!$B$21:$D$21,1,MATCH(A491,Inputs!$B$6:$D$6,0)))-INDEX(Inputs!$B$20:$D$20,1,MATCH(A491,Inputs!$B$6:$D$6,0)),0)*INDEX(Inputs!$B$23:$D$23,1,MATCH(A491,Inputs!$B$6:$D$6,0))+MAX(S491-INDEX(Inputs!$B$21:$D$21,1,MATCH(A491,Inputs!$B$6:$D$6,0)),0)*INDEX(Inputs!$B$24:$D$24,1,MATCH(A491,Inputs!$B$6:$D$6,0))</x:f>
        <x:v>5432.665</x:v>
      </x:c>
      <x:c r="U491" s="20" t="n">
        <x:f>IF(AND(A490=A491,D490=D491),T490,0)</x:f>
        <x:v>2961.3325</x:v>
      </x:c>
      <x:c r="V491" s="20" t="n">
        <x:f>T491-U491</x:f>
        <x:v>2471.3325</x:v>
      </x:c>
      <x:c r="W491" s="20" t="n">
        <x:f>R491+V491</x:f>
        <x:v>34776.3325</x:v>
      </x:c>
      <x:c r="X491" s="14" t="str">
        <x:f>IF(ABS(W491-SUM(M491:Q491)-V491)&lt;0.01,"OK","Check")</x:f>
        <x:v>OK</x:v>
      </x:c>
    </x:row>
    <x:row r="492">
      <x:c r="A492" s="14" t="n">
        <x:v>2027</x:v>
      </x:c>
      <x:c r="B492" s="14" t="str">
        <x:v>Q3</x:v>
      </x:c>
      <x:c r="C492" s="14" t="n">
        <x:v>3</x:v>
      </x:c>
      <x:c r="D492" s="14" t="n">
        <x:v>19</x:v>
      </x:c>
      <x:c r="E492" s="14" t="str">
        <x:f>INDEX(Roster!$B$6:$B$108,MATCH(D492,Roster!$A$6:$A$108,0))</x:f>
      </x:c>
      <x:c r="F492" s="14" t="str">
        <x:f>INDEX(Roster!$F$6:$F$108,MATCH(D492,Roster!$A$6:$A$108,0))</x:f>
        <x:v>No</x:v>
      </x:c>
      <x:c r="G492" s="14" t="n">
        <x:f>INDEX(Inputs!$B$7:$D$7,1,MATCH(A492,Inputs!$B$6:$D$6,0))</x:f>
        <x:v>13</x:v>
      </x:c>
      <x:c r="H492" s="14" t="n">
        <x:f>MIN(=INDEX(Inputs!$B$7:$D$7,1,MATCH(A492,Inputs!$B$6:$D$6,0)),MAX(0,INDEX(Inputs!$B$14:$D$14,1,MATCH(A492,Inputs!$B$6:$D$6,0))-(C492-1)*=INDEX(Inputs!$B$7:$D$7,1,MATCH(A492,Inputs!$B$6:$D$6,0))))</x:f>
        <x:v>13</x:v>
      </x:c>
      <x:c r="I492" s="20" t="n">
        <x:f>INDEX(Inputs!$B$8:$D$8,1,MATCH(A492,Inputs!$B$6:$D$6,0))</x:f>
        <x:v>2395</x:v>
      </x:c>
      <x:c r="J492" s="20" t="n">
        <x:f>INDEX(Roster!$C$6:$C$108,MATCH(D492,Roster!$A$6:$A$108,0))*(1+INDEX(Inputs!$B$9:$D$9,1,MATCH(A492,Inputs!$B$6:$D$6,0)))</x:f>
        <x:v>60</x:v>
      </x:c>
      <x:c r="K492" s="20" t="n">
        <x:f>IF(=INDEX(Roster!$F$6:$F$108,MATCH(D492,Roster!$A$6:$A$108,0))="Yes",0,=INDEX(Inputs!$B$8:$D$8,1,MATCH(A492,Inputs!$B$6:$D$6,0))*IF(=INDEX(Roster!$B$6:$B$108,MATCH(D492,Roster!$A$6:$A$108,0))="Principal",INDEX(Inputs!$B$10:$D$10,1,MATCH(A492,Inputs!$B$6:$D$6,0)),IF(=INDEX(Roster!$B$6:$B$108,MATCH(D492,Roster!$A$6:$A$108,0))="Associate Principal",INDEX(Inputs!$B$11:$D$11,1,MATCH(A492,Inputs!$B$6:$D$6,0)),IF(=INDEX(Roster!$B$6:$B$108,MATCH(D492,Roster!$A$6:$A$108,0))="Assistant Principal",INDEX(Inputs!$B$12:$D$12,1,MATCH(A492,Inputs!$B$6:$D$6,0)),0))))</x:f>
        <x:v>0</x:v>
      </x:c>
      <x:c r="L492" s="20" t="n">
        <x:f>IF(INDEX(Roster!$D$6:$D$108,MATCH(D492,Roster!$A$6:$A$108,0))&gt;=25,INDEX(Inputs!$B$19:$D$19,1,MATCH(A492,Inputs!$B$6:$D$6,0)),IF(INDEX(Roster!$D$6:$D$108,MATCH(D492,Roster!$A$6:$A$108,0))&gt;=20,INDEX(Inputs!$B$18:$D$18,1,MATCH(A492,Inputs!$B$6:$D$6,0)),IF(INDEX(Roster!$D$6:$D$108,MATCH(D492,Roster!$A$6:$A$108,0))&gt;=15,INDEX(Inputs!$B$17:$D$17,1,MATCH(A492,Inputs!$B$6:$D$6,0)),IF(INDEX(Roster!$D$6:$D$108,MATCH(D492,Roster!$A$6:$A$108,0))&gt;=10,INDEX(Inputs!$B$16:$D$16,1,MATCH(A492,Inputs!$B$6:$D$6,0)),IF(INDEX(Roster!$D$6:$D$108,MATCH(D492,Roster!$A$6:$A$108,0))&gt;=5,INDEX(Inputs!$B$15:$D$15,1,MATCH(A492,Inputs!$B$6:$D$6,0)),0)))))</x:f>
        <x:v>0</x:v>
      </x:c>
      <x:c r="M492" s="20" t="n">
        <x:f>G492*I492</x:f>
        <x:v>31135</x:v>
      </x:c>
      <x:c r="N492" s="20" t="n">
        <x:f>G492*J492</x:f>
        <x:v>780</x:v>
      </x:c>
      <x:c r="O492" s="20" t="n">
        <x:f>G492*K492</x:f>
        <x:v>0</x:v>
      </x:c>
      <x:c r="P492" s="20" t="n">
        <x:f>G492*L492</x:f>
        <x:v>0</x:v>
      </x:c>
      <x:c r="Q492" s="20" t="n">
        <x:f>H492*INDEX(Inputs!$B$13:$D$13,1,MATCH(A492,Inputs!$B$6:$D$6,0))</x:f>
        <x:v>390</x:v>
      </x:c>
      <x:c r="R492" s="20" t="n">
        <x:f>SUM(M492:Q492)</x:f>
        <x:v>32305</x:v>
      </x:c>
      <x:c r="S492" s="20" t="n">
        <x:f>IF(AND(A491=A492,D491=D492),S491+R492,R492)</x:f>
        <x:v>96915</x:v>
      </x:c>
      <x:c r="T492" s="20" t="n">
        <x:f>MIN(S492,INDEX(Inputs!$B$20:$D$20,1,MATCH(A492,Inputs!$B$6:$D$6,0)))*INDEX(Inputs!$B$22:$D$22,1,MATCH(A492,Inputs!$B$6:$D$6,0))+MAX(MIN(S492,INDEX(Inputs!$B$21:$D$21,1,MATCH(A492,Inputs!$B$6:$D$6,0)))-INDEX(Inputs!$B$20:$D$20,1,MATCH(A492,Inputs!$B$6:$D$6,0)),0)*INDEX(Inputs!$B$23:$D$23,1,MATCH(A492,Inputs!$B$6:$D$6,0))+MAX(S492-INDEX(Inputs!$B$21:$D$21,1,MATCH(A492,Inputs!$B$6:$D$6,0)),0)*INDEX(Inputs!$B$24:$D$24,1,MATCH(A492,Inputs!$B$6:$D$6,0))</x:f>
        <x:v>7903.9974999999995</x:v>
      </x:c>
      <x:c r="U492" s="20" t="n">
        <x:f>IF(AND(A491=A492,D491=D492),T491,0)</x:f>
        <x:v>5432.665</x:v>
      </x:c>
      <x:c r="V492" s="20" t="n">
        <x:f>T492-U492</x:f>
        <x:v>2471.3324999999995</x:v>
      </x:c>
      <x:c r="W492" s="20" t="n">
        <x:f>R492+V492</x:f>
        <x:v>34776.3325</x:v>
      </x:c>
      <x:c r="X492" s="14" t="str">
        <x:f>IF(ABS(W492-SUM(M492:Q492)-V492)&lt;0.01,"OK","Check")</x:f>
        <x:v>OK</x:v>
      </x:c>
    </x:row>
    <x:row r="493">
      <x:c r="A493" s="14" t="n">
        <x:v>2027</x:v>
      </x:c>
      <x:c r="B493" s="14" t="str">
        <x:v>Q4</x:v>
      </x:c>
      <x:c r="C493" s="14" t="n">
        <x:v>4</x:v>
      </x:c>
      <x:c r="D493" s="14" t="n">
        <x:v>19</x:v>
      </x:c>
      <x:c r="E493" s="14" t="str">
        <x:f>INDEX(Roster!$B$6:$B$108,MATCH(D493,Roster!$A$6:$A$108,0))</x:f>
      </x:c>
      <x:c r="F493" s="14" t="str">
        <x:f>INDEX(Roster!$F$6:$F$108,MATCH(D493,Roster!$A$6:$A$108,0))</x:f>
        <x:v>No</x:v>
      </x:c>
      <x:c r="G493" s="14" t="n">
        <x:f>INDEX(Inputs!$B$7:$D$7,1,MATCH(A493,Inputs!$B$6:$D$6,0))</x:f>
        <x:v>13</x:v>
      </x:c>
      <x:c r="H493" s="14" t="n">
        <x:f>MIN(=INDEX(Inputs!$B$7:$D$7,1,MATCH(A493,Inputs!$B$6:$D$6,0)),MAX(0,INDEX(Inputs!$B$14:$D$14,1,MATCH(A493,Inputs!$B$6:$D$6,0))-(C493-1)*=INDEX(Inputs!$B$7:$D$7,1,MATCH(A493,Inputs!$B$6:$D$6,0))))</x:f>
        <x:v>0</x:v>
      </x:c>
      <x:c r="I493" s="20" t="n">
        <x:f>INDEX(Inputs!$B$8:$D$8,1,MATCH(A493,Inputs!$B$6:$D$6,0))</x:f>
        <x:v>2395</x:v>
      </x:c>
      <x:c r="J493" s="20" t="n">
        <x:f>INDEX(Roster!$C$6:$C$108,MATCH(D493,Roster!$A$6:$A$108,0))*(1+INDEX(Inputs!$B$9:$D$9,1,MATCH(A493,Inputs!$B$6:$D$6,0)))</x:f>
        <x:v>60</x:v>
      </x:c>
      <x:c r="K493" s="20" t="n">
        <x:f>IF(=INDEX(Roster!$F$6:$F$108,MATCH(D493,Roster!$A$6:$A$108,0))="Yes",0,=INDEX(Inputs!$B$8:$D$8,1,MATCH(A493,Inputs!$B$6:$D$6,0))*IF(=INDEX(Roster!$B$6:$B$108,MATCH(D493,Roster!$A$6:$A$108,0))="Principal",INDEX(Inputs!$B$10:$D$10,1,MATCH(A493,Inputs!$B$6:$D$6,0)),IF(=INDEX(Roster!$B$6:$B$108,MATCH(D493,Roster!$A$6:$A$108,0))="Associate Principal",INDEX(Inputs!$B$11:$D$11,1,MATCH(A493,Inputs!$B$6:$D$6,0)),IF(=INDEX(Roster!$B$6:$B$108,MATCH(D493,Roster!$A$6:$A$108,0))="Assistant Principal",INDEX(Inputs!$B$12:$D$12,1,MATCH(A493,Inputs!$B$6:$D$6,0)),0))))</x:f>
        <x:v>0</x:v>
      </x:c>
      <x:c r="L493" s="20" t="n">
        <x:f>IF(INDEX(Roster!$D$6:$D$108,MATCH(D493,Roster!$A$6:$A$108,0))&gt;=25,INDEX(Inputs!$B$19:$D$19,1,MATCH(A493,Inputs!$B$6:$D$6,0)),IF(INDEX(Roster!$D$6:$D$108,MATCH(D493,Roster!$A$6:$A$108,0))&gt;=20,INDEX(Inputs!$B$18:$D$18,1,MATCH(A493,Inputs!$B$6:$D$6,0)),IF(INDEX(Roster!$D$6:$D$108,MATCH(D493,Roster!$A$6:$A$108,0))&gt;=15,INDEX(Inputs!$B$17:$D$17,1,MATCH(A493,Inputs!$B$6:$D$6,0)),IF(INDEX(Roster!$D$6:$D$108,MATCH(D493,Roster!$A$6:$A$108,0))&gt;=10,INDEX(Inputs!$B$16:$D$16,1,MATCH(A493,Inputs!$B$6:$D$6,0)),IF(INDEX(Roster!$D$6:$D$108,MATCH(D493,Roster!$A$6:$A$108,0))&gt;=5,INDEX(Inputs!$B$15:$D$15,1,MATCH(A493,Inputs!$B$6:$D$6,0)),0)))))</x:f>
        <x:v>0</x:v>
      </x:c>
      <x:c r="M493" s="20" t="n">
        <x:f>G493*I493</x:f>
        <x:v>31135</x:v>
      </x:c>
      <x:c r="N493" s="20" t="n">
        <x:f>G493*J493</x:f>
        <x:v>780</x:v>
      </x:c>
      <x:c r="O493" s="20" t="n">
        <x:f>G493*K493</x:f>
        <x:v>0</x:v>
      </x:c>
      <x:c r="P493" s="20" t="n">
        <x:f>G493*L493</x:f>
        <x:v>0</x:v>
      </x:c>
      <x:c r="Q493" s="20" t="n">
        <x:f>H493*INDEX(Inputs!$B$13:$D$13,1,MATCH(A493,Inputs!$B$6:$D$6,0))</x:f>
        <x:v>0</x:v>
      </x:c>
      <x:c r="R493" s="20" t="n">
        <x:f>SUM(M493:Q493)</x:f>
        <x:v>31915</x:v>
      </x:c>
      <x:c r="S493" s="20" t="n">
        <x:f>IF(AND(A492=A493,D492=D493),S492+R493,R493)</x:f>
        <x:v>128830</x:v>
      </x:c>
      <x:c r="T493" s="20" t="n">
        <x:f>MIN(S493,INDEX(Inputs!$B$20:$D$20,1,MATCH(A493,Inputs!$B$6:$D$6,0)))*INDEX(Inputs!$B$22:$D$22,1,MATCH(A493,Inputs!$B$6:$D$6,0))+MAX(MIN(S493,INDEX(Inputs!$B$21:$D$21,1,MATCH(A493,Inputs!$B$6:$D$6,0)))-INDEX(Inputs!$B$20:$D$20,1,MATCH(A493,Inputs!$B$6:$D$6,0)),0)*INDEX(Inputs!$B$23:$D$23,1,MATCH(A493,Inputs!$B$6:$D$6,0))+MAX(S493-INDEX(Inputs!$B$21:$D$21,1,MATCH(A493,Inputs!$B$6:$D$6,0)),0)*INDEX(Inputs!$B$24:$D$24,1,MATCH(A493,Inputs!$B$6:$D$6,0))</x:f>
        <x:v>9781.976999999999</x:v>
      </x:c>
      <x:c r="U493" s="20" t="n">
        <x:f>IF(AND(A492=A493,D492=D493),T492,0)</x:f>
        <x:v>7903.9974999999995</x:v>
      </x:c>
      <x:c r="V493" s="20" t="n">
        <x:f>T493-U493</x:f>
        <x:v>1877.9794999999995</x:v>
      </x:c>
      <x:c r="W493" s="20" t="n">
        <x:f>R493+V493</x:f>
        <x:v>33792.9795</x:v>
      </x:c>
      <x:c r="X493" s="14" t="str">
        <x:f>IF(ABS(W493-SUM(M493:Q493)-V493)&lt;0.01,"OK","Check")</x:f>
        <x:v>OK</x:v>
      </x:c>
    </x:row>
    <x:row r="494">
      <x:c r="A494" s="14" t="n">
        <x:v>2027</x:v>
      </x:c>
      <x:c r="B494" s="14" t="str">
        <x:v>Q1</x:v>
      </x:c>
      <x:c r="C494" s="14" t="n">
        <x:v>1</x:v>
      </x:c>
      <x:c r="D494" s="14" t="n">
        <x:v>20</x:v>
      </x:c>
      <x:c r="E494" s="14" t="str">
        <x:f>INDEX(Roster!$B$6:$B$108,MATCH(D494,Roster!$A$6:$A$108,0))</x:f>
        <x:v>Associate Principal</x:v>
      </x:c>
      <x:c r="F494" s="14" t="str">
        <x:f>INDEX(Roster!$F$6:$F$108,MATCH(D494,Roster!$A$6:$A$108,0))</x:f>
        <x:v>Yes</x:v>
      </x:c>
      <x:c r="G494" s="14" t="n">
        <x:f>INDEX(Inputs!$B$7:$D$7,1,MATCH(A494,Inputs!$B$6:$D$6,0))</x:f>
        <x:v>13</x:v>
      </x:c>
      <x:c r="H494" s="14" t="n">
        <x:f>MIN(=INDEX(Inputs!$B$7:$D$7,1,MATCH(A494,Inputs!$B$6:$D$6,0)),MAX(0,INDEX(Inputs!$B$14:$D$14,1,MATCH(A494,Inputs!$B$6:$D$6,0))-(C494-1)*=INDEX(Inputs!$B$7:$D$7,1,MATCH(A494,Inputs!$B$6:$D$6,0))))</x:f>
        <x:v>13</x:v>
      </x:c>
      <x:c r="I494" s="20" t="n">
        <x:f>INDEX(Inputs!$B$8:$D$8,1,MATCH(A494,Inputs!$B$6:$D$6,0))</x:f>
        <x:v>2395</x:v>
      </x:c>
      <x:c r="J494" s="20" t="n">
        <x:f>INDEX(Roster!$C$6:$C$108,MATCH(D494,Roster!$A$6:$A$108,0))*(1+INDEX(Inputs!$B$9:$D$9,1,MATCH(A494,Inputs!$B$6:$D$6,0)))</x:f>
        <x:v>300</x:v>
      </x:c>
      <x:c r="K494" s="20" t="n">
        <x:f>IF(=INDEX(Roster!$F$6:$F$108,MATCH(D494,Roster!$A$6:$A$108,0))="Yes",0,=INDEX(Inputs!$B$8:$D$8,1,MATCH(A494,Inputs!$B$6:$D$6,0))*IF(=INDEX(Roster!$B$6:$B$108,MATCH(D494,Roster!$A$6:$A$108,0))="Principal",INDEX(Inputs!$B$10:$D$10,1,MATCH(A494,Inputs!$B$6:$D$6,0)),IF(=INDEX(Roster!$B$6:$B$108,MATCH(D494,Roster!$A$6:$A$108,0))="Associate Principal",INDEX(Inputs!$B$11:$D$11,1,MATCH(A494,Inputs!$B$6:$D$6,0)),IF(=INDEX(Roster!$B$6:$B$108,MATCH(D494,Roster!$A$6:$A$108,0))="Assistant Principal",INDEX(Inputs!$B$12:$D$12,1,MATCH(A494,Inputs!$B$6:$D$6,0)),0))))</x:f>
        <x:v>0</x:v>
      </x:c>
      <x:c r="L494" s="20" t="n">
        <x:f>IF(INDEX(Roster!$D$6:$D$108,MATCH(D494,Roster!$A$6:$A$108,0))&gt;=25,INDEX(Inputs!$B$19:$D$19,1,MATCH(A494,Inputs!$B$6:$D$6,0)),IF(INDEX(Roster!$D$6:$D$108,MATCH(D494,Roster!$A$6:$A$108,0))&gt;=20,INDEX(Inputs!$B$18:$D$18,1,MATCH(A494,Inputs!$B$6:$D$6,0)),IF(INDEX(Roster!$D$6:$D$108,MATCH(D494,Roster!$A$6:$A$108,0))&gt;=15,INDEX(Inputs!$B$17:$D$17,1,MATCH(A494,Inputs!$B$6:$D$6,0)),IF(INDEX(Roster!$D$6:$D$108,MATCH(D494,Roster!$A$6:$A$108,0))&gt;=10,INDEX(Inputs!$B$16:$D$16,1,MATCH(A494,Inputs!$B$6:$D$6,0)),IF(INDEX(Roster!$D$6:$D$108,MATCH(D494,Roster!$A$6:$A$108,0))&gt;=5,INDEX(Inputs!$B$15:$D$15,1,MATCH(A494,Inputs!$B$6:$D$6,0)),0)))))</x:f>
        <x:v>90</x:v>
      </x:c>
      <x:c r="M494" s="20" t="n">
        <x:f>G494*I494</x:f>
        <x:v>31135</x:v>
      </x:c>
      <x:c r="N494" s="20" t="n">
        <x:f>G494*J494</x:f>
        <x:v>3900</x:v>
      </x:c>
      <x:c r="O494" s="20" t="n">
        <x:f>G494*K494</x:f>
        <x:v>0</x:v>
      </x:c>
      <x:c r="P494" s="20" t="n">
        <x:f>G494*L494</x:f>
        <x:v>1170</x:v>
      </x:c>
      <x:c r="Q494" s="20" t="n">
        <x:f>H494*INDEX(Inputs!$B$13:$D$13,1,MATCH(A494,Inputs!$B$6:$D$6,0))</x:f>
        <x:v>390</x:v>
      </x:c>
      <x:c r="R494" s="20" t="n">
        <x:f>SUM(M494:Q494)</x:f>
        <x:v>36595</x:v>
      </x:c>
      <x:c r="S494" s="20" t="n">
        <x:f>IF(AND(A493=A494,D493=D494),S493+R494,R494)</x:f>
        <x:v>36595</x:v>
      </x:c>
      <x:c r="T494" s="20" t="n">
        <x:f>MIN(S494,INDEX(Inputs!$B$20:$D$20,1,MATCH(A494,Inputs!$B$6:$D$6,0)))*INDEX(Inputs!$B$22:$D$22,1,MATCH(A494,Inputs!$B$6:$D$6,0))+MAX(MIN(S494,INDEX(Inputs!$B$21:$D$21,1,MATCH(A494,Inputs!$B$6:$D$6,0)))-INDEX(Inputs!$B$20:$D$20,1,MATCH(A494,Inputs!$B$6:$D$6,0)),0)*INDEX(Inputs!$B$23:$D$23,1,MATCH(A494,Inputs!$B$6:$D$6,0))+MAX(S494-INDEX(Inputs!$B$21:$D$21,1,MATCH(A494,Inputs!$B$6:$D$6,0)),0)*INDEX(Inputs!$B$24:$D$24,1,MATCH(A494,Inputs!$B$6:$D$6,0))</x:f>
        <x:v>3289.5175</x:v>
      </x:c>
      <x:c r="U494" s="20" t="n">
        <x:f>IF(AND(A493=A494,D493=D494),T493,0)</x:f>
        <x:v>0</x:v>
      </x:c>
      <x:c r="V494" s="20" t="n">
        <x:f>T494-U494</x:f>
        <x:v>3289.5175</x:v>
      </x:c>
      <x:c r="W494" s="20" t="n">
        <x:f>R494+V494</x:f>
        <x:v>39884.5175</x:v>
      </x:c>
      <x:c r="X494" s="14" t="str">
        <x:f>IF(ABS(W494-SUM(M494:Q494)-V494)&lt;0.01,"OK","Check")</x:f>
        <x:v>OK</x:v>
      </x:c>
    </x:row>
    <x:row r="495">
      <x:c r="A495" s="14" t="n">
        <x:v>2027</x:v>
      </x:c>
      <x:c r="B495" s="14" t="str">
        <x:v>Q2</x:v>
      </x:c>
      <x:c r="C495" s="14" t="n">
        <x:v>2</x:v>
      </x:c>
      <x:c r="D495" s="14" t="n">
        <x:v>20</x:v>
      </x:c>
      <x:c r="E495" s="14" t="str">
        <x:f>INDEX(Roster!$B$6:$B$108,MATCH(D495,Roster!$A$6:$A$108,0))</x:f>
        <x:v>Associate Principal</x:v>
      </x:c>
      <x:c r="F495" s="14" t="str">
        <x:f>INDEX(Roster!$F$6:$F$108,MATCH(D495,Roster!$A$6:$A$108,0))</x:f>
        <x:v>Yes</x:v>
      </x:c>
      <x:c r="G495" s="14" t="n">
        <x:f>INDEX(Inputs!$B$7:$D$7,1,MATCH(A495,Inputs!$B$6:$D$6,0))</x:f>
        <x:v>13</x:v>
      </x:c>
      <x:c r="H495" s="14" t="n">
        <x:f>MIN(=INDEX(Inputs!$B$7:$D$7,1,MATCH(A495,Inputs!$B$6:$D$6,0)),MAX(0,INDEX(Inputs!$B$14:$D$14,1,MATCH(A495,Inputs!$B$6:$D$6,0))-(C495-1)*=INDEX(Inputs!$B$7:$D$7,1,MATCH(A495,Inputs!$B$6:$D$6,0))))</x:f>
        <x:v>13</x:v>
      </x:c>
      <x:c r="I495" s="20" t="n">
        <x:f>INDEX(Inputs!$B$8:$D$8,1,MATCH(A495,Inputs!$B$6:$D$6,0))</x:f>
        <x:v>2395</x:v>
      </x:c>
      <x:c r="J495" s="20" t="n">
        <x:f>INDEX(Roster!$C$6:$C$108,MATCH(D495,Roster!$A$6:$A$108,0))*(1+INDEX(Inputs!$B$9:$D$9,1,MATCH(A495,Inputs!$B$6:$D$6,0)))</x:f>
        <x:v>300</x:v>
      </x:c>
      <x:c r="K495" s="20" t="n">
        <x:f>IF(=INDEX(Roster!$F$6:$F$108,MATCH(D495,Roster!$A$6:$A$108,0))="Yes",0,=INDEX(Inputs!$B$8:$D$8,1,MATCH(A495,Inputs!$B$6:$D$6,0))*IF(=INDEX(Roster!$B$6:$B$108,MATCH(D495,Roster!$A$6:$A$108,0))="Principal",INDEX(Inputs!$B$10:$D$10,1,MATCH(A495,Inputs!$B$6:$D$6,0)),IF(=INDEX(Roster!$B$6:$B$108,MATCH(D495,Roster!$A$6:$A$108,0))="Associate Principal",INDEX(Inputs!$B$11:$D$11,1,MATCH(A495,Inputs!$B$6:$D$6,0)),IF(=INDEX(Roster!$B$6:$B$108,MATCH(D495,Roster!$A$6:$A$108,0))="Assistant Principal",INDEX(Inputs!$B$12:$D$12,1,MATCH(A495,Inputs!$B$6:$D$6,0)),0))))</x:f>
        <x:v>0</x:v>
      </x:c>
      <x:c r="L495" s="20" t="n">
        <x:f>IF(INDEX(Roster!$D$6:$D$108,MATCH(D495,Roster!$A$6:$A$108,0))&gt;=25,INDEX(Inputs!$B$19:$D$19,1,MATCH(A495,Inputs!$B$6:$D$6,0)),IF(INDEX(Roster!$D$6:$D$108,MATCH(D495,Roster!$A$6:$A$108,0))&gt;=20,INDEX(Inputs!$B$18:$D$18,1,MATCH(A495,Inputs!$B$6:$D$6,0)),IF(INDEX(Roster!$D$6:$D$108,MATCH(D495,Roster!$A$6:$A$108,0))&gt;=15,INDEX(Inputs!$B$17:$D$17,1,MATCH(A495,Inputs!$B$6:$D$6,0)),IF(INDEX(Roster!$D$6:$D$108,MATCH(D495,Roster!$A$6:$A$108,0))&gt;=10,INDEX(Inputs!$B$16:$D$16,1,MATCH(A495,Inputs!$B$6:$D$6,0)),IF(INDEX(Roster!$D$6:$D$108,MATCH(D495,Roster!$A$6:$A$108,0))&gt;=5,INDEX(Inputs!$B$15:$D$15,1,MATCH(A495,Inputs!$B$6:$D$6,0)),0)))))</x:f>
        <x:v>90</x:v>
      </x:c>
      <x:c r="M495" s="20" t="n">
        <x:f>G495*I495</x:f>
        <x:v>31135</x:v>
      </x:c>
      <x:c r="N495" s="20" t="n">
        <x:f>G495*J495</x:f>
        <x:v>3900</x:v>
      </x:c>
      <x:c r="O495" s="20" t="n">
        <x:f>G495*K495</x:f>
        <x:v>0</x:v>
      </x:c>
      <x:c r="P495" s="20" t="n">
        <x:f>G495*L495</x:f>
        <x:v>1170</x:v>
      </x:c>
      <x:c r="Q495" s="20" t="n">
        <x:f>H495*INDEX(Inputs!$B$13:$D$13,1,MATCH(A495,Inputs!$B$6:$D$6,0))</x:f>
        <x:v>390</x:v>
      </x:c>
      <x:c r="R495" s="20" t="n">
        <x:f>SUM(M495:Q495)</x:f>
        <x:v>36595</x:v>
      </x:c>
      <x:c r="S495" s="20" t="n">
        <x:f>IF(AND(A494=A495,D494=D495),S494+R495,R495)</x:f>
        <x:v>73190</x:v>
      </x:c>
      <x:c r="T495" s="20" t="n">
        <x:f>MIN(S495,INDEX(Inputs!$B$20:$D$20,1,MATCH(A495,Inputs!$B$6:$D$6,0)))*INDEX(Inputs!$B$22:$D$22,1,MATCH(A495,Inputs!$B$6:$D$6,0))+MAX(MIN(S495,INDEX(Inputs!$B$21:$D$21,1,MATCH(A495,Inputs!$B$6:$D$6,0)))-INDEX(Inputs!$B$20:$D$20,1,MATCH(A495,Inputs!$B$6:$D$6,0)),0)*INDEX(Inputs!$B$23:$D$23,1,MATCH(A495,Inputs!$B$6:$D$6,0))+MAX(S495-INDEX(Inputs!$B$21:$D$21,1,MATCH(A495,Inputs!$B$6:$D$6,0)),0)*INDEX(Inputs!$B$24:$D$24,1,MATCH(A495,Inputs!$B$6:$D$6,0))</x:f>
        <x:v>6089.035</x:v>
      </x:c>
      <x:c r="U495" s="20" t="n">
        <x:f>IF(AND(A494=A495,D494=D495),T494,0)</x:f>
        <x:v>3289.5175</x:v>
      </x:c>
      <x:c r="V495" s="20" t="n">
        <x:f>T495-U495</x:f>
        <x:v>2799.5175</x:v>
      </x:c>
      <x:c r="W495" s="20" t="n">
        <x:f>R495+V495</x:f>
        <x:v>39394.5175</x:v>
      </x:c>
      <x:c r="X495" s="14" t="str">
        <x:f>IF(ABS(W495-SUM(M495:Q495)-V495)&lt;0.01,"OK","Check")</x:f>
        <x:v>OK</x:v>
      </x:c>
    </x:row>
    <x:row r="496">
      <x:c r="A496" s="14" t="n">
        <x:v>2027</x:v>
      </x:c>
      <x:c r="B496" s="14" t="str">
        <x:v>Q3</x:v>
      </x:c>
      <x:c r="C496" s="14" t="n">
        <x:v>3</x:v>
      </x:c>
      <x:c r="D496" s="14" t="n">
        <x:v>20</x:v>
      </x:c>
      <x:c r="E496" s="14" t="str">
        <x:f>INDEX(Roster!$B$6:$B$108,MATCH(D496,Roster!$A$6:$A$108,0))</x:f>
        <x:v>Associate Principal</x:v>
      </x:c>
      <x:c r="F496" s="14" t="str">
        <x:f>INDEX(Roster!$F$6:$F$108,MATCH(D496,Roster!$A$6:$A$108,0))</x:f>
        <x:v>Yes</x:v>
      </x:c>
      <x:c r="G496" s="14" t="n">
        <x:f>INDEX(Inputs!$B$7:$D$7,1,MATCH(A496,Inputs!$B$6:$D$6,0))</x:f>
        <x:v>13</x:v>
      </x:c>
      <x:c r="H496" s="14" t="n">
        <x:f>MIN(=INDEX(Inputs!$B$7:$D$7,1,MATCH(A496,Inputs!$B$6:$D$6,0)),MAX(0,INDEX(Inputs!$B$14:$D$14,1,MATCH(A496,Inputs!$B$6:$D$6,0))-(C496-1)*=INDEX(Inputs!$B$7:$D$7,1,MATCH(A496,Inputs!$B$6:$D$6,0))))</x:f>
        <x:v>13</x:v>
      </x:c>
      <x:c r="I496" s="20" t="n">
        <x:f>INDEX(Inputs!$B$8:$D$8,1,MATCH(A496,Inputs!$B$6:$D$6,0))</x:f>
        <x:v>2395</x:v>
      </x:c>
      <x:c r="J496" s="20" t="n">
        <x:f>INDEX(Roster!$C$6:$C$108,MATCH(D496,Roster!$A$6:$A$108,0))*(1+INDEX(Inputs!$B$9:$D$9,1,MATCH(A496,Inputs!$B$6:$D$6,0)))</x:f>
        <x:v>300</x:v>
      </x:c>
      <x:c r="K496" s="20" t="n">
        <x:f>IF(=INDEX(Roster!$F$6:$F$108,MATCH(D496,Roster!$A$6:$A$108,0))="Yes",0,=INDEX(Inputs!$B$8:$D$8,1,MATCH(A496,Inputs!$B$6:$D$6,0))*IF(=INDEX(Roster!$B$6:$B$108,MATCH(D496,Roster!$A$6:$A$108,0))="Principal",INDEX(Inputs!$B$10:$D$10,1,MATCH(A496,Inputs!$B$6:$D$6,0)),IF(=INDEX(Roster!$B$6:$B$108,MATCH(D496,Roster!$A$6:$A$108,0))="Associate Principal",INDEX(Inputs!$B$11:$D$11,1,MATCH(A496,Inputs!$B$6:$D$6,0)),IF(=INDEX(Roster!$B$6:$B$108,MATCH(D496,Roster!$A$6:$A$108,0))="Assistant Principal",INDEX(Inputs!$B$12:$D$12,1,MATCH(A496,Inputs!$B$6:$D$6,0)),0))))</x:f>
        <x:v>0</x:v>
      </x:c>
      <x:c r="L496" s="20" t="n">
        <x:f>IF(INDEX(Roster!$D$6:$D$108,MATCH(D496,Roster!$A$6:$A$108,0))&gt;=25,INDEX(Inputs!$B$19:$D$19,1,MATCH(A496,Inputs!$B$6:$D$6,0)),IF(INDEX(Roster!$D$6:$D$108,MATCH(D496,Roster!$A$6:$A$108,0))&gt;=20,INDEX(Inputs!$B$18:$D$18,1,MATCH(A496,Inputs!$B$6:$D$6,0)),IF(INDEX(Roster!$D$6:$D$108,MATCH(D496,Roster!$A$6:$A$108,0))&gt;=15,INDEX(Inputs!$B$17:$D$17,1,MATCH(A496,Inputs!$B$6:$D$6,0)),IF(INDEX(Roster!$D$6:$D$108,MATCH(D496,Roster!$A$6:$A$108,0))&gt;=10,INDEX(Inputs!$B$16:$D$16,1,MATCH(A496,Inputs!$B$6:$D$6,0)),IF(INDEX(Roster!$D$6:$D$108,MATCH(D496,Roster!$A$6:$A$108,0))&gt;=5,INDEX(Inputs!$B$15:$D$15,1,MATCH(A496,Inputs!$B$6:$D$6,0)),0)))))</x:f>
        <x:v>90</x:v>
      </x:c>
      <x:c r="M496" s="20" t="n">
        <x:f>G496*I496</x:f>
        <x:v>31135</x:v>
      </x:c>
      <x:c r="N496" s="20" t="n">
        <x:f>G496*J496</x:f>
        <x:v>3900</x:v>
      </x:c>
      <x:c r="O496" s="20" t="n">
        <x:f>G496*K496</x:f>
        <x:v>0</x:v>
      </x:c>
      <x:c r="P496" s="20" t="n">
        <x:f>G496*L496</x:f>
        <x:v>1170</x:v>
      </x:c>
      <x:c r="Q496" s="20" t="n">
        <x:f>H496*INDEX(Inputs!$B$13:$D$13,1,MATCH(A496,Inputs!$B$6:$D$6,0))</x:f>
        <x:v>390</x:v>
      </x:c>
      <x:c r="R496" s="20" t="n">
        <x:f>SUM(M496:Q496)</x:f>
        <x:v>36595</x:v>
      </x:c>
      <x:c r="S496" s="20" t="n">
        <x:f>IF(AND(A495=A496,D495=D496),S495+R496,R496)</x:f>
        <x:v>109785</x:v>
      </x:c>
      <x:c r="T496" s="20" t="n">
        <x:f>MIN(S496,INDEX(Inputs!$B$20:$D$20,1,MATCH(A496,Inputs!$B$6:$D$6,0)))*INDEX(Inputs!$B$22:$D$22,1,MATCH(A496,Inputs!$B$6:$D$6,0))+MAX(MIN(S496,INDEX(Inputs!$B$21:$D$21,1,MATCH(A496,Inputs!$B$6:$D$6,0)))-INDEX(Inputs!$B$20:$D$20,1,MATCH(A496,Inputs!$B$6:$D$6,0)),0)*INDEX(Inputs!$B$23:$D$23,1,MATCH(A496,Inputs!$B$6:$D$6,0))+MAX(S496-INDEX(Inputs!$B$21:$D$21,1,MATCH(A496,Inputs!$B$6:$D$6,0)),0)*INDEX(Inputs!$B$24:$D$24,1,MATCH(A496,Inputs!$B$6:$D$6,0))</x:f>
        <x:v>8888.5525</x:v>
      </x:c>
      <x:c r="U496" s="20" t="n">
        <x:f>IF(AND(A495=A496,D495=D496),T495,0)</x:f>
        <x:v>6089.035</x:v>
      </x:c>
      <x:c r="V496" s="20" t="n">
        <x:f>T496-U496</x:f>
        <x:v>2799.5175</x:v>
      </x:c>
      <x:c r="W496" s="20" t="n">
        <x:f>R496+V496</x:f>
        <x:v>39394.5175</x:v>
      </x:c>
      <x:c r="X496" s="14" t="str">
        <x:f>IF(ABS(W496-SUM(M496:Q496)-V496)&lt;0.01,"OK","Check")</x:f>
        <x:v>OK</x:v>
      </x:c>
    </x:row>
    <x:row r="497">
      <x:c r="A497" s="14" t="n">
        <x:v>2027</x:v>
      </x:c>
      <x:c r="B497" s="14" t="str">
        <x:v>Q4</x:v>
      </x:c>
      <x:c r="C497" s="14" t="n">
        <x:v>4</x:v>
      </x:c>
      <x:c r="D497" s="14" t="n">
        <x:v>20</x:v>
      </x:c>
      <x:c r="E497" s="14" t="str">
        <x:f>INDEX(Roster!$B$6:$B$108,MATCH(D497,Roster!$A$6:$A$108,0))</x:f>
        <x:v>Associate Principal</x:v>
      </x:c>
      <x:c r="F497" s="14" t="str">
        <x:f>INDEX(Roster!$F$6:$F$108,MATCH(D497,Roster!$A$6:$A$108,0))</x:f>
        <x:v>Yes</x:v>
      </x:c>
      <x:c r="G497" s="14" t="n">
        <x:f>INDEX(Inputs!$B$7:$D$7,1,MATCH(A497,Inputs!$B$6:$D$6,0))</x:f>
        <x:v>13</x:v>
      </x:c>
      <x:c r="H497" s="14" t="n">
        <x:f>MIN(=INDEX(Inputs!$B$7:$D$7,1,MATCH(A497,Inputs!$B$6:$D$6,0)),MAX(0,INDEX(Inputs!$B$14:$D$14,1,MATCH(A497,Inputs!$B$6:$D$6,0))-(C497-1)*=INDEX(Inputs!$B$7:$D$7,1,MATCH(A497,Inputs!$B$6:$D$6,0))))</x:f>
        <x:v>0</x:v>
      </x:c>
      <x:c r="I497" s="20" t="n">
        <x:f>INDEX(Inputs!$B$8:$D$8,1,MATCH(A497,Inputs!$B$6:$D$6,0))</x:f>
        <x:v>2395</x:v>
      </x:c>
      <x:c r="J497" s="20" t="n">
        <x:f>INDEX(Roster!$C$6:$C$108,MATCH(D497,Roster!$A$6:$A$108,0))*(1+INDEX(Inputs!$B$9:$D$9,1,MATCH(A497,Inputs!$B$6:$D$6,0)))</x:f>
        <x:v>300</x:v>
      </x:c>
      <x:c r="K497" s="20" t="n">
        <x:f>IF(=INDEX(Roster!$F$6:$F$108,MATCH(D497,Roster!$A$6:$A$108,0))="Yes",0,=INDEX(Inputs!$B$8:$D$8,1,MATCH(A497,Inputs!$B$6:$D$6,0))*IF(=INDEX(Roster!$B$6:$B$108,MATCH(D497,Roster!$A$6:$A$108,0))="Principal",INDEX(Inputs!$B$10:$D$10,1,MATCH(A497,Inputs!$B$6:$D$6,0)),IF(=INDEX(Roster!$B$6:$B$108,MATCH(D497,Roster!$A$6:$A$108,0))="Associate Principal",INDEX(Inputs!$B$11:$D$11,1,MATCH(A497,Inputs!$B$6:$D$6,0)),IF(=INDEX(Roster!$B$6:$B$108,MATCH(D497,Roster!$A$6:$A$108,0))="Assistant Principal",INDEX(Inputs!$B$12:$D$12,1,MATCH(A497,Inputs!$B$6:$D$6,0)),0))))</x:f>
        <x:v>0</x:v>
      </x:c>
      <x:c r="L497" s="20" t="n">
        <x:f>IF(INDEX(Roster!$D$6:$D$108,MATCH(D497,Roster!$A$6:$A$108,0))&gt;=25,INDEX(Inputs!$B$19:$D$19,1,MATCH(A497,Inputs!$B$6:$D$6,0)),IF(INDEX(Roster!$D$6:$D$108,MATCH(D497,Roster!$A$6:$A$108,0))&gt;=20,INDEX(Inputs!$B$18:$D$18,1,MATCH(A497,Inputs!$B$6:$D$6,0)),IF(INDEX(Roster!$D$6:$D$108,MATCH(D497,Roster!$A$6:$A$108,0))&gt;=15,INDEX(Inputs!$B$17:$D$17,1,MATCH(A497,Inputs!$B$6:$D$6,0)),IF(INDEX(Roster!$D$6:$D$108,MATCH(D497,Roster!$A$6:$A$108,0))&gt;=10,INDEX(Inputs!$B$16:$D$16,1,MATCH(A497,Inputs!$B$6:$D$6,0)),IF(INDEX(Roster!$D$6:$D$108,MATCH(D497,Roster!$A$6:$A$108,0))&gt;=5,INDEX(Inputs!$B$15:$D$15,1,MATCH(A497,Inputs!$B$6:$D$6,0)),0)))))</x:f>
        <x:v>90</x:v>
      </x:c>
      <x:c r="M497" s="20" t="n">
        <x:f>G497*I497</x:f>
        <x:v>31135</x:v>
      </x:c>
      <x:c r="N497" s="20" t="n">
        <x:f>G497*J497</x:f>
        <x:v>3900</x:v>
      </x:c>
      <x:c r="O497" s="20" t="n">
        <x:f>G497*K497</x:f>
        <x:v>0</x:v>
      </x:c>
      <x:c r="P497" s="20" t="n">
        <x:f>G497*L497</x:f>
        <x:v>1170</x:v>
      </x:c>
      <x:c r="Q497" s="20" t="n">
        <x:f>H497*INDEX(Inputs!$B$13:$D$13,1,MATCH(A497,Inputs!$B$6:$D$6,0))</x:f>
        <x:v>0</x:v>
      </x:c>
      <x:c r="R497" s="20" t="n">
        <x:f>SUM(M497:Q497)</x:f>
        <x:v>36205</x:v>
      </x:c>
      <x:c r="S497" s="20" t="n">
        <x:f>IF(AND(A496=A497,D496=D497),S496+R497,R497)</x:f>
        <x:v>145990</x:v>
      </x:c>
      <x:c r="T497" s="20" t="n">
        <x:f>MIN(S497,INDEX(Inputs!$B$20:$D$20,1,MATCH(A497,Inputs!$B$6:$D$6,0)))*INDEX(Inputs!$B$22:$D$22,1,MATCH(A497,Inputs!$B$6:$D$6,0))+MAX(MIN(S497,INDEX(Inputs!$B$21:$D$21,1,MATCH(A497,Inputs!$B$6:$D$6,0)))-INDEX(Inputs!$B$20:$D$20,1,MATCH(A497,Inputs!$B$6:$D$6,0)),0)*INDEX(Inputs!$B$23:$D$23,1,MATCH(A497,Inputs!$B$6:$D$6,0))+MAX(S497-INDEX(Inputs!$B$21:$D$21,1,MATCH(A497,Inputs!$B$6:$D$6,0)),0)*INDEX(Inputs!$B$24:$D$24,1,MATCH(A497,Inputs!$B$6:$D$6,0))</x:f>
        <x:v>10030.797</x:v>
      </x:c>
      <x:c r="U497" s="20" t="n">
        <x:f>IF(AND(A496=A497,D496=D497),T496,0)</x:f>
        <x:v>8888.5525</x:v>
      </x:c>
      <x:c r="V497" s="20" t="n">
        <x:f>T497-U497</x:f>
        <x:v>1142.2445000000007</x:v>
      </x:c>
      <x:c r="W497" s="20" t="n">
        <x:f>R497+V497</x:f>
        <x:v>37347.2445</x:v>
      </x:c>
      <x:c r="X497" s="14" t="str">
        <x:f>IF(ABS(W497-SUM(M497:Q497)-V497)&lt;0.01,"OK","Check")</x:f>
        <x:v>OK</x:v>
      </x:c>
    </x:row>
    <x:row r="498">
      <x:c r="A498" s="14" t="n">
        <x:v>2027</x:v>
      </x:c>
      <x:c r="B498" s="14" t="str">
        <x:v>Q1</x:v>
      </x:c>
      <x:c r="C498" s="14" t="n">
        <x:v>1</x:v>
      </x:c>
      <x:c r="D498" s="14" t="n">
        <x:v>21</x:v>
      </x:c>
      <x:c r="E498" s="14" t="str">
        <x:f>INDEX(Roster!$B$6:$B$108,MATCH(D498,Roster!$A$6:$A$108,0))</x:f>
      </x:c>
      <x:c r="F498" s="14" t="str">
        <x:f>INDEX(Roster!$F$6:$F$108,MATCH(D498,Roster!$A$6:$A$108,0))</x:f>
        <x:v>No</x:v>
      </x:c>
      <x:c r="G498" s="14" t="n">
        <x:f>INDEX(Inputs!$B$7:$D$7,1,MATCH(A498,Inputs!$B$6:$D$6,0))</x:f>
        <x:v>13</x:v>
      </x:c>
      <x:c r="H498" s="14" t="n">
        <x:f>MIN(=INDEX(Inputs!$B$7:$D$7,1,MATCH(A498,Inputs!$B$6:$D$6,0)),MAX(0,INDEX(Inputs!$B$14:$D$14,1,MATCH(A498,Inputs!$B$6:$D$6,0))-(C498-1)*=INDEX(Inputs!$B$7:$D$7,1,MATCH(A498,Inputs!$B$6:$D$6,0))))</x:f>
        <x:v>13</x:v>
      </x:c>
      <x:c r="I498" s="20" t="n">
        <x:f>INDEX(Inputs!$B$8:$D$8,1,MATCH(A498,Inputs!$B$6:$D$6,0))</x:f>
        <x:v>2395</x:v>
      </x:c>
      <x:c r="J498" s="20" t="n">
        <x:f>INDEX(Roster!$C$6:$C$108,MATCH(D498,Roster!$A$6:$A$108,0))*(1+INDEX(Inputs!$B$9:$D$9,1,MATCH(A498,Inputs!$B$6:$D$6,0)))</x:f>
        <x:v>40</x:v>
      </x:c>
      <x:c r="K498" s="20" t="n">
        <x:f>IF(=INDEX(Roster!$F$6:$F$108,MATCH(D498,Roster!$A$6:$A$108,0))="Yes",0,=INDEX(Inputs!$B$8:$D$8,1,MATCH(A498,Inputs!$B$6:$D$6,0))*IF(=INDEX(Roster!$B$6:$B$108,MATCH(D498,Roster!$A$6:$A$108,0))="Principal",INDEX(Inputs!$B$10:$D$10,1,MATCH(A498,Inputs!$B$6:$D$6,0)),IF(=INDEX(Roster!$B$6:$B$108,MATCH(D498,Roster!$A$6:$A$108,0))="Associate Principal",INDEX(Inputs!$B$11:$D$11,1,MATCH(A498,Inputs!$B$6:$D$6,0)),IF(=INDEX(Roster!$B$6:$B$108,MATCH(D498,Roster!$A$6:$A$108,0))="Assistant Principal",INDEX(Inputs!$B$12:$D$12,1,MATCH(A498,Inputs!$B$6:$D$6,0)),0))))</x:f>
        <x:v>0</x:v>
      </x:c>
      <x:c r="L498" s="20" t="n">
        <x:f>IF(INDEX(Roster!$D$6:$D$108,MATCH(D498,Roster!$A$6:$A$108,0))&gt;=25,INDEX(Inputs!$B$19:$D$19,1,MATCH(A498,Inputs!$B$6:$D$6,0)),IF(INDEX(Roster!$D$6:$D$108,MATCH(D498,Roster!$A$6:$A$108,0))&gt;=20,INDEX(Inputs!$B$18:$D$18,1,MATCH(A498,Inputs!$B$6:$D$6,0)),IF(INDEX(Roster!$D$6:$D$108,MATCH(D498,Roster!$A$6:$A$108,0))&gt;=15,INDEX(Inputs!$B$17:$D$17,1,MATCH(A498,Inputs!$B$6:$D$6,0)),IF(INDEX(Roster!$D$6:$D$108,MATCH(D498,Roster!$A$6:$A$108,0))&gt;=10,INDEX(Inputs!$B$16:$D$16,1,MATCH(A498,Inputs!$B$6:$D$6,0)),IF(INDEX(Roster!$D$6:$D$108,MATCH(D498,Roster!$A$6:$A$108,0))&gt;=5,INDEX(Inputs!$B$15:$D$15,1,MATCH(A498,Inputs!$B$6:$D$6,0)),0)))))</x:f>
        <x:v>90</x:v>
      </x:c>
      <x:c r="M498" s="20" t="n">
        <x:f>G498*I498</x:f>
        <x:v>31135</x:v>
      </x:c>
      <x:c r="N498" s="20" t="n">
        <x:f>G498*J498</x:f>
        <x:v>520</x:v>
      </x:c>
      <x:c r="O498" s="20" t="n">
        <x:f>G498*K498</x:f>
        <x:v>0</x:v>
      </x:c>
      <x:c r="P498" s="20" t="n">
        <x:f>G498*L498</x:f>
        <x:v>1170</x:v>
      </x:c>
      <x:c r="Q498" s="20" t="n">
        <x:f>H498*INDEX(Inputs!$B$13:$D$13,1,MATCH(A498,Inputs!$B$6:$D$6,0))</x:f>
        <x:v>390</x:v>
      </x:c>
      <x:c r="R498" s="20" t="n">
        <x:f>SUM(M498:Q498)</x:f>
        <x:v>33215</x:v>
      </x:c>
      <x:c r="S498" s="20" t="n">
        <x:f>IF(AND(A497=A498,D497=D498),S497+R498,R498)</x:f>
        <x:v>33215</x:v>
      </x:c>
      <x:c r="T498" s="20" t="n">
        <x:f>MIN(S498,INDEX(Inputs!$B$20:$D$20,1,MATCH(A498,Inputs!$B$6:$D$6,0)))*INDEX(Inputs!$B$22:$D$22,1,MATCH(A498,Inputs!$B$6:$D$6,0))+MAX(MIN(S498,INDEX(Inputs!$B$21:$D$21,1,MATCH(A498,Inputs!$B$6:$D$6,0)))-INDEX(Inputs!$B$20:$D$20,1,MATCH(A498,Inputs!$B$6:$D$6,0)),0)*INDEX(Inputs!$B$23:$D$23,1,MATCH(A498,Inputs!$B$6:$D$6,0))+MAX(S498-INDEX(Inputs!$B$21:$D$21,1,MATCH(A498,Inputs!$B$6:$D$6,0)),0)*INDEX(Inputs!$B$24:$D$24,1,MATCH(A498,Inputs!$B$6:$D$6,0))</x:f>
        <x:v>3030.9475</x:v>
      </x:c>
      <x:c r="U498" s="20" t="n">
        <x:f>IF(AND(A497=A498,D497=D498),T497,0)</x:f>
        <x:v>0</x:v>
      </x:c>
      <x:c r="V498" s="20" t="n">
        <x:f>T498-U498</x:f>
        <x:v>3030.9475</x:v>
      </x:c>
      <x:c r="W498" s="20" t="n">
        <x:f>R498+V498</x:f>
        <x:v>36245.9475</x:v>
      </x:c>
      <x:c r="X498" s="14" t="str">
        <x:f>IF(ABS(W498-SUM(M498:Q498)-V498)&lt;0.01,"OK","Check")</x:f>
        <x:v>OK</x:v>
      </x:c>
    </x:row>
    <x:row r="499">
      <x:c r="A499" s="14" t="n">
        <x:v>2027</x:v>
      </x:c>
      <x:c r="B499" s="14" t="str">
        <x:v>Q2</x:v>
      </x:c>
      <x:c r="C499" s="14" t="n">
        <x:v>2</x:v>
      </x:c>
      <x:c r="D499" s="14" t="n">
        <x:v>21</x:v>
      </x:c>
      <x:c r="E499" s="14" t="str">
        <x:f>INDEX(Roster!$B$6:$B$108,MATCH(D499,Roster!$A$6:$A$108,0))</x:f>
      </x:c>
      <x:c r="F499" s="14" t="str">
        <x:f>INDEX(Roster!$F$6:$F$108,MATCH(D499,Roster!$A$6:$A$108,0))</x:f>
        <x:v>No</x:v>
      </x:c>
      <x:c r="G499" s="14" t="n">
        <x:f>INDEX(Inputs!$B$7:$D$7,1,MATCH(A499,Inputs!$B$6:$D$6,0))</x:f>
        <x:v>13</x:v>
      </x:c>
      <x:c r="H499" s="14" t="n">
        <x:f>MIN(=INDEX(Inputs!$B$7:$D$7,1,MATCH(A499,Inputs!$B$6:$D$6,0)),MAX(0,INDEX(Inputs!$B$14:$D$14,1,MATCH(A499,Inputs!$B$6:$D$6,0))-(C499-1)*=INDEX(Inputs!$B$7:$D$7,1,MATCH(A499,Inputs!$B$6:$D$6,0))))</x:f>
        <x:v>13</x:v>
      </x:c>
      <x:c r="I499" s="20" t="n">
        <x:f>INDEX(Inputs!$B$8:$D$8,1,MATCH(A499,Inputs!$B$6:$D$6,0))</x:f>
        <x:v>2395</x:v>
      </x:c>
      <x:c r="J499" s="20" t="n">
        <x:f>INDEX(Roster!$C$6:$C$108,MATCH(D499,Roster!$A$6:$A$108,0))*(1+INDEX(Inputs!$B$9:$D$9,1,MATCH(A499,Inputs!$B$6:$D$6,0)))</x:f>
        <x:v>40</x:v>
      </x:c>
      <x:c r="K499" s="20" t="n">
        <x:f>IF(=INDEX(Roster!$F$6:$F$108,MATCH(D499,Roster!$A$6:$A$108,0))="Yes",0,=INDEX(Inputs!$B$8:$D$8,1,MATCH(A499,Inputs!$B$6:$D$6,0))*IF(=INDEX(Roster!$B$6:$B$108,MATCH(D499,Roster!$A$6:$A$108,0))="Principal",INDEX(Inputs!$B$10:$D$10,1,MATCH(A499,Inputs!$B$6:$D$6,0)),IF(=INDEX(Roster!$B$6:$B$108,MATCH(D499,Roster!$A$6:$A$108,0))="Associate Principal",INDEX(Inputs!$B$11:$D$11,1,MATCH(A499,Inputs!$B$6:$D$6,0)),IF(=INDEX(Roster!$B$6:$B$108,MATCH(D499,Roster!$A$6:$A$108,0))="Assistant Principal",INDEX(Inputs!$B$12:$D$12,1,MATCH(A499,Inputs!$B$6:$D$6,0)),0))))</x:f>
        <x:v>0</x:v>
      </x:c>
      <x:c r="L499" s="20" t="n">
        <x:f>IF(INDEX(Roster!$D$6:$D$108,MATCH(D499,Roster!$A$6:$A$108,0))&gt;=25,INDEX(Inputs!$B$19:$D$19,1,MATCH(A499,Inputs!$B$6:$D$6,0)),IF(INDEX(Roster!$D$6:$D$108,MATCH(D499,Roster!$A$6:$A$108,0))&gt;=20,INDEX(Inputs!$B$18:$D$18,1,MATCH(A499,Inputs!$B$6:$D$6,0)),IF(INDEX(Roster!$D$6:$D$108,MATCH(D499,Roster!$A$6:$A$108,0))&gt;=15,INDEX(Inputs!$B$17:$D$17,1,MATCH(A499,Inputs!$B$6:$D$6,0)),IF(INDEX(Roster!$D$6:$D$108,MATCH(D499,Roster!$A$6:$A$108,0))&gt;=10,INDEX(Inputs!$B$16:$D$16,1,MATCH(A499,Inputs!$B$6:$D$6,0)),IF(INDEX(Roster!$D$6:$D$108,MATCH(D499,Roster!$A$6:$A$108,0))&gt;=5,INDEX(Inputs!$B$15:$D$15,1,MATCH(A499,Inputs!$B$6:$D$6,0)),0)))))</x:f>
        <x:v>90</x:v>
      </x:c>
      <x:c r="M499" s="20" t="n">
        <x:f>G499*I499</x:f>
        <x:v>31135</x:v>
      </x:c>
      <x:c r="N499" s="20" t="n">
        <x:f>G499*J499</x:f>
        <x:v>520</x:v>
      </x:c>
      <x:c r="O499" s="20" t="n">
        <x:f>G499*K499</x:f>
        <x:v>0</x:v>
      </x:c>
      <x:c r="P499" s="20" t="n">
        <x:f>G499*L499</x:f>
        <x:v>1170</x:v>
      </x:c>
      <x:c r="Q499" s="20" t="n">
        <x:f>H499*INDEX(Inputs!$B$13:$D$13,1,MATCH(A499,Inputs!$B$6:$D$6,0))</x:f>
        <x:v>390</x:v>
      </x:c>
      <x:c r="R499" s="20" t="n">
        <x:f>SUM(M499:Q499)</x:f>
        <x:v>33215</x:v>
      </x:c>
      <x:c r="S499" s="20" t="n">
        <x:f>IF(AND(A498=A499,D498=D499),S498+R499,R499)</x:f>
        <x:v>66430</x:v>
      </x:c>
      <x:c r="T499" s="20" t="n">
        <x:f>MIN(S499,INDEX(Inputs!$B$20:$D$20,1,MATCH(A499,Inputs!$B$6:$D$6,0)))*INDEX(Inputs!$B$22:$D$22,1,MATCH(A499,Inputs!$B$6:$D$6,0))+MAX(MIN(S499,INDEX(Inputs!$B$21:$D$21,1,MATCH(A499,Inputs!$B$6:$D$6,0)))-INDEX(Inputs!$B$20:$D$20,1,MATCH(A499,Inputs!$B$6:$D$6,0)),0)*INDEX(Inputs!$B$23:$D$23,1,MATCH(A499,Inputs!$B$6:$D$6,0))+MAX(S499-INDEX(Inputs!$B$21:$D$21,1,MATCH(A499,Inputs!$B$6:$D$6,0)),0)*INDEX(Inputs!$B$24:$D$24,1,MATCH(A499,Inputs!$B$6:$D$6,0))</x:f>
        <x:v>5571.8949999999995</x:v>
      </x:c>
      <x:c r="U499" s="20" t="n">
        <x:f>IF(AND(A498=A499,D498=D499),T498,0)</x:f>
        <x:v>3030.9475</x:v>
      </x:c>
      <x:c r="V499" s="20" t="n">
        <x:f>T499-U499</x:f>
        <x:v>2540.9474999999993</x:v>
      </x:c>
      <x:c r="W499" s="20" t="n">
        <x:f>R499+V499</x:f>
        <x:v>35755.9475</x:v>
      </x:c>
      <x:c r="X499" s="14" t="str">
        <x:f>IF(ABS(W499-SUM(M499:Q499)-V499)&lt;0.01,"OK","Check")</x:f>
        <x:v>OK</x:v>
      </x:c>
    </x:row>
    <x:row r="500">
      <x:c r="A500" s="14" t="n">
        <x:v>2027</x:v>
      </x:c>
      <x:c r="B500" s="14" t="str">
        <x:v>Q3</x:v>
      </x:c>
      <x:c r="C500" s="14" t="n">
        <x:v>3</x:v>
      </x:c>
      <x:c r="D500" s="14" t="n">
        <x:v>21</x:v>
      </x:c>
      <x:c r="E500" s="14" t="str">
        <x:f>INDEX(Roster!$B$6:$B$108,MATCH(D500,Roster!$A$6:$A$108,0))</x:f>
      </x:c>
      <x:c r="F500" s="14" t="str">
        <x:f>INDEX(Roster!$F$6:$F$108,MATCH(D500,Roster!$A$6:$A$108,0))</x:f>
        <x:v>No</x:v>
      </x:c>
      <x:c r="G500" s="14" t="n">
        <x:f>INDEX(Inputs!$B$7:$D$7,1,MATCH(A500,Inputs!$B$6:$D$6,0))</x:f>
        <x:v>13</x:v>
      </x:c>
      <x:c r="H500" s="14" t="n">
        <x:f>MIN(=INDEX(Inputs!$B$7:$D$7,1,MATCH(A500,Inputs!$B$6:$D$6,0)),MAX(0,INDEX(Inputs!$B$14:$D$14,1,MATCH(A500,Inputs!$B$6:$D$6,0))-(C500-1)*=INDEX(Inputs!$B$7:$D$7,1,MATCH(A500,Inputs!$B$6:$D$6,0))))</x:f>
        <x:v>13</x:v>
      </x:c>
      <x:c r="I500" s="20" t="n">
        <x:f>INDEX(Inputs!$B$8:$D$8,1,MATCH(A500,Inputs!$B$6:$D$6,0))</x:f>
        <x:v>2395</x:v>
      </x:c>
      <x:c r="J500" s="20" t="n">
        <x:f>INDEX(Roster!$C$6:$C$108,MATCH(D500,Roster!$A$6:$A$108,0))*(1+INDEX(Inputs!$B$9:$D$9,1,MATCH(A500,Inputs!$B$6:$D$6,0)))</x:f>
        <x:v>40</x:v>
      </x:c>
      <x:c r="K500" s="20" t="n">
        <x:f>IF(=INDEX(Roster!$F$6:$F$108,MATCH(D500,Roster!$A$6:$A$108,0))="Yes",0,=INDEX(Inputs!$B$8:$D$8,1,MATCH(A500,Inputs!$B$6:$D$6,0))*IF(=INDEX(Roster!$B$6:$B$108,MATCH(D500,Roster!$A$6:$A$108,0))="Principal",INDEX(Inputs!$B$10:$D$10,1,MATCH(A500,Inputs!$B$6:$D$6,0)),IF(=INDEX(Roster!$B$6:$B$108,MATCH(D500,Roster!$A$6:$A$108,0))="Associate Principal",INDEX(Inputs!$B$11:$D$11,1,MATCH(A500,Inputs!$B$6:$D$6,0)),IF(=INDEX(Roster!$B$6:$B$108,MATCH(D500,Roster!$A$6:$A$108,0))="Assistant Principal",INDEX(Inputs!$B$12:$D$12,1,MATCH(A500,Inputs!$B$6:$D$6,0)),0))))</x:f>
        <x:v>0</x:v>
      </x:c>
      <x:c r="L500" s="20" t="n">
        <x:f>IF(INDEX(Roster!$D$6:$D$108,MATCH(D500,Roster!$A$6:$A$108,0))&gt;=25,INDEX(Inputs!$B$19:$D$19,1,MATCH(A500,Inputs!$B$6:$D$6,0)),IF(INDEX(Roster!$D$6:$D$108,MATCH(D500,Roster!$A$6:$A$108,0))&gt;=20,INDEX(Inputs!$B$18:$D$18,1,MATCH(A500,Inputs!$B$6:$D$6,0)),IF(INDEX(Roster!$D$6:$D$108,MATCH(D500,Roster!$A$6:$A$108,0))&gt;=15,INDEX(Inputs!$B$17:$D$17,1,MATCH(A500,Inputs!$B$6:$D$6,0)),IF(INDEX(Roster!$D$6:$D$108,MATCH(D500,Roster!$A$6:$A$108,0))&gt;=10,INDEX(Inputs!$B$16:$D$16,1,MATCH(A500,Inputs!$B$6:$D$6,0)),IF(INDEX(Roster!$D$6:$D$108,MATCH(D500,Roster!$A$6:$A$108,0))&gt;=5,INDEX(Inputs!$B$15:$D$15,1,MATCH(A500,Inputs!$B$6:$D$6,0)),0)))))</x:f>
        <x:v>90</x:v>
      </x:c>
      <x:c r="M500" s="20" t="n">
        <x:f>G500*I500</x:f>
        <x:v>31135</x:v>
      </x:c>
      <x:c r="N500" s="20" t="n">
        <x:f>G500*J500</x:f>
        <x:v>520</x:v>
      </x:c>
      <x:c r="O500" s="20" t="n">
        <x:f>G500*K500</x:f>
        <x:v>0</x:v>
      </x:c>
      <x:c r="P500" s="20" t="n">
        <x:f>G500*L500</x:f>
        <x:v>1170</x:v>
      </x:c>
      <x:c r="Q500" s="20" t="n">
        <x:f>H500*INDEX(Inputs!$B$13:$D$13,1,MATCH(A500,Inputs!$B$6:$D$6,0))</x:f>
        <x:v>390</x:v>
      </x:c>
      <x:c r="R500" s="20" t="n">
        <x:f>SUM(M500:Q500)</x:f>
        <x:v>33215</x:v>
      </x:c>
      <x:c r="S500" s="20" t="n">
        <x:f>IF(AND(A499=A500,D499=D500),S499+R500,R500)</x:f>
        <x:v>99645</x:v>
      </x:c>
      <x:c r="T500" s="20" t="n">
        <x:f>MIN(S500,INDEX(Inputs!$B$20:$D$20,1,MATCH(A500,Inputs!$B$6:$D$6,0)))*INDEX(Inputs!$B$22:$D$22,1,MATCH(A500,Inputs!$B$6:$D$6,0))+MAX(MIN(S500,INDEX(Inputs!$B$21:$D$21,1,MATCH(A500,Inputs!$B$6:$D$6,0)))-INDEX(Inputs!$B$20:$D$20,1,MATCH(A500,Inputs!$B$6:$D$6,0)),0)*INDEX(Inputs!$B$23:$D$23,1,MATCH(A500,Inputs!$B$6:$D$6,0))+MAX(S500-INDEX(Inputs!$B$21:$D$21,1,MATCH(A500,Inputs!$B$6:$D$6,0)),0)*INDEX(Inputs!$B$24:$D$24,1,MATCH(A500,Inputs!$B$6:$D$6,0))</x:f>
        <x:v>8112.8425</x:v>
      </x:c>
      <x:c r="U500" s="20" t="n">
        <x:f>IF(AND(A499=A500,D499=D500),T499,0)</x:f>
        <x:v>5571.8949999999995</x:v>
      </x:c>
      <x:c r="V500" s="20" t="n">
        <x:f>T500-U500</x:f>
        <x:v>2540.9475</x:v>
      </x:c>
      <x:c r="W500" s="20" t="n">
        <x:f>R500+V500</x:f>
        <x:v>35755.9475</x:v>
      </x:c>
      <x:c r="X500" s="14" t="str">
        <x:f>IF(ABS(W500-SUM(M500:Q500)-V500)&lt;0.01,"OK","Check")</x:f>
        <x:v>OK</x:v>
      </x:c>
    </x:row>
    <x:row r="501">
      <x:c r="A501" s="14" t="n">
        <x:v>2027</x:v>
      </x:c>
      <x:c r="B501" s="14" t="str">
        <x:v>Q4</x:v>
      </x:c>
      <x:c r="C501" s="14" t="n">
        <x:v>4</x:v>
      </x:c>
      <x:c r="D501" s="14" t="n">
        <x:v>21</x:v>
      </x:c>
      <x:c r="E501" s="14" t="str">
        <x:f>INDEX(Roster!$B$6:$B$108,MATCH(D501,Roster!$A$6:$A$108,0))</x:f>
      </x:c>
      <x:c r="F501" s="14" t="str">
        <x:f>INDEX(Roster!$F$6:$F$108,MATCH(D501,Roster!$A$6:$A$108,0))</x:f>
        <x:v>No</x:v>
      </x:c>
      <x:c r="G501" s="14" t="n">
        <x:f>INDEX(Inputs!$B$7:$D$7,1,MATCH(A501,Inputs!$B$6:$D$6,0))</x:f>
        <x:v>13</x:v>
      </x:c>
      <x:c r="H501" s="14" t="n">
        <x:f>MIN(=INDEX(Inputs!$B$7:$D$7,1,MATCH(A501,Inputs!$B$6:$D$6,0)),MAX(0,INDEX(Inputs!$B$14:$D$14,1,MATCH(A501,Inputs!$B$6:$D$6,0))-(C501-1)*=INDEX(Inputs!$B$7:$D$7,1,MATCH(A501,Inputs!$B$6:$D$6,0))))</x:f>
        <x:v>0</x:v>
      </x:c>
      <x:c r="I501" s="20" t="n">
        <x:f>INDEX(Inputs!$B$8:$D$8,1,MATCH(A501,Inputs!$B$6:$D$6,0))</x:f>
        <x:v>2395</x:v>
      </x:c>
      <x:c r="J501" s="20" t="n">
        <x:f>INDEX(Roster!$C$6:$C$108,MATCH(D501,Roster!$A$6:$A$108,0))*(1+INDEX(Inputs!$B$9:$D$9,1,MATCH(A501,Inputs!$B$6:$D$6,0)))</x:f>
        <x:v>40</x:v>
      </x:c>
      <x:c r="K501" s="20" t="n">
        <x:f>IF(=INDEX(Roster!$F$6:$F$108,MATCH(D501,Roster!$A$6:$A$108,0))="Yes",0,=INDEX(Inputs!$B$8:$D$8,1,MATCH(A501,Inputs!$B$6:$D$6,0))*IF(=INDEX(Roster!$B$6:$B$108,MATCH(D501,Roster!$A$6:$A$108,0))="Principal",INDEX(Inputs!$B$10:$D$10,1,MATCH(A501,Inputs!$B$6:$D$6,0)),IF(=INDEX(Roster!$B$6:$B$108,MATCH(D501,Roster!$A$6:$A$108,0))="Associate Principal",INDEX(Inputs!$B$11:$D$11,1,MATCH(A501,Inputs!$B$6:$D$6,0)),IF(=INDEX(Roster!$B$6:$B$108,MATCH(D501,Roster!$A$6:$A$108,0))="Assistant Principal",INDEX(Inputs!$B$12:$D$12,1,MATCH(A501,Inputs!$B$6:$D$6,0)),0))))</x:f>
        <x:v>0</x:v>
      </x:c>
      <x:c r="L501" s="20" t="n">
        <x:f>IF(INDEX(Roster!$D$6:$D$108,MATCH(D501,Roster!$A$6:$A$108,0))&gt;=25,INDEX(Inputs!$B$19:$D$19,1,MATCH(A501,Inputs!$B$6:$D$6,0)),IF(INDEX(Roster!$D$6:$D$108,MATCH(D501,Roster!$A$6:$A$108,0))&gt;=20,INDEX(Inputs!$B$18:$D$18,1,MATCH(A501,Inputs!$B$6:$D$6,0)),IF(INDEX(Roster!$D$6:$D$108,MATCH(D501,Roster!$A$6:$A$108,0))&gt;=15,INDEX(Inputs!$B$17:$D$17,1,MATCH(A501,Inputs!$B$6:$D$6,0)),IF(INDEX(Roster!$D$6:$D$108,MATCH(D501,Roster!$A$6:$A$108,0))&gt;=10,INDEX(Inputs!$B$16:$D$16,1,MATCH(A501,Inputs!$B$6:$D$6,0)),IF(INDEX(Roster!$D$6:$D$108,MATCH(D501,Roster!$A$6:$A$108,0))&gt;=5,INDEX(Inputs!$B$15:$D$15,1,MATCH(A501,Inputs!$B$6:$D$6,0)),0)))))</x:f>
        <x:v>90</x:v>
      </x:c>
      <x:c r="M501" s="20" t="n">
        <x:f>G501*I501</x:f>
        <x:v>31135</x:v>
      </x:c>
      <x:c r="N501" s="20" t="n">
        <x:f>G501*J501</x:f>
        <x:v>520</x:v>
      </x:c>
      <x:c r="O501" s="20" t="n">
        <x:f>G501*K501</x:f>
        <x:v>0</x:v>
      </x:c>
      <x:c r="P501" s="20" t="n">
        <x:f>G501*L501</x:f>
        <x:v>1170</x:v>
      </x:c>
      <x:c r="Q501" s="20" t="n">
        <x:f>H501*INDEX(Inputs!$B$13:$D$13,1,MATCH(A501,Inputs!$B$6:$D$6,0))</x:f>
        <x:v>0</x:v>
      </x:c>
      <x:c r="R501" s="20" t="n">
        <x:f>SUM(M501:Q501)</x:f>
        <x:v>32825</x:v>
      </x:c>
      <x:c r="S501" s="20" t="n">
        <x:f>IF(AND(A500=A501,D500=D501),S500+R501,R501)</x:f>
        <x:v>132470</x:v>
      </x:c>
      <x:c r="T501" s="20" t="n">
        <x:f>MIN(S501,INDEX(Inputs!$B$20:$D$20,1,MATCH(A501,Inputs!$B$6:$D$6,0)))*INDEX(Inputs!$B$22:$D$22,1,MATCH(A501,Inputs!$B$6:$D$6,0))+MAX(MIN(S501,INDEX(Inputs!$B$21:$D$21,1,MATCH(A501,Inputs!$B$6:$D$6,0)))-INDEX(Inputs!$B$20:$D$20,1,MATCH(A501,Inputs!$B$6:$D$6,0)),0)*INDEX(Inputs!$B$23:$D$23,1,MATCH(A501,Inputs!$B$6:$D$6,0))+MAX(S501-INDEX(Inputs!$B$21:$D$21,1,MATCH(A501,Inputs!$B$6:$D$6,0)),0)*INDEX(Inputs!$B$24:$D$24,1,MATCH(A501,Inputs!$B$6:$D$6,0))</x:f>
        <x:v>9834.757</x:v>
      </x:c>
      <x:c r="U501" s="20" t="n">
        <x:f>IF(AND(A500=A501,D500=D501),T500,0)</x:f>
        <x:v>8112.8425</x:v>
      </x:c>
      <x:c r="V501" s="20" t="n">
        <x:f>T501-U501</x:f>
        <x:v>1721.9144999999999</x:v>
      </x:c>
      <x:c r="W501" s="20" t="n">
        <x:f>R501+V501</x:f>
        <x:v>34546.9145</x:v>
      </x:c>
      <x:c r="X501" s="14" t="str">
        <x:f>IF(ABS(W501-SUM(M501:Q501)-V501)&lt;0.01,"OK","Check")</x:f>
        <x:v>OK</x:v>
      </x:c>
    </x:row>
    <x:row r="502">
      <x:c r="A502" s="14" t="n">
        <x:v>2027</x:v>
      </x:c>
      <x:c r="B502" s="14" t="str">
        <x:v>Q1</x:v>
      </x:c>
      <x:c r="C502" s="14" t="n">
        <x:v>1</x:v>
      </x:c>
      <x:c r="D502" s="14" t="n">
        <x:v>22</x:v>
      </x:c>
      <x:c r="E502" s="14" t="str">
        <x:f>INDEX(Roster!$B$6:$B$108,MATCH(D502,Roster!$A$6:$A$108,0))</x:f>
        <x:v>Principal</x:v>
      </x:c>
      <x:c r="F502" s="14" t="str">
        <x:f>INDEX(Roster!$F$6:$F$108,MATCH(D502,Roster!$A$6:$A$108,0))</x:f>
        <x:v>No</x:v>
      </x:c>
      <x:c r="G502" s="14" t="n">
        <x:f>INDEX(Inputs!$B$7:$D$7,1,MATCH(A502,Inputs!$B$6:$D$6,0))</x:f>
        <x:v>13</x:v>
      </x:c>
      <x:c r="H502" s="14" t="n">
        <x:f>MIN(=INDEX(Inputs!$B$7:$D$7,1,MATCH(A502,Inputs!$B$6:$D$6,0)),MAX(0,INDEX(Inputs!$B$14:$D$14,1,MATCH(A502,Inputs!$B$6:$D$6,0))-(C502-1)*=INDEX(Inputs!$B$7:$D$7,1,MATCH(A502,Inputs!$B$6:$D$6,0))))</x:f>
        <x:v>13</x:v>
      </x:c>
      <x:c r="I502" s="20" t="n">
        <x:f>INDEX(Inputs!$B$8:$D$8,1,MATCH(A502,Inputs!$B$6:$D$6,0))</x:f>
        <x:v>2395</x:v>
      </x:c>
      <x:c r="J502" s="20" t="n">
        <x:f>INDEX(Roster!$C$6:$C$108,MATCH(D502,Roster!$A$6:$A$108,0))*(1+INDEX(Inputs!$B$9:$D$9,1,MATCH(A502,Inputs!$B$6:$D$6,0)))</x:f>
        <x:v>800</x:v>
      </x:c>
      <x:c r="K502" s="20" t="n">
        <x:f>IF(=INDEX(Roster!$F$6:$F$108,MATCH(D502,Roster!$A$6:$A$108,0))="Yes",0,=INDEX(Inputs!$B$8:$D$8,1,MATCH(A502,Inputs!$B$6:$D$6,0))*IF(=INDEX(Roster!$B$6:$B$108,MATCH(D502,Roster!$A$6:$A$108,0))="Principal",INDEX(Inputs!$B$10:$D$10,1,MATCH(A502,Inputs!$B$6:$D$6,0)),IF(=INDEX(Roster!$B$6:$B$108,MATCH(D502,Roster!$A$6:$A$108,0))="Associate Principal",INDEX(Inputs!$B$11:$D$11,1,MATCH(A502,Inputs!$B$6:$D$6,0)),IF(=INDEX(Roster!$B$6:$B$108,MATCH(D502,Roster!$A$6:$A$108,0))="Assistant Principal",INDEX(Inputs!$B$12:$D$12,1,MATCH(A502,Inputs!$B$6:$D$6,0)),0))))</x:f>
        <x:v>479</x:v>
      </x:c>
      <x:c r="L502" s="20" t="n">
        <x:f>IF(INDEX(Roster!$D$6:$D$108,MATCH(D502,Roster!$A$6:$A$108,0))&gt;=25,INDEX(Inputs!$B$19:$D$19,1,MATCH(A502,Inputs!$B$6:$D$6,0)),IF(INDEX(Roster!$D$6:$D$108,MATCH(D502,Roster!$A$6:$A$108,0))&gt;=20,INDEX(Inputs!$B$18:$D$18,1,MATCH(A502,Inputs!$B$6:$D$6,0)),IF(INDEX(Roster!$D$6:$D$108,MATCH(D502,Roster!$A$6:$A$108,0))&gt;=15,INDEX(Inputs!$B$17:$D$17,1,MATCH(A502,Inputs!$B$6:$D$6,0)),IF(INDEX(Roster!$D$6:$D$108,MATCH(D502,Roster!$A$6:$A$108,0))&gt;=10,INDEX(Inputs!$B$16:$D$16,1,MATCH(A502,Inputs!$B$6:$D$6,0)),IF(INDEX(Roster!$D$6:$D$108,MATCH(D502,Roster!$A$6:$A$108,0))&gt;=5,INDEX(Inputs!$B$15:$D$15,1,MATCH(A502,Inputs!$B$6:$D$6,0)),0)))))</x:f>
        <x:v>50</x:v>
      </x:c>
      <x:c r="M502" s="20" t="n">
        <x:f>G502*I502</x:f>
        <x:v>31135</x:v>
      </x:c>
      <x:c r="N502" s="20" t="n">
        <x:f>G502*J502</x:f>
        <x:v>10400</x:v>
      </x:c>
      <x:c r="O502" s="20" t="n">
        <x:f>G502*K502</x:f>
        <x:v>6227</x:v>
      </x:c>
      <x:c r="P502" s="20" t="n">
        <x:f>G502*L502</x:f>
        <x:v>650</x:v>
      </x:c>
      <x:c r="Q502" s="20" t="n">
        <x:f>H502*INDEX(Inputs!$B$13:$D$13,1,MATCH(A502,Inputs!$B$6:$D$6,0))</x:f>
        <x:v>390</x:v>
      </x:c>
      <x:c r="R502" s="20" t="n">
        <x:f>SUM(M502:Q502)</x:f>
        <x:v>48802</x:v>
      </x:c>
      <x:c r="S502" s="20" t="n">
        <x:f>IF(AND(A501=A502,D501=D502),S501+R502,R502)</x:f>
        <x:v>48802</x:v>
      </x:c>
      <x:c r="T502" s="20" t="n">
        <x:f>MIN(S502,INDEX(Inputs!$B$20:$D$20,1,MATCH(A502,Inputs!$B$6:$D$6,0)))*INDEX(Inputs!$B$22:$D$22,1,MATCH(A502,Inputs!$B$6:$D$6,0))+MAX(MIN(S502,INDEX(Inputs!$B$21:$D$21,1,MATCH(A502,Inputs!$B$6:$D$6,0)))-INDEX(Inputs!$B$20:$D$20,1,MATCH(A502,Inputs!$B$6:$D$6,0)),0)*INDEX(Inputs!$B$23:$D$23,1,MATCH(A502,Inputs!$B$6:$D$6,0))+MAX(S502-INDEX(Inputs!$B$21:$D$21,1,MATCH(A502,Inputs!$B$6:$D$6,0)),0)*INDEX(Inputs!$B$24:$D$24,1,MATCH(A502,Inputs!$B$6:$D$6,0))</x:f>
        <x:v>4223.353</x:v>
      </x:c>
      <x:c r="U502" s="20" t="n">
        <x:f>IF(AND(A501=A502,D501=D502),T501,0)</x:f>
        <x:v>0</x:v>
      </x:c>
      <x:c r="V502" s="20" t="n">
        <x:f>T502-U502</x:f>
        <x:v>4223.353</x:v>
      </x:c>
      <x:c r="W502" s="20" t="n">
        <x:f>R502+V502</x:f>
        <x:v>53025.353</x:v>
      </x:c>
      <x:c r="X502" s="14" t="str">
        <x:f>IF(ABS(W502-SUM(M502:Q502)-V502)&lt;0.01,"OK","Check")</x:f>
        <x:v>OK</x:v>
      </x:c>
    </x:row>
    <x:row r="503">
      <x:c r="A503" s="14" t="n">
        <x:v>2027</x:v>
      </x:c>
      <x:c r="B503" s="14" t="str">
        <x:v>Q2</x:v>
      </x:c>
      <x:c r="C503" s="14" t="n">
        <x:v>2</x:v>
      </x:c>
      <x:c r="D503" s="14" t="n">
        <x:v>22</x:v>
      </x:c>
      <x:c r="E503" s="14" t="str">
        <x:f>INDEX(Roster!$B$6:$B$108,MATCH(D503,Roster!$A$6:$A$108,0))</x:f>
        <x:v>Principal</x:v>
      </x:c>
      <x:c r="F503" s="14" t="str">
        <x:f>INDEX(Roster!$F$6:$F$108,MATCH(D503,Roster!$A$6:$A$108,0))</x:f>
        <x:v>No</x:v>
      </x:c>
      <x:c r="G503" s="14" t="n">
        <x:f>INDEX(Inputs!$B$7:$D$7,1,MATCH(A503,Inputs!$B$6:$D$6,0))</x:f>
        <x:v>13</x:v>
      </x:c>
      <x:c r="H503" s="14" t="n">
        <x:f>MIN(=INDEX(Inputs!$B$7:$D$7,1,MATCH(A503,Inputs!$B$6:$D$6,0)),MAX(0,INDEX(Inputs!$B$14:$D$14,1,MATCH(A503,Inputs!$B$6:$D$6,0))-(C503-1)*=INDEX(Inputs!$B$7:$D$7,1,MATCH(A503,Inputs!$B$6:$D$6,0))))</x:f>
        <x:v>13</x:v>
      </x:c>
      <x:c r="I503" s="20" t="n">
        <x:f>INDEX(Inputs!$B$8:$D$8,1,MATCH(A503,Inputs!$B$6:$D$6,0))</x:f>
        <x:v>2395</x:v>
      </x:c>
      <x:c r="J503" s="20" t="n">
        <x:f>INDEX(Roster!$C$6:$C$108,MATCH(D503,Roster!$A$6:$A$108,0))*(1+INDEX(Inputs!$B$9:$D$9,1,MATCH(A503,Inputs!$B$6:$D$6,0)))</x:f>
        <x:v>800</x:v>
      </x:c>
      <x:c r="K503" s="20" t="n">
        <x:f>IF(=INDEX(Roster!$F$6:$F$108,MATCH(D503,Roster!$A$6:$A$108,0))="Yes",0,=INDEX(Inputs!$B$8:$D$8,1,MATCH(A503,Inputs!$B$6:$D$6,0))*IF(=INDEX(Roster!$B$6:$B$108,MATCH(D503,Roster!$A$6:$A$108,0))="Principal",INDEX(Inputs!$B$10:$D$10,1,MATCH(A503,Inputs!$B$6:$D$6,0)),IF(=INDEX(Roster!$B$6:$B$108,MATCH(D503,Roster!$A$6:$A$108,0))="Associate Principal",INDEX(Inputs!$B$11:$D$11,1,MATCH(A503,Inputs!$B$6:$D$6,0)),IF(=INDEX(Roster!$B$6:$B$108,MATCH(D503,Roster!$A$6:$A$108,0))="Assistant Principal",INDEX(Inputs!$B$12:$D$12,1,MATCH(A503,Inputs!$B$6:$D$6,0)),0))))</x:f>
        <x:v>479</x:v>
      </x:c>
      <x:c r="L503" s="20" t="n">
        <x:f>IF(INDEX(Roster!$D$6:$D$108,MATCH(D503,Roster!$A$6:$A$108,0))&gt;=25,INDEX(Inputs!$B$19:$D$19,1,MATCH(A503,Inputs!$B$6:$D$6,0)),IF(INDEX(Roster!$D$6:$D$108,MATCH(D503,Roster!$A$6:$A$108,0))&gt;=20,INDEX(Inputs!$B$18:$D$18,1,MATCH(A503,Inputs!$B$6:$D$6,0)),IF(INDEX(Roster!$D$6:$D$108,MATCH(D503,Roster!$A$6:$A$108,0))&gt;=15,INDEX(Inputs!$B$17:$D$17,1,MATCH(A503,Inputs!$B$6:$D$6,0)),IF(INDEX(Roster!$D$6:$D$108,MATCH(D503,Roster!$A$6:$A$108,0))&gt;=10,INDEX(Inputs!$B$16:$D$16,1,MATCH(A503,Inputs!$B$6:$D$6,0)),IF(INDEX(Roster!$D$6:$D$108,MATCH(D503,Roster!$A$6:$A$108,0))&gt;=5,INDEX(Inputs!$B$15:$D$15,1,MATCH(A503,Inputs!$B$6:$D$6,0)),0)))))</x:f>
        <x:v>50</x:v>
      </x:c>
      <x:c r="M503" s="20" t="n">
        <x:f>G503*I503</x:f>
        <x:v>31135</x:v>
      </x:c>
      <x:c r="N503" s="20" t="n">
        <x:f>G503*J503</x:f>
        <x:v>10400</x:v>
      </x:c>
      <x:c r="O503" s="20" t="n">
        <x:f>G503*K503</x:f>
        <x:v>6227</x:v>
      </x:c>
      <x:c r="P503" s="20" t="n">
        <x:f>G503*L503</x:f>
        <x:v>650</x:v>
      </x:c>
      <x:c r="Q503" s="20" t="n">
        <x:f>H503*INDEX(Inputs!$B$13:$D$13,1,MATCH(A503,Inputs!$B$6:$D$6,0))</x:f>
        <x:v>390</x:v>
      </x:c>
      <x:c r="R503" s="20" t="n">
        <x:f>SUM(M503:Q503)</x:f>
        <x:v>48802</x:v>
      </x:c>
      <x:c r="S503" s="20" t="n">
        <x:f>IF(AND(A502=A503,D502=D503),S502+R503,R503)</x:f>
        <x:v>97604</x:v>
      </x:c>
      <x:c r="T503" s="20" t="n">
        <x:f>MIN(S503,INDEX(Inputs!$B$20:$D$20,1,MATCH(A503,Inputs!$B$6:$D$6,0)))*INDEX(Inputs!$B$22:$D$22,1,MATCH(A503,Inputs!$B$6:$D$6,0))+MAX(MIN(S503,INDEX(Inputs!$B$21:$D$21,1,MATCH(A503,Inputs!$B$6:$D$6,0)))-INDEX(Inputs!$B$20:$D$20,1,MATCH(A503,Inputs!$B$6:$D$6,0)),0)*INDEX(Inputs!$B$23:$D$23,1,MATCH(A503,Inputs!$B$6:$D$6,0))+MAX(S503-INDEX(Inputs!$B$21:$D$21,1,MATCH(A503,Inputs!$B$6:$D$6,0)),0)*INDEX(Inputs!$B$24:$D$24,1,MATCH(A503,Inputs!$B$6:$D$6,0))</x:f>
        <x:v>7956.706</x:v>
      </x:c>
      <x:c r="U503" s="20" t="n">
        <x:f>IF(AND(A502=A503,D502=D503),T502,0)</x:f>
        <x:v>4223.353</x:v>
      </x:c>
      <x:c r="V503" s="20" t="n">
        <x:f>T503-U503</x:f>
        <x:v>3733.353</x:v>
      </x:c>
      <x:c r="W503" s="20" t="n">
        <x:f>R503+V503</x:f>
        <x:v>52535.353</x:v>
      </x:c>
      <x:c r="X503" s="14" t="str">
        <x:f>IF(ABS(W503-SUM(M503:Q503)-V503)&lt;0.01,"OK","Check")</x:f>
        <x:v>OK</x:v>
      </x:c>
    </x:row>
    <x:row r="504">
      <x:c r="A504" s="14" t="n">
        <x:v>2027</x:v>
      </x:c>
      <x:c r="B504" s="14" t="str">
        <x:v>Q3</x:v>
      </x:c>
      <x:c r="C504" s="14" t="n">
        <x:v>3</x:v>
      </x:c>
      <x:c r="D504" s="14" t="n">
        <x:v>22</x:v>
      </x:c>
      <x:c r="E504" s="14" t="str">
        <x:f>INDEX(Roster!$B$6:$B$108,MATCH(D504,Roster!$A$6:$A$108,0))</x:f>
        <x:v>Principal</x:v>
      </x:c>
      <x:c r="F504" s="14" t="str">
        <x:f>INDEX(Roster!$F$6:$F$108,MATCH(D504,Roster!$A$6:$A$108,0))</x:f>
        <x:v>No</x:v>
      </x:c>
      <x:c r="G504" s="14" t="n">
        <x:f>INDEX(Inputs!$B$7:$D$7,1,MATCH(A504,Inputs!$B$6:$D$6,0))</x:f>
        <x:v>13</x:v>
      </x:c>
      <x:c r="H504" s="14" t="n">
        <x:f>MIN(=INDEX(Inputs!$B$7:$D$7,1,MATCH(A504,Inputs!$B$6:$D$6,0)),MAX(0,INDEX(Inputs!$B$14:$D$14,1,MATCH(A504,Inputs!$B$6:$D$6,0))-(C504-1)*=INDEX(Inputs!$B$7:$D$7,1,MATCH(A504,Inputs!$B$6:$D$6,0))))</x:f>
        <x:v>13</x:v>
      </x:c>
      <x:c r="I504" s="20" t="n">
        <x:f>INDEX(Inputs!$B$8:$D$8,1,MATCH(A504,Inputs!$B$6:$D$6,0))</x:f>
        <x:v>2395</x:v>
      </x:c>
      <x:c r="J504" s="20" t="n">
        <x:f>INDEX(Roster!$C$6:$C$108,MATCH(D504,Roster!$A$6:$A$108,0))*(1+INDEX(Inputs!$B$9:$D$9,1,MATCH(A504,Inputs!$B$6:$D$6,0)))</x:f>
        <x:v>800</x:v>
      </x:c>
      <x:c r="K504" s="20" t="n">
        <x:f>IF(=INDEX(Roster!$F$6:$F$108,MATCH(D504,Roster!$A$6:$A$108,0))="Yes",0,=INDEX(Inputs!$B$8:$D$8,1,MATCH(A504,Inputs!$B$6:$D$6,0))*IF(=INDEX(Roster!$B$6:$B$108,MATCH(D504,Roster!$A$6:$A$108,0))="Principal",INDEX(Inputs!$B$10:$D$10,1,MATCH(A504,Inputs!$B$6:$D$6,0)),IF(=INDEX(Roster!$B$6:$B$108,MATCH(D504,Roster!$A$6:$A$108,0))="Associate Principal",INDEX(Inputs!$B$11:$D$11,1,MATCH(A504,Inputs!$B$6:$D$6,0)),IF(=INDEX(Roster!$B$6:$B$108,MATCH(D504,Roster!$A$6:$A$108,0))="Assistant Principal",INDEX(Inputs!$B$12:$D$12,1,MATCH(A504,Inputs!$B$6:$D$6,0)),0))))</x:f>
        <x:v>479</x:v>
      </x:c>
      <x:c r="L504" s="20" t="n">
        <x:f>IF(INDEX(Roster!$D$6:$D$108,MATCH(D504,Roster!$A$6:$A$108,0))&gt;=25,INDEX(Inputs!$B$19:$D$19,1,MATCH(A504,Inputs!$B$6:$D$6,0)),IF(INDEX(Roster!$D$6:$D$108,MATCH(D504,Roster!$A$6:$A$108,0))&gt;=20,INDEX(Inputs!$B$18:$D$18,1,MATCH(A504,Inputs!$B$6:$D$6,0)),IF(INDEX(Roster!$D$6:$D$108,MATCH(D504,Roster!$A$6:$A$108,0))&gt;=15,INDEX(Inputs!$B$17:$D$17,1,MATCH(A504,Inputs!$B$6:$D$6,0)),IF(INDEX(Roster!$D$6:$D$108,MATCH(D504,Roster!$A$6:$A$108,0))&gt;=10,INDEX(Inputs!$B$16:$D$16,1,MATCH(A504,Inputs!$B$6:$D$6,0)),IF(INDEX(Roster!$D$6:$D$108,MATCH(D504,Roster!$A$6:$A$108,0))&gt;=5,INDEX(Inputs!$B$15:$D$15,1,MATCH(A504,Inputs!$B$6:$D$6,0)),0)))))</x:f>
        <x:v>50</x:v>
      </x:c>
      <x:c r="M504" s="20" t="n">
        <x:f>G504*I504</x:f>
        <x:v>31135</x:v>
      </x:c>
      <x:c r="N504" s="20" t="n">
        <x:f>G504*J504</x:f>
        <x:v>10400</x:v>
      </x:c>
      <x:c r="O504" s="20" t="n">
        <x:f>G504*K504</x:f>
        <x:v>6227</x:v>
      </x:c>
      <x:c r="P504" s="20" t="n">
        <x:f>G504*L504</x:f>
        <x:v>650</x:v>
      </x:c>
      <x:c r="Q504" s="20" t="n">
        <x:f>H504*INDEX(Inputs!$B$13:$D$13,1,MATCH(A504,Inputs!$B$6:$D$6,0))</x:f>
        <x:v>390</x:v>
      </x:c>
      <x:c r="R504" s="20" t="n">
        <x:f>SUM(M504:Q504)</x:f>
        <x:v>48802</x:v>
      </x:c>
      <x:c r="S504" s="20" t="n">
        <x:f>IF(AND(A503=A504,D503=D504),S503+R504,R504)</x:f>
        <x:v>146406</x:v>
      </x:c>
      <x:c r="T504" s="20" t="n">
        <x:f>MIN(S504,INDEX(Inputs!$B$20:$D$20,1,MATCH(A504,Inputs!$B$6:$D$6,0)))*INDEX(Inputs!$B$22:$D$22,1,MATCH(A504,Inputs!$B$6:$D$6,0))+MAX(MIN(S504,INDEX(Inputs!$B$21:$D$21,1,MATCH(A504,Inputs!$B$6:$D$6,0)))-INDEX(Inputs!$B$20:$D$20,1,MATCH(A504,Inputs!$B$6:$D$6,0)),0)*INDEX(Inputs!$B$23:$D$23,1,MATCH(A504,Inputs!$B$6:$D$6,0))+MAX(S504-INDEX(Inputs!$B$21:$D$21,1,MATCH(A504,Inputs!$B$6:$D$6,0)),0)*INDEX(Inputs!$B$24:$D$24,1,MATCH(A504,Inputs!$B$6:$D$6,0))</x:f>
        <x:v>10036.829</x:v>
      </x:c>
      <x:c r="U504" s="20" t="n">
        <x:f>IF(AND(A503=A504,D503=D504),T503,0)</x:f>
        <x:v>7956.706</x:v>
      </x:c>
      <x:c r="V504" s="20" t="n">
        <x:f>T504-U504</x:f>
        <x:v>2080.1229999999996</x:v>
      </x:c>
      <x:c r="W504" s="20" t="n">
        <x:f>R504+V504</x:f>
        <x:v>50882.123</x:v>
      </x:c>
      <x:c r="X504" s="14" t="str">
        <x:f>IF(ABS(W504-SUM(M504:Q504)-V504)&lt;0.01,"OK","Check")</x:f>
        <x:v>OK</x:v>
      </x:c>
    </x:row>
    <x:row r="505">
      <x:c r="A505" s="14" t="n">
        <x:v>2027</x:v>
      </x:c>
      <x:c r="B505" s="14" t="str">
        <x:v>Q4</x:v>
      </x:c>
      <x:c r="C505" s="14" t="n">
        <x:v>4</x:v>
      </x:c>
      <x:c r="D505" s="14" t="n">
        <x:v>22</x:v>
      </x:c>
      <x:c r="E505" s="14" t="str">
        <x:f>INDEX(Roster!$B$6:$B$108,MATCH(D505,Roster!$A$6:$A$108,0))</x:f>
        <x:v>Principal</x:v>
      </x:c>
      <x:c r="F505" s="14" t="str">
        <x:f>INDEX(Roster!$F$6:$F$108,MATCH(D505,Roster!$A$6:$A$108,0))</x:f>
        <x:v>No</x:v>
      </x:c>
      <x:c r="G505" s="14" t="n">
        <x:f>INDEX(Inputs!$B$7:$D$7,1,MATCH(A505,Inputs!$B$6:$D$6,0))</x:f>
        <x:v>13</x:v>
      </x:c>
      <x:c r="H505" s="14" t="n">
        <x:f>MIN(=INDEX(Inputs!$B$7:$D$7,1,MATCH(A505,Inputs!$B$6:$D$6,0)),MAX(0,INDEX(Inputs!$B$14:$D$14,1,MATCH(A505,Inputs!$B$6:$D$6,0))-(C505-1)*=INDEX(Inputs!$B$7:$D$7,1,MATCH(A505,Inputs!$B$6:$D$6,0))))</x:f>
        <x:v>0</x:v>
      </x:c>
      <x:c r="I505" s="20" t="n">
        <x:f>INDEX(Inputs!$B$8:$D$8,1,MATCH(A505,Inputs!$B$6:$D$6,0))</x:f>
        <x:v>2395</x:v>
      </x:c>
      <x:c r="J505" s="20" t="n">
        <x:f>INDEX(Roster!$C$6:$C$108,MATCH(D505,Roster!$A$6:$A$108,0))*(1+INDEX(Inputs!$B$9:$D$9,1,MATCH(A505,Inputs!$B$6:$D$6,0)))</x:f>
        <x:v>800</x:v>
      </x:c>
      <x:c r="K505" s="20" t="n">
        <x:f>IF(=INDEX(Roster!$F$6:$F$108,MATCH(D505,Roster!$A$6:$A$108,0))="Yes",0,=INDEX(Inputs!$B$8:$D$8,1,MATCH(A505,Inputs!$B$6:$D$6,0))*IF(=INDEX(Roster!$B$6:$B$108,MATCH(D505,Roster!$A$6:$A$108,0))="Principal",INDEX(Inputs!$B$10:$D$10,1,MATCH(A505,Inputs!$B$6:$D$6,0)),IF(=INDEX(Roster!$B$6:$B$108,MATCH(D505,Roster!$A$6:$A$108,0))="Associate Principal",INDEX(Inputs!$B$11:$D$11,1,MATCH(A505,Inputs!$B$6:$D$6,0)),IF(=INDEX(Roster!$B$6:$B$108,MATCH(D505,Roster!$A$6:$A$108,0))="Assistant Principal",INDEX(Inputs!$B$12:$D$12,1,MATCH(A505,Inputs!$B$6:$D$6,0)),0))))</x:f>
        <x:v>479</x:v>
      </x:c>
      <x:c r="L505" s="20" t="n">
        <x:f>IF(INDEX(Roster!$D$6:$D$108,MATCH(D505,Roster!$A$6:$A$108,0))&gt;=25,INDEX(Inputs!$B$19:$D$19,1,MATCH(A505,Inputs!$B$6:$D$6,0)),IF(INDEX(Roster!$D$6:$D$108,MATCH(D505,Roster!$A$6:$A$108,0))&gt;=20,INDEX(Inputs!$B$18:$D$18,1,MATCH(A505,Inputs!$B$6:$D$6,0)),IF(INDEX(Roster!$D$6:$D$108,MATCH(D505,Roster!$A$6:$A$108,0))&gt;=15,INDEX(Inputs!$B$17:$D$17,1,MATCH(A505,Inputs!$B$6:$D$6,0)),IF(INDEX(Roster!$D$6:$D$108,MATCH(D505,Roster!$A$6:$A$108,0))&gt;=10,INDEX(Inputs!$B$16:$D$16,1,MATCH(A505,Inputs!$B$6:$D$6,0)),IF(INDEX(Roster!$D$6:$D$108,MATCH(D505,Roster!$A$6:$A$108,0))&gt;=5,INDEX(Inputs!$B$15:$D$15,1,MATCH(A505,Inputs!$B$6:$D$6,0)),0)))))</x:f>
        <x:v>50</x:v>
      </x:c>
      <x:c r="M505" s="20" t="n">
        <x:f>G505*I505</x:f>
        <x:v>31135</x:v>
      </x:c>
      <x:c r="N505" s="20" t="n">
        <x:f>G505*J505</x:f>
        <x:v>10400</x:v>
      </x:c>
      <x:c r="O505" s="20" t="n">
        <x:f>G505*K505</x:f>
        <x:v>6227</x:v>
      </x:c>
      <x:c r="P505" s="20" t="n">
        <x:f>G505*L505</x:f>
        <x:v>650</x:v>
      </x:c>
      <x:c r="Q505" s="20" t="n">
        <x:f>H505*INDEX(Inputs!$B$13:$D$13,1,MATCH(A505,Inputs!$B$6:$D$6,0))</x:f>
        <x:v>0</x:v>
      </x:c>
      <x:c r="R505" s="20" t="n">
        <x:f>SUM(M505:Q505)</x:f>
        <x:v>48412</x:v>
      </x:c>
      <x:c r="S505" s="20" t="n">
        <x:f>IF(AND(A504=A505,D504=D505),S504+R505,R505)</x:f>
        <x:v>194818</x:v>
      </x:c>
      <x:c r="T505" s="20" t="n">
        <x:f>MIN(S505,INDEX(Inputs!$B$20:$D$20,1,MATCH(A505,Inputs!$B$6:$D$6,0)))*INDEX(Inputs!$B$22:$D$22,1,MATCH(A505,Inputs!$B$6:$D$6,0))+MAX(MIN(S505,INDEX(Inputs!$B$21:$D$21,1,MATCH(A505,Inputs!$B$6:$D$6,0)))-INDEX(Inputs!$B$20:$D$20,1,MATCH(A505,Inputs!$B$6:$D$6,0)),0)*INDEX(Inputs!$B$23:$D$23,1,MATCH(A505,Inputs!$B$6:$D$6,0))+MAX(S505-INDEX(Inputs!$B$21:$D$21,1,MATCH(A505,Inputs!$B$6:$D$6,0)),0)*INDEX(Inputs!$B$24:$D$24,1,MATCH(A505,Inputs!$B$6:$D$6,0))</x:f>
        <x:v>10738.803</x:v>
      </x:c>
      <x:c r="U505" s="20" t="n">
        <x:f>IF(AND(A504=A505,D504=D505),T504,0)</x:f>
        <x:v>10036.829</x:v>
      </x:c>
      <x:c r="V505" s="20" t="n">
        <x:f>T505-U505</x:f>
        <x:v>701.9740000000002</x:v>
      </x:c>
      <x:c r="W505" s="20" t="n">
        <x:f>R505+V505</x:f>
        <x:v>49113.974</x:v>
      </x:c>
      <x:c r="X505" s="14" t="str">
        <x:f>IF(ABS(W505-SUM(M505:Q505)-V505)&lt;0.01,"OK","Check")</x:f>
        <x:v>OK</x:v>
      </x:c>
    </x:row>
    <x:row r="506">
      <x:c r="A506" s="14" t="n">
        <x:v>2027</x:v>
      </x:c>
      <x:c r="B506" s="14" t="str">
        <x:v>Q1</x:v>
      </x:c>
      <x:c r="C506" s="14" t="n">
        <x:v>1</x:v>
      </x:c>
      <x:c r="D506" s="14" t="n">
        <x:v>23</x:v>
      </x:c>
      <x:c r="E506" s="14" t="str">
        <x:f>INDEX(Roster!$B$6:$B$108,MATCH(D506,Roster!$A$6:$A$108,0))</x:f>
      </x:c>
      <x:c r="F506" s="14" t="str">
        <x:f>INDEX(Roster!$F$6:$F$108,MATCH(D506,Roster!$A$6:$A$108,0))</x:f>
        <x:v>No</x:v>
      </x:c>
      <x:c r="G506" s="14" t="n">
        <x:f>INDEX(Inputs!$B$7:$D$7,1,MATCH(A506,Inputs!$B$6:$D$6,0))</x:f>
        <x:v>13</x:v>
      </x:c>
      <x:c r="H506" s="14" t="n">
        <x:f>MIN(=INDEX(Inputs!$B$7:$D$7,1,MATCH(A506,Inputs!$B$6:$D$6,0)),MAX(0,INDEX(Inputs!$B$14:$D$14,1,MATCH(A506,Inputs!$B$6:$D$6,0))-(C506-1)*=INDEX(Inputs!$B$7:$D$7,1,MATCH(A506,Inputs!$B$6:$D$6,0))))</x:f>
        <x:v>13</x:v>
      </x:c>
      <x:c r="I506" s="20" t="n">
        <x:f>INDEX(Inputs!$B$8:$D$8,1,MATCH(A506,Inputs!$B$6:$D$6,0))</x:f>
        <x:v>2395</x:v>
      </x:c>
      <x:c r="J506" s="20" t="n">
        <x:f>INDEX(Roster!$C$6:$C$108,MATCH(D506,Roster!$A$6:$A$108,0))*(1+INDEX(Inputs!$B$9:$D$9,1,MATCH(A506,Inputs!$B$6:$D$6,0)))</x:f>
        <x:v>400</x:v>
      </x:c>
      <x:c r="K506" s="20" t="n">
        <x:f>IF(=INDEX(Roster!$F$6:$F$108,MATCH(D506,Roster!$A$6:$A$108,0))="Yes",0,=INDEX(Inputs!$B$8:$D$8,1,MATCH(A506,Inputs!$B$6:$D$6,0))*IF(=INDEX(Roster!$B$6:$B$108,MATCH(D506,Roster!$A$6:$A$108,0))="Principal",INDEX(Inputs!$B$10:$D$10,1,MATCH(A506,Inputs!$B$6:$D$6,0)),IF(=INDEX(Roster!$B$6:$B$108,MATCH(D506,Roster!$A$6:$A$108,0))="Associate Principal",INDEX(Inputs!$B$11:$D$11,1,MATCH(A506,Inputs!$B$6:$D$6,0)),IF(=INDEX(Roster!$B$6:$B$108,MATCH(D506,Roster!$A$6:$A$108,0))="Assistant Principal",INDEX(Inputs!$B$12:$D$12,1,MATCH(A506,Inputs!$B$6:$D$6,0)),0))))</x:f>
        <x:v>0</x:v>
      </x:c>
      <x:c r="L506" s="20" t="n">
        <x:f>IF(INDEX(Roster!$D$6:$D$108,MATCH(D506,Roster!$A$6:$A$108,0))&gt;=25,INDEX(Inputs!$B$19:$D$19,1,MATCH(A506,Inputs!$B$6:$D$6,0)),IF(INDEX(Roster!$D$6:$D$108,MATCH(D506,Roster!$A$6:$A$108,0))&gt;=20,INDEX(Inputs!$B$18:$D$18,1,MATCH(A506,Inputs!$B$6:$D$6,0)),IF(INDEX(Roster!$D$6:$D$108,MATCH(D506,Roster!$A$6:$A$108,0))&gt;=15,INDEX(Inputs!$B$17:$D$17,1,MATCH(A506,Inputs!$B$6:$D$6,0)),IF(INDEX(Roster!$D$6:$D$108,MATCH(D506,Roster!$A$6:$A$108,0))&gt;=10,INDEX(Inputs!$B$16:$D$16,1,MATCH(A506,Inputs!$B$6:$D$6,0)),IF(INDEX(Roster!$D$6:$D$108,MATCH(D506,Roster!$A$6:$A$108,0))&gt;=5,INDEX(Inputs!$B$15:$D$15,1,MATCH(A506,Inputs!$B$6:$D$6,0)),0)))))</x:f>
        <x:v>50</x:v>
      </x:c>
      <x:c r="M506" s="20" t="n">
        <x:f>G506*I506</x:f>
        <x:v>31135</x:v>
      </x:c>
      <x:c r="N506" s="20" t="n">
        <x:f>G506*J506</x:f>
        <x:v>5200</x:v>
      </x:c>
      <x:c r="O506" s="20" t="n">
        <x:f>G506*K506</x:f>
        <x:v>0</x:v>
      </x:c>
      <x:c r="P506" s="20" t="n">
        <x:f>G506*L506</x:f>
        <x:v>650</x:v>
      </x:c>
      <x:c r="Q506" s="20" t="n">
        <x:f>H506*INDEX(Inputs!$B$13:$D$13,1,MATCH(A506,Inputs!$B$6:$D$6,0))</x:f>
        <x:v>390</x:v>
      </x:c>
      <x:c r="R506" s="20" t="n">
        <x:f>SUM(M506:Q506)</x:f>
        <x:v>37375</x:v>
      </x:c>
      <x:c r="S506" s="20" t="n">
        <x:f>IF(AND(A505=A506,D505=D506),S505+R506,R506)</x:f>
        <x:v>37375</x:v>
      </x:c>
      <x:c r="T506" s="20" t="n">
        <x:f>MIN(S506,INDEX(Inputs!$B$20:$D$20,1,MATCH(A506,Inputs!$B$6:$D$6,0)))*INDEX(Inputs!$B$22:$D$22,1,MATCH(A506,Inputs!$B$6:$D$6,0))+MAX(MIN(S506,INDEX(Inputs!$B$21:$D$21,1,MATCH(A506,Inputs!$B$6:$D$6,0)))-INDEX(Inputs!$B$20:$D$20,1,MATCH(A506,Inputs!$B$6:$D$6,0)),0)*INDEX(Inputs!$B$23:$D$23,1,MATCH(A506,Inputs!$B$6:$D$6,0))+MAX(S506-INDEX(Inputs!$B$21:$D$21,1,MATCH(A506,Inputs!$B$6:$D$6,0)),0)*INDEX(Inputs!$B$24:$D$24,1,MATCH(A506,Inputs!$B$6:$D$6,0))</x:f>
        <x:v>3349.1875</x:v>
      </x:c>
      <x:c r="U506" s="20" t="n">
        <x:f>IF(AND(A505=A506,D505=D506),T505,0)</x:f>
        <x:v>0</x:v>
      </x:c>
      <x:c r="V506" s="20" t="n">
        <x:f>T506-U506</x:f>
        <x:v>3349.1875</x:v>
      </x:c>
      <x:c r="W506" s="20" t="n">
        <x:f>R506+V506</x:f>
        <x:v>40724.1875</x:v>
      </x:c>
      <x:c r="X506" s="14" t="str">
        <x:f>IF(ABS(W506-SUM(M506:Q506)-V506)&lt;0.01,"OK","Check")</x:f>
        <x:v>OK</x:v>
      </x:c>
    </x:row>
    <x:row r="507">
      <x:c r="A507" s="14" t="n">
        <x:v>2027</x:v>
      </x:c>
      <x:c r="B507" s="14" t="str">
        <x:v>Q2</x:v>
      </x:c>
      <x:c r="C507" s="14" t="n">
        <x:v>2</x:v>
      </x:c>
      <x:c r="D507" s="14" t="n">
        <x:v>23</x:v>
      </x:c>
      <x:c r="E507" s="14" t="str">
        <x:f>INDEX(Roster!$B$6:$B$108,MATCH(D507,Roster!$A$6:$A$108,0))</x:f>
      </x:c>
      <x:c r="F507" s="14" t="str">
        <x:f>INDEX(Roster!$F$6:$F$108,MATCH(D507,Roster!$A$6:$A$108,0))</x:f>
        <x:v>No</x:v>
      </x:c>
      <x:c r="G507" s="14" t="n">
        <x:f>INDEX(Inputs!$B$7:$D$7,1,MATCH(A507,Inputs!$B$6:$D$6,0))</x:f>
        <x:v>13</x:v>
      </x:c>
      <x:c r="H507" s="14" t="n">
        <x:f>MIN(=INDEX(Inputs!$B$7:$D$7,1,MATCH(A507,Inputs!$B$6:$D$6,0)),MAX(0,INDEX(Inputs!$B$14:$D$14,1,MATCH(A507,Inputs!$B$6:$D$6,0))-(C507-1)*=INDEX(Inputs!$B$7:$D$7,1,MATCH(A507,Inputs!$B$6:$D$6,0))))</x:f>
        <x:v>13</x:v>
      </x:c>
      <x:c r="I507" s="20" t="n">
        <x:f>INDEX(Inputs!$B$8:$D$8,1,MATCH(A507,Inputs!$B$6:$D$6,0))</x:f>
        <x:v>2395</x:v>
      </x:c>
      <x:c r="J507" s="20" t="n">
        <x:f>INDEX(Roster!$C$6:$C$108,MATCH(D507,Roster!$A$6:$A$108,0))*(1+INDEX(Inputs!$B$9:$D$9,1,MATCH(A507,Inputs!$B$6:$D$6,0)))</x:f>
        <x:v>400</x:v>
      </x:c>
      <x:c r="K507" s="20" t="n">
        <x:f>IF(=INDEX(Roster!$F$6:$F$108,MATCH(D507,Roster!$A$6:$A$108,0))="Yes",0,=INDEX(Inputs!$B$8:$D$8,1,MATCH(A507,Inputs!$B$6:$D$6,0))*IF(=INDEX(Roster!$B$6:$B$108,MATCH(D507,Roster!$A$6:$A$108,0))="Principal",INDEX(Inputs!$B$10:$D$10,1,MATCH(A507,Inputs!$B$6:$D$6,0)),IF(=INDEX(Roster!$B$6:$B$108,MATCH(D507,Roster!$A$6:$A$108,0))="Associate Principal",INDEX(Inputs!$B$11:$D$11,1,MATCH(A507,Inputs!$B$6:$D$6,0)),IF(=INDEX(Roster!$B$6:$B$108,MATCH(D507,Roster!$A$6:$A$108,0))="Assistant Principal",INDEX(Inputs!$B$12:$D$12,1,MATCH(A507,Inputs!$B$6:$D$6,0)),0))))</x:f>
        <x:v>0</x:v>
      </x:c>
      <x:c r="L507" s="20" t="n">
        <x:f>IF(INDEX(Roster!$D$6:$D$108,MATCH(D507,Roster!$A$6:$A$108,0))&gt;=25,INDEX(Inputs!$B$19:$D$19,1,MATCH(A507,Inputs!$B$6:$D$6,0)),IF(INDEX(Roster!$D$6:$D$108,MATCH(D507,Roster!$A$6:$A$108,0))&gt;=20,INDEX(Inputs!$B$18:$D$18,1,MATCH(A507,Inputs!$B$6:$D$6,0)),IF(INDEX(Roster!$D$6:$D$108,MATCH(D507,Roster!$A$6:$A$108,0))&gt;=15,INDEX(Inputs!$B$17:$D$17,1,MATCH(A507,Inputs!$B$6:$D$6,0)),IF(INDEX(Roster!$D$6:$D$108,MATCH(D507,Roster!$A$6:$A$108,0))&gt;=10,INDEX(Inputs!$B$16:$D$16,1,MATCH(A507,Inputs!$B$6:$D$6,0)),IF(INDEX(Roster!$D$6:$D$108,MATCH(D507,Roster!$A$6:$A$108,0))&gt;=5,INDEX(Inputs!$B$15:$D$15,1,MATCH(A507,Inputs!$B$6:$D$6,0)),0)))))</x:f>
        <x:v>50</x:v>
      </x:c>
      <x:c r="M507" s="20" t="n">
        <x:f>G507*I507</x:f>
        <x:v>31135</x:v>
      </x:c>
      <x:c r="N507" s="20" t="n">
        <x:f>G507*J507</x:f>
        <x:v>5200</x:v>
      </x:c>
      <x:c r="O507" s="20" t="n">
        <x:f>G507*K507</x:f>
        <x:v>0</x:v>
      </x:c>
      <x:c r="P507" s="20" t="n">
        <x:f>G507*L507</x:f>
        <x:v>650</x:v>
      </x:c>
      <x:c r="Q507" s="20" t="n">
        <x:f>H507*INDEX(Inputs!$B$13:$D$13,1,MATCH(A507,Inputs!$B$6:$D$6,0))</x:f>
        <x:v>390</x:v>
      </x:c>
      <x:c r="R507" s="20" t="n">
        <x:f>SUM(M507:Q507)</x:f>
        <x:v>37375</x:v>
      </x:c>
      <x:c r="S507" s="20" t="n">
        <x:f>IF(AND(A506=A507,D506=D507),S506+R507,R507)</x:f>
        <x:v>74750</x:v>
      </x:c>
      <x:c r="T507" s="20" t="n">
        <x:f>MIN(S507,INDEX(Inputs!$B$20:$D$20,1,MATCH(A507,Inputs!$B$6:$D$6,0)))*INDEX(Inputs!$B$22:$D$22,1,MATCH(A507,Inputs!$B$6:$D$6,0))+MAX(MIN(S507,INDEX(Inputs!$B$21:$D$21,1,MATCH(A507,Inputs!$B$6:$D$6,0)))-INDEX(Inputs!$B$20:$D$20,1,MATCH(A507,Inputs!$B$6:$D$6,0)),0)*INDEX(Inputs!$B$23:$D$23,1,MATCH(A507,Inputs!$B$6:$D$6,0))+MAX(S507-INDEX(Inputs!$B$21:$D$21,1,MATCH(A507,Inputs!$B$6:$D$6,0)),0)*INDEX(Inputs!$B$24:$D$24,1,MATCH(A507,Inputs!$B$6:$D$6,0))</x:f>
        <x:v>6208.375</x:v>
      </x:c>
      <x:c r="U507" s="20" t="n">
        <x:f>IF(AND(A506=A507,D506=D507),T506,0)</x:f>
        <x:v>3349.1875</x:v>
      </x:c>
      <x:c r="V507" s="20" t="n">
        <x:f>T507-U507</x:f>
        <x:v>2859.1875</x:v>
      </x:c>
      <x:c r="W507" s="20" t="n">
        <x:f>R507+V507</x:f>
        <x:v>40234.1875</x:v>
      </x:c>
      <x:c r="X507" s="14" t="str">
        <x:f>IF(ABS(W507-SUM(M507:Q507)-V507)&lt;0.01,"OK","Check")</x:f>
        <x:v>OK</x:v>
      </x:c>
    </x:row>
    <x:row r="508">
      <x:c r="A508" s="14" t="n">
        <x:v>2027</x:v>
      </x:c>
      <x:c r="B508" s="14" t="str">
        <x:v>Q3</x:v>
      </x:c>
      <x:c r="C508" s="14" t="n">
        <x:v>3</x:v>
      </x:c>
      <x:c r="D508" s="14" t="n">
        <x:v>23</x:v>
      </x:c>
      <x:c r="E508" s="14" t="str">
        <x:f>INDEX(Roster!$B$6:$B$108,MATCH(D508,Roster!$A$6:$A$108,0))</x:f>
      </x:c>
      <x:c r="F508" s="14" t="str">
        <x:f>INDEX(Roster!$F$6:$F$108,MATCH(D508,Roster!$A$6:$A$108,0))</x:f>
        <x:v>No</x:v>
      </x:c>
      <x:c r="G508" s="14" t="n">
        <x:f>INDEX(Inputs!$B$7:$D$7,1,MATCH(A508,Inputs!$B$6:$D$6,0))</x:f>
        <x:v>13</x:v>
      </x:c>
      <x:c r="H508" s="14" t="n">
        <x:f>MIN(=INDEX(Inputs!$B$7:$D$7,1,MATCH(A508,Inputs!$B$6:$D$6,0)),MAX(0,INDEX(Inputs!$B$14:$D$14,1,MATCH(A508,Inputs!$B$6:$D$6,0))-(C508-1)*=INDEX(Inputs!$B$7:$D$7,1,MATCH(A508,Inputs!$B$6:$D$6,0))))</x:f>
        <x:v>13</x:v>
      </x:c>
      <x:c r="I508" s="20" t="n">
        <x:f>INDEX(Inputs!$B$8:$D$8,1,MATCH(A508,Inputs!$B$6:$D$6,0))</x:f>
        <x:v>2395</x:v>
      </x:c>
      <x:c r="J508" s="20" t="n">
        <x:f>INDEX(Roster!$C$6:$C$108,MATCH(D508,Roster!$A$6:$A$108,0))*(1+INDEX(Inputs!$B$9:$D$9,1,MATCH(A508,Inputs!$B$6:$D$6,0)))</x:f>
        <x:v>400</x:v>
      </x:c>
      <x:c r="K508" s="20" t="n">
        <x:f>IF(=INDEX(Roster!$F$6:$F$108,MATCH(D508,Roster!$A$6:$A$108,0))="Yes",0,=INDEX(Inputs!$B$8:$D$8,1,MATCH(A508,Inputs!$B$6:$D$6,0))*IF(=INDEX(Roster!$B$6:$B$108,MATCH(D508,Roster!$A$6:$A$108,0))="Principal",INDEX(Inputs!$B$10:$D$10,1,MATCH(A508,Inputs!$B$6:$D$6,0)),IF(=INDEX(Roster!$B$6:$B$108,MATCH(D508,Roster!$A$6:$A$108,0))="Associate Principal",INDEX(Inputs!$B$11:$D$11,1,MATCH(A508,Inputs!$B$6:$D$6,0)),IF(=INDEX(Roster!$B$6:$B$108,MATCH(D508,Roster!$A$6:$A$108,0))="Assistant Principal",INDEX(Inputs!$B$12:$D$12,1,MATCH(A508,Inputs!$B$6:$D$6,0)),0))))</x:f>
        <x:v>0</x:v>
      </x:c>
      <x:c r="L508" s="20" t="n">
        <x:f>IF(INDEX(Roster!$D$6:$D$108,MATCH(D508,Roster!$A$6:$A$108,0))&gt;=25,INDEX(Inputs!$B$19:$D$19,1,MATCH(A508,Inputs!$B$6:$D$6,0)),IF(INDEX(Roster!$D$6:$D$108,MATCH(D508,Roster!$A$6:$A$108,0))&gt;=20,INDEX(Inputs!$B$18:$D$18,1,MATCH(A508,Inputs!$B$6:$D$6,0)),IF(INDEX(Roster!$D$6:$D$108,MATCH(D508,Roster!$A$6:$A$108,0))&gt;=15,INDEX(Inputs!$B$17:$D$17,1,MATCH(A508,Inputs!$B$6:$D$6,0)),IF(INDEX(Roster!$D$6:$D$108,MATCH(D508,Roster!$A$6:$A$108,0))&gt;=10,INDEX(Inputs!$B$16:$D$16,1,MATCH(A508,Inputs!$B$6:$D$6,0)),IF(INDEX(Roster!$D$6:$D$108,MATCH(D508,Roster!$A$6:$A$108,0))&gt;=5,INDEX(Inputs!$B$15:$D$15,1,MATCH(A508,Inputs!$B$6:$D$6,0)),0)))))</x:f>
        <x:v>50</x:v>
      </x:c>
      <x:c r="M508" s="20" t="n">
        <x:f>G508*I508</x:f>
        <x:v>31135</x:v>
      </x:c>
      <x:c r="N508" s="20" t="n">
        <x:f>G508*J508</x:f>
        <x:v>5200</x:v>
      </x:c>
      <x:c r="O508" s="20" t="n">
        <x:f>G508*K508</x:f>
        <x:v>0</x:v>
      </x:c>
      <x:c r="P508" s="20" t="n">
        <x:f>G508*L508</x:f>
        <x:v>650</x:v>
      </x:c>
      <x:c r="Q508" s="20" t="n">
        <x:f>H508*INDEX(Inputs!$B$13:$D$13,1,MATCH(A508,Inputs!$B$6:$D$6,0))</x:f>
        <x:v>390</x:v>
      </x:c>
      <x:c r="R508" s="20" t="n">
        <x:f>SUM(M508:Q508)</x:f>
        <x:v>37375</x:v>
      </x:c>
      <x:c r="S508" s="20" t="n">
        <x:f>IF(AND(A507=A508,D507=D508),S507+R508,R508)</x:f>
        <x:v>112125</x:v>
      </x:c>
      <x:c r="T508" s="20" t="n">
        <x:f>MIN(S508,INDEX(Inputs!$B$20:$D$20,1,MATCH(A508,Inputs!$B$6:$D$6,0)))*INDEX(Inputs!$B$22:$D$22,1,MATCH(A508,Inputs!$B$6:$D$6,0))+MAX(MIN(S508,INDEX(Inputs!$B$21:$D$21,1,MATCH(A508,Inputs!$B$6:$D$6,0)))-INDEX(Inputs!$B$20:$D$20,1,MATCH(A508,Inputs!$B$6:$D$6,0)),0)*INDEX(Inputs!$B$23:$D$23,1,MATCH(A508,Inputs!$B$6:$D$6,0))+MAX(S508-INDEX(Inputs!$B$21:$D$21,1,MATCH(A508,Inputs!$B$6:$D$6,0)),0)*INDEX(Inputs!$B$24:$D$24,1,MATCH(A508,Inputs!$B$6:$D$6,0))</x:f>
        <x:v>9067.5625</x:v>
      </x:c>
      <x:c r="U508" s="20" t="n">
        <x:f>IF(AND(A507=A508,D507=D508),T507,0)</x:f>
        <x:v>6208.375</x:v>
      </x:c>
      <x:c r="V508" s="20" t="n">
        <x:f>T508-U508</x:f>
        <x:v>2859.1875</x:v>
      </x:c>
      <x:c r="W508" s="20" t="n">
        <x:f>R508+V508</x:f>
        <x:v>40234.1875</x:v>
      </x:c>
      <x:c r="X508" s="14" t="str">
        <x:f>IF(ABS(W508-SUM(M508:Q508)-V508)&lt;0.01,"OK","Check")</x:f>
        <x:v>OK</x:v>
      </x:c>
    </x:row>
    <x:row r="509">
      <x:c r="A509" s="14" t="n">
        <x:v>2027</x:v>
      </x:c>
      <x:c r="B509" s="14" t="str">
        <x:v>Q4</x:v>
      </x:c>
      <x:c r="C509" s="14" t="n">
        <x:v>4</x:v>
      </x:c>
      <x:c r="D509" s="14" t="n">
        <x:v>23</x:v>
      </x:c>
      <x:c r="E509" s="14" t="str">
        <x:f>INDEX(Roster!$B$6:$B$108,MATCH(D509,Roster!$A$6:$A$108,0))</x:f>
      </x:c>
      <x:c r="F509" s="14" t="str">
        <x:f>INDEX(Roster!$F$6:$F$108,MATCH(D509,Roster!$A$6:$A$108,0))</x:f>
        <x:v>No</x:v>
      </x:c>
      <x:c r="G509" s="14" t="n">
        <x:f>INDEX(Inputs!$B$7:$D$7,1,MATCH(A509,Inputs!$B$6:$D$6,0))</x:f>
        <x:v>13</x:v>
      </x:c>
      <x:c r="H509" s="14" t="n">
        <x:f>MIN(=INDEX(Inputs!$B$7:$D$7,1,MATCH(A509,Inputs!$B$6:$D$6,0)),MAX(0,INDEX(Inputs!$B$14:$D$14,1,MATCH(A509,Inputs!$B$6:$D$6,0))-(C509-1)*=INDEX(Inputs!$B$7:$D$7,1,MATCH(A509,Inputs!$B$6:$D$6,0))))</x:f>
        <x:v>0</x:v>
      </x:c>
      <x:c r="I509" s="20" t="n">
        <x:f>INDEX(Inputs!$B$8:$D$8,1,MATCH(A509,Inputs!$B$6:$D$6,0))</x:f>
        <x:v>2395</x:v>
      </x:c>
      <x:c r="J509" s="20" t="n">
        <x:f>INDEX(Roster!$C$6:$C$108,MATCH(D509,Roster!$A$6:$A$108,0))*(1+INDEX(Inputs!$B$9:$D$9,1,MATCH(A509,Inputs!$B$6:$D$6,0)))</x:f>
        <x:v>400</x:v>
      </x:c>
      <x:c r="K509" s="20" t="n">
        <x:f>IF(=INDEX(Roster!$F$6:$F$108,MATCH(D509,Roster!$A$6:$A$108,0))="Yes",0,=INDEX(Inputs!$B$8:$D$8,1,MATCH(A509,Inputs!$B$6:$D$6,0))*IF(=INDEX(Roster!$B$6:$B$108,MATCH(D509,Roster!$A$6:$A$108,0))="Principal",INDEX(Inputs!$B$10:$D$10,1,MATCH(A509,Inputs!$B$6:$D$6,0)),IF(=INDEX(Roster!$B$6:$B$108,MATCH(D509,Roster!$A$6:$A$108,0))="Associate Principal",INDEX(Inputs!$B$11:$D$11,1,MATCH(A509,Inputs!$B$6:$D$6,0)),IF(=INDEX(Roster!$B$6:$B$108,MATCH(D509,Roster!$A$6:$A$108,0))="Assistant Principal",INDEX(Inputs!$B$12:$D$12,1,MATCH(A509,Inputs!$B$6:$D$6,0)),0))))</x:f>
        <x:v>0</x:v>
      </x:c>
      <x:c r="L509" s="20" t="n">
        <x:f>IF(INDEX(Roster!$D$6:$D$108,MATCH(D509,Roster!$A$6:$A$108,0))&gt;=25,INDEX(Inputs!$B$19:$D$19,1,MATCH(A509,Inputs!$B$6:$D$6,0)),IF(INDEX(Roster!$D$6:$D$108,MATCH(D509,Roster!$A$6:$A$108,0))&gt;=20,INDEX(Inputs!$B$18:$D$18,1,MATCH(A509,Inputs!$B$6:$D$6,0)),IF(INDEX(Roster!$D$6:$D$108,MATCH(D509,Roster!$A$6:$A$108,0))&gt;=15,INDEX(Inputs!$B$17:$D$17,1,MATCH(A509,Inputs!$B$6:$D$6,0)),IF(INDEX(Roster!$D$6:$D$108,MATCH(D509,Roster!$A$6:$A$108,0))&gt;=10,INDEX(Inputs!$B$16:$D$16,1,MATCH(A509,Inputs!$B$6:$D$6,0)),IF(INDEX(Roster!$D$6:$D$108,MATCH(D509,Roster!$A$6:$A$108,0))&gt;=5,INDEX(Inputs!$B$15:$D$15,1,MATCH(A509,Inputs!$B$6:$D$6,0)),0)))))</x:f>
        <x:v>50</x:v>
      </x:c>
      <x:c r="M509" s="20" t="n">
        <x:f>G509*I509</x:f>
        <x:v>31135</x:v>
      </x:c>
      <x:c r="N509" s="20" t="n">
        <x:f>G509*J509</x:f>
        <x:v>5200</x:v>
      </x:c>
      <x:c r="O509" s="20" t="n">
        <x:f>G509*K509</x:f>
        <x:v>0</x:v>
      </x:c>
      <x:c r="P509" s="20" t="n">
        <x:f>G509*L509</x:f>
        <x:v>650</x:v>
      </x:c>
      <x:c r="Q509" s="20" t="n">
        <x:f>H509*INDEX(Inputs!$B$13:$D$13,1,MATCH(A509,Inputs!$B$6:$D$6,0))</x:f>
        <x:v>0</x:v>
      </x:c>
      <x:c r="R509" s="20" t="n">
        <x:f>SUM(M509:Q509)</x:f>
        <x:v>36985</x:v>
      </x:c>
      <x:c r="S509" s="20" t="n">
        <x:f>IF(AND(A508=A509,D508=D509),S508+R509,R509)</x:f>
        <x:v>149110</x:v>
      </x:c>
      <x:c r="T509" s="20" t="n">
        <x:f>MIN(S509,INDEX(Inputs!$B$20:$D$20,1,MATCH(A509,Inputs!$B$6:$D$6,0)))*INDEX(Inputs!$B$22:$D$22,1,MATCH(A509,Inputs!$B$6:$D$6,0))+MAX(MIN(S509,INDEX(Inputs!$B$21:$D$21,1,MATCH(A509,Inputs!$B$6:$D$6,0)))-INDEX(Inputs!$B$20:$D$20,1,MATCH(A509,Inputs!$B$6:$D$6,0)),0)*INDEX(Inputs!$B$23:$D$23,1,MATCH(A509,Inputs!$B$6:$D$6,0))+MAX(S509-INDEX(Inputs!$B$21:$D$21,1,MATCH(A509,Inputs!$B$6:$D$6,0)),0)*INDEX(Inputs!$B$24:$D$24,1,MATCH(A509,Inputs!$B$6:$D$6,0))</x:f>
        <x:v>10076.037</x:v>
      </x:c>
      <x:c r="U509" s="20" t="n">
        <x:f>IF(AND(A508=A509,D508=D509),T508,0)</x:f>
        <x:v>9067.5625</x:v>
      </x:c>
      <x:c r="V509" s="20" t="n">
        <x:f>T509-U509</x:f>
        <x:v>1008.4745000000003</x:v>
      </x:c>
      <x:c r="W509" s="20" t="n">
        <x:f>R509+V509</x:f>
        <x:v>37993.4745</x:v>
      </x:c>
      <x:c r="X509" s="14" t="str">
        <x:f>IF(ABS(W509-SUM(M509:Q509)-V509)&lt;0.01,"OK","Check")</x:f>
        <x:v>OK</x:v>
      </x:c>
    </x:row>
    <x:row r="510">
      <x:c r="A510" s="14" t="n">
        <x:v>2027</x:v>
      </x:c>
      <x:c r="B510" s="14" t="str">
        <x:v>Q1</x:v>
      </x:c>
      <x:c r="C510" s="14" t="n">
        <x:v>1</x:v>
      </x:c>
      <x:c r="D510" s="14" t="n">
        <x:v>24</x:v>
      </x:c>
      <x:c r="E510" s="14" t="str">
        <x:f>INDEX(Roster!$B$6:$B$108,MATCH(D510,Roster!$A$6:$A$108,0))</x:f>
        <x:v>Assistant Principal</x:v>
      </x:c>
      <x:c r="F510" s="14" t="str">
        <x:f>INDEX(Roster!$F$6:$F$108,MATCH(D510,Roster!$A$6:$A$108,0))</x:f>
        <x:v>No</x:v>
      </x:c>
      <x:c r="G510" s="14" t="n">
        <x:f>INDEX(Inputs!$B$7:$D$7,1,MATCH(A510,Inputs!$B$6:$D$6,0))</x:f>
        <x:v>13</x:v>
      </x:c>
      <x:c r="H510" s="14" t="n">
        <x:f>MIN(=INDEX(Inputs!$B$7:$D$7,1,MATCH(A510,Inputs!$B$6:$D$6,0)),MAX(0,INDEX(Inputs!$B$14:$D$14,1,MATCH(A510,Inputs!$B$6:$D$6,0))-(C510-1)*=INDEX(Inputs!$B$7:$D$7,1,MATCH(A510,Inputs!$B$6:$D$6,0))))</x:f>
        <x:v>13</x:v>
      </x:c>
      <x:c r="I510" s="20" t="n">
        <x:f>INDEX(Inputs!$B$8:$D$8,1,MATCH(A510,Inputs!$B$6:$D$6,0))</x:f>
        <x:v>2395</x:v>
      </x:c>
      <x:c r="J510" s="20" t="n">
        <x:f>INDEX(Roster!$C$6:$C$108,MATCH(D510,Roster!$A$6:$A$108,0))*(1+INDEX(Inputs!$B$9:$D$9,1,MATCH(A510,Inputs!$B$6:$D$6,0)))</x:f>
        <x:v>0</x:v>
      </x:c>
      <x:c r="K510" s="20" t="n">
        <x:f>IF(=INDEX(Roster!$F$6:$F$108,MATCH(D510,Roster!$A$6:$A$108,0))="Yes",0,=INDEX(Inputs!$B$8:$D$8,1,MATCH(A510,Inputs!$B$6:$D$6,0))*IF(=INDEX(Roster!$B$6:$B$108,MATCH(D510,Roster!$A$6:$A$108,0))="Principal",INDEX(Inputs!$B$10:$D$10,1,MATCH(A510,Inputs!$B$6:$D$6,0)),IF(=INDEX(Roster!$B$6:$B$108,MATCH(D510,Roster!$A$6:$A$108,0))="Associate Principal",INDEX(Inputs!$B$11:$D$11,1,MATCH(A510,Inputs!$B$6:$D$6,0)),IF(=INDEX(Roster!$B$6:$B$108,MATCH(D510,Roster!$A$6:$A$108,0))="Assistant Principal",INDEX(Inputs!$B$12:$D$12,1,MATCH(A510,Inputs!$B$6:$D$6,0)),0))))</x:f>
        <x:v>239.5</x:v>
      </x:c>
      <x:c r="L510" s="20" t="n">
        <x:f>IF(INDEX(Roster!$D$6:$D$108,MATCH(D510,Roster!$A$6:$A$108,0))&gt;=25,INDEX(Inputs!$B$19:$D$19,1,MATCH(A510,Inputs!$B$6:$D$6,0)),IF(INDEX(Roster!$D$6:$D$108,MATCH(D510,Roster!$A$6:$A$108,0))&gt;=20,INDEX(Inputs!$B$18:$D$18,1,MATCH(A510,Inputs!$B$6:$D$6,0)),IF(INDEX(Roster!$D$6:$D$108,MATCH(D510,Roster!$A$6:$A$108,0))&gt;=15,INDEX(Inputs!$B$17:$D$17,1,MATCH(A510,Inputs!$B$6:$D$6,0)),IF(INDEX(Roster!$D$6:$D$108,MATCH(D510,Roster!$A$6:$A$108,0))&gt;=10,INDEX(Inputs!$B$16:$D$16,1,MATCH(A510,Inputs!$B$6:$D$6,0)),IF(INDEX(Roster!$D$6:$D$108,MATCH(D510,Roster!$A$6:$A$108,0))&gt;=5,INDEX(Inputs!$B$15:$D$15,1,MATCH(A510,Inputs!$B$6:$D$6,0)),0)))))</x:f>
        <x:v>90</x:v>
      </x:c>
      <x:c r="M510" s="20" t="n">
        <x:f>G510*I510</x:f>
        <x:v>31135</x:v>
      </x:c>
      <x:c r="N510" s="20" t="n">
        <x:f>G510*J510</x:f>
        <x:v>0</x:v>
      </x:c>
      <x:c r="O510" s="20" t="n">
        <x:f>G510*K510</x:f>
        <x:v>3113.5</x:v>
      </x:c>
      <x:c r="P510" s="20" t="n">
        <x:f>G510*L510</x:f>
        <x:v>1170</x:v>
      </x:c>
      <x:c r="Q510" s="20" t="n">
        <x:f>H510*INDEX(Inputs!$B$13:$D$13,1,MATCH(A510,Inputs!$B$6:$D$6,0))</x:f>
        <x:v>390</x:v>
      </x:c>
      <x:c r="R510" s="20" t="n">
        <x:f>SUM(M510:Q510)</x:f>
        <x:v>35808.5</x:v>
      </x:c>
      <x:c r="S510" s="20" t="n">
        <x:f>IF(AND(A509=A510,D509=D510),S509+R510,R510)</x:f>
        <x:v>35808.5</x:v>
      </x:c>
      <x:c r="T510" s="20" t="n">
        <x:f>MIN(S510,INDEX(Inputs!$B$20:$D$20,1,MATCH(A510,Inputs!$B$6:$D$6,0)))*INDEX(Inputs!$B$22:$D$22,1,MATCH(A510,Inputs!$B$6:$D$6,0))+MAX(MIN(S510,INDEX(Inputs!$B$21:$D$21,1,MATCH(A510,Inputs!$B$6:$D$6,0)))-INDEX(Inputs!$B$20:$D$20,1,MATCH(A510,Inputs!$B$6:$D$6,0)),0)*INDEX(Inputs!$B$23:$D$23,1,MATCH(A510,Inputs!$B$6:$D$6,0))+MAX(S510-INDEX(Inputs!$B$21:$D$21,1,MATCH(A510,Inputs!$B$6:$D$6,0)),0)*INDEX(Inputs!$B$24:$D$24,1,MATCH(A510,Inputs!$B$6:$D$6,0))</x:f>
        <x:v>3229.35025</x:v>
      </x:c>
      <x:c r="U510" s="20" t="n">
        <x:f>IF(AND(A509=A510,D509=D510),T509,0)</x:f>
        <x:v>0</x:v>
      </x:c>
      <x:c r="V510" s="20" t="n">
        <x:f>T510-U510</x:f>
        <x:v>3229.35025</x:v>
      </x:c>
      <x:c r="W510" s="20" t="n">
        <x:f>R510+V510</x:f>
        <x:v>39037.85025</x:v>
      </x:c>
      <x:c r="X510" s="14" t="str">
        <x:f>IF(ABS(W510-SUM(M510:Q510)-V510)&lt;0.01,"OK","Check")</x:f>
        <x:v>OK</x:v>
      </x:c>
    </x:row>
    <x:row r="511">
      <x:c r="A511" s="14" t="n">
        <x:v>2027</x:v>
      </x:c>
      <x:c r="B511" s="14" t="str">
        <x:v>Q2</x:v>
      </x:c>
      <x:c r="C511" s="14" t="n">
        <x:v>2</x:v>
      </x:c>
      <x:c r="D511" s="14" t="n">
        <x:v>24</x:v>
      </x:c>
      <x:c r="E511" s="14" t="str">
        <x:f>INDEX(Roster!$B$6:$B$108,MATCH(D511,Roster!$A$6:$A$108,0))</x:f>
        <x:v>Assistant Principal</x:v>
      </x:c>
      <x:c r="F511" s="14" t="str">
        <x:f>INDEX(Roster!$F$6:$F$108,MATCH(D511,Roster!$A$6:$A$108,0))</x:f>
        <x:v>No</x:v>
      </x:c>
      <x:c r="G511" s="14" t="n">
        <x:f>INDEX(Inputs!$B$7:$D$7,1,MATCH(A511,Inputs!$B$6:$D$6,0))</x:f>
        <x:v>13</x:v>
      </x:c>
      <x:c r="H511" s="14" t="n">
        <x:f>MIN(=INDEX(Inputs!$B$7:$D$7,1,MATCH(A511,Inputs!$B$6:$D$6,0)),MAX(0,INDEX(Inputs!$B$14:$D$14,1,MATCH(A511,Inputs!$B$6:$D$6,0))-(C511-1)*=INDEX(Inputs!$B$7:$D$7,1,MATCH(A511,Inputs!$B$6:$D$6,0))))</x:f>
        <x:v>13</x:v>
      </x:c>
      <x:c r="I511" s="20" t="n">
        <x:f>INDEX(Inputs!$B$8:$D$8,1,MATCH(A511,Inputs!$B$6:$D$6,0))</x:f>
        <x:v>2395</x:v>
      </x:c>
      <x:c r="J511" s="20" t="n">
        <x:f>INDEX(Roster!$C$6:$C$108,MATCH(D511,Roster!$A$6:$A$108,0))*(1+INDEX(Inputs!$B$9:$D$9,1,MATCH(A511,Inputs!$B$6:$D$6,0)))</x:f>
        <x:v>0</x:v>
      </x:c>
      <x:c r="K511" s="20" t="n">
        <x:f>IF(=INDEX(Roster!$F$6:$F$108,MATCH(D511,Roster!$A$6:$A$108,0))="Yes",0,=INDEX(Inputs!$B$8:$D$8,1,MATCH(A511,Inputs!$B$6:$D$6,0))*IF(=INDEX(Roster!$B$6:$B$108,MATCH(D511,Roster!$A$6:$A$108,0))="Principal",INDEX(Inputs!$B$10:$D$10,1,MATCH(A511,Inputs!$B$6:$D$6,0)),IF(=INDEX(Roster!$B$6:$B$108,MATCH(D511,Roster!$A$6:$A$108,0))="Associate Principal",INDEX(Inputs!$B$11:$D$11,1,MATCH(A511,Inputs!$B$6:$D$6,0)),IF(=INDEX(Roster!$B$6:$B$108,MATCH(D511,Roster!$A$6:$A$108,0))="Assistant Principal",INDEX(Inputs!$B$12:$D$12,1,MATCH(A511,Inputs!$B$6:$D$6,0)),0))))</x:f>
        <x:v>239.5</x:v>
      </x:c>
      <x:c r="L511" s="20" t="n">
        <x:f>IF(INDEX(Roster!$D$6:$D$108,MATCH(D511,Roster!$A$6:$A$108,0))&gt;=25,INDEX(Inputs!$B$19:$D$19,1,MATCH(A511,Inputs!$B$6:$D$6,0)),IF(INDEX(Roster!$D$6:$D$108,MATCH(D511,Roster!$A$6:$A$108,0))&gt;=20,INDEX(Inputs!$B$18:$D$18,1,MATCH(A511,Inputs!$B$6:$D$6,0)),IF(INDEX(Roster!$D$6:$D$108,MATCH(D511,Roster!$A$6:$A$108,0))&gt;=15,INDEX(Inputs!$B$17:$D$17,1,MATCH(A511,Inputs!$B$6:$D$6,0)),IF(INDEX(Roster!$D$6:$D$108,MATCH(D511,Roster!$A$6:$A$108,0))&gt;=10,INDEX(Inputs!$B$16:$D$16,1,MATCH(A511,Inputs!$B$6:$D$6,0)),IF(INDEX(Roster!$D$6:$D$108,MATCH(D511,Roster!$A$6:$A$108,0))&gt;=5,INDEX(Inputs!$B$15:$D$15,1,MATCH(A511,Inputs!$B$6:$D$6,0)),0)))))</x:f>
        <x:v>90</x:v>
      </x:c>
      <x:c r="M511" s="20" t="n">
        <x:f>G511*I511</x:f>
        <x:v>31135</x:v>
      </x:c>
      <x:c r="N511" s="20" t="n">
        <x:f>G511*J511</x:f>
        <x:v>0</x:v>
      </x:c>
      <x:c r="O511" s="20" t="n">
        <x:f>G511*K511</x:f>
        <x:v>3113.5</x:v>
      </x:c>
      <x:c r="P511" s="20" t="n">
        <x:f>G511*L511</x:f>
        <x:v>1170</x:v>
      </x:c>
      <x:c r="Q511" s="20" t="n">
        <x:f>H511*INDEX(Inputs!$B$13:$D$13,1,MATCH(A511,Inputs!$B$6:$D$6,0))</x:f>
        <x:v>390</x:v>
      </x:c>
      <x:c r="R511" s="20" t="n">
        <x:f>SUM(M511:Q511)</x:f>
        <x:v>35808.5</x:v>
      </x:c>
      <x:c r="S511" s="20" t="n">
        <x:f>IF(AND(A510=A511,D510=D511),S510+R511,R511)</x:f>
        <x:v>71617</x:v>
      </x:c>
      <x:c r="T511" s="20" t="n">
        <x:f>MIN(S511,INDEX(Inputs!$B$20:$D$20,1,MATCH(A511,Inputs!$B$6:$D$6,0)))*INDEX(Inputs!$B$22:$D$22,1,MATCH(A511,Inputs!$B$6:$D$6,0))+MAX(MIN(S511,INDEX(Inputs!$B$21:$D$21,1,MATCH(A511,Inputs!$B$6:$D$6,0)))-INDEX(Inputs!$B$20:$D$20,1,MATCH(A511,Inputs!$B$6:$D$6,0)),0)*INDEX(Inputs!$B$23:$D$23,1,MATCH(A511,Inputs!$B$6:$D$6,0))+MAX(S511-INDEX(Inputs!$B$21:$D$21,1,MATCH(A511,Inputs!$B$6:$D$6,0)),0)*INDEX(Inputs!$B$24:$D$24,1,MATCH(A511,Inputs!$B$6:$D$6,0))</x:f>
        <x:v>5968.7005</x:v>
      </x:c>
      <x:c r="U511" s="20" t="n">
        <x:f>IF(AND(A510=A511,D510=D511),T510,0)</x:f>
        <x:v>3229.35025</x:v>
      </x:c>
      <x:c r="V511" s="20" t="n">
        <x:f>T511-U511</x:f>
        <x:v>2739.35025</x:v>
      </x:c>
      <x:c r="W511" s="20" t="n">
        <x:f>R511+V511</x:f>
        <x:v>38547.85025</x:v>
      </x:c>
      <x:c r="X511" s="14" t="str">
        <x:f>IF(ABS(W511-SUM(M511:Q511)-V511)&lt;0.01,"OK","Check")</x:f>
        <x:v>OK</x:v>
      </x:c>
    </x:row>
    <x:row r="512">
      <x:c r="A512" s="14" t="n">
        <x:v>2027</x:v>
      </x:c>
      <x:c r="B512" s="14" t="str">
        <x:v>Q3</x:v>
      </x:c>
      <x:c r="C512" s="14" t="n">
        <x:v>3</x:v>
      </x:c>
      <x:c r="D512" s="14" t="n">
        <x:v>24</x:v>
      </x:c>
      <x:c r="E512" s="14" t="str">
        <x:f>INDEX(Roster!$B$6:$B$108,MATCH(D512,Roster!$A$6:$A$108,0))</x:f>
        <x:v>Assistant Principal</x:v>
      </x:c>
      <x:c r="F512" s="14" t="str">
        <x:f>INDEX(Roster!$F$6:$F$108,MATCH(D512,Roster!$A$6:$A$108,0))</x:f>
        <x:v>No</x:v>
      </x:c>
      <x:c r="G512" s="14" t="n">
        <x:f>INDEX(Inputs!$B$7:$D$7,1,MATCH(A512,Inputs!$B$6:$D$6,0))</x:f>
        <x:v>13</x:v>
      </x:c>
      <x:c r="H512" s="14" t="n">
        <x:f>MIN(=INDEX(Inputs!$B$7:$D$7,1,MATCH(A512,Inputs!$B$6:$D$6,0)),MAX(0,INDEX(Inputs!$B$14:$D$14,1,MATCH(A512,Inputs!$B$6:$D$6,0))-(C512-1)*=INDEX(Inputs!$B$7:$D$7,1,MATCH(A512,Inputs!$B$6:$D$6,0))))</x:f>
        <x:v>13</x:v>
      </x:c>
      <x:c r="I512" s="20" t="n">
        <x:f>INDEX(Inputs!$B$8:$D$8,1,MATCH(A512,Inputs!$B$6:$D$6,0))</x:f>
        <x:v>2395</x:v>
      </x:c>
      <x:c r="J512" s="20" t="n">
        <x:f>INDEX(Roster!$C$6:$C$108,MATCH(D512,Roster!$A$6:$A$108,0))*(1+INDEX(Inputs!$B$9:$D$9,1,MATCH(A512,Inputs!$B$6:$D$6,0)))</x:f>
        <x:v>0</x:v>
      </x:c>
      <x:c r="K512" s="20" t="n">
        <x:f>IF(=INDEX(Roster!$F$6:$F$108,MATCH(D512,Roster!$A$6:$A$108,0))="Yes",0,=INDEX(Inputs!$B$8:$D$8,1,MATCH(A512,Inputs!$B$6:$D$6,0))*IF(=INDEX(Roster!$B$6:$B$108,MATCH(D512,Roster!$A$6:$A$108,0))="Principal",INDEX(Inputs!$B$10:$D$10,1,MATCH(A512,Inputs!$B$6:$D$6,0)),IF(=INDEX(Roster!$B$6:$B$108,MATCH(D512,Roster!$A$6:$A$108,0))="Associate Principal",INDEX(Inputs!$B$11:$D$11,1,MATCH(A512,Inputs!$B$6:$D$6,0)),IF(=INDEX(Roster!$B$6:$B$108,MATCH(D512,Roster!$A$6:$A$108,0))="Assistant Principal",INDEX(Inputs!$B$12:$D$12,1,MATCH(A512,Inputs!$B$6:$D$6,0)),0))))</x:f>
        <x:v>239.5</x:v>
      </x:c>
      <x:c r="L512" s="20" t="n">
        <x:f>IF(INDEX(Roster!$D$6:$D$108,MATCH(D512,Roster!$A$6:$A$108,0))&gt;=25,INDEX(Inputs!$B$19:$D$19,1,MATCH(A512,Inputs!$B$6:$D$6,0)),IF(INDEX(Roster!$D$6:$D$108,MATCH(D512,Roster!$A$6:$A$108,0))&gt;=20,INDEX(Inputs!$B$18:$D$18,1,MATCH(A512,Inputs!$B$6:$D$6,0)),IF(INDEX(Roster!$D$6:$D$108,MATCH(D512,Roster!$A$6:$A$108,0))&gt;=15,INDEX(Inputs!$B$17:$D$17,1,MATCH(A512,Inputs!$B$6:$D$6,0)),IF(INDEX(Roster!$D$6:$D$108,MATCH(D512,Roster!$A$6:$A$108,0))&gt;=10,INDEX(Inputs!$B$16:$D$16,1,MATCH(A512,Inputs!$B$6:$D$6,0)),IF(INDEX(Roster!$D$6:$D$108,MATCH(D512,Roster!$A$6:$A$108,0))&gt;=5,INDEX(Inputs!$B$15:$D$15,1,MATCH(A512,Inputs!$B$6:$D$6,0)),0)))))</x:f>
        <x:v>90</x:v>
      </x:c>
      <x:c r="M512" s="20" t="n">
        <x:f>G512*I512</x:f>
        <x:v>31135</x:v>
      </x:c>
      <x:c r="N512" s="20" t="n">
        <x:f>G512*J512</x:f>
        <x:v>0</x:v>
      </x:c>
      <x:c r="O512" s="20" t="n">
        <x:f>G512*K512</x:f>
        <x:v>3113.5</x:v>
      </x:c>
      <x:c r="P512" s="20" t="n">
        <x:f>G512*L512</x:f>
        <x:v>1170</x:v>
      </x:c>
      <x:c r="Q512" s="20" t="n">
        <x:f>H512*INDEX(Inputs!$B$13:$D$13,1,MATCH(A512,Inputs!$B$6:$D$6,0))</x:f>
        <x:v>390</x:v>
      </x:c>
      <x:c r="R512" s="20" t="n">
        <x:f>SUM(M512:Q512)</x:f>
        <x:v>35808.5</x:v>
      </x:c>
      <x:c r="S512" s="20" t="n">
        <x:f>IF(AND(A511=A512,D511=D512),S511+R512,R512)</x:f>
        <x:v>107425.5</x:v>
      </x:c>
      <x:c r="T512" s="20" t="n">
        <x:f>MIN(S512,INDEX(Inputs!$B$20:$D$20,1,MATCH(A512,Inputs!$B$6:$D$6,0)))*INDEX(Inputs!$B$22:$D$22,1,MATCH(A512,Inputs!$B$6:$D$6,0))+MAX(MIN(S512,INDEX(Inputs!$B$21:$D$21,1,MATCH(A512,Inputs!$B$6:$D$6,0)))-INDEX(Inputs!$B$20:$D$20,1,MATCH(A512,Inputs!$B$6:$D$6,0)),0)*INDEX(Inputs!$B$23:$D$23,1,MATCH(A512,Inputs!$B$6:$D$6,0))+MAX(S512-INDEX(Inputs!$B$21:$D$21,1,MATCH(A512,Inputs!$B$6:$D$6,0)),0)*INDEX(Inputs!$B$24:$D$24,1,MATCH(A512,Inputs!$B$6:$D$6,0))</x:f>
        <x:v>8708.050749999999</x:v>
      </x:c>
      <x:c r="U512" s="20" t="n">
        <x:f>IF(AND(A511=A512,D511=D512),T511,0)</x:f>
        <x:v>5968.7005</x:v>
      </x:c>
      <x:c r="V512" s="20" t="n">
        <x:f>T512-U512</x:f>
        <x:v>2739.3502499999986</x:v>
      </x:c>
      <x:c r="W512" s="20" t="n">
        <x:f>R512+V512</x:f>
        <x:v>38547.850249999996</x:v>
      </x:c>
      <x:c r="X512" s="14" t="str">
        <x:f>IF(ABS(W512-SUM(M512:Q512)-V512)&lt;0.01,"OK","Check")</x:f>
        <x:v>OK</x:v>
      </x:c>
    </x:row>
    <x:row r="513">
      <x:c r="A513" s="14" t="n">
        <x:v>2027</x:v>
      </x:c>
      <x:c r="B513" s="14" t="str">
        <x:v>Q4</x:v>
      </x:c>
      <x:c r="C513" s="14" t="n">
        <x:v>4</x:v>
      </x:c>
      <x:c r="D513" s="14" t="n">
        <x:v>24</x:v>
      </x:c>
      <x:c r="E513" s="14" t="str">
        <x:f>INDEX(Roster!$B$6:$B$108,MATCH(D513,Roster!$A$6:$A$108,0))</x:f>
        <x:v>Assistant Principal</x:v>
      </x:c>
      <x:c r="F513" s="14" t="str">
        <x:f>INDEX(Roster!$F$6:$F$108,MATCH(D513,Roster!$A$6:$A$108,0))</x:f>
        <x:v>No</x:v>
      </x:c>
      <x:c r="G513" s="14" t="n">
        <x:f>INDEX(Inputs!$B$7:$D$7,1,MATCH(A513,Inputs!$B$6:$D$6,0))</x:f>
        <x:v>13</x:v>
      </x:c>
      <x:c r="H513" s="14" t="n">
        <x:f>MIN(=INDEX(Inputs!$B$7:$D$7,1,MATCH(A513,Inputs!$B$6:$D$6,0)),MAX(0,INDEX(Inputs!$B$14:$D$14,1,MATCH(A513,Inputs!$B$6:$D$6,0))-(C513-1)*=INDEX(Inputs!$B$7:$D$7,1,MATCH(A513,Inputs!$B$6:$D$6,0))))</x:f>
        <x:v>0</x:v>
      </x:c>
      <x:c r="I513" s="20" t="n">
        <x:f>INDEX(Inputs!$B$8:$D$8,1,MATCH(A513,Inputs!$B$6:$D$6,0))</x:f>
        <x:v>2395</x:v>
      </x:c>
      <x:c r="J513" s="20" t="n">
        <x:f>INDEX(Roster!$C$6:$C$108,MATCH(D513,Roster!$A$6:$A$108,0))*(1+INDEX(Inputs!$B$9:$D$9,1,MATCH(A513,Inputs!$B$6:$D$6,0)))</x:f>
        <x:v>0</x:v>
      </x:c>
      <x:c r="K513" s="20" t="n">
        <x:f>IF(=INDEX(Roster!$F$6:$F$108,MATCH(D513,Roster!$A$6:$A$108,0))="Yes",0,=INDEX(Inputs!$B$8:$D$8,1,MATCH(A513,Inputs!$B$6:$D$6,0))*IF(=INDEX(Roster!$B$6:$B$108,MATCH(D513,Roster!$A$6:$A$108,0))="Principal",INDEX(Inputs!$B$10:$D$10,1,MATCH(A513,Inputs!$B$6:$D$6,0)),IF(=INDEX(Roster!$B$6:$B$108,MATCH(D513,Roster!$A$6:$A$108,0))="Associate Principal",INDEX(Inputs!$B$11:$D$11,1,MATCH(A513,Inputs!$B$6:$D$6,0)),IF(=INDEX(Roster!$B$6:$B$108,MATCH(D513,Roster!$A$6:$A$108,0))="Assistant Principal",INDEX(Inputs!$B$12:$D$12,1,MATCH(A513,Inputs!$B$6:$D$6,0)),0))))</x:f>
        <x:v>239.5</x:v>
      </x:c>
      <x:c r="L513" s="20" t="n">
        <x:f>IF(INDEX(Roster!$D$6:$D$108,MATCH(D513,Roster!$A$6:$A$108,0))&gt;=25,INDEX(Inputs!$B$19:$D$19,1,MATCH(A513,Inputs!$B$6:$D$6,0)),IF(INDEX(Roster!$D$6:$D$108,MATCH(D513,Roster!$A$6:$A$108,0))&gt;=20,INDEX(Inputs!$B$18:$D$18,1,MATCH(A513,Inputs!$B$6:$D$6,0)),IF(INDEX(Roster!$D$6:$D$108,MATCH(D513,Roster!$A$6:$A$108,0))&gt;=15,INDEX(Inputs!$B$17:$D$17,1,MATCH(A513,Inputs!$B$6:$D$6,0)),IF(INDEX(Roster!$D$6:$D$108,MATCH(D513,Roster!$A$6:$A$108,0))&gt;=10,INDEX(Inputs!$B$16:$D$16,1,MATCH(A513,Inputs!$B$6:$D$6,0)),IF(INDEX(Roster!$D$6:$D$108,MATCH(D513,Roster!$A$6:$A$108,0))&gt;=5,INDEX(Inputs!$B$15:$D$15,1,MATCH(A513,Inputs!$B$6:$D$6,0)),0)))))</x:f>
        <x:v>90</x:v>
      </x:c>
      <x:c r="M513" s="20" t="n">
        <x:f>G513*I513</x:f>
        <x:v>31135</x:v>
      </x:c>
      <x:c r="N513" s="20" t="n">
        <x:f>G513*J513</x:f>
        <x:v>0</x:v>
      </x:c>
      <x:c r="O513" s="20" t="n">
        <x:f>G513*K513</x:f>
        <x:v>3113.5</x:v>
      </x:c>
      <x:c r="P513" s="20" t="n">
        <x:f>G513*L513</x:f>
        <x:v>1170</x:v>
      </x:c>
      <x:c r="Q513" s="20" t="n">
        <x:f>H513*INDEX(Inputs!$B$13:$D$13,1,MATCH(A513,Inputs!$B$6:$D$6,0))</x:f>
        <x:v>0</x:v>
      </x:c>
      <x:c r="R513" s="20" t="n">
        <x:f>SUM(M513:Q513)</x:f>
        <x:v>35418.5</x:v>
      </x:c>
      <x:c r="S513" s="20" t="n">
        <x:f>IF(AND(A512=A513,D512=D513),S512+R513,R513)</x:f>
        <x:v>142844</x:v>
      </x:c>
      <x:c r="T513" s="20" t="n">
        <x:f>MIN(S513,INDEX(Inputs!$B$20:$D$20,1,MATCH(A513,Inputs!$B$6:$D$6,0)))*INDEX(Inputs!$B$22:$D$22,1,MATCH(A513,Inputs!$B$6:$D$6,0))+MAX(MIN(S513,INDEX(Inputs!$B$21:$D$21,1,MATCH(A513,Inputs!$B$6:$D$6,0)))-INDEX(Inputs!$B$20:$D$20,1,MATCH(A513,Inputs!$B$6:$D$6,0)),0)*INDEX(Inputs!$B$23:$D$23,1,MATCH(A513,Inputs!$B$6:$D$6,0))+MAX(S513-INDEX(Inputs!$B$21:$D$21,1,MATCH(A513,Inputs!$B$6:$D$6,0)),0)*INDEX(Inputs!$B$24:$D$24,1,MATCH(A513,Inputs!$B$6:$D$6,0))</x:f>
        <x:v>9985.18</x:v>
      </x:c>
      <x:c r="U513" s="20" t="n">
        <x:f>IF(AND(A512=A513,D512=D513),T512,0)</x:f>
        <x:v>8708.050749999999</x:v>
      </x:c>
      <x:c r="V513" s="20" t="n">
        <x:f>T513-U513</x:f>
        <x:v>1277.1292500000018</x:v>
      </x:c>
      <x:c r="W513" s="20" t="n">
        <x:f>R513+V513</x:f>
        <x:v>36695.62925</x:v>
      </x:c>
      <x:c r="X513" s="14" t="str">
        <x:f>IF(ABS(W513-SUM(M513:Q513)-V513)&lt;0.01,"OK","Check")</x:f>
        <x:v>OK</x:v>
      </x:c>
    </x:row>
    <x:row r="514">
      <x:c r="A514" s="14" t="n">
        <x:v>2027</x:v>
      </x:c>
      <x:c r="B514" s="14" t="str">
        <x:v>Q1</x:v>
      </x:c>
      <x:c r="C514" s="14" t="n">
        <x:v>1</x:v>
      </x:c>
      <x:c r="D514" s="14" t="n">
        <x:v>25</x:v>
      </x:c>
      <x:c r="E514" s="14" t="str">
        <x:f>INDEX(Roster!$B$6:$B$108,MATCH(D514,Roster!$A$6:$A$108,0))</x:f>
      </x:c>
      <x:c r="F514" s="14" t="str">
        <x:f>INDEX(Roster!$F$6:$F$108,MATCH(D514,Roster!$A$6:$A$108,0))</x:f>
        <x:v>No</x:v>
      </x:c>
      <x:c r="G514" s="14" t="n">
        <x:f>INDEX(Inputs!$B$7:$D$7,1,MATCH(A514,Inputs!$B$6:$D$6,0))</x:f>
        <x:v>13</x:v>
      </x:c>
      <x:c r="H514" s="14" t="n">
        <x:f>MIN(=INDEX(Inputs!$B$7:$D$7,1,MATCH(A514,Inputs!$B$6:$D$6,0)),MAX(0,INDEX(Inputs!$B$14:$D$14,1,MATCH(A514,Inputs!$B$6:$D$6,0))-(C514-1)*=INDEX(Inputs!$B$7:$D$7,1,MATCH(A514,Inputs!$B$6:$D$6,0))))</x:f>
        <x:v>13</x:v>
      </x:c>
      <x:c r="I514" s="20" t="n">
        <x:f>INDEX(Inputs!$B$8:$D$8,1,MATCH(A514,Inputs!$B$6:$D$6,0))</x:f>
        <x:v>2395</x:v>
      </x:c>
      <x:c r="J514" s="20" t="n">
        <x:f>INDEX(Roster!$C$6:$C$108,MATCH(D514,Roster!$A$6:$A$108,0))*(1+INDEX(Inputs!$B$9:$D$9,1,MATCH(A514,Inputs!$B$6:$D$6,0)))</x:f>
        <x:v>20</x:v>
      </x:c>
      <x:c r="K514" s="20" t="n">
        <x:f>IF(=INDEX(Roster!$F$6:$F$108,MATCH(D514,Roster!$A$6:$A$108,0))="Yes",0,=INDEX(Inputs!$B$8:$D$8,1,MATCH(A514,Inputs!$B$6:$D$6,0))*IF(=INDEX(Roster!$B$6:$B$108,MATCH(D514,Roster!$A$6:$A$108,0))="Principal",INDEX(Inputs!$B$10:$D$10,1,MATCH(A514,Inputs!$B$6:$D$6,0)),IF(=INDEX(Roster!$B$6:$B$108,MATCH(D514,Roster!$A$6:$A$108,0))="Associate Principal",INDEX(Inputs!$B$11:$D$11,1,MATCH(A514,Inputs!$B$6:$D$6,0)),IF(=INDEX(Roster!$B$6:$B$108,MATCH(D514,Roster!$A$6:$A$108,0))="Assistant Principal",INDEX(Inputs!$B$12:$D$12,1,MATCH(A514,Inputs!$B$6:$D$6,0)),0))))</x:f>
        <x:v>0</x:v>
      </x:c>
      <x:c r="L514" s="20" t="n">
        <x:f>IF(INDEX(Roster!$D$6:$D$108,MATCH(D514,Roster!$A$6:$A$108,0))&gt;=25,INDEX(Inputs!$B$19:$D$19,1,MATCH(A514,Inputs!$B$6:$D$6,0)),IF(INDEX(Roster!$D$6:$D$108,MATCH(D514,Roster!$A$6:$A$108,0))&gt;=20,INDEX(Inputs!$B$18:$D$18,1,MATCH(A514,Inputs!$B$6:$D$6,0)),IF(INDEX(Roster!$D$6:$D$108,MATCH(D514,Roster!$A$6:$A$108,0))&gt;=15,INDEX(Inputs!$B$17:$D$17,1,MATCH(A514,Inputs!$B$6:$D$6,0)),IF(INDEX(Roster!$D$6:$D$108,MATCH(D514,Roster!$A$6:$A$108,0))&gt;=10,INDEX(Inputs!$B$16:$D$16,1,MATCH(A514,Inputs!$B$6:$D$6,0)),IF(INDEX(Roster!$D$6:$D$108,MATCH(D514,Roster!$A$6:$A$108,0))&gt;=5,INDEX(Inputs!$B$15:$D$15,1,MATCH(A514,Inputs!$B$6:$D$6,0)),0)))))</x:f>
        <x:v>60</x:v>
      </x:c>
      <x:c r="M514" s="20" t="n">
        <x:f>G514*I514</x:f>
        <x:v>31135</x:v>
      </x:c>
      <x:c r="N514" s="20" t="n">
        <x:f>G514*J514</x:f>
        <x:v>260</x:v>
      </x:c>
      <x:c r="O514" s="20" t="n">
        <x:f>G514*K514</x:f>
        <x:v>0</x:v>
      </x:c>
      <x:c r="P514" s="20" t="n">
        <x:f>G514*L514</x:f>
        <x:v>780</x:v>
      </x:c>
      <x:c r="Q514" s="20" t="n">
        <x:f>H514*INDEX(Inputs!$B$13:$D$13,1,MATCH(A514,Inputs!$B$6:$D$6,0))</x:f>
        <x:v>390</x:v>
      </x:c>
      <x:c r="R514" s="20" t="n">
        <x:f>SUM(M514:Q514)</x:f>
        <x:v>32565</x:v>
      </x:c>
      <x:c r="S514" s="20" t="n">
        <x:f>IF(AND(A513=A514,D513=D514),S513+R514,R514)</x:f>
        <x:v>32565</x:v>
      </x:c>
      <x:c r="T514" s="20" t="n">
        <x:f>MIN(S514,INDEX(Inputs!$B$20:$D$20,1,MATCH(A514,Inputs!$B$6:$D$6,0)))*INDEX(Inputs!$B$22:$D$22,1,MATCH(A514,Inputs!$B$6:$D$6,0))+MAX(MIN(S514,INDEX(Inputs!$B$21:$D$21,1,MATCH(A514,Inputs!$B$6:$D$6,0)))-INDEX(Inputs!$B$20:$D$20,1,MATCH(A514,Inputs!$B$6:$D$6,0)),0)*INDEX(Inputs!$B$23:$D$23,1,MATCH(A514,Inputs!$B$6:$D$6,0))+MAX(S514-INDEX(Inputs!$B$21:$D$21,1,MATCH(A514,Inputs!$B$6:$D$6,0)),0)*INDEX(Inputs!$B$24:$D$24,1,MATCH(A514,Inputs!$B$6:$D$6,0))</x:f>
        <x:v>2981.2225</x:v>
      </x:c>
      <x:c r="U514" s="20" t="n">
        <x:f>IF(AND(A513=A514,D513=D514),T513,0)</x:f>
        <x:v>0</x:v>
      </x:c>
      <x:c r="V514" s="20" t="n">
        <x:f>T514-U514</x:f>
        <x:v>2981.2225</x:v>
      </x:c>
      <x:c r="W514" s="20" t="n">
        <x:f>R514+V514</x:f>
        <x:v>35546.2225</x:v>
      </x:c>
      <x:c r="X514" s="14" t="str">
        <x:f>IF(ABS(W514-SUM(M514:Q514)-V514)&lt;0.01,"OK","Check")</x:f>
        <x:v>OK</x:v>
      </x:c>
    </x:row>
    <x:row r="515">
      <x:c r="A515" s="14" t="n">
        <x:v>2027</x:v>
      </x:c>
      <x:c r="B515" s="14" t="str">
        <x:v>Q2</x:v>
      </x:c>
      <x:c r="C515" s="14" t="n">
        <x:v>2</x:v>
      </x:c>
      <x:c r="D515" s="14" t="n">
        <x:v>25</x:v>
      </x:c>
      <x:c r="E515" s="14" t="str">
        <x:f>INDEX(Roster!$B$6:$B$108,MATCH(D515,Roster!$A$6:$A$108,0))</x:f>
      </x:c>
      <x:c r="F515" s="14" t="str">
        <x:f>INDEX(Roster!$F$6:$F$108,MATCH(D515,Roster!$A$6:$A$108,0))</x:f>
        <x:v>No</x:v>
      </x:c>
      <x:c r="G515" s="14" t="n">
        <x:f>INDEX(Inputs!$B$7:$D$7,1,MATCH(A515,Inputs!$B$6:$D$6,0))</x:f>
        <x:v>13</x:v>
      </x:c>
      <x:c r="H515" s="14" t="n">
        <x:f>MIN(=INDEX(Inputs!$B$7:$D$7,1,MATCH(A515,Inputs!$B$6:$D$6,0)),MAX(0,INDEX(Inputs!$B$14:$D$14,1,MATCH(A515,Inputs!$B$6:$D$6,0))-(C515-1)*=INDEX(Inputs!$B$7:$D$7,1,MATCH(A515,Inputs!$B$6:$D$6,0))))</x:f>
        <x:v>13</x:v>
      </x:c>
      <x:c r="I515" s="20" t="n">
        <x:f>INDEX(Inputs!$B$8:$D$8,1,MATCH(A515,Inputs!$B$6:$D$6,0))</x:f>
        <x:v>2395</x:v>
      </x:c>
      <x:c r="J515" s="20" t="n">
        <x:f>INDEX(Roster!$C$6:$C$108,MATCH(D515,Roster!$A$6:$A$108,0))*(1+INDEX(Inputs!$B$9:$D$9,1,MATCH(A515,Inputs!$B$6:$D$6,0)))</x:f>
        <x:v>20</x:v>
      </x:c>
      <x:c r="K515" s="20" t="n">
        <x:f>IF(=INDEX(Roster!$F$6:$F$108,MATCH(D515,Roster!$A$6:$A$108,0))="Yes",0,=INDEX(Inputs!$B$8:$D$8,1,MATCH(A515,Inputs!$B$6:$D$6,0))*IF(=INDEX(Roster!$B$6:$B$108,MATCH(D515,Roster!$A$6:$A$108,0))="Principal",INDEX(Inputs!$B$10:$D$10,1,MATCH(A515,Inputs!$B$6:$D$6,0)),IF(=INDEX(Roster!$B$6:$B$108,MATCH(D515,Roster!$A$6:$A$108,0))="Associate Principal",INDEX(Inputs!$B$11:$D$11,1,MATCH(A515,Inputs!$B$6:$D$6,0)),IF(=INDEX(Roster!$B$6:$B$108,MATCH(D515,Roster!$A$6:$A$108,0))="Assistant Principal",INDEX(Inputs!$B$12:$D$12,1,MATCH(A515,Inputs!$B$6:$D$6,0)),0))))</x:f>
        <x:v>0</x:v>
      </x:c>
      <x:c r="L515" s="20" t="n">
        <x:f>IF(INDEX(Roster!$D$6:$D$108,MATCH(D515,Roster!$A$6:$A$108,0))&gt;=25,INDEX(Inputs!$B$19:$D$19,1,MATCH(A515,Inputs!$B$6:$D$6,0)),IF(INDEX(Roster!$D$6:$D$108,MATCH(D515,Roster!$A$6:$A$108,0))&gt;=20,INDEX(Inputs!$B$18:$D$18,1,MATCH(A515,Inputs!$B$6:$D$6,0)),IF(INDEX(Roster!$D$6:$D$108,MATCH(D515,Roster!$A$6:$A$108,0))&gt;=15,INDEX(Inputs!$B$17:$D$17,1,MATCH(A515,Inputs!$B$6:$D$6,0)),IF(INDEX(Roster!$D$6:$D$108,MATCH(D515,Roster!$A$6:$A$108,0))&gt;=10,INDEX(Inputs!$B$16:$D$16,1,MATCH(A515,Inputs!$B$6:$D$6,0)),IF(INDEX(Roster!$D$6:$D$108,MATCH(D515,Roster!$A$6:$A$108,0))&gt;=5,INDEX(Inputs!$B$15:$D$15,1,MATCH(A515,Inputs!$B$6:$D$6,0)),0)))))</x:f>
        <x:v>60</x:v>
      </x:c>
      <x:c r="M515" s="20" t="n">
        <x:f>G515*I515</x:f>
        <x:v>31135</x:v>
      </x:c>
      <x:c r="N515" s="20" t="n">
        <x:f>G515*J515</x:f>
        <x:v>260</x:v>
      </x:c>
      <x:c r="O515" s="20" t="n">
        <x:f>G515*K515</x:f>
        <x:v>0</x:v>
      </x:c>
      <x:c r="P515" s="20" t="n">
        <x:f>G515*L515</x:f>
        <x:v>780</x:v>
      </x:c>
      <x:c r="Q515" s="20" t="n">
        <x:f>H515*INDEX(Inputs!$B$13:$D$13,1,MATCH(A515,Inputs!$B$6:$D$6,0))</x:f>
        <x:v>390</x:v>
      </x:c>
      <x:c r="R515" s="20" t="n">
        <x:f>SUM(M515:Q515)</x:f>
        <x:v>32565</x:v>
      </x:c>
      <x:c r="S515" s="20" t="n">
        <x:f>IF(AND(A514=A515,D514=D515),S514+R515,R515)</x:f>
        <x:v>65130</x:v>
      </x:c>
      <x:c r="T515" s="20" t="n">
        <x:f>MIN(S515,INDEX(Inputs!$B$20:$D$20,1,MATCH(A515,Inputs!$B$6:$D$6,0)))*INDEX(Inputs!$B$22:$D$22,1,MATCH(A515,Inputs!$B$6:$D$6,0))+MAX(MIN(S515,INDEX(Inputs!$B$21:$D$21,1,MATCH(A515,Inputs!$B$6:$D$6,0)))-INDEX(Inputs!$B$20:$D$20,1,MATCH(A515,Inputs!$B$6:$D$6,0)),0)*INDEX(Inputs!$B$23:$D$23,1,MATCH(A515,Inputs!$B$6:$D$6,0))+MAX(S515-INDEX(Inputs!$B$21:$D$21,1,MATCH(A515,Inputs!$B$6:$D$6,0)),0)*INDEX(Inputs!$B$24:$D$24,1,MATCH(A515,Inputs!$B$6:$D$6,0))</x:f>
        <x:v>5472.445</x:v>
      </x:c>
      <x:c r="U515" s="20" t="n">
        <x:f>IF(AND(A514=A515,D514=D515),T514,0)</x:f>
        <x:v>2981.2225</x:v>
      </x:c>
      <x:c r="V515" s="20" t="n">
        <x:f>T515-U515</x:f>
        <x:v>2491.2225</x:v>
      </x:c>
      <x:c r="W515" s="20" t="n">
        <x:f>R515+V515</x:f>
        <x:v>35056.2225</x:v>
      </x:c>
      <x:c r="X515" s="14" t="str">
        <x:f>IF(ABS(W515-SUM(M515:Q515)-V515)&lt;0.01,"OK","Check")</x:f>
        <x:v>OK</x:v>
      </x:c>
    </x:row>
    <x:row r="516">
      <x:c r="A516" s="14" t="n">
        <x:v>2027</x:v>
      </x:c>
      <x:c r="B516" s="14" t="str">
        <x:v>Q3</x:v>
      </x:c>
      <x:c r="C516" s="14" t="n">
        <x:v>3</x:v>
      </x:c>
      <x:c r="D516" s="14" t="n">
        <x:v>25</x:v>
      </x:c>
      <x:c r="E516" s="14" t="str">
        <x:f>INDEX(Roster!$B$6:$B$108,MATCH(D516,Roster!$A$6:$A$108,0))</x:f>
      </x:c>
      <x:c r="F516" s="14" t="str">
        <x:f>INDEX(Roster!$F$6:$F$108,MATCH(D516,Roster!$A$6:$A$108,0))</x:f>
        <x:v>No</x:v>
      </x:c>
      <x:c r="G516" s="14" t="n">
        <x:f>INDEX(Inputs!$B$7:$D$7,1,MATCH(A516,Inputs!$B$6:$D$6,0))</x:f>
        <x:v>13</x:v>
      </x:c>
      <x:c r="H516" s="14" t="n">
        <x:f>MIN(=INDEX(Inputs!$B$7:$D$7,1,MATCH(A516,Inputs!$B$6:$D$6,0)),MAX(0,INDEX(Inputs!$B$14:$D$14,1,MATCH(A516,Inputs!$B$6:$D$6,0))-(C516-1)*=INDEX(Inputs!$B$7:$D$7,1,MATCH(A516,Inputs!$B$6:$D$6,0))))</x:f>
        <x:v>13</x:v>
      </x:c>
      <x:c r="I516" s="20" t="n">
        <x:f>INDEX(Inputs!$B$8:$D$8,1,MATCH(A516,Inputs!$B$6:$D$6,0))</x:f>
        <x:v>2395</x:v>
      </x:c>
      <x:c r="J516" s="20" t="n">
        <x:f>INDEX(Roster!$C$6:$C$108,MATCH(D516,Roster!$A$6:$A$108,0))*(1+INDEX(Inputs!$B$9:$D$9,1,MATCH(A516,Inputs!$B$6:$D$6,0)))</x:f>
        <x:v>20</x:v>
      </x:c>
      <x:c r="K516" s="20" t="n">
        <x:f>IF(=INDEX(Roster!$F$6:$F$108,MATCH(D516,Roster!$A$6:$A$108,0))="Yes",0,=INDEX(Inputs!$B$8:$D$8,1,MATCH(A516,Inputs!$B$6:$D$6,0))*IF(=INDEX(Roster!$B$6:$B$108,MATCH(D516,Roster!$A$6:$A$108,0))="Principal",INDEX(Inputs!$B$10:$D$10,1,MATCH(A516,Inputs!$B$6:$D$6,0)),IF(=INDEX(Roster!$B$6:$B$108,MATCH(D516,Roster!$A$6:$A$108,0))="Associate Principal",INDEX(Inputs!$B$11:$D$11,1,MATCH(A516,Inputs!$B$6:$D$6,0)),IF(=INDEX(Roster!$B$6:$B$108,MATCH(D516,Roster!$A$6:$A$108,0))="Assistant Principal",INDEX(Inputs!$B$12:$D$12,1,MATCH(A516,Inputs!$B$6:$D$6,0)),0))))</x:f>
        <x:v>0</x:v>
      </x:c>
      <x:c r="L516" s="20" t="n">
        <x:f>IF(INDEX(Roster!$D$6:$D$108,MATCH(D516,Roster!$A$6:$A$108,0))&gt;=25,INDEX(Inputs!$B$19:$D$19,1,MATCH(A516,Inputs!$B$6:$D$6,0)),IF(INDEX(Roster!$D$6:$D$108,MATCH(D516,Roster!$A$6:$A$108,0))&gt;=20,INDEX(Inputs!$B$18:$D$18,1,MATCH(A516,Inputs!$B$6:$D$6,0)),IF(INDEX(Roster!$D$6:$D$108,MATCH(D516,Roster!$A$6:$A$108,0))&gt;=15,INDEX(Inputs!$B$17:$D$17,1,MATCH(A516,Inputs!$B$6:$D$6,0)),IF(INDEX(Roster!$D$6:$D$108,MATCH(D516,Roster!$A$6:$A$108,0))&gt;=10,INDEX(Inputs!$B$16:$D$16,1,MATCH(A516,Inputs!$B$6:$D$6,0)),IF(INDEX(Roster!$D$6:$D$108,MATCH(D516,Roster!$A$6:$A$108,0))&gt;=5,INDEX(Inputs!$B$15:$D$15,1,MATCH(A516,Inputs!$B$6:$D$6,0)),0)))))</x:f>
        <x:v>60</x:v>
      </x:c>
      <x:c r="M516" s="20" t="n">
        <x:f>G516*I516</x:f>
        <x:v>31135</x:v>
      </x:c>
      <x:c r="N516" s="20" t="n">
        <x:f>G516*J516</x:f>
        <x:v>260</x:v>
      </x:c>
      <x:c r="O516" s="20" t="n">
        <x:f>G516*K516</x:f>
        <x:v>0</x:v>
      </x:c>
      <x:c r="P516" s="20" t="n">
        <x:f>G516*L516</x:f>
        <x:v>780</x:v>
      </x:c>
      <x:c r="Q516" s="20" t="n">
        <x:f>H516*INDEX(Inputs!$B$13:$D$13,1,MATCH(A516,Inputs!$B$6:$D$6,0))</x:f>
        <x:v>390</x:v>
      </x:c>
      <x:c r="R516" s="20" t="n">
        <x:f>SUM(M516:Q516)</x:f>
        <x:v>32565</x:v>
      </x:c>
      <x:c r="S516" s="20" t="n">
        <x:f>IF(AND(A515=A516,D515=D516),S515+R516,R516)</x:f>
        <x:v>97695</x:v>
      </x:c>
      <x:c r="T516" s="20" t="n">
        <x:f>MIN(S516,INDEX(Inputs!$B$20:$D$20,1,MATCH(A516,Inputs!$B$6:$D$6,0)))*INDEX(Inputs!$B$22:$D$22,1,MATCH(A516,Inputs!$B$6:$D$6,0))+MAX(MIN(S516,INDEX(Inputs!$B$21:$D$21,1,MATCH(A516,Inputs!$B$6:$D$6,0)))-INDEX(Inputs!$B$20:$D$20,1,MATCH(A516,Inputs!$B$6:$D$6,0)),0)*INDEX(Inputs!$B$23:$D$23,1,MATCH(A516,Inputs!$B$6:$D$6,0))+MAX(S516-INDEX(Inputs!$B$21:$D$21,1,MATCH(A516,Inputs!$B$6:$D$6,0)),0)*INDEX(Inputs!$B$24:$D$24,1,MATCH(A516,Inputs!$B$6:$D$6,0))</x:f>
        <x:v>7963.6675</x:v>
      </x:c>
      <x:c r="U516" s="20" t="n">
        <x:f>IF(AND(A515=A516,D515=D516),T515,0)</x:f>
        <x:v>5472.445</x:v>
      </x:c>
      <x:c r="V516" s="20" t="n">
        <x:f>T516-U516</x:f>
        <x:v>2491.2225</x:v>
      </x:c>
      <x:c r="W516" s="20" t="n">
        <x:f>R516+V516</x:f>
        <x:v>35056.2225</x:v>
      </x:c>
      <x:c r="X516" s="14" t="str">
        <x:f>IF(ABS(W516-SUM(M516:Q516)-V516)&lt;0.01,"OK","Check")</x:f>
        <x:v>OK</x:v>
      </x:c>
    </x:row>
    <x:row r="517">
      <x:c r="A517" s="14" t="n">
        <x:v>2027</x:v>
      </x:c>
      <x:c r="B517" s="14" t="str">
        <x:v>Q4</x:v>
      </x:c>
      <x:c r="C517" s="14" t="n">
        <x:v>4</x:v>
      </x:c>
      <x:c r="D517" s="14" t="n">
        <x:v>25</x:v>
      </x:c>
      <x:c r="E517" s="14" t="str">
        <x:f>INDEX(Roster!$B$6:$B$108,MATCH(D517,Roster!$A$6:$A$108,0))</x:f>
      </x:c>
      <x:c r="F517" s="14" t="str">
        <x:f>INDEX(Roster!$F$6:$F$108,MATCH(D517,Roster!$A$6:$A$108,0))</x:f>
        <x:v>No</x:v>
      </x:c>
      <x:c r="G517" s="14" t="n">
        <x:f>INDEX(Inputs!$B$7:$D$7,1,MATCH(A517,Inputs!$B$6:$D$6,0))</x:f>
        <x:v>13</x:v>
      </x:c>
      <x:c r="H517" s="14" t="n">
        <x:f>MIN(=INDEX(Inputs!$B$7:$D$7,1,MATCH(A517,Inputs!$B$6:$D$6,0)),MAX(0,INDEX(Inputs!$B$14:$D$14,1,MATCH(A517,Inputs!$B$6:$D$6,0))-(C517-1)*=INDEX(Inputs!$B$7:$D$7,1,MATCH(A517,Inputs!$B$6:$D$6,0))))</x:f>
        <x:v>0</x:v>
      </x:c>
      <x:c r="I517" s="20" t="n">
        <x:f>INDEX(Inputs!$B$8:$D$8,1,MATCH(A517,Inputs!$B$6:$D$6,0))</x:f>
        <x:v>2395</x:v>
      </x:c>
      <x:c r="J517" s="20" t="n">
        <x:f>INDEX(Roster!$C$6:$C$108,MATCH(D517,Roster!$A$6:$A$108,0))*(1+INDEX(Inputs!$B$9:$D$9,1,MATCH(A517,Inputs!$B$6:$D$6,0)))</x:f>
        <x:v>20</x:v>
      </x:c>
      <x:c r="K517" s="20" t="n">
        <x:f>IF(=INDEX(Roster!$F$6:$F$108,MATCH(D517,Roster!$A$6:$A$108,0))="Yes",0,=INDEX(Inputs!$B$8:$D$8,1,MATCH(A517,Inputs!$B$6:$D$6,0))*IF(=INDEX(Roster!$B$6:$B$108,MATCH(D517,Roster!$A$6:$A$108,0))="Principal",INDEX(Inputs!$B$10:$D$10,1,MATCH(A517,Inputs!$B$6:$D$6,0)),IF(=INDEX(Roster!$B$6:$B$108,MATCH(D517,Roster!$A$6:$A$108,0))="Associate Principal",INDEX(Inputs!$B$11:$D$11,1,MATCH(A517,Inputs!$B$6:$D$6,0)),IF(=INDEX(Roster!$B$6:$B$108,MATCH(D517,Roster!$A$6:$A$108,0))="Assistant Principal",INDEX(Inputs!$B$12:$D$12,1,MATCH(A517,Inputs!$B$6:$D$6,0)),0))))</x:f>
        <x:v>0</x:v>
      </x:c>
      <x:c r="L517" s="20" t="n">
        <x:f>IF(INDEX(Roster!$D$6:$D$108,MATCH(D517,Roster!$A$6:$A$108,0))&gt;=25,INDEX(Inputs!$B$19:$D$19,1,MATCH(A517,Inputs!$B$6:$D$6,0)),IF(INDEX(Roster!$D$6:$D$108,MATCH(D517,Roster!$A$6:$A$108,0))&gt;=20,INDEX(Inputs!$B$18:$D$18,1,MATCH(A517,Inputs!$B$6:$D$6,0)),IF(INDEX(Roster!$D$6:$D$108,MATCH(D517,Roster!$A$6:$A$108,0))&gt;=15,INDEX(Inputs!$B$17:$D$17,1,MATCH(A517,Inputs!$B$6:$D$6,0)),IF(INDEX(Roster!$D$6:$D$108,MATCH(D517,Roster!$A$6:$A$108,0))&gt;=10,INDEX(Inputs!$B$16:$D$16,1,MATCH(A517,Inputs!$B$6:$D$6,0)),IF(INDEX(Roster!$D$6:$D$108,MATCH(D517,Roster!$A$6:$A$108,0))&gt;=5,INDEX(Inputs!$B$15:$D$15,1,MATCH(A517,Inputs!$B$6:$D$6,0)),0)))))</x:f>
        <x:v>60</x:v>
      </x:c>
      <x:c r="M517" s="20" t="n">
        <x:f>G517*I517</x:f>
        <x:v>31135</x:v>
      </x:c>
      <x:c r="N517" s="20" t="n">
        <x:f>G517*J517</x:f>
        <x:v>260</x:v>
      </x:c>
      <x:c r="O517" s="20" t="n">
        <x:f>G517*K517</x:f>
        <x:v>0</x:v>
      </x:c>
      <x:c r="P517" s="20" t="n">
        <x:f>G517*L517</x:f>
        <x:v>780</x:v>
      </x:c>
      <x:c r="Q517" s="20" t="n">
        <x:f>H517*INDEX(Inputs!$B$13:$D$13,1,MATCH(A517,Inputs!$B$6:$D$6,0))</x:f>
        <x:v>0</x:v>
      </x:c>
      <x:c r="R517" s="20" t="n">
        <x:f>SUM(M517:Q517)</x:f>
        <x:v>32175</x:v>
      </x:c>
      <x:c r="S517" s="20" t="n">
        <x:f>IF(AND(A516=A517,D516=D517),S516+R517,R517)</x:f>
        <x:v>129870</x:v>
      </x:c>
      <x:c r="T517" s="20" t="n">
        <x:f>MIN(S517,INDEX(Inputs!$B$20:$D$20,1,MATCH(A517,Inputs!$B$6:$D$6,0)))*INDEX(Inputs!$B$22:$D$22,1,MATCH(A517,Inputs!$B$6:$D$6,0))+MAX(MIN(S517,INDEX(Inputs!$B$21:$D$21,1,MATCH(A517,Inputs!$B$6:$D$6,0)))-INDEX(Inputs!$B$20:$D$20,1,MATCH(A517,Inputs!$B$6:$D$6,0)),0)*INDEX(Inputs!$B$23:$D$23,1,MATCH(A517,Inputs!$B$6:$D$6,0))+MAX(S517-INDEX(Inputs!$B$21:$D$21,1,MATCH(A517,Inputs!$B$6:$D$6,0)),0)*INDEX(Inputs!$B$24:$D$24,1,MATCH(A517,Inputs!$B$6:$D$6,0))</x:f>
        <x:v>9797.057</x:v>
      </x:c>
      <x:c r="U517" s="20" t="n">
        <x:f>IF(AND(A516=A517,D516=D517),T516,0)</x:f>
        <x:v>7963.6675</x:v>
      </x:c>
      <x:c r="V517" s="20" t="n">
        <x:f>T517-U517</x:f>
        <x:v>1833.3895000000011</x:v>
      </x:c>
      <x:c r="W517" s="20" t="n">
        <x:f>R517+V517</x:f>
        <x:v>34008.389500000005</x:v>
      </x:c>
      <x:c r="X517" s="14" t="str">
        <x:f>IF(ABS(W517-SUM(M517:Q517)-V517)&lt;0.01,"OK","Check")</x:f>
        <x:v>OK</x:v>
      </x:c>
    </x:row>
    <x:row r="518">
      <x:c r="A518" s="14" t="n">
        <x:v>2027</x:v>
      </x:c>
      <x:c r="B518" s="14" t="str">
        <x:v>Q1</x:v>
      </x:c>
      <x:c r="C518" s="14" t="n">
        <x:v>1</x:v>
      </x:c>
      <x:c r="D518" s="14" t="n">
        <x:v>26</x:v>
      </x:c>
      <x:c r="E518" s="14" t="str">
        <x:f>INDEX(Roster!$B$6:$B$108,MATCH(D518,Roster!$A$6:$A$108,0))</x:f>
      </x:c>
      <x:c r="F518" s="14" t="str">
        <x:f>INDEX(Roster!$F$6:$F$108,MATCH(D518,Roster!$A$6:$A$108,0))</x:f>
        <x:v>No</x:v>
      </x:c>
      <x:c r="G518" s="14" t="n">
        <x:f>INDEX(Inputs!$B$7:$D$7,1,MATCH(A518,Inputs!$B$6:$D$6,0))</x:f>
        <x:v>13</x:v>
      </x:c>
      <x:c r="H518" s="14" t="n">
        <x:f>MIN(=INDEX(Inputs!$B$7:$D$7,1,MATCH(A518,Inputs!$B$6:$D$6,0)),MAX(0,INDEX(Inputs!$B$14:$D$14,1,MATCH(A518,Inputs!$B$6:$D$6,0))-(C518-1)*=INDEX(Inputs!$B$7:$D$7,1,MATCH(A518,Inputs!$B$6:$D$6,0))))</x:f>
        <x:v>13</x:v>
      </x:c>
      <x:c r="I518" s="20" t="n">
        <x:f>INDEX(Inputs!$B$8:$D$8,1,MATCH(A518,Inputs!$B$6:$D$6,0))</x:f>
        <x:v>2395</x:v>
      </x:c>
      <x:c r="J518" s="20" t="n">
        <x:f>INDEX(Roster!$C$6:$C$108,MATCH(D518,Roster!$A$6:$A$108,0))*(1+INDEX(Inputs!$B$9:$D$9,1,MATCH(A518,Inputs!$B$6:$D$6,0)))</x:f>
        <x:v>60</x:v>
      </x:c>
      <x:c r="K518" s="20" t="n">
        <x:f>IF(=INDEX(Roster!$F$6:$F$108,MATCH(D518,Roster!$A$6:$A$108,0))="Yes",0,=INDEX(Inputs!$B$8:$D$8,1,MATCH(A518,Inputs!$B$6:$D$6,0))*IF(=INDEX(Roster!$B$6:$B$108,MATCH(D518,Roster!$A$6:$A$108,0))="Principal",INDEX(Inputs!$B$10:$D$10,1,MATCH(A518,Inputs!$B$6:$D$6,0)),IF(=INDEX(Roster!$B$6:$B$108,MATCH(D518,Roster!$A$6:$A$108,0))="Associate Principal",INDEX(Inputs!$B$11:$D$11,1,MATCH(A518,Inputs!$B$6:$D$6,0)),IF(=INDEX(Roster!$B$6:$B$108,MATCH(D518,Roster!$A$6:$A$108,0))="Assistant Principal",INDEX(Inputs!$B$12:$D$12,1,MATCH(A518,Inputs!$B$6:$D$6,0)),0))))</x:f>
        <x:v>0</x:v>
      </x:c>
      <x:c r="L518" s="20" t="n">
        <x:f>IF(INDEX(Roster!$D$6:$D$108,MATCH(D518,Roster!$A$6:$A$108,0))&gt;=25,INDEX(Inputs!$B$19:$D$19,1,MATCH(A518,Inputs!$B$6:$D$6,0)),IF(INDEX(Roster!$D$6:$D$108,MATCH(D518,Roster!$A$6:$A$108,0))&gt;=20,INDEX(Inputs!$B$18:$D$18,1,MATCH(A518,Inputs!$B$6:$D$6,0)),IF(INDEX(Roster!$D$6:$D$108,MATCH(D518,Roster!$A$6:$A$108,0))&gt;=15,INDEX(Inputs!$B$17:$D$17,1,MATCH(A518,Inputs!$B$6:$D$6,0)),IF(INDEX(Roster!$D$6:$D$108,MATCH(D518,Roster!$A$6:$A$108,0))&gt;=10,INDEX(Inputs!$B$16:$D$16,1,MATCH(A518,Inputs!$B$6:$D$6,0)),IF(INDEX(Roster!$D$6:$D$108,MATCH(D518,Roster!$A$6:$A$108,0))&gt;=5,INDEX(Inputs!$B$15:$D$15,1,MATCH(A518,Inputs!$B$6:$D$6,0)),0)))))</x:f>
        <x:v>90</x:v>
      </x:c>
      <x:c r="M518" s="20" t="n">
        <x:f>G518*I518</x:f>
        <x:v>31135</x:v>
      </x:c>
      <x:c r="N518" s="20" t="n">
        <x:f>G518*J518</x:f>
        <x:v>780</x:v>
      </x:c>
      <x:c r="O518" s="20" t="n">
        <x:f>G518*K518</x:f>
        <x:v>0</x:v>
      </x:c>
      <x:c r="P518" s="20" t="n">
        <x:f>G518*L518</x:f>
        <x:v>1170</x:v>
      </x:c>
      <x:c r="Q518" s="20" t="n">
        <x:f>H518*INDEX(Inputs!$B$13:$D$13,1,MATCH(A518,Inputs!$B$6:$D$6,0))</x:f>
        <x:v>390</x:v>
      </x:c>
      <x:c r="R518" s="20" t="n">
        <x:f>SUM(M518:Q518)</x:f>
        <x:v>33475</x:v>
      </x:c>
      <x:c r="S518" s="20" t="n">
        <x:f>IF(AND(A517=A518,D517=D518),S517+R518,R518)</x:f>
        <x:v>33475</x:v>
      </x:c>
      <x:c r="T518" s="20" t="n">
        <x:f>MIN(S518,INDEX(Inputs!$B$20:$D$20,1,MATCH(A518,Inputs!$B$6:$D$6,0)))*INDEX(Inputs!$B$22:$D$22,1,MATCH(A518,Inputs!$B$6:$D$6,0))+MAX(MIN(S518,INDEX(Inputs!$B$21:$D$21,1,MATCH(A518,Inputs!$B$6:$D$6,0)))-INDEX(Inputs!$B$20:$D$20,1,MATCH(A518,Inputs!$B$6:$D$6,0)),0)*INDEX(Inputs!$B$23:$D$23,1,MATCH(A518,Inputs!$B$6:$D$6,0))+MAX(S518-INDEX(Inputs!$B$21:$D$21,1,MATCH(A518,Inputs!$B$6:$D$6,0)),0)*INDEX(Inputs!$B$24:$D$24,1,MATCH(A518,Inputs!$B$6:$D$6,0))</x:f>
        <x:v>3050.8374999999996</x:v>
      </x:c>
      <x:c r="U518" s="20" t="n">
        <x:f>IF(AND(A517=A518,D517=D518),T517,0)</x:f>
        <x:v>0</x:v>
      </x:c>
      <x:c r="V518" s="20" t="n">
        <x:f>T518-U518</x:f>
        <x:v>3050.8374999999996</x:v>
      </x:c>
      <x:c r="W518" s="20" t="n">
        <x:f>R518+V518</x:f>
        <x:v>36525.8375</x:v>
      </x:c>
      <x:c r="X518" s="14" t="str">
        <x:f>IF(ABS(W518-SUM(M518:Q518)-V518)&lt;0.01,"OK","Check")</x:f>
        <x:v>OK</x:v>
      </x:c>
    </x:row>
    <x:row r="519">
      <x:c r="A519" s="14" t="n">
        <x:v>2027</x:v>
      </x:c>
      <x:c r="B519" s="14" t="str">
        <x:v>Q2</x:v>
      </x:c>
      <x:c r="C519" s="14" t="n">
        <x:v>2</x:v>
      </x:c>
      <x:c r="D519" s="14" t="n">
        <x:v>26</x:v>
      </x:c>
      <x:c r="E519" s="14" t="str">
        <x:f>INDEX(Roster!$B$6:$B$108,MATCH(D519,Roster!$A$6:$A$108,0))</x:f>
      </x:c>
      <x:c r="F519" s="14" t="str">
        <x:f>INDEX(Roster!$F$6:$F$108,MATCH(D519,Roster!$A$6:$A$108,0))</x:f>
        <x:v>No</x:v>
      </x:c>
      <x:c r="G519" s="14" t="n">
        <x:f>INDEX(Inputs!$B$7:$D$7,1,MATCH(A519,Inputs!$B$6:$D$6,0))</x:f>
        <x:v>13</x:v>
      </x:c>
      <x:c r="H519" s="14" t="n">
        <x:f>MIN(=INDEX(Inputs!$B$7:$D$7,1,MATCH(A519,Inputs!$B$6:$D$6,0)),MAX(0,INDEX(Inputs!$B$14:$D$14,1,MATCH(A519,Inputs!$B$6:$D$6,0))-(C519-1)*=INDEX(Inputs!$B$7:$D$7,1,MATCH(A519,Inputs!$B$6:$D$6,0))))</x:f>
        <x:v>13</x:v>
      </x:c>
      <x:c r="I519" s="20" t="n">
        <x:f>INDEX(Inputs!$B$8:$D$8,1,MATCH(A519,Inputs!$B$6:$D$6,0))</x:f>
        <x:v>2395</x:v>
      </x:c>
      <x:c r="J519" s="20" t="n">
        <x:f>INDEX(Roster!$C$6:$C$108,MATCH(D519,Roster!$A$6:$A$108,0))*(1+INDEX(Inputs!$B$9:$D$9,1,MATCH(A519,Inputs!$B$6:$D$6,0)))</x:f>
        <x:v>60</x:v>
      </x:c>
      <x:c r="K519" s="20" t="n">
        <x:f>IF(=INDEX(Roster!$F$6:$F$108,MATCH(D519,Roster!$A$6:$A$108,0))="Yes",0,=INDEX(Inputs!$B$8:$D$8,1,MATCH(A519,Inputs!$B$6:$D$6,0))*IF(=INDEX(Roster!$B$6:$B$108,MATCH(D519,Roster!$A$6:$A$108,0))="Principal",INDEX(Inputs!$B$10:$D$10,1,MATCH(A519,Inputs!$B$6:$D$6,0)),IF(=INDEX(Roster!$B$6:$B$108,MATCH(D519,Roster!$A$6:$A$108,0))="Associate Principal",INDEX(Inputs!$B$11:$D$11,1,MATCH(A519,Inputs!$B$6:$D$6,0)),IF(=INDEX(Roster!$B$6:$B$108,MATCH(D519,Roster!$A$6:$A$108,0))="Assistant Principal",INDEX(Inputs!$B$12:$D$12,1,MATCH(A519,Inputs!$B$6:$D$6,0)),0))))</x:f>
        <x:v>0</x:v>
      </x:c>
      <x:c r="L519" s="20" t="n">
        <x:f>IF(INDEX(Roster!$D$6:$D$108,MATCH(D519,Roster!$A$6:$A$108,0))&gt;=25,INDEX(Inputs!$B$19:$D$19,1,MATCH(A519,Inputs!$B$6:$D$6,0)),IF(INDEX(Roster!$D$6:$D$108,MATCH(D519,Roster!$A$6:$A$108,0))&gt;=20,INDEX(Inputs!$B$18:$D$18,1,MATCH(A519,Inputs!$B$6:$D$6,0)),IF(INDEX(Roster!$D$6:$D$108,MATCH(D519,Roster!$A$6:$A$108,0))&gt;=15,INDEX(Inputs!$B$17:$D$17,1,MATCH(A519,Inputs!$B$6:$D$6,0)),IF(INDEX(Roster!$D$6:$D$108,MATCH(D519,Roster!$A$6:$A$108,0))&gt;=10,INDEX(Inputs!$B$16:$D$16,1,MATCH(A519,Inputs!$B$6:$D$6,0)),IF(INDEX(Roster!$D$6:$D$108,MATCH(D519,Roster!$A$6:$A$108,0))&gt;=5,INDEX(Inputs!$B$15:$D$15,1,MATCH(A519,Inputs!$B$6:$D$6,0)),0)))))</x:f>
        <x:v>90</x:v>
      </x:c>
      <x:c r="M519" s="20" t="n">
        <x:f>G519*I519</x:f>
        <x:v>31135</x:v>
      </x:c>
      <x:c r="N519" s="20" t="n">
        <x:f>G519*J519</x:f>
        <x:v>780</x:v>
      </x:c>
      <x:c r="O519" s="20" t="n">
        <x:f>G519*K519</x:f>
        <x:v>0</x:v>
      </x:c>
      <x:c r="P519" s="20" t="n">
        <x:f>G519*L519</x:f>
        <x:v>1170</x:v>
      </x:c>
      <x:c r="Q519" s="20" t="n">
        <x:f>H519*INDEX(Inputs!$B$13:$D$13,1,MATCH(A519,Inputs!$B$6:$D$6,0))</x:f>
        <x:v>390</x:v>
      </x:c>
      <x:c r="R519" s="20" t="n">
        <x:f>SUM(M519:Q519)</x:f>
        <x:v>33475</x:v>
      </x:c>
      <x:c r="S519" s="20" t="n">
        <x:f>IF(AND(A518=A519,D518=D519),S518+R519,R519)</x:f>
        <x:v>66950</x:v>
      </x:c>
      <x:c r="T519" s="20" t="n">
        <x:f>MIN(S519,INDEX(Inputs!$B$20:$D$20,1,MATCH(A519,Inputs!$B$6:$D$6,0)))*INDEX(Inputs!$B$22:$D$22,1,MATCH(A519,Inputs!$B$6:$D$6,0))+MAX(MIN(S519,INDEX(Inputs!$B$21:$D$21,1,MATCH(A519,Inputs!$B$6:$D$6,0)))-INDEX(Inputs!$B$20:$D$20,1,MATCH(A519,Inputs!$B$6:$D$6,0)),0)*INDEX(Inputs!$B$23:$D$23,1,MATCH(A519,Inputs!$B$6:$D$6,0))+MAX(S519-INDEX(Inputs!$B$21:$D$21,1,MATCH(A519,Inputs!$B$6:$D$6,0)),0)*INDEX(Inputs!$B$24:$D$24,1,MATCH(A519,Inputs!$B$6:$D$6,0))</x:f>
        <x:v>5611.675</x:v>
      </x:c>
      <x:c r="U519" s="20" t="n">
        <x:f>IF(AND(A518=A519,D518=D519),T518,0)</x:f>
        <x:v>3050.8374999999996</x:v>
      </x:c>
      <x:c r="V519" s="20" t="n">
        <x:f>T519-U519</x:f>
        <x:v>2560.8375000000005</x:v>
      </x:c>
      <x:c r="W519" s="20" t="n">
        <x:f>R519+V519</x:f>
        <x:v>36035.8375</x:v>
      </x:c>
      <x:c r="X519" s="14" t="str">
        <x:f>IF(ABS(W519-SUM(M519:Q519)-V519)&lt;0.01,"OK","Check")</x:f>
        <x:v>OK</x:v>
      </x:c>
    </x:row>
    <x:row r="520">
      <x:c r="A520" s="14" t="n">
        <x:v>2027</x:v>
      </x:c>
      <x:c r="B520" s="14" t="str">
        <x:v>Q3</x:v>
      </x:c>
      <x:c r="C520" s="14" t="n">
        <x:v>3</x:v>
      </x:c>
      <x:c r="D520" s="14" t="n">
        <x:v>26</x:v>
      </x:c>
      <x:c r="E520" s="14" t="str">
        <x:f>INDEX(Roster!$B$6:$B$108,MATCH(D520,Roster!$A$6:$A$108,0))</x:f>
      </x:c>
      <x:c r="F520" s="14" t="str">
        <x:f>INDEX(Roster!$F$6:$F$108,MATCH(D520,Roster!$A$6:$A$108,0))</x:f>
        <x:v>No</x:v>
      </x:c>
      <x:c r="G520" s="14" t="n">
        <x:f>INDEX(Inputs!$B$7:$D$7,1,MATCH(A520,Inputs!$B$6:$D$6,0))</x:f>
        <x:v>13</x:v>
      </x:c>
      <x:c r="H520" s="14" t="n">
        <x:f>MIN(=INDEX(Inputs!$B$7:$D$7,1,MATCH(A520,Inputs!$B$6:$D$6,0)),MAX(0,INDEX(Inputs!$B$14:$D$14,1,MATCH(A520,Inputs!$B$6:$D$6,0))-(C520-1)*=INDEX(Inputs!$B$7:$D$7,1,MATCH(A520,Inputs!$B$6:$D$6,0))))</x:f>
        <x:v>13</x:v>
      </x:c>
      <x:c r="I520" s="20" t="n">
        <x:f>INDEX(Inputs!$B$8:$D$8,1,MATCH(A520,Inputs!$B$6:$D$6,0))</x:f>
        <x:v>2395</x:v>
      </x:c>
      <x:c r="J520" s="20" t="n">
        <x:f>INDEX(Roster!$C$6:$C$108,MATCH(D520,Roster!$A$6:$A$108,0))*(1+INDEX(Inputs!$B$9:$D$9,1,MATCH(A520,Inputs!$B$6:$D$6,0)))</x:f>
        <x:v>60</x:v>
      </x:c>
      <x:c r="K520" s="20" t="n">
        <x:f>IF(=INDEX(Roster!$F$6:$F$108,MATCH(D520,Roster!$A$6:$A$108,0))="Yes",0,=INDEX(Inputs!$B$8:$D$8,1,MATCH(A520,Inputs!$B$6:$D$6,0))*IF(=INDEX(Roster!$B$6:$B$108,MATCH(D520,Roster!$A$6:$A$108,0))="Principal",INDEX(Inputs!$B$10:$D$10,1,MATCH(A520,Inputs!$B$6:$D$6,0)),IF(=INDEX(Roster!$B$6:$B$108,MATCH(D520,Roster!$A$6:$A$108,0))="Associate Principal",INDEX(Inputs!$B$11:$D$11,1,MATCH(A520,Inputs!$B$6:$D$6,0)),IF(=INDEX(Roster!$B$6:$B$108,MATCH(D520,Roster!$A$6:$A$108,0))="Assistant Principal",INDEX(Inputs!$B$12:$D$12,1,MATCH(A520,Inputs!$B$6:$D$6,0)),0))))</x:f>
        <x:v>0</x:v>
      </x:c>
      <x:c r="L520" s="20" t="n">
        <x:f>IF(INDEX(Roster!$D$6:$D$108,MATCH(D520,Roster!$A$6:$A$108,0))&gt;=25,INDEX(Inputs!$B$19:$D$19,1,MATCH(A520,Inputs!$B$6:$D$6,0)),IF(INDEX(Roster!$D$6:$D$108,MATCH(D520,Roster!$A$6:$A$108,0))&gt;=20,INDEX(Inputs!$B$18:$D$18,1,MATCH(A520,Inputs!$B$6:$D$6,0)),IF(INDEX(Roster!$D$6:$D$108,MATCH(D520,Roster!$A$6:$A$108,0))&gt;=15,INDEX(Inputs!$B$17:$D$17,1,MATCH(A520,Inputs!$B$6:$D$6,0)),IF(INDEX(Roster!$D$6:$D$108,MATCH(D520,Roster!$A$6:$A$108,0))&gt;=10,INDEX(Inputs!$B$16:$D$16,1,MATCH(A520,Inputs!$B$6:$D$6,0)),IF(INDEX(Roster!$D$6:$D$108,MATCH(D520,Roster!$A$6:$A$108,0))&gt;=5,INDEX(Inputs!$B$15:$D$15,1,MATCH(A520,Inputs!$B$6:$D$6,0)),0)))))</x:f>
        <x:v>90</x:v>
      </x:c>
      <x:c r="M520" s="20" t="n">
        <x:f>G520*I520</x:f>
        <x:v>31135</x:v>
      </x:c>
      <x:c r="N520" s="20" t="n">
        <x:f>G520*J520</x:f>
        <x:v>780</x:v>
      </x:c>
      <x:c r="O520" s="20" t="n">
        <x:f>G520*K520</x:f>
        <x:v>0</x:v>
      </x:c>
      <x:c r="P520" s="20" t="n">
        <x:f>G520*L520</x:f>
        <x:v>1170</x:v>
      </x:c>
      <x:c r="Q520" s="20" t="n">
        <x:f>H520*INDEX(Inputs!$B$13:$D$13,1,MATCH(A520,Inputs!$B$6:$D$6,0))</x:f>
        <x:v>390</x:v>
      </x:c>
      <x:c r="R520" s="20" t="n">
        <x:f>SUM(M520:Q520)</x:f>
        <x:v>33475</x:v>
      </x:c>
      <x:c r="S520" s="20" t="n">
        <x:f>IF(AND(A519=A520,D519=D520),S519+R520,R520)</x:f>
        <x:v>100425</x:v>
      </x:c>
      <x:c r="T520" s="20" t="n">
        <x:f>MIN(S520,INDEX(Inputs!$B$20:$D$20,1,MATCH(A520,Inputs!$B$6:$D$6,0)))*INDEX(Inputs!$B$22:$D$22,1,MATCH(A520,Inputs!$B$6:$D$6,0))+MAX(MIN(S520,INDEX(Inputs!$B$21:$D$21,1,MATCH(A520,Inputs!$B$6:$D$6,0)))-INDEX(Inputs!$B$20:$D$20,1,MATCH(A520,Inputs!$B$6:$D$6,0)),0)*INDEX(Inputs!$B$23:$D$23,1,MATCH(A520,Inputs!$B$6:$D$6,0))+MAX(S520-INDEX(Inputs!$B$21:$D$21,1,MATCH(A520,Inputs!$B$6:$D$6,0)),0)*INDEX(Inputs!$B$24:$D$24,1,MATCH(A520,Inputs!$B$6:$D$6,0))</x:f>
        <x:v>8172.5125</x:v>
      </x:c>
      <x:c r="U520" s="20" t="n">
        <x:f>IF(AND(A519=A520,D519=D520),T519,0)</x:f>
        <x:v>5611.675</x:v>
      </x:c>
      <x:c r="V520" s="20" t="n">
        <x:f>T520-U520</x:f>
        <x:v>2560.8374999999996</x:v>
      </x:c>
      <x:c r="W520" s="20" t="n">
        <x:f>R520+V520</x:f>
        <x:v>36035.8375</x:v>
      </x:c>
      <x:c r="X520" s="14" t="str">
        <x:f>IF(ABS(W520-SUM(M520:Q520)-V520)&lt;0.01,"OK","Check")</x:f>
        <x:v>OK</x:v>
      </x:c>
    </x:row>
    <x:row r="521">
      <x:c r="A521" s="14" t="n">
        <x:v>2027</x:v>
      </x:c>
      <x:c r="B521" s="14" t="str">
        <x:v>Q4</x:v>
      </x:c>
      <x:c r="C521" s="14" t="n">
        <x:v>4</x:v>
      </x:c>
      <x:c r="D521" s="14" t="n">
        <x:v>26</x:v>
      </x:c>
      <x:c r="E521" s="14" t="str">
        <x:f>INDEX(Roster!$B$6:$B$108,MATCH(D521,Roster!$A$6:$A$108,0))</x:f>
      </x:c>
      <x:c r="F521" s="14" t="str">
        <x:f>INDEX(Roster!$F$6:$F$108,MATCH(D521,Roster!$A$6:$A$108,0))</x:f>
        <x:v>No</x:v>
      </x:c>
      <x:c r="G521" s="14" t="n">
        <x:f>INDEX(Inputs!$B$7:$D$7,1,MATCH(A521,Inputs!$B$6:$D$6,0))</x:f>
        <x:v>13</x:v>
      </x:c>
      <x:c r="H521" s="14" t="n">
        <x:f>MIN(=INDEX(Inputs!$B$7:$D$7,1,MATCH(A521,Inputs!$B$6:$D$6,0)),MAX(0,INDEX(Inputs!$B$14:$D$14,1,MATCH(A521,Inputs!$B$6:$D$6,0))-(C521-1)*=INDEX(Inputs!$B$7:$D$7,1,MATCH(A521,Inputs!$B$6:$D$6,0))))</x:f>
        <x:v>0</x:v>
      </x:c>
      <x:c r="I521" s="20" t="n">
        <x:f>INDEX(Inputs!$B$8:$D$8,1,MATCH(A521,Inputs!$B$6:$D$6,0))</x:f>
        <x:v>2395</x:v>
      </x:c>
      <x:c r="J521" s="20" t="n">
        <x:f>INDEX(Roster!$C$6:$C$108,MATCH(D521,Roster!$A$6:$A$108,0))*(1+INDEX(Inputs!$B$9:$D$9,1,MATCH(A521,Inputs!$B$6:$D$6,0)))</x:f>
        <x:v>60</x:v>
      </x:c>
      <x:c r="K521" s="20" t="n">
        <x:f>IF(=INDEX(Roster!$F$6:$F$108,MATCH(D521,Roster!$A$6:$A$108,0))="Yes",0,=INDEX(Inputs!$B$8:$D$8,1,MATCH(A521,Inputs!$B$6:$D$6,0))*IF(=INDEX(Roster!$B$6:$B$108,MATCH(D521,Roster!$A$6:$A$108,0))="Principal",INDEX(Inputs!$B$10:$D$10,1,MATCH(A521,Inputs!$B$6:$D$6,0)),IF(=INDEX(Roster!$B$6:$B$108,MATCH(D521,Roster!$A$6:$A$108,0))="Associate Principal",INDEX(Inputs!$B$11:$D$11,1,MATCH(A521,Inputs!$B$6:$D$6,0)),IF(=INDEX(Roster!$B$6:$B$108,MATCH(D521,Roster!$A$6:$A$108,0))="Assistant Principal",INDEX(Inputs!$B$12:$D$12,1,MATCH(A521,Inputs!$B$6:$D$6,0)),0))))</x:f>
        <x:v>0</x:v>
      </x:c>
      <x:c r="L521" s="20" t="n">
        <x:f>IF(INDEX(Roster!$D$6:$D$108,MATCH(D521,Roster!$A$6:$A$108,0))&gt;=25,INDEX(Inputs!$B$19:$D$19,1,MATCH(A521,Inputs!$B$6:$D$6,0)),IF(INDEX(Roster!$D$6:$D$108,MATCH(D521,Roster!$A$6:$A$108,0))&gt;=20,INDEX(Inputs!$B$18:$D$18,1,MATCH(A521,Inputs!$B$6:$D$6,0)),IF(INDEX(Roster!$D$6:$D$108,MATCH(D521,Roster!$A$6:$A$108,0))&gt;=15,INDEX(Inputs!$B$17:$D$17,1,MATCH(A521,Inputs!$B$6:$D$6,0)),IF(INDEX(Roster!$D$6:$D$108,MATCH(D521,Roster!$A$6:$A$108,0))&gt;=10,INDEX(Inputs!$B$16:$D$16,1,MATCH(A521,Inputs!$B$6:$D$6,0)),IF(INDEX(Roster!$D$6:$D$108,MATCH(D521,Roster!$A$6:$A$108,0))&gt;=5,INDEX(Inputs!$B$15:$D$15,1,MATCH(A521,Inputs!$B$6:$D$6,0)),0)))))</x:f>
        <x:v>90</x:v>
      </x:c>
      <x:c r="M521" s="20" t="n">
        <x:f>G521*I521</x:f>
        <x:v>31135</x:v>
      </x:c>
      <x:c r="N521" s="20" t="n">
        <x:f>G521*J521</x:f>
        <x:v>780</x:v>
      </x:c>
      <x:c r="O521" s="20" t="n">
        <x:f>G521*K521</x:f>
        <x:v>0</x:v>
      </x:c>
      <x:c r="P521" s="20" t="n">
        <x:f>G521*L521</x:f>
        <x:v>1170</x:v>
      </x:c>
      <x:c r="Q521" s="20" t="n">
        <x:f>H521*INDEX(Inputs!$B$13:$D$13,1,MATCH(A521,Inputs!$B$6:$D$6,0))</x:f>
        <x:v>0</x:v>
      </x:c>
      <x:c r="R521" s="20" t="n">
        <x:f>SUM(M521:Q521)</x:f>
        <x:v>33085</x:v>
      </x:c>
      <x:c r="S521" s="20" t="n">
        <x:f>IF(AND(A520=A521,D520=D521),S520+R521,R521)</x:f>
        <x:v>133510</x:v>
      </x:c>
      <x:c r="T521" s="20" t="n">
        <x:f>MIN(S521,INDEX(Inputs!$B$20:$D$20,1,MATCH(A521,Inputs!$B$6:$D$6,0)))*INDEX(Inputs!$B$22:$D$22,1,MATCH(A521,Inputs!$B$6:$D$6,0))+MAX(MIN(S521,INDEX(Inputs!$B$21:$D$21,1,MATCH(A521,Inputs!$B$6:$D$6,0)))-INDEX(Inputs!$B$20:$D$20,1,MATCH(A521,Inputs!$B$6:$D$6,0)),0)*INDEX(Inputs!$B$23:$D$23,1,MATCH(A521,Inputs!$B$6:$D$6,0))+MAX(S521-INDEX(Inputs!$B$21:$D$21,1,MATCH(A521,Inputs!$B$6:$D$6,0)),0)*INDEX(Inputs!$B$24:$D$24,1,MATCH(A521,Inputs!$B$6:$D$6,0))</x:f>
        <x:v>9849.837</x:v>
      </x:c>
      <x:c r="U521" s="20" t="n">
        <x:f>IF(AND(A520=A521,D520=D521),T520,0)</x:f>
        <x:v>8172.5125</x:v>
      </x:c>
      <x:c r="V521" s="20" t="n">
        <x:f>T521-U521</x:f>
        <x:v>1677.3244999999997</x:v>
      </x:c>
      <x:c r="W521" s="20" t="n">
        <x:f>R521+V521</x:f>
        <x:v>34762.3245</x:v>
      </x:c>
      <x:c r="X521" s="14" t="str">
        <x:f>IF(ABS(W521-SUM(M521:Q521)-V521)&lt;0.01,"OK","Check")</x:f>
        <x:v>OK</x:v>
      </x:c>
    </x:row>
    <x:row r="522">
      <x:c r="A522" s="14" t="n">
        <x:v>2027</x:v>
      </x:c>
      <x:c r="B522" s="14" t="str">
        <x:v>Q1</x:v>
      </x:c>
      <x:c r="C522" s="14" t="n">
        <x:v>1</x:v>
      </x:c>
      <x:c r="D522" s="14" t="n">
        <x:v>27</x:v>
      </x:c>
      <x:c r="E522" s="14" t="str">
        <x:f>INDEX(Roster!$B$6:$B$108,MATCH(D522,Roster!$A$6:$A$108,0))</x:f>
        <x:v>Assistant Principal</x:v>
      </x:c>
      <x:c r="F522" s="14" t="str">
        <x:f>INDEX(Roster!$F$6:$F$108,MATCH(D522,Roster!$A$6:$A$108,0))</x:f>
        <x:v>No</x:v>
      </x:c>
      <x:c r="G522" s="14" t="n">
        <x:f>INDEX(Inputs!$B$7:$D$7,1,MATCH(A522,Inputs!$B$6:$D$6,0))</x:f>
        <x:v>13</x:v>
      </x:c>
      <x:c r="H522" s="14" t="n">
        <x:f>MIN(=INDEX(Inputs!$B$7:$D$7,1,MATCH(A522,Inputs!$B$6:$D$6,0)),MAX(0,INDEX(Inputs!$B$14:$D$14,1,MATCH(A522,Inputs!$B$6:$D$6,0))-(C522-1)*=INDEX(Inputs!$B$7:$D$7,1,MATCH(A522,Inputs!$B$6:$D$6,0))))</x:f>
        <x:v>13</x:v>
      </x:c>
      <x:c r="I522" s="20" t="n">
        <x:f>INDEX(Inputs!$B$8:$D$8,1,MATCH(A522,Inputs!$B$6:$D$6,0))</x:f>
        <x:v>2395</x:v>
      </x:c>
      <x:c r="J522" s="20" t="n">
        <x:f>INDEX(Roster!$C$6:$C$108,MATCH(D522,Roster!$A$6:$A$108,0))*(1+INDEX(Inputs!$B$9:$D$9,1,MATCH(A522,Inputs!$B$6:$D$6,0)))</x:f>
        <x:v>0</x:v>
      </x:c>
      <x:c r="K522" s="20" t="n">
        <x:f>IF(=INDEX(Roster!$F$6:$F$108,MATCH(D522,Roster!$A$6:$A$108,0))="Yes",0,=INDEX(Inputs!$B$8:$D$8,1,MATCH(A522,Inputs!$B$6:$D$6,0))*IF(=INDEX(Roster!$B$6:$B$108,MATCH(D522,Roster!$A$6:$A$108,0))="Principal",INDEX(Inputs!$B$10:$D$10,1,MATCH(A522,Inputs!$B$6:$D$6,0)),IF(=INDEX(Roster!$B$6:$B$108,MATCH(D522,Roster!$A$6:$A$108,0))="Associate Principal",INDEX(Inputs!$B$11:$D$11,1,MATCH(A522,Inputs!$B$6:$D$6,0)),IF(=INDEX(Roster!$B$6:$B$108,MATCH(D522,Roster!$A$6:$A$108,0))="Assistant Principal",INDEX(Inputs!$B$12:$D$12,1,MATCH(A522,Inputs!$B$6:$D$6,0)),0))))</x:f>
        <x:v>239.5</x:v>
      </x:c>
      <x:c r="L522" s="20" t="n">
        <x:f>IF(INDEX(Roster!$D$6:$D$108,MATCH(D522,Roster!$A$6:$A$108,0))&gt;=25,INDEX(Inputs!$B$19:$D$19,1,MATCH(A522,Inputs!$B$6:$D$6,0)),IF(INDEX(Roster!$D$6:$D$108,MATCH(D522,Roster!$A$6:$A$108,0))&gt;=20,INDEX(Inputs!$B$18:$D$18,1,MATCH(A522,Inputs!$B$6:$D$6,0)),IF(INDEX(Roster!$D$6:$D$108,MATCH(D522,Roster!$A$6:$A$108,0))&gt;=15,INDEX(Inputs!$B$17:$D$17,1,MATCH(A522,Inputs!$B$6:$D$6,0)),IF(INDEX(Roster!$D$6:$D$108,MATCH(D522,Roster!$A$6:$A$108,0))&gt;=10,INDEX(Inputs!$B$16:$D$16,1,MATCH(A522,Inputs!$B$6:$D$6,0)),IF(INDEX(Roster!$D$6:$D$108,MATCH(D522,Roster!$A$6:$A$108,0))&gt;=5,INDEX(Inputs!$B$15:$D$15,1,MATCH(A522,Inputs!$B$6:$D$6,0)),0)))))</x:f>
        <x:v>0</x:v>
      </x:c>
      <x:c r="M522" s="20" t="n">
        <x:f>G522*I522</x:f>
        <x:v>31135</x:v>
      </x:c>
      <x:c r="N522" s="20" t="n">
        <x:f>G522*J522</x:f>
        <x:v>0</x:v>
      </x:c>
      <x:c r="O522" s="20" t="n">
        <x:f>G522*K522</x:f>
        <x:v>3113.5</x:v>
      </x:c>
      <x:c r="P522" s="20" t="n">
        <x:f>G522*L522</x:f>
        <x:v>0</x:v>
      </x:c>
      <x:c r="Q522" s="20" t="n">
        <x:f>H522*INDEX(Inputs!$B$13:$D$13,1,MATCH(A522,Inputs!$B$6:$D$6,0))</x:f>
        <x:v>390</x:v>
      </x:c>
      <x:c r="R522" s="20" t="n">
        <x:f>SUM(M522:Q522)</x:f>
        <x:v>34638.5</x:v>
      </x:c>
      <x:c r="S522" s="20" t="n">
        <x:f>IF(AND(A521=A522,D521=D522),S521+R522,R522)</x:f>
        <x:v>34638.5</x:v>
      </x:c>
      <x:c r="T522" s="20" t="n">
        <x:f>MIN(S522,INDEX(Inputs!$B$20:$D$20,1,MATCH(A522,Inputs!$B$6:$D$6,0)))*INDEX(Inputs!$B$22:$D$22,1,MATCH(A522,Inputs!$B$6:$D$6,0))+MAX(MIN(S522,INDEX(Inputs!$B$21:$D$21,1,MATCH(A522,Inputs!$B$6:$D$6,0)))-INDEX(Inputs!$B$20:$D$20,1,MATCH(A522,Inputs!$B$6:$D$6,0)),0)*INDEX(Inputs!$B$23:$D$23,1,MATCH(A522,Inputs!$B$6:$D$6,0))+MAX(S522-INDEX(Inputs!$B$21:$D$21,1,MATCH(A522,Inputs!$B$6:$D$6,0)),0)*INDEX(Inputs!$B$24:$D$24,1,MATCH(A522,Inputs!$B$6:$D$6,0))</x:f>
        <x:v>3139.84525</x:v>
      </x:c>
      <x:c r="U522" s="20" t="n">
        <x:f>IF(AND(A521=A522,D521=D522),T521,0)</x:f>
        <x:v>0</x:v>
      </x:c>
      <x:c r="V522" s="20" t="n">
        <x:f>T522-U522</x:f>
        <x:v>3139.84525</x:v>
      </x:c>
      <x:c r="W522" s="20" t="n">
        <x:f>R522+V522</x:f>
        <x:v>37778.34525</x:v>
      </x:c>
      <x:c r="X522" s="14" t="str">
        <x:f>IF(ABS(W522-SUM(M522:Q522)-V522)&lt;0.01,"OK","Check")</x:f>
        <x:v>OK</x:v>
      </x:c>
    </x:row>
    <x:row r="523">
      <x:c r="A523" s="14" t="n">
        <x:v>2027</x:v>
      </x:c>
      <x:c r="B523" s="14" t="str">
        <x:v>Q2</x:v>
      </x:c>
      <x:c r="C523" s="14" t="n">
        <x:v>2</x:v>
      </x:c>
      <x:c r="D523" s="14" t="n">
        <x:v>27</x:v>
      </x:c>
      <x:c r="E523" s="14" t="str">
        <x:f>INDEX(Roster!$B$6:$B$108,MATCH(D523,Roster!$A$6:$A$108,0))</x:f>
        <x:v>Assistant Principal</x:v>
      </x:c>
      <x:c r="F523" s="14" t="str">
        <x:f>INDEX(Roster!$F$6:$F$108,MATCH(D523,Roster!$A$6:$A$108,0))</x:f>
        <x:v>No</x:v>
      </x:c>
      <x:c r="G523" s="14" t="n">
        <x:f>INDEX(Inputs!$B$7:$D$7,1,MATCH(A523,Inputs!$B$6:$D$6,0))</x:f>
        <x:v>13</x:v>
      </x:c>
      <x:c r="H523" s="14" t="n">
        <x:f>MIN(=INDEX(Inputs!$B$7:$D$7,1,MATCH(A523,Inputs!$B$6:$D$6,0)),MAX(0,INDEX(Inputs!$B$14:$D$14,1,MATCH(A523,Inputs!$B$6:$D$6,0))-(C523-1)*=INDEX(Inputs!$B$7:$D$7,1,MATCH(A523,Inputs!$B$6:$D$6,0))))</x:f>
        <x:v>13</x:v>
      </x:c>
      <x:c r="I523" s="20" t="n">
        <x:f>INDEX(Inputs!$B$8:$D$8,1,MATCH(A523,Inputs!$B$6:$D$6,0))</x:f>
        <x:v>2395</x:v>
      </x:c>
      <x:c r="J523" s="20" t="n">
        <x:f>INDEX(Roster!$C$6:$C$108,MATCH(D523,Roster!$A$6:$A$108,0))*(1+INDEX(Inputs!$B$9:$D$9,1,MATCH(A523,Inputs!$B$6:$D$6,0)))</x:f>
        <x:v>0</x:v>
      </x:c>
      <x:c r="K523" s="20" t="n">
        <x:f>IF(=INDEX(Roster!$F$6:$F$108,MATCH(D523,Roster!$A$6:$A$108,0))="Yes",0,=INDEX(Inputs!$B$8:$D$8,1,MATCH(A523,Inputs!$B$6:$D$6,0))*IF(=INDEX(Roster!$B$6:$B$108,MATCH(D523,Roster!$A$6:$A$108,0))="Principal",INDEX(Inputs!$B$10:$D$10,1,MATCH(A523,Inputs!$B$6:$D$6,0)),IF(=INDEX(Roster!$B$6:$B$108,MATCH(D523,Roster!$A$6:$A$108,0))="Associate Principal",INDEX(Inputs!$B$11:$D$11,1,MATCH(A523,Inputs!$B$6:$D$6,0)),IF(=INDEX(Roster!$B$6:$B$108,MATCH(D523,Roster!$A$6:$A$108,0))="Assistant Principal",INDEX(Inputs!$B$12:$D$12,1,MATCH(A523,Inputs!$B$6:$D$6,0)),0))))</x:f>
        <x:v>239.5</x:v>
      </x:c>
      <x:c r="L523" s="20" t="n">
        <x:f>IF(INDEX(Roster!$D$6:$D$108,MATCH(D523,Roster!$A$6:$A$108,0))&gt;=25,INDEX(Inputs!$B$19:$D$19,1,MATCH(A523,Inputs!$B$6:$D$6,0)),IF(INDEX(Roster!$D$6:$D$108,MATCH(D523,Roster!$A$6:$A$108,0))&gt;=20,INDEX(Inputs!$B$18:$D$18,1,MATCH(A523,Inputs!$B$6:$D$6,0)),IF(INDEX(Roster!$D$6:$D$108,MATCH(D523,Roster!$A$6:$A$108,0))&gt;=15,INDEX(Inputs!$B$17:$D$17,1,MATCH(A523,Inputs!$B$6:$D$6,0)),IF(INDEX(Roster!$D$6:$D$108,MATCH(D523,Roster!$A$6:$A$108,0))&gt;=10,INDEX(Inputs!$B$16:$D$16,1,MATCH(A523,Inputs!$B$6:$D$6,0)),IF(INDEX(Roster!$D$6:$D$108,MATCH(D523,Roster!$A$6:$A$108,0))&gt;=5,INDEX(Inputs!$B$15:$D$15,1,MATCH(A523,Inputs!$B$6:$D$6,0)),0)))))</x:f>
        <x:v>0</x:v>
      </x:c>
      <x:c r="M523" s="20" t="n">
        <x:f>G523*I523</x:f>
        <x:v>31135</x:v>
      </x:c>
      <x:c r="N523" s="20" t="n">
        <x:f>G523*J523</x:f>
        <x:v>0</x:v>
      </x:c>
      <x:c r="O523" s="20" t="n">
        <x:f>G523*K523</x:f>
        <x:v>3113.5</x:v>
      </x:c>
      <x:c r="P523" s="20" t="n">
        <x:f>G523*L523</x:f>
        <x:v>0</x:v>
      </x:c>
      <x:c r="Q523" s="20" t="n">
        <x:f>H523*INDEX(Inputs!$B$13:$D$13,1,MATCH(A523,Inputs!$B$6:$D$6,0))</x:f>
        <x:v>390</x:v>
      </x:c>
      <x:c r="R523" s="20" t="n">
        <x:f>SUM(M523:Q523)</x:f>
        <x:v>34638.5</x:v>
      </x:c>
      <x:c r="S523" s="20" t="n">
        <x:f>IF(AND(A522=A523,D522=D523),S522+R523,R523)</x:f>
        <x:v>69277</x:v>
      </x:c>
      <x:c r="T523" s="20" t="n">
        <x:f>MIN(S523,INDEX(Inputs!$B$20:$D$20,1,MATCH(A523,Inputs!$B$6:$D$6,0)))*INDEX(Inputs!$B$22:$D$22,1,MATCH(A523,Inputs!$B$6:$D$6,0))+MAX(MIN(S523,INDEX(Inputs!$B$21:$D$21,1,MATCH(A523,Inputs!$B$6:$D$6,0)))-INDEX(Inputs!$B$20:$D$20,1,MATCH(A523,Inputs!$B$6:$D$6,0)),0)*INDEX(Inputs!$B$23:$D$23,1,MATCH(A523,Inputs!$B$6:$D$6,0))+MAX(S523-INDEX(Inputs!$B$21:$D$21,1,MATCH(A523,Inputs!$B$6:$D$6,0)),0)*INDEX(Inputs!$B$24:$D$24,1,MATCH(A523,Inputs!$B$6:$D$6,0))</x:f>
        <x:v>5789.6905</x:v>
      </x:c>
      <x:c r="U523" s="20" t="n">
        <x:f>IF(AND(A522=A523,D522=D523),T522,0)</x:f>
        <x:v>3139.84525</x:v>
      </x:c>
      <x:c r="V523" s="20" t="n">
        <x:f>T523-U523</x:f>
        <x:v>2649.84525</x:v>
      </x:c>
      <x:c r="W523" s="20" t="n">
        <x:f>R523+V523</x:f>
        <x:v>37288.34525</x:v>
      </x:c>
      <x:c r="X523" s="14" t="str">
        <x:f>IF(ABS(W523-SUM(M523:Q523)-V523)&lt;0.01,"OK","Check")</x:f>
        <x:v>OK</x:v>
      </x:c>
    </x:row>
    <x:row r="524">
      <x:c r="A524" s="14" t="n">
        <x:v>2027</x:v>
      </x:c>
      <x:c r="B524" s="14" t="str">
        <x:v>Q3</x:v>
      </x:c>
      <x:c r="C524" s="14" t="n">
        <x:v>3</x:v>
      </x:c>
      <x:c r="D524" s="14" t="n">
        <x:v>27</x:v>
      </x:c>
      <x:c r="E524" s="14" t="str">
        <x:f>INDEX(Roster!$B$6:$B$108,MATCH(D524,Roster!$A$6:$A$108,0))</x:f>
        <x:v>Assistant Principal</x:v>
      </x:c>
      <x:c r="F524" s="14" t="str">
        <x:f>INDEX(Roster!$F$6:$F$108,MATCH(D524,Roster!$A$6:$A$108,0))</x:f>
        <x:v>No</x:v>
      </x:c>
      <x:c r="G524" s="14" t="n">
        <x:f>INDEX(Inputs!$B$7:$D$7,1,MATCH(A524,Inputs!$B$6:$D$6,0))</x:f>
        <x:v>13</x:v>
      </x:c>
      <x:c r="H524" s="14" t="n">
        <x:f>MIN(=INDEX(Inputs!$B$7:$D$7,1,MATCH(A524,Inputs!$B$6:$D$6,0)),MAX(0,INDEX(Inputs!$B$14:$D$14,1,MATCH(A524,Inputs!$B$6:$D$6,0))-(C524-1)*=INDEX(Inputs!$B$7:$D$7,1,MATCH(A524,Inputs!$B$6:$D$6,0))))</x:f>
        <x:v>13</x:v>
      </x:c>
      <x:c r="I524" s="20" t="n">
        <x:f>INDEX(Inputs!$B$8:$D$8,1,MATCH(A524,Inputs!$B$6:$D$6,0))</x:f>
        <x:v>2395</x:v>
      </x:c>
      <x:c r="J524" s="20" t="n">
        <x:f>INDEX(Roster!$C$6:$C$108,MATCH(D524,Roster!$A$6:$A$108,0))*(1+INDEX(Inputs!$B$9:$D$9,1,MATCH(A524,Inputs!$B$6:$D$6,0)))</x:f>
        <x:v>0</x:v>
      </x:c>
      <x:c r="K524" s="20" t="n">
        <x:f>IF(=INDEX(Roster!$F$6:$F$108,MATCH(D524,Roster!$A$6:$A$108,0))="Yes",0,=INDEX(Inputs!$B$8:$D$8,1,MATCH(A524,Inputs!$B$6:$D$6,0))*IF(=INDEX(Roster!$B$6:$B$108,MATCH(D524,Roster!$A$6:$A$108,0))="Principal",INDEX(Inputs!$B$10:$D$10,1,MATCH(A524,Inputs!$B$6:$D$6,0)),IF(=INDEX(Roster!$B$6:$B$108,MATCH(D524,Roster!$A$6:$A$108,0))="Associate Principal",INDEX(Inputs!$B$11:$D$11,1,MATCH(A524,Inputs!$B$6:$D$6,0)),IF(=INDEX(Roster!$B$6:$B$108,MATCH(D524,Roster!$A$6:$A$108,0))="Assistant Principal",INDEX(Inputs!$B$12:$D$12,1,MATCH(A524,Inputs!$B$6:$D$6,0)),0))))</x:f>
        <x:v>239.5</x:v>
      </x:c>
      <x:c r="L524" s="20" t="n">
        <x:f>IF(INDEX(Roster!$D$6:$D$108,MATCH(D524,Roster!$A$6:$A$108,0))&gt;=25,INDEX(Inputs!$B$19:$D$19,1,MATCH(A524,Inputs!$B$6:$D$6,0)),IF(INDEX(Roster!$D$6:$D$108,MATCH(D524,Roster!$A$6:$A$108,0))&gt;=20,INDEX(Inputs!$B$18:$D$18,1,MATCH(A524,Inputs!$B$6:$D$6,0)),IF(INDEX(Roster!$D$6:$D$108,MATCH(D524,Roster!$A$6:$A$108,0))&gt;=15,INDEX(Inputs!$B$17:$D$17,1,MATCH(A524,Inputs!$B$6:$D$6,0)),IF(INDEX(Roster!$D$6:$D$108,MATCH(D524,Roster!$A$6:$A$108,0))&gt;=10,INDEX(Inputs!$B$16:$D$16,1,MATCH(A524,Inputs!$B$6:$D$6,0)),IF(INDEX(Roster!$D$6:$D$108,MATCH(D524,Roster!$A$6:$A$108,0))&gt;=5,INDEX(Inputs!$B$15:$D$15,1,MATCH(A524,Inputs!$B$6:$D$6,0)),0)))))</x:f>
        <x:v>0</x:v>
      </x:c>
      <x:c r="M524" s="20" t="n">
        <x:f>G524*I524</x:f>
        <x:v>31135</x:v>
      </x:c>
      <x:c r="N524" s="20" t="n">
        <x:f>G524*J524</x:f>
        <x:v>0</x:v>
      </x:c>
      <x:c r="O524" s="20" t="n">
        <x:f>G524*K524</x:f>
        <x:v>3113.5</x:v>
      </x:c>
      <x:c r="P524" s="20" t="n">
        <x:f>G524*L524</x:f>
        <x:v>0</x:v>
      </x:c>
      <x:c r="Q524" s="20" t="n">
        <x:f>H524*INDEX(Inputs!$B$13:$D$13,1,MATCH(A524,Inputs!$B$6:$D$6,0))</x:f>
        <x:v>390</x:v>
      </x:c>
      <x:c r="R524" s="20" t="n">
        <x:f>SUM(M524:Q524)</x:f>
        <x:v>34638.5</x:v>
      </x:c>
      <x:c r="S524" s="20" t="n">
        <x:f>IF(AND(A523=A524,D523=D524),S523+R524,R524)</x:f>
        <x:v>103915.5</x:v>
      </x:c>
      <x:c r="T524" s="20" t="n">
        <x:f>MIN(S524,INDEX(Inputs!$B$20:$D$20,1,MATCH(A524,Inputs!$B$6:$D$6,0)))*INDEX(Inputs!$B$22:$D$22,1,MATCH(A524,Inputs!$B$6:$D$6,0))+MAX(MIN(S524,INDEX(Inputs!$B$21:$D$21,1,MATCH(A524,Inputs!$B$6:$D$6,0)))-INDEX(Inputs!$B$20:$D$20,1,MATCH(A524,Inputs!$B$6:$D$6,0)),0)*INDEX(Inputs!$B$23:$D$23,1,MATCH(A524,Inputs!$B$6:$D$6,0))+MAX(S524-INDEX(Inputs!$B$21:$D$21,1,MATCH(A524,Inputs!$B$6:$D$6,0)),0)*INDEX(Inputs!$B$24:$D$24,1,MATCH(A524,Inputs!$B$6:$D$6,0))</x:f>
        <x:v>8439.53575</x:v>
      </x:c>
      <x:c r="U524" s="20" t="n">
        <x:f>IF(AND(A523=A524,D523=D524),T523,0)</x:f>
        <x:v>5789.6905</x:v>
      </x:c>
      <x:c r="V524" s="20" t="n">
        <x:f>T524-U524</x:f>
        <x:v>2649.8452499999994</x:v>
      </x:c>
      <x:c r="W524" s="20" t="n">
        <x:f>R524+V524</x:f>
        <x:v>37288.34525</x:v>
      </x:c>
      <x:c r="X524" s="14" t="str">
        <x:f>IF(ABS(W524-SUM(M524:Q524)-V524)&lt;0.01,"OK","Check")</x:f>
        <x:v>OK</x:v>
      </x:c>
    </x:row>
    <x:row r="525">
      <x:c r="A525" s="14" t="n">
        <x:v>2027</x:v>
      </x:c>
      <x:c r="B525" s="14" t="str">
        <x:v>Q4</x:v>
      </x:c>
      <x:c r="C525" s="14" t="n">
        <x:v>4</x:v>
      </x:c>
      <x:c r="D525" s="14" t="n">
        <x:v>27</x:v>
      </x:c>
      <x:c r="E525" s="14" t="str">
        <x:f>INDEX(Roster!$B$6:$B$108,MATCH(D525,Roster!$A$6:$A$108,0))</x:f>
        <x:v>Assistant Principal</x:v>
      </x:c>
      <x:c r="F525" s="14" t="str">
        <x:f>INDEX(Roster!$F$6:$F$108,MATCH(D525,Roster!$A$6:$A$108,0))</x:f>
        <x:v>No</x:v>
      </x:c>
      <x:c r="G525" s="14" t="n">
        <x:f>INDEX(Inputs!$B$7:$D$7,1,MATCH(A525,Inputs!$B$6:$D$6,0))</x:f>
        <x:v>13</x:v>
      </x:c>
      <x:c r="H525" s="14" t="n">
        <x:f>MIN(=INDEX(Inputs!$B$7:$D$7,1,MATCH(A525,Inputs!$B$6:$D$6,0)),MAX(0,INDEX(Inputs!$B$14:$D$14,1,MATCH(A525,Inputs!$B$6:$D$6,0))-(C525-1)*=INDEX(Inputs!$B$7:$D$7,1,MATCH(A525,Inputs!$B$6:$D$6,0))))</x:f>
        <x:v>0</x:v>
      </x:c>
      <x:c r="I525" s="20" t="n">
        <x:f>INDEX(Inputs!$B$8:$D$8,1,MATCH(A525,Inputs!$B$6:$D$6,0))</x:f>
        <x:v>2395</x:v>
      </x:c>
      <x:c r="J525" s="20" t="n">
        <x:f>INDEX(Roster!$C$6:$C$108,MATCH(D525,Roster!$A$6:$A$108,0))*(1+INDEX(Inputs!$B$9:$D$9,1,MATCH(A525,Inputs!$B$6:$D$6,0)))</x:f>
        <x:v>0</x:v>
      </x:c>
      <x:c r="K525" s="20" t="n">
        <x:f>IF(=INDEX(Roster!$F$6:$F$108,MATCH(D525,Roster!$A$6:$A$108,0))="Yes",0,=INDEX(Inputs!$B$8:$D$8,1,MATCH(A525,Inputs!$B$6:$D$6,0))*IF(=INDEX(Roster!$B$6:$B$108,MATCH(D525,Roster!$A$6:$A$108,0))="Principal",INDEX(Inputs!$B$10:$D$10,1,MATCH(A525,Inputs!$B$6:$D$6,0)),IF(=INDEX(Roster!$B$6:$B$108,MATCH(D525,Roster!$A$6:$A$108,0))="Associate Principal",INDEX(Inputs!$B$11:$D$11,1,MATCH(A525,Inputs!$B$6:$D$6,0)),IF(=INDEX(Roster!$B$6:$B$108,MATCH(D525,Roster!$A$6:$A$108,0))="Assistant Principal",INDEX(Inputs!$B$12:$D$12,1,MATCH(A525,Inputs!$B$6:$D$6,0)),0))))</x:f>
        <x:v>239.5</x:v>
      </x:c>
      <x:c r="L525" s="20" t="n">
        <x:f>IF(INDEX(Roster!$D$6:$D$108,MATCH(D525,Roster!$A$6:$A$108,0))&gt;=25,INDEX(Inputs!$B$19:$D$19,1,MATCH(A525,Inputs!$B$6:$D$6,0)),IF(INDEX(Roster!$D$6:$D$108,MATCH(D525,Roster!$A$6:$A$108,0))&gt;=20,INDEX(Inputs!$B$18:$D$18,1,MATCH(A525,Inputs!$B$6:$D$6,0)),IF(INDEX(Roster!$D$6:$D$108,MATCH(D525,Roster!$A$6:$A$108,0))&gt;=15,INDEX(Inputs!$B$17:$D$17,1,MATCH(A525,Inputs!$B$6:$D$6,0)),IF(INDEX(Roster!$D$6:$D$108,MATCH(D525,Roster!$A$6:$A$108,0))&gt;=10,INDEX(Inputs!$B$16:$D$16,1,MATCH(A525,Inputs!$B$6:$D$6,0)),IF(INDEX(Roster!$D$6:$D$108,MATCH(D525,Roster!$A$6:$A$108,0))&gt;=5,INDEX(Inputs!$B$15:$D$15,1,MATCH(A525,Inputs!$B$6:$D$6,0)),0)))))</x:f>
        <x:v>0</x:v>
      </x:c>
      <x:c r="M525" s="20" t="n">
        <x:f>G525*I525</x:f>
        <x:v>31135</x:v>
      </x:c>
      <x:c r="N525" s="20" t="n">
        <x:f>G525*J525</x:f>
        <x:v>0</x:v>
      </x:c>
      <x:c r="O525" s="20" t="n">
        <x:f>G525*K525</x:f>
        <x:v>3113.5</x:v>
      </x:c>
      <x:c r="P525" s="20" t="n">
        <x:f>G525*L525</x:f>
        <x:v>0</x:v>
      </x:c>
      <x:c r="Q525" s="20" t="n">
        <x:f>H525*INDEX(Inputs!$B$13:$D$13,1,MATCH(A525,Inputs!$B$6:$D$6,0))</x:f>
        <x:v>0</x:v>
      </x:c>
      <x:c r="R525" s="20" t="n">
        <x:f>SUM(M525:Q525)</x:f>
        <x:v>34248.5</x:v>
      </x:c>
      <x:c r="S525" s="20" t="n">
        <x:f>IF(AND(A524=A525,D524=D525),S524+R525,R525)</x:f>
        <x:v>138164</x:v>
      </x:c>
      <x:c r="T525" s="20" t="n">
        <x:f>MIN(S525,INDEX(Inputs!$B$20:$D$20,1,MATCH(A525,Inputs!$B$6:$D$6,0)))*INDEX(Inputs!$B$22:$D$22,1,MATCH(A525,Inputs!$B$6:$D$6,0))+MAX(MIN(S525,INDEX(Inputs!$B$21:$D$21,1,MATCH(A525,Inputs!$B$6:$D$6,0)))-INDEX(Inputs!$B$20:$D$20,1,MATCH(A525,Inputs!$B$6:$D$6,0)),0)*INDEX(Inputs!$B$23:$D$23,1,MATCH(A525,Inputs!$B$6:$D$6,0))+MAX(S525-INDEX(Inputs!$B$21:$D$21,1,MATCH(A525,Inputs!$B$6:$D$6,0)),0)*INDEX(Inputs!$B$24:$D$24,1,MATCH(A525,Inputs!$B$6:$D$6,0))</x:f>
        <x:v>9917.32</x:v>
      </x:c>
      <x:c r="U525" s="20" t="n">
        <x:f>IF(AND(A524=A525,D524=D525),T524,0)</x:f>
        <x:v>8439.53575</x:v>
      </x:c>
      <x:c r="V525" s="20" t="n">
        <x:f>T525-U525</x:f>
        <x:v>1477.7842500000006</x:v>
      </x:c>
      <x:c r="W525" s="20" t="n">
        <x:f>R525+V525</x:f>
        <x:v>35726.28425</x:v>
      </x:c>
      <x:c r="X525" s="14" t="str">
        <x:f>IF(ABS(W525-SUM(M525:Q525)-V525)&lt;0.01,"OK","Check")</x:f>
        <x:v>OK</x:v>
      </x:c>
    </x:row>
    <x:row r="526">
      <x:c r="A526" s="14" t="n">
        <x:v>2027</x:v>
      </x:c>
      <x:c r="B526" s="14" t="str">
        <x:v>Q1</x:v>
      </x:c>
      <x:c r="C526" s="14" t="n">
        <x:v>1</x:v>
      </x:c>
      <x:c r="D526" s="14" t="n">
        <x:v>28</x:v>
      </x:c>
      <x:c r="E526" s="14" t="str">
        <x:f>INDEX(Roster!$B$6:$B$108,MATCH(D526,Roster!$A$6:$A$108,0))</x:f>
      </x:c>
      <x:c r="F526" s="14" t="str">
        <x:f>INDEX(Roster!$F$6:$F$108,MATCH(D526,Roster!$A$6:$A$108,0))</x:f>
        <x:v>No</x:v>
      </x:c>
      <x:c r="G526" s="14" t="n">
        <x:f>INDEX(Inputs!$B$7:$D$7,1,MATCH(A526,Inputs!$B$6:$D$6,0))</x:f>
        <x:v>13</x:v>
      </x:c>
      <x:c r="H526" s="14" t="n">
        <x:f>MIN(=INDEX(Inputs!$B$7:$D$7,1,MATCH(A526,Inputs!$B$6:$D$6,0)),MAX(0,INDEX(Inputs!$B$14:$D$14,1,MATCH(A526,Inputs!$B$6:$D$6,0))-(C526-1)*=INDEX(Inputs!$B$7:$D$7,1,MATCH(A526,Inputs!$B$6:$D$6,0))))</x:f>
        <x:v>13</x:v>
      </x:c>
      <x:c r="I526" s="20" t="n">
        <x:f>INDEX(Inputs!$B$8:$D$8,1,MATCH(A526,Inputs!$B$6:$D$6,0))</x:f>
        <x:v>2395</x:v>
      </x:c>
      <x:c r="J526" s="20" t="n">
        <x:f>INDEX(Roster!$C$6:$C$108,MATCH(D526,Roster!$A$6:$A$108,0))*(1+INDEX(Inputs!$B$9:$D$9,1,MATCH(A526,Inputs!$B$6:$D$6,0)))</x:f>
        <x:v>240</x:v>
      </x:c>
      <x:c r="K526" s="20" t="n">
        <x:f>IF(=INDEX(Roster!$F$6:$F$108,MATCH(D526,Roster!$A$6:$A$108,0))="Yes",0,=INDEX(Inputs!$B$8:$D$8,1,MATCH(A526,Inputs!$B$6:$D$6,0))*IF(=INDEX(Roster!$B$6:$B$108,MATCH(D526,Roster!$A$6:$A$108,0))="Principal",INDEX(Inputs!$B$10:$D$10,1,MATCH(A526,Inputs!$B$6:$D$6,0)),IF(=INDEX(Roster!$B$6:$B$108,MATCH(D526,Roster!$A$6:$A$108,0))="Associate Principal",INDEX(Inputs!$B$11:$D$11,1,MATCH(A526,Inputs!$B$6:$D$6,0)),IF(=INDEX(Roster!$B$6:$B$108,MATCH(D526,Roster!$A$6:$A$108,0))="Assistant Principal",INDEX(Inputs!$B$12:$D$12,1,MATCH(A526,Inputs!$B$6:$D$6,0)),0))))</x:f>
        <x:v>0</x:v>
      </x:c>
      <x:c r="L526" s="20" t="n">
        <x:f>IF(INDEX(Roster!$D$6:$D$108,MATCH(D526,Roster!$A$6:$A$108,0))&gt;=25,INDEX(Inputs!$B$19:$D$19,1,MATCH(A526,Inputs!$B$6:$D$6,0)),IF(INDEX(Roster!$D$6:$D$108,MATCH(D526,Roster!$A$6:$A$108,0))&gt;=20,INDEX(Inputs!$B$18:$D$18,1,MATCH(A526,Inputs!$B$6:$D$6,0)),IF(INDEX(Roster!$D$6:$D$108,MATCH(D526,Roster!$A$6:$A$108,0))&gt;=15,INDEX(Inputs!$B$17:$D$17,1,MATCH(A526,Inputs!$B$6:$D$6,0)),IF(INDEX(Roster!$D$6:$D$108,MATCH(D526,Roster!$A$6:$A$108,0))&gt;=10,INDEX(Inputs!$B$16:$D$16,1,MATCH(A526,Inputs!$B$6:$D$6,0)),IF(INDEX(Roster!$D$6:$D$108,MATCH(D526,Roster!$A$6:$A$108,0))&gt;=5,INDEX(Inputs!$B$15:$D$15,1,MATCH(A526,Inputs!$B$6:$D$6,0)),0)))))</x:f>
        <x:v>90</x:v>
      </x:c>
      <x:c r="M526" s="20" t="n">
        <x:f>G526*I526</x:f>
        <x:v>31135</x:v>
      </x:c>
      <x:c r="N526" s="20" t="n">
        <x:f>G526*J526</x:f>
        <x:v>3120</x:v>
      </x:c>
      <x:c r="O526" s="20" t="n">
        <x:f>G526*K526</x:f>
        <x:v>0</x:v>
      </x:c>
      <x:c r="P526" s="20" t="n">
        <x:f>G526*L526</x:f>
        <x:v>1170</x:v>
      </x:c>
      <x:c r="Q526" s="20" t="n">
        <x:f>H526*INDEX(Inputs!$B$13:$D$13,1,MATCH(A526,Inputs!$B$6:$D$6,0))</x:f>
        <x:v>390</x:v>
      </x:c>
      <x:c r="R526" s="20" t="n">
        <x:f>SUM(M526:Q526)</x:f>
        <x:v>35815</x:v>
      </x:c>
      <x:c r="S526" s="20" t="n">
        <x:f>IF(AND(A525=A526,D525=D526),S525+R526,R526)</x:f>
        <x:v>35815</x:v>
      </x:c>
      <x:c r="T526" s="20" t="n">
        <x:f>MIN(S526,INDEX(Inputs!$B$20:$D$20,1,MATCH(A526,Inputs!$B$6:$D$6,0)))*INDEX(Inputs!$B$22:$D$22,1,MATCH(A526,Inputs!$B$6:$D$6,0))+MAX(MIN(S526,INDEX(Inputs!$B$21:$D$21,1,MATCH(A526,Inputs!$B$6:$D$6,0)))-INDEX(Inputs!$B$20:$D$20,1,MATCH(A526,Inputs!$B$6:$D$6,0)),0)*INDEX(Inputs!$B$23:$D$23,1,MATCH(A526,Inputs!$B$6:$D$6,0))+MAX(S526-INDEX(Inputs!$B$21:$D$21,1,MATCH(A526,Inputs!$B$6:$D$6,0)),0)*INDEX(Inputs!$B$24:$D$24,1,MATCH(A526,Inputs!$B$6:$D$6,0))</x:f>
        <x:v>3229.8475</x:v>
      </x:c>
      <x:c r="U526" s="20" t="n">
        <x:f>IF(AND(A525=A526,D525=D526),T525,0)</x:f>
        <x:v>0</x:v>
      </x:c>
      <x:c r="V526" s="20" t="n">
        <x:f>T526-U526</x:f>
        <x:v>3229.8475</x:v>
      </x:c>
      <x:c r="W526" s="20" t="n">
        <x:f>R526+V526</x:f>
        <x:v>39044.8475</x:v>
      </x:c>
      <x:c r="X526" s="14" t="str">
        <x:f>IF(ABS(W526-SUM(M526:Q526)-V526)&lt;0.01,"OK","Check")</x:f>
        <x:v>OK</x:v>
      </x:c>
    </x:row>
    <x:row r="527">
      <x:c r="A527" s="14" t="n">
        <x:v>2027</x:v>
      </x:c>
      <x:c r="B527" s="14" t="str">
        <x:v>Q2</x:v>
      </x:c>
      <x:c r="C527" s="14" t="n">
        <x:v>2</x:v>
      </x:c>
      <x:c r="D527" s="14" t="n">
        <x:v>28</x:v>
      </x:c>
      <x:c r="E527" s="14" t="str">
        <x:f>INDEX(Roster!$B$6:$B$108,MATCH(D527,Roster!$A$6:$A$108,0))</x:f>
      </x:c>
      <x:c r="F527" s="14" t="str">
        <x:f>INDEX(Roster!$F$6:$F$108,MATCH(D527,Roster!$A$6:$A$108,0))</x:f>
        <x:v>No</x:v>
      </x:c>
      <x:c r="G527" s="14" t="n">
        <x:f>INDEX(Inputs!$B$7:$D$7,1,MATCH(A527,Inputs!$B$6:$D$6,0))</x:f>
        <x:v>13</x:v>
      </x:c>
      <x:c r="H527" s="14" t="n">
        <x:f>MIN(=INDEX(Inputs!$B$7:$D$7,1,MATCH(A527,Inputs!$B$6:$D$6,0)),MAX(0,INDEX(Inputs!$B$14:$D$14,1,MATCH(A527,Inputs!$B$6:$D$6,0))-(C527-1)*=INDEX(Inputs!$B$7:$D$7,1,MATCH(A527,Inputs!$B$6:$D$6,0))))</x:f>
        <x:v>13</x:v>
      </x:c>
      <x:c r="I527" s="20" t="n">
        <x:f>INDEX(Inputs!$B$8:$D$8,1,MATCH(A527,Inputs!$B$6:$D$6,0))</x:f>
        <x:v>2395</x:v>
      </x:c>
      <x:c r="J527" s="20" t="n">
        <x:f>INDEX(Roster!$C$6:$C$108,MATCH(D527,Roster!$A$6:$A$108,0))*(1+INDEX(Inputs!$B$9:$D$9,1,MATCH(A527,Inputs!$B$6:$D$6,0)))</x:f>
        <x:v>240</x:v>
      </x:c>
      <x:c r="K527" s="20" t="n">
        <x:f>IF(=INDEX(Roster!$F$6:$F$108,MATCH(D527,Roster!$A$6:$A$108,0))="Yes",0,=INDEX(Inputs!$B$8:$D$8,1,MATCH(A527,Inputs!$B$6:$D$6,0))*IF(=INDEX(Roster!$B$6:$B$108,MATCH(D527,Roster!$A$6:$A$108,0))="Principal",INDEX(Inputs!$B$10:$D$10,1,MATCH(A527,Inputs!$B$6:$D$6,0)),IF(=INDEX(Roster!$B$6:$B$108,MATCH(D527,Roster!$A$6:$A$108,0))="Associate Principal",INDEX(Inputs!$B$11:$D$11,1,MATCH(A527,Inputs!$B$6:$D$6,0)),IF(=INDEX(Roster!$B$6:$B$108,MATCH(D527,Roster!$A$6:$A$108,0))="Assistant Principal",INDEX(Inputs!$B$12:$D$12,1,MATCH(A527,Inputs!$B$6:$D$6,0)),0))))</x:f>
        <x:v>0</x:v>
      </x:c>
      <x:c r="L527" s="20" t="n">
        <x:f>IF(INDEX(Roster!$D$6:$D$108,MATCH(D527,Roster!$A$6:$A$108,0))&gt;=25,INDEX(Inputs!$B$19:$D$19,1,MATCH(A527,Inputs!$B$6:$D$6,0)),IF(INDEX(Roster!$D$6:$D$108,MATCH(D527,Roster!$A$6:$A$108,0))&gt;=20,INDEX(Inputs!$B$18:$D$18,1,MATCH(A527,Inputs!$B$6:$D$6,0)),IF(INDEX(Roster!$D$6:$D$108,MATCH(D527,Roster!$A$6:$A$108,0))&gt;=15,INDEX(Inputs!$B$17:$D$17,1,MATCH(A527,Inputs!$B$6:$D$6,0)),IF(INDEX(Roster!$D$6:$D$108,MATCH(D527,Roster!$A$6:$A$108,0))&gt;=10,INDEX(Inputs!$B$16:$D$16,1,MATCH(A527,Inputs!$B$6:$D$6,0)),IF(INDEX(Roster!$D$6:$D$108,MATCH(D527,Roster!$A$6:$A$108,0))&gt;=5,INDEX(Inputs!$B$15:$D$15,1,MATCH(A527,Inputs!$B$6:$D$6,0)),0)))))</x:f>
        <x:v>90</x:v>
      </x:c>
      <x:c r="M527" s="20" t="n">
        <x:f>G527*I527</x:f>
        <x:v>31135</x:v>
      </x:c>
      <x:c r="N527" s="20" t="n">
        <x:f>G527*J527</x:f>
        <x:v>3120</x:v>
      </x:c>
      <x:c r="O527" s="20" t="n">
        <x:f>G527*K527</x:f>
        <x:v>0</x:v>
      </x:c>
      <x:c r="P527" s="20" t="n">
        <x:f>G527*L527</x:f>
        <x:v>1170</x:v>
      </x:c>
      <x:c r="Q527" s="20" t="n">
        <x:f>H527*INDEX(Inputs!$B$13:$D$13,1,MATCH(A527,Inputs!$B$6:$D$6,0))</x:f>
        <x:v>390</x:v>
      </x:c>
      <x:c r="R527" s="20" t="n">
        <x:f>SUM(M527:Q527)</x:f>
        <x:v>35815</x:v>
      </x:c>
      <x:c r="S527" s="20" t="n">
        <x:f>IF(AND(A526=A527,D526=D527),S526+R527,R527)</x:f>
        <x:v>71630</x:v>
      </x:c>
      <x:c r="T527" s="20" t="n">
        <x:f>MIN(S527,INDEX(Inputs!$B$20:$D$20,1,MATCH(A527,Inputs!$B$6:$D$6,0)))*INDEX(Inputs!$B$22:$D$22,1,MATCH(A527,Inputs!$B$6:$D$6,0))+MAX(MIN(S527,INDEX(Inputs!$B$21:$D$21,1,MATCH(A527,Inputs!$B$6:$D$6,0)))-INDEX(Inputs!$B$20:$D$20,1,MATCH(A527,Inputs!$B$6:$D$6,0)),0)*INDEX(Inputs!$B$23:$D$23,1,MATCH(A527,Inputs!$B$6:$D$6,0))+MAX(S527-INDEX(Inputs!$B$21:$D$21,1,MATCH(A527,Inputs!$B$6:$D$6,0)),0)*INDEX(Inputs!$B$24:$D$24,1,MATCH(A527,Inputs!$B$6:$D$6,0))</x:f>
        <x:v>5969.695</x:v>
      </x:c>
      <x:c r="U527" s="20" t="n">
        <x:f>IF(AND(A526=A527,D526=D527),T526,0)</x:f>
        <x:v>3229.8475</x:v>
      </x:c>
      <x:c r="V527" s="20" t="n">
        <x:f>T527-U527</x:f>
        <x:v>2739.8475</x:v>
      </x:c>
      <x:c r="W527" s="20" t="n">
        <x:f>R527+V527</x:f>
        <x:v>38554.8475</x:v>
      </x:c>
      <x:c r="X527" s="14" t="str">
        <x:f>IF(ABS(W527-SUM(M527:Q527)-V527)&lt;0.01,"OK","Check")</x:f>
        <x:v>OK</x:v>
      </x:c>
    </x:row>
    <x:row r="528">
      <x:c r="A528" s="14" t="n">
        <x:v>2027</x:v>
      </x:c>
      <x:c r="B528" s="14" t="str">
        <x:v>Q3</x:v>
      </x:c>
      <x:c r="C528" s="14" t="n">
        <x:v>3</x:v>
      </x:c>
      <x:c r="D528" s="14" t="n">
        <x:v>28</x:v>
      </x:c>
      <x:c r="E528" s="14" t="str">
        <x:f>INDEX(Roster!$B$6:$B$108,MATCH(D528,Roster!$A$6:$A$108,0))</x:f>
      </x:c>
      <x:c r="F528" s="14" t="str">
        <x:f>INDEX(Roster!$F$6:$F$108,MATCH(D528,Roster!$A$6:$A$108,0))</x:f>
        <x:v>No</x:v>
      </x:c>
      <x:c r="G528" s="14" t="n">
        <x:f>INDEX(Inputs!$B$7:$D$7,1,MATCH(A528,Inputs!$B$6:$D$6,0))</x:f>
        <x:v>13</x:v>
      </x:c>
      <x:c r="H528" s="14" t="n">
        <x:f>MIN(=INDEX(Inputs!$B$7:$D$7,1,MATCH(A528,Inputs!$B$6:$D$6,0)),MAX(0,INDEX(Inputs!$B$14:$D$14,1,MATCH(A528,Inputs!$B$6:$D$6,0))-(C528-1)*=INDEX(Inputs!$B$7:$D$7,1,MATCH(A528,Inputs!$B$6:$D$6,0))))</x:f>
        <x:v>13</x:v>
      </x:c>
      <x:c r="I528" s="20" t="n">
        <x:f>INDEX(Inputs!$B$8:$D$8,1,MATCH(A528,Inputs!$B$6:$D$6,0))</x:f>
        <x:v>2395</x:v>
      </x:c>
      <x:c r="J528" s="20" t="n">
        <x:f>INDEX(Roster!$C$6:$C$108,MATCH(D528,Roster!$A$6:$A$108,0))*(1+INDEX(Inputs!$B$9:$D$9,1,MATCH(A528,Inputs!$B$6:$D$6,0)))</x:f>
        <x:v>240</x:v>
      </x:c>
      <x:c r="K528" s="20" t="n">
        <x:f>IF(=INDEX(Roster!$F$6:$F$108,MATCH(D528,Roster!$A$6:$A$108,0))="Yes",0,=INDEX(Inputs!$B$8:$D$8,1,MATCH(A528,Inputs!$B$6:$D$6,0))*IF(=INDEX(Roster!$B$6:$B$108,MATCH(D528,Roster!$A$6:$A$108,0))="Principal",INDEX(Inputs!$B$10:$D$10,1,MATCH(A528,Inputs!$B$6:$D$6,0)),IF(=INDEX(Roster!$B$6:$B$108,MATCH(D528,Roster!$A$6:$A$108,0))="Associate Principal",INDEX(Inputs!$B$11:$D$11,1,MATCH(A528,Inputs!$B$6:$D$6,0)),IF(=INDEX(Roster!$B$6:$B$108,MATCH(D528,Roster!$A$6:$A$108,0))="Assistant Principal",INDEX(Inputs!$B$12:$D$12,1,MATCH(A528,Inputs!$B$6:$D$6,0)),0))))</x:f>
        <x:v>0</x:v>
      </x:c>
      <x:c r="L528" s="20" t="n">
        <x:f>IF(INDEX(Roster!$D$6:$D$108,MATCH(D528,Roster!$A$6:$A$108,0))&gt;=25,INDEX(Inputs!$B$19:$D$19,1,MATCH(A528,Inputs!$B$6:$D$6,0)),IF(INDEX(Roster!$D$6:$D$108,MATCH(D528,Roster!$A$6:$A$108,0))&gt;=20,INDEX(Inputs!$B$18:$D$18,1,MATCH(A528,Inputs!$B$6:$D$6,0)),IF(INDEX(Roster!$D$6:$D$108,MATCH(D528,Roster!$A$6:$A$108,0))&gt;=15,INDEX(Inputs!$B$17:$D$17,1,MATCH(A528,Inputs!$B$6:$D$6,0)),IF(INDEX(Roster!$D$6:$D$108,MATCH(D528,Roster!$A$6:$A$108,0))&gt;=10,INDEX(Inputs!$B$16:$D$16,1,MATCH(A528,Inputs!$B$6:$D$6,0)),IF(INDEX(Roster!$D$6:$D$108,MATCH(D528,Roster!$A$6:$A$108,0))&gt;=5,INDEX(Inputs!$B$15:$D$15,1,MATCH(A528,Inputs!$B$6:$D$6,0)),0)))))</x:f>
        <x:v>90</x:v>
      </x:c>
      <x:c r="M528" s="20" t="n">
        <x:f>G528*I528</x:f>
        <x:v>31135</x:v>
      </x:c>
      <x:c r="N528" s="20" t="n">
        <x:f>G528*J528</x:f>
        <x:v>3120</x:v>
      </x:c>
      <x:c r="O528" s="20" t="n">
        <x:f>G528*K528</x:f>
        <x:v>0</x:v>
      </x:c>
      <x:c r="P528" s="20" t="n">
        <x:f>G528*L528</x:f>
        <x:v>1170</x:v>
      </x:c>
      <x:c r="Q528" s="20" t="n">
        <x:f>H528*INDEX(Inputs!$B$13:$D$13,1,MATCH(A528,Inputs!$B$6:$D$6,0))</x:f>
        <x:v>390</x:v>
      </x:c>
      <x:c r="R528" s="20" t="n">
        <x:f>SUM(M528:Q528)</x:f>
        <x:v>35815</x:v>
      </x:c>
      <x:c r="S528" s="20" t="n">
        <x:f>IF(AND(A527=A528,D527=D528),S527+R528,R528)</x:f>
        <x:v>107445</x:v>
      </x:c>
      <x:c r="T528" s="20" t="n">
        <x:f>MIN(S528,INDEX(Inputs!$B$20:$D$20,1,MATCH(A528,Inputs!$B$6:$D$6,0)))*INDEX(Inputs!$B$22:$D$22,1,MATCH(A528,Inputs!$B$6:$D$6,0))+MAX(MIN(S528,INDEX(Inputs!$B$21:$D$21,1,MATCH(A528,Inputs!$B$6:$D$6,0)))-INDEX(Inputs!$B$20:$D$20,1,MATCH(A528,Inputs!$B$6:$D$6,0)),0)*INDEX(Inputs!$B$23:$D$23,1,MATCH(A528,Inputs!$B$6:$D$6,0))+MAX(S528-INDEX(Inputs!$B$21:$D$21,1,MATCH(A528,Inputs!$B$6:$D$6,0)),0)*INDEX(Inputs!$B$24:$D$24,1,MATCH(A528,Inputs!$B$6:$D$6,0))</x:f>
        <x:v>8709.5425</x:v>
      </x:c>
      <x:c r="U528" s="20" t="n">
        <x:f>IF(AND(A527=A528,D527=D528),T527,0)</x:f>
        <x:v>5969.695</x:v>
      </x:c>
      <x:c r="V528" s="20" t="n">
        <x:f>T528-U528</x:f>
        <x:v>2739.8475</x:v>
      </x:c>
      <x:c r="W528" s="20" t="n">
        <x:f>R528+V528</x:f>
        <x:v>38554.8475</x:v>
      </x:c>
      <x:c r="X528" s="14" t="str">
        <x:f>IF(ABS(W528-SUM(M528:Q528)-V528)&lt;0.01,"OK","Check")</x:f>
        <x:v>OK</x:v>
      </x:c>
    </x:row>
    <x:row r="529">
      <x:c r="A529" s="14" t="n">
        <x:v>2027</x:v>
      </x:c>
      <x:c r="B529" s="14" t="str">
        <x:v>Q4</x:v>
      </x:c>
      <x:c r="C529" s="14" t="n">
        <x:v>4</x:v>
      </x:c>
      <x:c r="D529" s="14" t="n">
        <x:v>28</x:v>
      </x:c>
      <x:c r="E529" s="14" t="str">
        <x:f>INDEX(Roster!$B$6:$B$108,MATCH(D529,Roster!$A$6:$A$108,0))</x:f>
      </x:c>
      <x:c r="F529" s="14" t="str">
        <x:f>INDEX(Roster!$F$6:$F$108,MATCH(D529,Roster!$A$6:$A$108,0))</x:f>
        <x:v>No</x:v>
      </x:c>
      <x:c r="G529" s="14" t="n">
        <x:f>INDEX(Inputs!$B$7:$D$7,1,MATCH(A529,Inputs!$B$6:$D$6,0))</x:f>
        <x:v>13</x:v>
      </x:c>
      <x:c r="H529" s="14" t="n">
        <x:f>MIN(=INDEX(Inputs!$B$7:$D$7,1,MATCH(A529,Inputs!$B$6:$D$6,0)),MAX(0,INDEX(Inputs!$B$14:$D$14,1,MATCH(A529,Inputs!$B$6:$D$6,0))-(C529-1)*=INDEX(Inputs!$B$7:$D$7,1,MATCH(A529,Inputs!$B$6:$D$6,0))))</x:f>
        <x:v>0</x:v>
      </x:c>
      <x:c r="I529" s="20" t="n">
        <x:f>INDEX(Inputs!$B$8:$D$8,1,MATCH(A529,Inputs!$B$6:$D$6,0))</x:f>
        <x:v>2395</x:v>
      </x:c>
      <x:c r="J529" s="20" t="n">
        <x:f>INDEX(Roster!$C$6:$C$108,MATCH(D529,Roster!$A$6:$A$108,0))*(1+INDEX(Inputs!$B$9:$D$9,1,MATCH(A529,Inputs!$B$6:$D$6,0)))</x:f>
        <x:v>240</x:v>
      </x:c>
      <x:c r="K529" s="20" t="n">
        <x:f>IF(=INDEX(Roster!$F$6:$F$108,MATCH(D529,Roster!$A$6:$A$108,0))="Yes",0,=INDEX(Inputs!$B$8:$D$8,1,MATCH(A529,Inputs!$B$6:$D$6,0))*IF(=INDEX(Roster!$B$6:$B$108,MATCH(D529,Roster!$A$6:$A$108,0))="Principal",INDEX(Inputs!$B$10:$D$10,1,MATCH(A529,Inputs!$B$6:$D$6,0)),IF(=INDEX(Roster!$B$6:$B$108,MATCH(D529,Roster!$A$6:$A$108,0))="Associate Principal",INDEX(Inputs!$B$11:$D$11,1,MATCH(A529,Inputs!$B$6:$D$6,0)),IF(=INDEX(Roster!$B$6:$B$108,MATCH(D529,Roster!$A$6:$A$108,0))="Assistant Principal",INDEX(Inputs!$B$12:$D$12,1,MATCH(A529,Inputs!$B$6:$D$6,0)),0))))</x:f>
        <x:v>0</x:v>
      </x:c>
      <x:c r="L529" s="20" t="n">
        <x:f>IF(INDEX(Roster!$D$6:$D$108,MATCH(D529,Roster!$A$6:$A$108,0))&gt;=25,INDEX(Inputs!$B$19:$D$19,1,MATCH(A529,Inputs!$B$6:$D$6,0)),IF(INDEX(Roster!$D$6:$D$108,MATCH(D529,Roster!$A$6:$A$108,0))&gt;=20,INDEX(Inputs!$B$18:$D$18,1,MATCH(A529,Inputs!$B$6:$D$6,0)),IF(INDEX(Roster!$D$6:$D$108,MATCH(D529,Roster!$A$6:$A$108,0))&gt;=15,INDEX(Inputs!$B$17:$D$17,1,MATCH(A529,Inputs!$B$6:$D$6,0)),IF(INDEX(Roster!$D$6:$D$108,MATCH(D529,Roster!$A$6:$A$108,0))&gt;=10,INDEX(Inputs!$B$16:$D$16,1,MATCH(A529,Inputs!$B$6:$D$6,0)),IF(INDEX(Roster!$D$6:$D$108,MATCH(D529,Roster!$A$6:$A$108,0))&gt;=5,INDEX(Inputs!$B$15:$D$15,1,MATCH(A529,Inputs!$B$6:$D$6,0)),0)))))</x:f>
        <x:v>90</x:v>
      </x:c>
      <x:c r="M529" s="20" t="n">
        <x:f>G529*I529</x:f>
        <x:v>31135</x:v>
      </x:c>
      <x:c r="N529" s="20" t="n">
        <x:f>G529*J529</x:f>
        <x:v>3120</x:v>
      </x:c>
      <x:c r="O529" s="20" t="n">
        <x:f>G529*K529</x:f>
        <x:v>0</x:v>
      </x:c>
      <x:c r="P529" s="20" t="n">
        <x:f>G529*L529</x:f>
        <x:v>1170</x:v>
      </x:c>
      <x:c r="Q529" s="20" t="n">
        <x:f>H529*INDEX(Inputs!$B$13:$D$13,1,MATCH(A529,Inputs!$B$6:$D$6,0))</x:f>
        <x:v>0</x:v>
      </x:c>
      <x:c r="R529" s="20" t="n">
        <x:f>SUM(M529:Q529)</x:f>
        <x:v>35425</x:v>
      </x:c>
      <x:c r="S529" s="20" t="n">
        <x:f>IF(AND(A528=A529,D528=D529),S528+R529,R529)</x:f>
        <x:v>142870</x:v>
      </x:c>
      <x:c r="T529" s="20" t="n">
        <x:f>MIN(S529,INDEX(Inputs!$B$20:$D$20,1,MATCH(A529,Inputs!$B$6:$D$6,0)))*INDEX(Inputs!$B$22:$D$22,1,MATCH(A529,Inputs!$B$6:$D$6,0))+MAX(MIN(S529,INDEX(Inputs!$B$21:$D$21,1,MATCH(A529,Inputs!$B$6:$D$6,0)))-INDEX(Inputs!$B$20:$D$20,1,MATCH(A529,Inputs!$B$6:$D$6,0)),0)*INDEX(Inputs!$B$23:$D$23,1,MATCH(A529,Inputs!$B$6:$D$6,0))+MAX(S529-INDEX(Inputs!$B$21:$D$21,1,MATCH(A529,Inputs!$B$6:$D$6,0)),0)*INDEX(Inputs!$B$24:$D$24,1,MATCH(A529,Inputs!$B$6:$D$6,0))</x:f>
        <x:v>9985.557</x:v>
      </x:c>
      <x:c r="U529" s="20" t="n">
        <x:f>IF(AND(A528=A529,D528=D529),T528,0)</x:f>
        <x:v>8709.5425</x:v>
      </x:c>
      <x:c r="V529" s="20" t="n">
        <x:f>T529-U529</x:f>
        <x:v>1276.0145000000011</x:v>
      </x:c>
      <x:c r="W529" s="20" t="n">
        <x:f>R529+V529</x:f>
        <x:v>36701.014500000005</x:v>
      </x:c>
      <x:c r="X529" s="14" t="str">
        <x:f>IF(ABS(W529-SUM(M529:Q529)-V529)&lt;0.01,"OK","Check")</x:f>
        <x:v>OK</x:v>
      </x:c>
    </x:row>
    <x:row r="530">
      <x:c r="A530" s="14" t="n">
        <x:v>2027</x:v>
      </x:c>
      <x:c r="B530" s="14" t="str">
        <x:v>Q1</x:v>
      </x:c>
      <x:c r="C530" s="14" t="n">
        <x:v>1</x:v>
      </x:c>
      <x:c r="D530" s="14" t="n">
        <x:v>29</x:v>
      </x:c>
      <x:c r="E530" s="14" t="str">
        <x:f>INDEX(Roster!$B$6:$B$108,MATCH(D530,Roster!$A$6:$A$108,0))</x:f>
        <x:v>Assistant Principal</x:v>
      </x:c>
      <x:c r="F530" s="14" t="str">
        <x:f>INDEX(Roster!$F$6:$F$108,MATCH(D530,Roster!$A$6:$A$108,0))</x:f>
        <x:v>No</x:v>
      </x:c>
      <x:c r="G530" s="14" t="n">
        <x:f>INDEX(Inputs!$B$7:$D$7,1,MATCH(A530,Inputs!$B$6:$D$6,0))</x:f>
        <x:v>13</x:v>
      </x:c>
      <x:c r="H530" s="14" t="n">
        <x:f>MIN(=INDEX(Inputs!$B$7:$D$7,1,MATCH(A530,Inputs!$B$6:$D$6,0)),MAX(0,INDEX(Inputs!$B$14:$D$14,1,MATCH(A530,Inputs!$B$6:$D$6,0))-(C530-1)*=INDEX(Inputs!$B$7:$D$7,1,MATCH(A530,Inputs!$B$6:$D$6,0))))</x:f>
        <x:v>13</x:v>
      </x:c>
      <x:c r="I530" s="20" t="n">
        <x:f>INDEX(Inputs!$B$8:$D$8,1,MATCH(A530,Inputs!$B$6:$D$6,0))</x:f>
        <x:v>2395</x:v>
      </x:c>
      <x:c r="J530" s="20" t="n">
        <x:f>INDEX(Roster!$C$6:$C$108,MATCH(D530,Roster!$A$6:$A$108,0))*(1+INDEX(Inputs!$B$9:$D$9,1,MATCH(A530,Inputs!$B$6:$D$6,0)))</x:f>
        <x:v>0</x:v>
      </x:c>
      <x:c r="K530" s="20" t="n">
        <x:f>IF(=INDEX(Roster!$F$6:$F$108,MATCH(D530,Roster!$A$6:$A$108,0))="Yes",0,=INDEX(Inputs!$B$8:$D$8,1,MATCH(A530,Inputs!$B$6:$D$6,0))*IF(=INDEX(Roster!$B$6:$B$108,MATCH(D530,Roster!$A$6:$A$108,0))="Principal",INDEX(Inputs!$B$10:$D$10,1,MATCH(A530,Inputs!$B$6:$D$6,0)),IF(=INDEX(Roster!$B$6:$B$108,MATCH(D530,Roster!$A$6:$A$108,0))="Associate Principal",INDEX(Inputs!$B$11:$D$11,1,MATCH(A530,Inputs!$B$6:$D$6,0)),IF(=INDEX(Roster!$B$6:$B$108,MATCH(D530,Roster!$A$6:$A$108,0))="Assistant Principal",INDEX(Inputs!$B$12:$D$12,1,MATCH(A530,Inputs!$B$6:$D$6,0)),0))))</x:f>
        <x:v>239.5</x:v>
      </x:c>
      <x:c r="L530" s="20" t="n">
        <x:f>IF(INDEX(Roster!$D$6:$D$108,MATCH(D530,Roster!$A$6:$A$108,0))&gt;=25,INDEX(Inputs!$B$19:$D$19,1,MATCH(A530,Inputs!$B$6:$D$6,0)),IF(INDEX(Roster!$D$6:$D$108,MATCH(D530,Roster!$A$6:$A$108,0))&gt;=20,INDEX(Inputs!$B$18:$D$18,1,MATCH(A530,Inputs!$B$6:$D$6,0)),IF(INDEX(Roster!$D$6:$D$108,MATCH(D530,Roster!$A$6:$A$108,0))&gt;=15,INDEX(Inputs!$B$17:$D$17,1,MATCH(A530,Inputs!$B$6:$D$6,0)),IF(INDEX(Roster!$D$6:$D$108,MATCH(D530,Roster!$A$6:$A$108,0))&gt;=10,INDEX(Inputs!$B$16:$D$16,1,MATCH(A530,Inputs!$B$6:$D$6,0)),IF(INDEX(Roster!$D$6:$D$108,MATCH(D530,Roster!$A$6:$A$108,0))&gt;=5,INDEX(Inputs!$B$15:$D$15,1,MATCH(A530,Inputs!$B$6:$D$6,0)),0)))))</x:f>
        <x:v>90</x:v>
      </x:c>
      <x:c r="M530" s="20" t="n">
        <x:f>G530*I530</x:f>
        <x:v>31135</x:v>
      </x:c>
      <x:c r="N530" s="20" t="n">
        <x:f>G530*J530</x:f>
        <x:v>0</x:v>
      </x:c>
      <x:c r="O530" s="20" t="n">
        <x:f>G530*K530</x:f>
        <x:v>3113.5</x:v>
      </x:c>
      <x:c r="P530" s="20" t="n">
        <x:f>G530*L530</x:f>
        <x:v>1170</x:v>
      </x:c>
      <x:c r="Q530" s="20" t="n">
        <x:f>H530*INDEX(Inputs!$B$13:$D$13,1,MATCH(A530,Inputs!$B$6:$D$6,0))</x:f>
        <x:v>390</x:v>
      </x:c>
      <x:c r="R530" s="20" t="n">
        <x:f>SUM(M530:Q530)</x:f>
        <x:v>35808.5</x:v>
      </x:c>
      <x:c r="S530" s="20" t="n">
        <x:f>IF(AND(A529=A530,D529=D530),S529+R530,R530)</x:f>
        <x:v>35808.5</x:v>
      </x:c>
      <x:c r="T530" s="20" t="n">
        <x:f>MIN(S530,INDEX(Inputs!$B$20:$D$20,1,MATCH(A530,Inputs!$B$6:$D$6,0)))*INDEX(Inputs!$B$22:$D$22,1,MATCH(A530,Inputs!$B$6:$D$6,0))+MAX(MIN(S530,INDEX(Inputs!$B$21:$D$21,1,MATCH(A530,Inputs!$B$6:$D$6,0)))-INDEX(Inputs!$B$20:$D$20,1,MATCH(A530,Inputs!$B$6:$D$6,0)),0)*INDEX(Inputs!$B$23:$D$23,1,MATCH(A530,Inputs!$B$6:$D$6,0))+MAX(S530-INDEX(Inputs!$B$21:$D$21,1,MATCH(A530,Inputs!$B$6:$D$6,0)),0)*INDEX(Inputs!$B$24:$D$24,1,MATCH(A530,Inputs!$B$6:$D$6,0))</x:f>
        <x:v>3229.35025</x:v>
      </x:c>
      <x:c r="U530" s="20" t="n">
        <x:f>IF(AND(A529=A530,D529=D530),T529,0)</x:f>
        <x:v>0</x:v>
      </x:c>
      <x:c r="V530" s="20" t="n">
        <x:f>T530-U530</x:f>
        <x:v>3229.35025</x:v>
      </x:c>
      <x:c r="W530" s="20" t="n">
        <x:f>R530+V530</x:f>
        <x:v>39037.85025</x:v>
      </x:c>
      <x:c r="X530" s="14" t="str">
        <x:f>IF(ABS(W530-SUM(M530:Q530)-V530)&lt;0.01,"OK","Check")</x:f>
        <x:v>OK</x:v>
      </x:c>
    </x:row>
    <x:row r="531">
      <x:c r="A531" s="14" t="n">
        <x:v>2027</x:v>
      </x:c>
      <x:c r="B531" s="14" t="str">
        <x:v>Q2</x:v>
      </x:c>
      <x:c r="C531" s="14" t="n">
        <x:v>2</x:v>
      </x:c>
      <x:c r="D531" s="14" t="n">
        <x:v>29</x:v>
      </x:c>
      <x:c r="E531" s="14" t="str">
        <x:f>INDEX(Roster!$B$6:$B$108,MATCH(D531,Roster!$A$6:$A$108,0))</x:f>
        <x:v>Assistant Principal</x:v>
      </x:c>
      <x:c r="F531" s="14" t="str">
        <x:f>INDEX(Roster!$F$6:$F$108,MATCH(D531,Roster!$A$6:$A$108,0))</x:f>
        <x:v>No</x:v>
      </x:c>
      <x:c r="G531" s="14" t="n">
        <x:f>INDEX(Inputs!$B$7:$D$7,1,MATCH(A531,Inputs!$B$6:$D$6,0))</x:f>
        <x:v>13</x:v>
      </x:c>
      <x:c r="H531" s="14" t="n">
        <x:f>MIN(=INDEX(Inputs!$B$7:$D$7,1,MATCH(A531,Inputs!$B$6:$D$6,0)),MAX(0,INDEX(Inputs!$B$14:$D$14,1,MATCH(A531,Inputs!$B$6:$D$6,0))-(C531-1)*=INDEX(Inputs!$B$7:$D$7,1,MATCH(A531,Inputs!$B$6:$D$6,0))))</x:f>
        <x:v>13</x:v>
      </x:c>
      <x:c r="I531" s="20" t="n">
        <x:f>INDEX(Inputs!$B$8:$D$8,1,MATCH(A531,Inputs!$B$6:$D$6,0))</x:f>
        <x:v>2395</x:v>
      </x:c>
      <x:c r="J531" s="20" t="n">
        <x:f>INDEX(Roster!$C$6:$C$108,MATCH(D531,Roster!$A$6:$A$108,0))*(1+INDEX(Inputs!$B$9:$D$9,1,MATCH(A531,Inputs!$B$6:$D$6,0)))</x:f>
        <x:v>0</x:v>
      </x:c>
      <x:c r="K531" s="20" t="n">
        <x:f>IF(=INDEX(Roster!$F$6:$F$108,MATCH(D531,Roster!$A$6:$A$108,0))="Yes",0,=INDEX(Inputs!$B$8:$D$8,1,MATCH(A531,Inputs!$B$6:$D$6,0))*IF(=INDEX(Roster!$B$6:$B$108,MATCH(D531,Roster!$A$6:$A$108,0))="Principal",INDEX(Inputs!$B$10:$D$10,1,MATCH(A531,Inputs!$B$6:$D$6,0)),IF(=INDEX(Roster!$B$6:$B$108,MATCH(D531,Roster!$A$6:$A$108,0))="Associate Principal",INDEX(Inputs!$B$11:$D$11,1,MATCH(A531,Inputs!$B$6:$D$6,0)),IF(=INDEX(Roster!$B$6:$B$108,MATCH(D531,Roster!$A$6:$A$108,0))="Assistant Principal",INDEX(Inputs!$B$12:$D$12,1,MATCH(A531,Inputs!$B$6:$D$6,0)),0))))</x:f>
        <x:v>239.5</x:v>
      </x:c>
      <x:c r="L531" s="20" t="n">
        <x:f>IF(INDEX(Roster!$D$6:$D$108,MATCH(D531,Roster!$A$6:$A$108,0))&gt;=25,INDEX(Inputs!$B$19:$D$19,1,MATCH(A531,Inputs!$B$6:$D$6,0)),IF(INDEX(Roster!$D$6:$D$108,MATCH(D531,Roster!$A$6:$A$108,0))&gt;=20,INDEX(Inputs!$B$18:$D$18,1,MATCH(A531,Inputs!$B$6:$D$6,0)),IF(INDEX(Roster!$D$6:$D$108,MATCH(D531,Roster!$A$6:$A$108,0))&gt;=15,INDEX(Inputs!$B$17:$D$17,1,MATCH(A531,Inputs!$B$6:$D$6,0)),IF(INDEX(Roster!$D$6:$D$108,MATCH(D531,Roster!$A$6:$A$108,0))&gt;=10,INDEX(Inputs!$B$16:$D$16,1,MATCH(A531,Inputs!$B$6:$D$6,0)),IF(INDEX(Roster!$D$6:$D$108,MATCH(D531,Roster!$A$6:$A$108,0))&gt;=5,INDEX(Inputs!$B$15:$D$15,1,MATCH(A531,Inputs!$B$6:$D$6,0)),0)))))</x:f>
        <x:v>90</x:v>
      </x:c>
      <x:c r="M531" s="20" t="n">
        <x:f>G531*I531</x:f>
        <x:v>31135</x:v>
      </x:c>
      <x:c r="N531" s="20" t="n">
        <x:f>G531*J531</x:f>
        <x:v>0</x:v>
      </x:c>
      <x:c r="O531" s="20" t="n">
        <x:f>G531*K531</x:f>
        <x:v>3113.5</x:v>
      </x:c>
      <x:c r="P531" s="20" t="n">
        <x:f>G531*L531</x:f>
        <x:v>1170</x:v>
      </x:c>
      <x:c r="Q531" s="20" t="n">
        <x:f>H531*INDEX(Inputs!$B$13:$D$13,1,MATCH(A531,Inputs!$B$6:$D$6,0))</x:f>
        <x:v>390</x:v>
      </x:c>
      <x:c r="R531" s="20" t="n">
        <x:f>SUM(M531:Q531)</x:f>
        <x:v>35808.5</x:v>
      </x:c>
      <x:c r="S531" s="20" t="n">
        <x:f>IF(AND(A530=A531,D530=D531),S530+R531,R531)</x:f>
        <x:v>71617</x:v>
      </x:c>
      <x:c r="T531" s="20" t="n">
        <x:f>MIN(S531,INDEX(Inputs!$B$20:$D$20,1,MATCH(A531,Inputs!$B$6:$D$6,0)))*INDEX(Inputs!$B$22:$D$22,1,MATCH(A531,Inputs!$B$6:$D$6,0))+MAX(MIN(S531,INDEX(Inputs!$B$21:$D$21,1,MATCH(A531,Inputs!$B$6:$D$6,0)))-INDEX(Inputs!$B$20:$D$20,1,MATCH(A531,Inputs!$B$6:$D$6,0)),0)*INDEX(Inputs!$B$23:$D$23,1,MATCH(A531,Inputs!$B$6:$D$6,0))+MAX(S531-INDEX(Inputs!$B$21:$D$21,1,MATCH(A531,Inputs!$B$6:$D$6,0)),0)*INDEX(Inputs!$B$24:$D$24,1,MATCH(A531,Inputs!$B$6:$D$6,0))</x:f>
        <x:v>5968.7005</x:v>
      </x:c>
      <x:c r="U531" s="20" t="n">
        <x:f>IF(AND(A530=A531,D530=D531),T530,0)</x:f>
        <x:v>3229.35025</x:v>
      </x:c>
      <x:c r="V531" s="20" t="n">
        <x:f>T531-U531</x:f>
        <x:v>2739.35025</x:v>
      </x:c>
      <x:c r="W531" s="20" t="n">
        <x:f>R531+V531</x:f>
        <x:v>38547.85025</x:v>
      </x:c>
      <x:c r="X531" s="14" t="str">
        <x:f>IF(ABS(W531-SUM(M531:Q531)-V531)&lt;0.01,"OK","Check")</x:f>
        <x:v>OK</x:v>
      </x:c>
    </x:row>
    <x:row r="532">
      <x:c r="A532" s="14" t="n">
        <x:v>2027</x:v>
      </x:c>
      <x:c r="B532" s="14" t="str">
        <x:v>Q3</x:v>
      </x:c>
      <x:c r="C532" s="14" t="n">
        <x:v>3</x:v>
      </x:c>
      <x:c r="D532" s="14" t="n">
        <x:v>29</x:v>
      </x:c>
      <x:c r="E532" s="14" t="str">
        <x:f>INDEX(Roster!$B$6:$B$108,MATCH(D532,Roster!$A$6:$A$108,0))</x:f>
        <x:v>Assistant Principal</x:v>
      </x:c>
      <x:c r="F532" s="14" t="str">
        <x:f>INDEX(Roster!$F$6:$F$108,MATCH(D532,Roster!$A$6:$A$108,0))</x:f>
        <x:v>No</x:v>
      </x:c>
      <x:c r="G532" s="14" t="n">
        <x:f>INDEX(Inputs!$B$7:$D$7,1,MATCH(A532,Inputs!$B$6:$D$6,0))</x:f>
        <x:v>13</x:v>
      </x:c>
      <x:c r="H532" s="14" t="n">
        <x:f>MIN(=INDEX(Inputs!$B$7:$D$7,1,MATCH(A532,Inputs!$B$6:$D$6,0)),MAX(0,INDEX(Inputs!$B$14:$D$14,1,MATCH(A532,Inputs!$B$6:$D$6,0))-(C532-1)*=INDEX(Inputs!$B$7:$D$7,1,MATCH(A532,Inputs!$B$6:$D$6,0))))</x:f>
        <x:v>13</x:v>
      </x:c>
      <x:c r="I532" s="20" t="n">
        <x:f>INDEX(Inputs!$B$8:$D$8,1,MATCH(A532,Inputs!$B$6:$D$6,0))</x:f>
        <x:v>2395</x:v>
      </x:c>
      <x:c r="J532" s="20" t="n">
        <x:f>INDEX(Roster!$C$6:$C$108,MATCH(D532,Roster!$A$6:$A$108,0))*(1+INDEX(Inputs!$B$9:$D$9,1,MATCH(A532,Inputs!$B$6:$D$6,0)))</x:f>
        <x:v>0</x:v>
      </x:c>
      <x:c r="K532" s="20" t="n">
        <x:f>IF(=INDEX(Roster!$F$6:$F$108,MATCH(D532,Roster!$A$6:$A$108,0))="Yes",0,=INDEX(Inputs!$B$8:$D$8,1,MATCH(A532,Inputs!$B$6:$D$6,0))*IF(=INDEX(Roster!$B$6:$B$108,MATCH(D532,Roster!$A$6:$A$108,0))="Principal",INDEX(Inputs!$B$10:$D$10,1,MATCH(A532,Inputs!$B$6:$D$6,0)),IF(=INDEX(Roster!$B$6:$B$108,MATCH(D532,Roster!$A$6:$A$108,0))="Associate Principal",INDEX(Inputs!$B$11:$D$11,1,MATCH(A532,Inputs!$B$6:$D$6,0)),IF(=INDEX(Roster!$B$6:$B$108,MATCH(D532,Roster!$A$6:$A$108,0))="Assistant Principal",INDEX(Inputs!$B$12:$D$12,1,MATCH(A532,Inputs!$B$6:$D$6,0)),0))))</x:f>
        <x:v>239.5</x:v>
      </x:c>
      <x:c r="L532" s="20" t="n">
        <x:f>IF(INDEX(Roster!$D$6:$D$108,MATCH(D532,Roster!$A$6:$A$108,0))&gt;=25,INDEX(Inputs!$B$19:$D$19,1,MATCH(A532,Inputs!$B$6:$D$6,0)),IF(INDEX(Roster!$D$6:$D$108,MATCH(D532,Roster!$A$6:$A$108,0))&gt;=20,INDEX(Inputs!$B$18:$D$18,1,MATCH(A532,Inputs!$B$6:$D$6,0)),IF(INDEX(Roster!$D$6:$D$108,MATCH(D532,Roster!$A$6:$A$108,0))&gt;=15,INDEX(Inputs!$B$17:$D$17,1,MATCH(A532,Inputs!$B$6:$D$6,0)),IF(INDEX(Roster!$D$6:$D$108,MATCH(D532,Roster!$A$6:$A$108,0))&gt;=10,INDEX(Inputs!$B$16:$D$16,1,MATCH(A532,Inputs!$B$6:$D$6,0)),IF(INDEX(Roster!$D$6:$D$108,MATCH(D532,Roster!$A$6:$A$108,0))&gt;=5,INDEX(Inputs!$B$15:$D$15,1,MATCH(A532,Inputs!$B$6:$D$6,0)),0)))))</x:f>
        <x:v>90</x:v>
      </x:c>
      <x:c r="M532" s="20" t="n">
        <x:f>G532*I532</x:f>
        <x:v>31135</x:v>
      </x:c>
      <x:c r="N532" s="20" t="n">
        <x:f>G532*J532</x:f>
        <x:v>0</x:v>
      </x:c>
      <x:c r="O532" s="20" t="n">
        <x:f>G532*K532</x:f>
        <x:v>3113.5</x:v>
      </x:c>
      <x:c r="P532" s="20" t="n">
        <x:f>G532*L532</x:f>
        <x:v>1170</x:v>
      </x:c>
      <x:c r="Q532" s="20" t="n">
        <x:f>H532*INDEX(Inputs!$B$13:$D$13,1,MATCH(A532,Inputs!$B$6:$D$6,0))</x:f>
        <x:v>390</x:v>
      </x:c>
      <x:c r="R532" s="20" t="n">
        <x:f>SUM(M532:Q532)</x:f>
        <x:v>35808.5</x:v>
      </x:c>
      <x:c r="S532" s="20" t="n">
        <x:f>IF(AND(A531=A532,D531=D532),S531+R532,R532)</x:f>
        <x:v>107425.5</x:v>
      </x:c>
      <x:c r="T532" s="20" t="n">
        <x:f>MIN(S532,INDEX(Inputs!$B$20:$D$20,1,MATCH(A532,Inputs!$B$6:$D$6,0)))*INDEX(Inputs!$B$22:$D$22,1,MATCH(A532,Inputs!$B$6:$D$6,0))+MAX(MIN(S532,INDEX(Inputs!$B$21:$D$21,1,MATCH(A532,Inputs!$B$6:$D$6,0)))-INDEX(Inputs!$B$20:$D$20,1,MATCH(A532,Inputs!$B$6:$D$6,0)),0)*INDEX(Inputs!$B$23:$D$23,1,MATCH(A532,Inputs!$B$6:$D$6,0))+MAX(S532-INDEX(Inputs!$B$21:$D$21,1,MATCH(A532,Inputs!$B$6:$D$6,0)),0)*INDEX(Inputs!$B$24:$D$24,1,MATCH(A532,Inputs!$B$6:$D$6,0))</x:f>
        <x:v>8708.050749999999</x:v>
      </x:c>
      <x:c r="U532" s="20" t="n">
        <x:f>IF(AND(A531=A532,D531=D532),T531,0)</x:f>
        <x:v>5968.7005</x:v>
      </x:c>
      <x:c r="V532" s="20" t="n">
        <x:f>T532-U532</x:f>
        <x:v>2739.3502499999986</x:v>
      </x:c>
      <x:c r="W532" s="20" t="n">
        <x:f>R532+V532</x:f>
        <x:v>38547.850249999996</x:v>
      </x:c>
      <x:c r="X532" s="14" t="str">
        <x:f>IF(ABS(W532-SUM(M532:Q532)-V532)&lt;0.01,"OK","Check")</x:f>
        <x:v>OK</x:v>
      </x:c>
    </x:row>
    <x:row r="533">
      <x:c r="A533" s="14" t="n">
        <x:v>2027</x:v>
      </x:c>
      <x:c r="B533" s="14" t="str">
        <x:v>Q4</x:v>
      </x:c>
      <x:c r="C533" s="14" t="n">
        <x:v>4</x:v>
      </x:c>
      <x:c r="D533" s="14" t="n">
        <x:v>29</x:v>
      </x:c>
      <x:c r="E533" s="14" t="str">
        <x:f>INDEX(Roster!$B$6:$B$108,MATCH(D533,Roster!$A$6:$A$108,0))</x:f>
        <x:v>Assistant Principal</x:v>
      </x:c>
      <x:c r="F533" s="14" t="str">
        <x:f>INDEX(Roster!$F$6:$F$108,MATCH(D533,Roster!$A$6:$A$108,0))</x:f>
        <x:v>No</x:v>
      </x:c>
      <x:c r="G533" s="14" t="n">
        <x:f>INDEX(Inputs!$B$7:$D$7,1,MATCH(A533,Inputs!$B$6:$D$6,0))</x:f>
        <x:v>13</x:v>
      </x:c>
      <x:c r="H533" s="14" t="n">
        <x:f>MIN(=INDEX(Inputs!$B$7:$D$7,1,MATCH(A533,Inputs!$B$6:$D$6,0)),MAX(0,INDEX(Inputs!$B$14:$D$14,1,MATCH(A533,Inputs!$B$6:$D$6,0))-(C533-1)*=INDEX(Inputs!$B$7:$D$7,1,MATCH(A533,Inputs!$B$6:$D$6,0))))</x:f>
        <x:v>0</x:v>
      </x:c>
      <x:c r="I533" s="20" t="n">
        <x:f>INDEX(Inputs!$B$8:$D$8,1,MATCH(A533,Inputs!$B$6:$D$6,0))</x:f>
        <x:v>2395</x:v>
      </x:c>
      <x:c r="J533" s="20" t="n">
        <x:f>INDEX(Roster!$C$6:$C$108,MATCH(D533,Roster!$A$6:$A$108,0))*(1+INDEX(Inputs!$B$9:$D$9,1,MATCH(A533,Inputs!$B$6:$D$6,0)))</x:f>
        <x:v>0</x:v>
      </x:c>
      <x:c r="K533" s="20" t="n">
        <x:f>IF(=INDEX(Roster!$F$6:$F$108,MATCH(D533,Roster!$A$6:$A$108,0))="Yes",0,=INDEX(Inputs!$B$8:$D$8,1,MATCH(A533,Inputs!$B$6:$D$6,0))*IF(=INDEX(Roster!$B$6:$B$108,MATCH(D533,Roster!$A$6:$A$108,0))="Principal",INDEX(Inputs!$B$10:$D$10,1,MATCH(A533,Inputs!$B$6:$D$6,0)),IF(=INDEX(Roster!$B$6:$B$108,MATCH(D533,Roster!$A$6:$A$108,0))="Associate Principal",INDEX(Inputs!$B$11:$D$11,1,MATCH(A533,Inputs!$B$6:$D$6,0)),IF(=INDEX(Roster!$B$6:$B$108,MATCH(D533,Roster!$A$6:$A$108,0))="Assistant Principal",INDEX(Inputs!$B$12:$D$12,1,MATCH(A533,Inputs!$B$6:$D$6,0)),0))))</x:f>
        <x:v>239.5</x:v>
      </x:c>
      <x:c r="L533" s="20" t="n">
        <x:f>IF(INDEX(Roster!$D$6:$D$108,MATCH(D533,Roster!$A$6:$A$108,0))&gt;=25,INDEX(Inputs!$B$19:$D$19,1,MATCH(A533,Inputs!$B$6:$D$6,0)),IF(INDEX(Roster!$D$6:$D$108,MATCH(D533,Roster!$A$6:$A$108,0))&gt;=20,INDEX(Inputs!$B$18:$D$18,1,MATCH(A533,Inputs!$B$6:$D$6,0)),IF(INDEX(Roster!$D$6:$D$108,MATCH(D533,Roster!$A$6:$A$108,0))&gt;=15,INDEX(Inputs!$B$17:$D$17,1,MATCH(A533,Inputs!$B$6:$D$6,0)),IF(INDEX(Roster!$D$6:$D$108,MATCH(D533,Roster!$A$6:$A$108,0))&gt;=10,INDEX(Inputs!$B$16:$D$16,1,MATCH(A533,Inputs!$B$6:$D$6,0)),IF(INDEX(Roster!$D$6:$D$108,MATCH(D533,Roster!$A$6:$A$108,0))&gt;=5,INDEX(Inputs!$B$15:$D$15,1,MATCH(A533,Inputs!$B$6:$D$6,0)),0)))))</x:f>
        <x:v>90</x:v>
      </x:c>
      <x:c r="M533" s="20" t="n">
        <x:f>G533*I533</x:f>
        <x:v>31135</x:v>
      </x:c>
      <x:c r="N533" s="20" t="n">
        <x:f>G533*J533</x:f>
        <x:v>0</x:v>
      </x:c>
      <x:c r="O533" s="20" t="n">
        <x:f>G533*K533</x:f>
        <x:v>3113.5</x:v>
      </x:c>
      <x:c r="P533" s="20" t="n">
        <x:f>G533*L533</x:f>
        <x:v>1170</x:v>
      </x:c>
      <x:c r="Q533" s="20" t="n">
        <x:f>H533*INDEX(Inputs!$B$13:$D$13,1,MATCH(A533,Inputs!$B$6:$D$6,0))</x:f>
        <x:v>0</x:v>
      </x:c>
      <x:c r="R533" s="20" t="n">
        <x:f>SUM(M533:Q533)</x:f>
        <x:v>35418.5</x:v>
      </x:c>
      <x:c r="S533" s="20" t="n">
        <x:f>IF(AND(A532=A533,D532=D533),S532+R533,R533)</x:f>
        <x:v>142844</x:v>
      </x:c>
      <x:c r="T533" s="20" t="n">
        <x:f>MIN(S533,INDEX(Inputs!$B$20:$D$20,1,MATCH(A533,Inputs!$B$6:$D$6,0)))*INDEX(Inputs!$B$22:$D$22,1,MATCH(A533,Inputs!$B$6:$D$6,0))+MAX(MIN(S533,INDEX(Inputs!$B$21:$D$21,1,MATCH(A533,Inputs!$B$6:$D$6,0)))-INDEX(Inputs!$B$20:$D$20,1,MATCH(A533,Inputs!$B$6:$D$6,0)),0)*INDEX(Inputs!$B$23:$D$23,1,MATCH(A533,Inputs!$B$6:$D$6,0))+MAX(S533-INDEX(Inputs!$B$21:$D$21,1,MATCH(A533,Inputs!$B$6:$D$6,0)),0)*INDEX(Inputs!$B$24:$D$24,1,MATCH(A533,Inputs!$B$6:$D$6,0))</x:f>
        <x:v>9985.18</x:v>
      </x:c>
      <x:c r="U533" s="20" t="n">
        <x:f>IF(AND(A532=A533,D532=D533),T532,0)</x:f>
        <x:v>8708.050749999999</x:v>
      </x:c>
      <x:c r="V533" s="20" t="n">
        <x:f>T533-U533</x:f>
        <x:v>1277.1292500000018</x:v>
      </x:c>
      <x:c r="W533" s="20" t="n">
        <x:f>R533+V533</x:f>
        <x:v>36695.62925</x:v>
      </x:c>
      <x:c r="X533" s="14" t="str">
        <x:f>IF(ABS(W533-SUM(M533:Q533)-V533)&lt;0.01,"OK","Check")</x:f>
        <x:v>OK</x:v>
      </x:c>
    </x:row>
    <x:row r="534">
      <x:c r="A534" s="14" t="n">
        <x:v>2027</x:v>
      </x:c>
      <x:c r="B534" s="14" t="str">
        <x:v>Q1</x:v>
      </x:c>
      <x:c r="C534" s="14" t="n">
        <x:v>1</x:v>
      </x:c>
      <x:c r="D534" s="14" t="n">
        <x:v>30</x:v>
      </x:c>
      <x:c r="E534" s="14" t="str">
        <x:f>INDEX(Roster!$B$6:$B$108,MATCH(D534,Roster!$A$6:$A$108,0))</x:f>
      </x:c>
      <x:c r="F534" s="14" t="str">
        <x:f>INDEX(Roster!$F$6:$F$108,MATCH(D534,Roster!$A$6:$A$108,0))</x:f>
        <x:v>No</x:v>
      </x:c>
      <x:c r="G534" s="14" t="n">
        <x:f>INDEX(Inputs!$B$7:$D$7,1,MATCH(A534,Inputs!$B$6:$D$6,0))</x:f>
        <x:v>13</x:v>
      </x:c>
      <x:c r="H534" s="14" t="n">
        <x:f>MIN(=INDEX(Inputs!$B$7:$D$7,1,MATCH(A534,Inputs!$B$6:$D$6,0)),MAX(0,INDEX(Inputs!$B$14:$D$14,1,MATCH(A534,Inputs!$B$6:$D$6,0))-(C534-1)*=INDEX(Inputs!$B$7:$D$7,1,MATCH(A534,Inputs!$B$6:$D$6,0))))</x:f>
        <x:v>13</x:v>
      </x:c>
      <x:c r="I534" s="20" t="n">
        <x:f>INDEX(Inputs!$B$8:$D$8,1,MATCH(A534,Inputs!$B$6:$D$6,0))</x:f>
        <x:v>2395</x:v>
      </x:c>
      <x:c r="J534" s="20" t="n">
        <x:f>INDEX(Roster!$C$6:$C$108,MATCH(D534,Roster!$A$6:$A$108,0))*(1+INDEX(Inputs!$B$9:$D$9,1,MATCH(A534,Inputs!$B$6:$D$6,0)))</x:f>
        <x:v>60</x:v>
      </x:c>
      <x:c r="K534" s="20" t="n">
        <x:f>IF(=INDEX(Roster!$F$6:$F$108,MATCH(D534,Roster!$A$6:$A$108,0))="Yes",0,=INDEX(Inputs!$B$8:$D$8,1,MATCH(A534,Inputs!$B$6:$D$6,0))*IF(=INDEX(Roster!$B$6:$B$108,MATCH(D534,Roster!$A$6:$A$108,0))="Principal",INDEX(Inputs!$B$10:$D$10,1,MATCH(A534,Inputs!$B$6:$D$6,0)),IF(=INDEX(Roster!$B$6:$B$108,MATCH(D534,Roster!$A$6:$A$108,0))="Associate Principal",INDEX(Inputs!$B$11:$D$11,1,MATCH(A534,Inputs!$B$6:$D$6,0)),IF(=INDEX(Roster!$B$6:$B$108,MATCH(D534,Roster!$A$6:$A$108,0))="Assistant Principal",INDEX(Inputs!$B$12:$D$12,1,MATCH(A534,Inputs!$B$6:$D$6,0)),0))))</x:f>
        <x:v>0</x:v>
      </x:c>
      <x:c r="L534" s="20" t="n">
        <x:f>IF(INDEX(Roster!$D$6:$D$108,MATCH(D534,Roster!$A$6:$A$108,0))&gt;=25,INDEX(Inputs!$B$19:$D$19,1,MATCH(A534,Inputs!$B$6:$D$6,0)),IF(INDEX(Roster!$D$6:$D$108,MATCH(D534,Roster!$A$6:$A$108,0))&gt;=20,INDEX(Inputs!$B$18:$D$18,1,MATCH(A534,Inputs!$B$6:$D$6,0)),IF(INDEX(Roster!$D$6:$D$108,MATCH(D534,Roster!$A$6:$A$108,0))&gt;=15,INDEX(Inputs!$B$17:$D$17,1,MATCH(A534,Inputs!$B$6:$D$6,0)),IF(INDEX(Roster!$D$6:$D$108,MATCH(D534,Roster!$A$6:$A$108,0))&gt;=10,INDEX(Inputs!$B$16:$D$16,1,MATCH(A534,Inputs!$B$6:$D$6,0)),IF(INDEX(Roster!$D$6:$D$108,MATCH(D534,Roster!$A$6:$A$108,0))&gt;=5,INDEX(Inputs!$B$15:$D$15,1,MATCH(A534,Inputs!$B$6:$D$6,0)),0)))))</x:f>
        <x:v>80</x:v>
      </x:c>
      <x:c r="M534" s="20" t="n">
        <x:f>G534*I534</x:f>
        <x:v>31135</x:v>
      </x:c>
      <x:c r="N534" s="20" t="n">
        <x:f>G534*J534</x:f>
        <x:v>780</x:v>
      </x:c>
      <x:c r="O534" s="20" t="n">
        <x:f>G534*K534</x:f>
        <x:v>0</x:v>
      </x:c>
      <x:c r="P534" s="20" t="n">
        <x:f>G534*L534</x:f>
        <x:v>1040</x:v>
      </x:c>
      <x:c r="Q534" s="20" t="n">
        <x:f>H534*INDEX(Inputs!$B$13:$D$13,1,MATCH(A534,Inputs!$B$6:$D$6,0))</x:f>
        <x:v>390</x:v>
      </x:c>
      <x:c r="R534" s="20" t="n">
        <x:f>SUM(M534:Q534)</x:f>
        <x:v>33345</x:v>
      </x:c>
      <x:c r="S534" s="20" t="n">
        <x:f>IF(AND(A533=A534,D533=D534),S533+R534,R534)</x:f>
        <x:v>33345</x:v>
      </x:c>
      <x:c r="T534" s="20" t="n">
        <x:f>MIN(S534,INDEX(Inputs!$B$20:$D$20,1,MATCH(A534,Inputs!$B$6:$D$6,0)))*INDEX(Inputs!$B$22:$D$22,1,MATCH(A534,Inputs!$B$6:$D$6,0))+MAX(MIN(S534,INDEX(Inputs!$B$21:$D$21,1,MATCH(A534,Inputs!$B$6:$D$6,0)))-INDEX(Inputs!$B$20:$D$20,1,MATCH(A534,Inputs!$B$6:$D$6,0)),0)*INDEX(Inputs!$B$23:$D$23,1,MATCH(A534,Inputs!$B$6:$D$6,0))+MAX(S534-INDEX(Inputs!$B$21:$D$21,1,MATCH(A534,Inputs!$B$6:$D$6,0)),0)*INDEX(Inputs!$B$24:$D$24,1,MATCH(A534,Inputs!$B$6:$D$6,0))</x:f>
        <x:v>3040.8925</x:v>
      </x:c>
      <x:c r="U534" s="20" t="n">
        <x:f>IF(AND(A533=A534,D533=D534),T533,0)</x:f>
        <x:v>0</x:v>
      </x:c>
      <x:c r="V534" s="20" t="n">
        <x:f>T534-U534</x:f>
        <x:v>3040.8925</x:v>
      </x:c>
      <x:c r="W534" s="20" t="n">
        <x:f>R534+V534</x:f>
        <x:v>36385.8925</x:v>
      </x:c>
      <x:c r="X534" s="14" t="str">
        <x:f>IF(ABS(W534-SUM(M534:Q534)-V534)&lt;0.01,"OK","Check")</x:f>
        <x:v>OK</x:v>
      </x:c>
    </x:row>
    <x:row r="535">
      <x:c r="A535" s="14" t="n">
        <x:v>2027</x:v>
      </x:c>
      <x:c r="B535" s="14" t="str">
        <x:v>Q2</x:v>
      </x:c>
      <x:c r="C535" s="14" t="n">
        <x:v>2</x:v>
      </x:c>
      <x:c r="D535" s="14" t="n">
        <x:v>30</x:v>
      </x:c>
      <x:c r="E535" s="14" t="str">
        <x:f>INDEX(Roster!$B$6:$B$108,MATCH(D535,Roster!$A$6:$A$108,0))</x:f>
      </x:c>
      <x:c r="F535" s="14" t="str">
        <x:f>INDEX(Roster!$F$6:$F$108,MATCH(D535,Roster!$A$6:$A$108,0))</x:f>
        <x:v>No</x:v>
      </x:c>
      <x:c r="G535" s="14" t="n">
        <x:f>INDEX(Inputs!$B$7:$D$7,1,MATCH(A535,Inputs!$B$6:$D$6,0))</x:f>
        <x:v>13</x:v>
      </x:c>
      <x:c r="H535" s="14" t="n">
        <x:f>MIN(=INDEX(Inputs!$B$7:$D$7,1,MATCH(A535,Inputs!$B$6:$D$6,0)),MAX(0,INDEX(Inputs!$B$14:$D$14,1,MATCH(A535,Inputs!$B$6:$D$6,0))-(C535-1)*=INDEX(Inputs!$B$7:$D$7,1,MATCH(A535,Inputs!$B$6:$D$6,0))))</x:f>
        <x:v>13</x:v>
      </x:c>
      <x:c r="I535" s="20" t="n">
        <x:f>INDEX(Inputs!$B$8:$D$8,1,MATCH(A535,Inputs!$B$6:$D$6,0))</x:f>
        <x:v>2395</x:v>
      </x:c>
      <x:c r="J535" s="20" t="n">
        <x:f>INDEX(Roster!$C$6:$C$108,MATCH(D535,Roster!$A$6:$A$108,0))*(1+INDEX(Inputs!$B$9:$D$9,1,MATCH(A535,Inputs!$B$6:$D$6,0)))</x:f>
        <x:v>60</x:v>
      </x:c>
      <x:c r="K535" s="20" t="n">
        <x:f>IF(=INDEX(Roster!$F$6:$F$108,MATCH(D535,Roster!$A$6:$A$108,0))="Yes",0,=INDEX(Inputs!$B$8:$D$8,1,MATCH(A535,Inputs!$B$6:$D$6,0))*IF(=INDEX(Roster!$B$6:$B$108,MATCH(D535,Roster!$A$6:$A$108,0))="Principal",INDEX(Inputs!$B$10:$D$10,1,MATCH(A535,Inputs!$B$6:$D$6,0)),IF(=INDEX(Roster!$B$6:$B$108,MATCH(D535,Roster!$A$6:$A$108,0))="Associate Principal",INDEX(Inputs!$B$11:$D$11,1,MATCH(A535,Inputs!$B$6:$D$6,0)),IF(=INDEX(Roster!$B$6:$B$108,MATCH(D535,Roster!$A$6:$A$108,0))="Assistant Principal",INDEX(Inputs!$B$12:$D$12,1,MATCH(A535,Inputs!$B$6:$D$6,0)),0))))</x:f>
        <x:v>0</x:v>
      </x:c>
      <x:c r="L535" s="20" t="n">
        <x:f>IF(INDEX(Roster!$D$6:$D$108,MATCH(D535,Roster!$A$6:$A$108,0))&gt;=25,INDEX(Inputs!$B$19:$D$19,1,MATCH(A535,Inputs!$B$6:$D$6,0)),IF(INDEX(Roster!$D$6:$D$108,MATCH(D535,Roster!$A$6:$A$108,0))&gt;=20,INDEX(Inputs!$B$18:$D$18,1,MATCH(A535,Inputs!$B$6:$D$6,0)),IF(INDEX(Roster!$D$6:$D$108,MATCH(D535,Roster!$A$6:$A$108,0))&gt;=15,INDEX(Inputs!$B$17:$D$17,1,MATCH(A535,Inputs!$B$6:$D$6,0)),IF(INDEX(Roster!$D$6:$D$108,MATCH(D535,Roster!$A$6:$A$108,0))&gt;=10,INDEX(Inputs!$B$16:$D$16,1,MATCH(A535,Inputs!$B$6:$D$6,0)),IF(INDEX(Roster!$D$6:$D$108,MATCH(D535,Roster!$A$6:$A$108,0))&gt;=5,INDEX(Inputs!$B$15:$D$15,1,MATCH(A535,Inputs!$B$6:$D$6,0)),0)))))</x:f>
        <x:v>80</x:v>
      </x:c>
      <x:c r="M535" s="20" t="n">
        <x:f>G535*I535</x:f>
        <x:v>31135</x:v>
      </x:c>
      <x:c r="N535" s="20" t="n">
        <x:f>G535*J535</x:f>
        <x:v>780</x:v>
      </x:c>
      <x:c r="O535" s="20" t="n">
        <x:f>G535*K535</x:f>
        <x:v>0</x:v>
      </x:c>
      <x:c r="P535" s="20" t="n">
        <x:f>G535*L535</x:f>
        <x:v>1040</x:v>
      </x:c>
      <x:c r="Q535" s="20" t="n">
        <x:f>H535*INDEX(Inputs!$B$13:$D$13,1,MATCH(A535,Inputs!$B$6:$D$6,0))</x:f>
        <x:v>390</x:v>
      </x:c>
      <x:c r="R535" s="20" t="n">
        <x:f>SUM(M535:Q535)</x:f>
        <x:v>33345</x:v>
      </x:c>
      <x:c r="S535" s="20" t="n">
        <x:f>IF(AND(A534=A535,D534=D535),S534+R535,R535)</x:f>
        <x:v>66690</x:v>
      </x:c>
      <x:c r="T535" s="20" t="n">
        <x:f>MIN(S535,INDEX(Inputs!$B$20:$D$20,1,MATCH(A535,Inputs!$B$6:$D$6,0)))*INDEX(Inputs!$B$22:$D$22,1,MATCH(A535,Inputs!$B$6:$D$6,0))+MAX(MIN(S535,INDEX(Inputs!$B$21:$D$21,1,MATCH(A535,Inputs!$B$6:$D$6,0)))-INDEX(Inputs!$B$20:$D$20,1,MATCH(A535,Inputs!$B$6:$D$6,0)),0)*INDEX(Inputs!$B$23:$D$23,1,MATCH(A535,Inputs!$B$6:$D$6,0))+MAX(S535-INDEX(Inputs!$B$21:$D$21,1,MATCH(A535,Inputs!$B$6:$D$6,0)),0)*INDEX(Inputs!$B$24:$D$24,1,MATCH(A535,Inputs!$B$6:$D$6,0))</x:f>
        <x:v>5591.785</x:v>
      </x:c>
      <x:c r="U535" s="20" t="n">
        <x:f>IF(AND(A534=A535,D534=D535),T534,0)</x:f>
        <x:v>3040.8925</x:v>
      </x:c>
      <x:c r="V535" s="20" t="n">
        <x:f>T535-U535</x:f>
        <x:v>2550.8925</x:v>
      </x:c>
      <x:c r="W535" s="20" t="n">
        <x:f>R535+V535</x:f>
        <x:v>35895.8925</x:v>
      </x:c>
      <x:c r="X535" s="14" t="str">
        <x:f>IF(ABS(W535-SUM(M535:Q535)-V535)&lt;0.01,"OK","Check")</x:f>
        <x:v>OK</x:v>
      </x:c>
    </x:row>
    <x:row r="536">
      <x:c r="A536" s="14" t="n">
        <x:v>2027</x:v>
      </x:c>
      <x:c r="B536" s="14" t="str">
        <x:v>Q3</x:v>
      </x:c>
      <x:c r="C536" s="14" t="n">
        <x:v>3</x:v>
      </x:c>
      <x:c r="D536" s="14" t="n">
        <x:v>30</x:v>
      </x:c>
      <x:c r="E536" s="14" t="str">
        <x:f>INDEX(Roster!$B$6:$B$108,MATCH(D536,Roster!$A$6:$A$108,0))</x:f>
      </x:c>
      <x:c r="F536" s="14" t="str">
        <x:f>INDEX(Roster!$F$6:$F$108,MATCH(D536,Roster!$A$6:$A$108,0))</x:f>
        <x:v>No</x:v>
      </x:c>
      <x:c r="G536" s="14" t="n">
        <x:f>INDEX(Inputs!$B$7:$D$7,1,MATCH(A536,Inputs!$B$6:$D$6,0))</x:f>
        <x:v>13</x:v>
      </x:c>
      <x:c r="H536" s="14" t="n">
        <x:f>MIN(=INDEX(Inputs!$B$7:$D$7,1,MATCH(A536,Inputs!$B$6:$D$6,0)),MAX(0,INDEX(Inputs!$B$14:$D$14,1,MATCH(A536,Inputs!$B$6:$D$6,0))-(C536-1)*=INDEX(Inputs!$B$7:$D$7,1,MATCH(A536,Inputs!$B$6:$D$6,0))))</x:f>
        <x:v>13</x:v>
      </x:c>
      <x:c r="I536" s="20" t="n">
        <x:f>INDEX(Inputs!$B$8:$D$8,1,MATCH(A536,Inputs!$B$6:$D$6,0))</x:f>
        <x:v>2395</x:v>
      </x:c>
      <x:c r="J536" s="20" t="n">
        <x:f>INDEX(Roster!$C$6:$C$108,MATCH(D536,Roster!$A$6:$A$108,0))*(1+INDEX(Inputs!$B$9:$D$9,1,MATCH(A536,Inputs!$B$6:$D$6,0)))</x:f>
        <x:v>60</x:v>
      </x:c>
      <x:c r="K536" s="20" t="n">
        <x:f>IF(=INDEX(Roster!$F$6:$F$108,MATCH(D536,Roster!$A$6:$A$108,0))="Yes",0,=INDEX(Inputs!$B$8:$D$8,1,MATCH(A536,Inputs!$B$6:$D$6,0))*IF(=INDEX(Roster!$B$6:$B$108,MATCH(D536,Roster!$A$6:$A$108,0))="Principal",INDEX(Inputs!$B$10:$D$10,1,MATCH(A536,Inputs!$B$6:$D$6,0)),IF(=INDEX(Roster!$B$6:$B$108,MATCH(D536,Roster!$A$6:$A$108,0))="Associate Principal",INDEX(Inputs!$B$11:$D$11,1,MATCH(A536,Inputs!$B$6:$D$6,0)),IF(=INDEX(Roster!$B$6:$B$108,MATCH(D536,Roster!$A$6:$A$108,0))="Assistant Principal",INDEX(Inputs!$B$12:$D$12,1,MATCH(A536,Inputs!$B$6:$D$6,0)),0))))</x:f>
        <x:v>0</x:v>
      </x:c>
      <x:c r="L536" s="20" t="n">
        <x:f>IF(INDEX(Roster!$D$6:$D$108,MATCH(D536,Roster!$A$6:$A$108,0))&gt;=25,INDEX(Inputs!$B$19:$D$19,1,MATCH(A536,Inputs!$B$6:$D$6,0)),IF(INDEX(Roster!$D$6:$D$108,MATCH(D536,Roster!$A$6:$A$108,0))&gt;=20,INDEX(Inputs!$B$18:$D$18,1,MATCH(A536,Inputs!$B$6:$D$6,0)),IF(INDEX(Roster!$D$6:$D$108,MATCH(D536,Roster!$A$6:$A$108,0))&gt;=15,INDEX(Inputs!$B$17:$D$17,1,MATCH(A536,Inputs!$B$6:$D$6,0)),IF(INDEX(Roster!$D$6:$D$108,MATCH(D536,Roster!$A$6:$A$108,0))&gt;=10,INDEX(Inputs!$B$16:$D$16,1,MATCH(A536,Inputs!$B$6:$D$6,0)),IF(INDEX(Roster!$D$6:$D$108,MATCH(D536,Roster!$A$6:$A$108,0))&gt;=5,INDEX(Inputs!$B$15:$D$15,1,MATCH(A536,Inputs!$B$6:$D$6,0)),0)))))</x:f>
        <x:v>80</x:v>
      </x:c>
      <x:c r="M536" s="20" t="n">
        <x:f>G536*I536</x:f>
        <x:v>31135</x:v>
      </x:c>
      <x:c r="N536" s="20" t="n">
        <x:f>G536*J536</x:f>
        <x:v>780</x:v>
      </x:c>
      <x:c r="O536" s="20" t="n">
        <x:f>G536*K536</x:f>
        <x:v>0</x:v>
      </x:c>
      <x:c r="P536" s="20" t="n">
        <x:f>G536*L536</x:f>
        <x:v>1040</x:v>
      </x:c>
      <x:c r="Q536" s="20" t="n">
        <x:f>H536*INDEX(Inputs!$B$13:$D$13,1,MATCH(A536,Inputs!$B$6:$D$6,0))</x:f>
        <x:v>390</x:v>
      </x:c>
      <x:c r="R536" s="20" t="n">
        <x:f>SUM(M536:Q536)</x:f>
        <x:v>33345</x:v>
      </x:c>
      <x:c r="S536" s="20" t="n">
        <x:f>IF(AND(A535=A536,D535=D536),S535+R536,R536)</x:f>
        <x:v>100035</x:v>
      </x:c>
      <x:c r="T536" s="20" t="n">
        <x:f>MIN(S536,INDEX(Inputs!$B$20:$D$20,1,MATCH(A536,Inputs!$B$6:$D$6,0)))*INDEX(Inputs!$B$22:$D$22,1,MATCH(A536,Inputs!$B$6:$D$6,0))+MAX(MIN(S536,INDEX(Inputs!$B$21:$D$21,1,MATCH(A536,Inputs!$B$6:$D$6,0)))-INDEX(Inputs!$B$20:$D$20,1,MATCH(A536,Inputs!$B$6:$D$6,0)),0)*INDEX(Inputs!$B$23:$D$23,1,MATCH(A536,Inputs!$B$6:$D$6,0))+MAX(S536-INDEX(Inputs!$B$21:$D$21,1,MATCH(A536,Inputs!$B$6:$D$6,0)),0)*INDEX(Inputs!$B$24:$D$24,1,MATCH(A536,Inputs!$B$6:$D$6,0))</x:f>
        <x:v>8142.6775</x:v>
      </x:c>
      <x:c r="U536" s="20" t="n">
        <x:f>IF(AND(A535=A536,D535=D536),T535,0)</x:f>
        <x:v>5591.785</x:v>
      </x:c>
      <x:c r="V536" s="20" t="n">
        <x:f>T536-U536</x:f>
        <x:v>2550.8925</x:v>
      </x:c>
      <x:c r="W536" s="20" t="n">
        <x:f>R536+V536</x:f>
        <x:v>35895.8925</x:v>
      </x:c>
      <x:c r="X536" s="14" t="str">
        <x:f>IF(ABS(W536-SUM(M536:Q536)-V536)&lt;0.01,"OK","Check")</x:f>
        <x:v>OK</x:v>
      </x:c>
    </x:row>
    <x:row r="537">
      <x:c r="A537" s="14" t="n">
        <x:v>2027</x:v>
      </x:c>
      <x:c r="B537" s="14" t="str">
        <x:v>Q4</x:v>
      </x:c>
      <x:c r="C537" s="14" t="n">
        <x:v>4</x:v>
      </x:c>
      <x:c r="D537" s="14" t="n">
        <x:v>30</x:v>
      </x:c>
      <x:c r="E537" s="14" t="str">
        <x:f>INDEX(Roster!$B$6:$B$108,MATCH(D537,Roster!$A$6:$A$108,0))</x:f>
      </x:c>
      <x:c r="F537" s="14" t="str">
        <x:f>INDEX(Roster!$F$6:$F$108,MATCH(D537,Roster!$A$6:$A$108,0))</x:f>
        <x:v>No</x:v>
      </x:c>
      <x:c r="G537" s="14" t="n">
        <x:f>INDEX(Inputs!$B$7:$D$7,1,MATCH(A537,Inputs!$B$6:$D$6,0))</x:f>
        <x:v>13</x:v>
      </x:c>
      <x:c r="H537" s="14" t="n">
        <x:f>MIN(=INDEX(Inputs!$B$7:$D$7,1,MATCH(A537,Inputs!$B$6:$D$6,0)),MAX(0,INDEX(Inputs!$B$14:$D$14,1,MATCH(A537,Inputs!$B$6:$D$6,0))-(C537-1)*=INDEX(Inputs!$B$7:$D$7,1,MATCH(A537,Inputs!$B$6:$D$6,0))))</x:f>
        <x:v>0</x:v>
      </x:c>
      <x:c r="I537" s="20" t="n">
        <x:f>INDEX(Inputs!$B$8:$D$8,1,MATCH(A537,Inputs!$B$6:$D$6,0))</x:f>
        <x:v>2395</x:v>
      </x:c>
      <x:c r="J537" s="20" t="n">
        <x:f>INDEX(Roster!$C$6:$C$108,MATCH(D537,Roster!$A$6:$A$108,0))*(1+INDEX(Inputs!$B$9:$D$9,1,MATCH(A537,Inputs!$B$6:$D$6,0)))</x:f>
        <x:v>60</x:v>
      </x:c>
      <x:c r="K537" s="20" t="n">
        <x:f>IF(=INDEX(Roster!$F$6:$F$108,MATCH(D537,Roster!$A$6:$A$108,0))="Yes",0,=INDEX(Inputs!$B$8:$D$8,1,MATCH(A537,Inputs!$B$6:$D$6,0))*IF(=INDEX(Roster!$B$6:$B$108,MATCH(D537,Roster!$A$6:$A$108,0))="Principal",INDEX(Inputs!$B$10:$D$10,1,MATCH(A537,Inputs!$B$6:$D$6,0)),IF(=INDEX(Roster!$B$6:$B$108,MATCH(D537,Roster!$A$6:$A$108,0))="Associate Principal",INDEX(Inputs!$B$11:$D$11,1,MATCH(A537,Inputs!$B$6:$D$6,0)),IF(=INDEX(Roster!$B$6:$B$108,MATCH(D537,Roster!$A$6:$A$108,0))="Assistant Principal",INDEX(Inputs!$B$12:$D$12,1,MATCH(A537,Inputs!$B$6:$D$6,0)),0))))</x:f>
        <x:v>0</x:v>
      </x:c>
      <x:c r="L537" s="20" t="n">
        <x:f>IF(INDEX(Roster!$D$6:$D$108,MATCH(D537,Roster!$A$6:$A$108,0))&gt;=25,INDEX(Inputs!$B$19:$D$19,1,MATCH(A537,Inputs!$B$6:$D$6,0)),IF(INDEX(Roster!$D$6:$D$108,MATCH(D537,Roster!$A$6:$A$108,0))&gt;=20,INDEX(Inputs!$B$18:$D$18,1,MATCH(A537,Inputs!$B$6:$D$6,0)),IF(INDEX(Roster!$D$6:$D$108,MATCH(D537,Roster!$A$6:$A$108,0))&gt;=15,INDEX(Inputs!$B$17:$D$17,1,MATCH(A537,Inputs!$B$6:$D$6,0)),IF(INDEX(Roster!$D$6:$D$108,MATCH(D537,Roster!$A$6:$A$108,0))&gt;=10,INDEX(Inputs!$B$16:$D$16,1,MATCH(A537,Inputs!$B$6:$D$6,0)),IF(INDEX(Roster!$D$6:$D$108,MATCH(D537,Roster!$A$6:$A$108,0))&gt;=5,INDEX(Inputs!$B$15:$D$15,1,MATCH(A537,Inputs!$B$6:$D$6,0)),0)))))</x:f>
        <x:v>80</x:v>
      </x:c>
      <x:c r="M537" s="20" t="n">
        <x:f>G537*I537</x:f>
        <x:v>31135</x:v>
      </x:c>
      <x:c r="N537" s="20" t="n">
        <x:f>G537*J537</x:f>
        <x:v>780</x:v>
      </x:c>
      <x:c r="O537" s="20" t="n">
        <x:f>G537*K537</x:f>
        <x:v>0</x:v>
      </x:c>
      <x:c r="P537" s="20" t="n">
        <x:f>G537*L537</x:f>
        <x:v>1040</x:v>
      </x:c>
      <x:c r="Q537" s="20" t="n">
        <x:f>H537*INDEX(Inputs!$B$13:$D$13,1,MATCH(A537,Inputs!$B$6:$D$6,0))</x:f>
        <x:v>0</x:v>
      </x:c>
      <x:c r="R537" s="20" t="n">
        <x:f>SUM(M537:Q537)</x:f>
        <x:v>32955</x:v>
      </x:c>
      <x:c r="S537" s="20" t="n">
        <x:f>IF(AND(A536=A537,D536=D537),S536+R537,R537)</x:f>
        <x:v>132990</x:v>
      </x:c>
      <x:c r="T537" s="20" t="n">
        <x:f>MIN(S537,INDEX(Inputs!$B$20:$D$20,1,MATCH(A537,Inputs!$B$6:$D$6,0)))*INDEX(Inputs!$B$22:$D$22,1,MATCH(A537,Inputs!$B$6:$D$6,0))+MAX(MIN(S537,INDEX(Inputs!$B$21:$D$21,1,MATCH(A537,Inputs!$B$6:$D$6,0)))-INDEX(Inputs!$B$20:$D$20,1,MATCH(A537,Inputs!$B$6:$D$6,0)),0)*INDEX(Inputs!$B$23:$D$23,1,MATCH(A537,Inputs!$B$6:$D$6,0))+MAX(S537-INDEX(Inputs!$B$21:$D$21,1,MATCH(A537,Inputs!$B$6:$D$6,0)),0)*INDEX(Inputs!$B$24:$D$24,1,MATCH(A537,Inputs!$B$6:$D$6,0))</x:f>
        <x:v>9842.297</x:v>
      </x:c>
      <x:c r="U537" s="20" t="n">
        <x:f>IF(AND(A536=A537,D536=D537),T536,0)</x:f>
        <x:v>8142.6775</x:v>
      </x:c>
      <x:c r="V537" s="20" t="n">
        <x:f>T537-U537</x:f>
        <x:v>1699.6195000000007</x:v>
      </x:c>
      <x:c r="W537" s="20" t="n">
        <x:f>R537+V537</x:f>
        <x:v>34654.6195</x:v>
      </x:c>
      <x:c r="X537" s="14" t="str">
        <x:f>IF(ABS(W537-SUM(M537:Q537)-V537)&lt;0.01,"OK","Check")</x:f>
        <x:v>OK</x:v>
      </x:c>
    </x:row>
    <x:row r="538">
      <x:c r="A538" s="14" t="n">
        <x:v>2027</x:v>
      </x:c>
      <x:c r="B538" s="14" t="str">
        <x:v>Q1</x:v>
      </x:c>
      <x:c r="C538" s="14" t="n">
        <x:v>1</x:v>
      </x:c>
      <x:c r="D538" s="14" t="n">
        <x:v>31</x:v>
      </x:c>
      <x:c r="E538" s="14" t="str">
        <x:f>INDEX(Roster!$B$6:$B$108,MATCH(D538,Roster!$A$6:$A$108,0))</x:f>
        <x:v>Associate Principal</x:v>
      </x:c>
      <x:c r="F538" s="14" t="str">
        <x:f>INDEX(Roster!$F$6:$F$108,MATCH(D538,Roster!$A$6:$A$108,0))</x:f>
        <x:v>Yes</x:v>
      </x:c>
      <x:c r="G538" s="14" t="n">
        <x:f>INDEX(Inputs!$B$7:$D$7,1,MATCH(A538,Inputs!$B$6:$D$6,0))</x:f>
        <x:v>13</x:v>
      </x:c>
      <x:c r="H538" s="14" t="n">
        <x:f>MIN(=INDEX(Inputs!$B$7:$D$7,1,MATCH(A538,Inputs!$B$6:$D$6,0)),MAX(0,INDEX(Inputs!$B$14:$D$14,1,MATCH(A538,Inputs!$B$6:$D$6,0))-(C538-1)*=INDEX(Inputs!$B$7:$D$7,1,MATCH(A538,Inputs!$B$6:$D$6,0))))</x:f>
        <x:v>13</x:v>
      </x:c>
      <x:c r="I538" s="20" t="n">
        <x:f>INDEX(Inputs!$B$8:$D$8,1,MATCH(A538,Inputs!$B$6:$D$6,0))</x:f>
        <x:v>2395</x:v>
      </x:c>
      <x:c r="J538" s="20" t="n">
        <x:f>INDEX(Roster!$C$6:$C$108,MATCH(D538,Roster!$A$6:$A$108,0))*(1+INDEX(Inputs!$B$9:$D$9,1,MATCH(A538,Inputs!$B$6:$D$6,0)))</x:f>
        <x:v>775</x:v>
      </x:c>
      <x:c r="K538" s="20" t="n">
        <x:f>IF(=INDEX(Roster!$F$6:$F$108,MATCH(D538,Roster!$A$6:$A$108,0))="Yes",0,=INDEX(Inputs!$B$8:$D$8,1,MATCH(A538,Inputs!$B$6:$D$6,0))*IF(=INDEX(Roster!$B$6:$B$108,MATCH(D538,Roster!$A$6:$A$108,0))="Principal",INDEX(Inputs!$B$10:$D$10,1,MATCH(A538,Inputs!$B$6:$D$6,0)),IF(=INDEX(Roster!$B$6:$B$108,MATCH(D538,Roster!$A$6:$A$108,0))="Associate Principal",INDEX(Inputs!$B$11:$D$11,1,MATCH(A538,Inputs!$B$6:$D$6,0)),IF(=INDEX(Roster!$B$6:$B$108,MATCH(D538,Roster!$A$6:$A$108,0))="Assistant Principal",INDEX(Inputs!$B$12:$D$12,1,MATCH(A538,Inputs!$B$6:$D$6,0)),0))))</x:f>
        <x:v>0</x:v>
      </x:c>
      <x:c r="L538" s="20" t="n">
        <x:f>IF(INDEX(Roster!$D$6:$D$108,MATCH(D538,Roster!$A$6:$A$108,0))&gt;=25,INDEX(Inputs!$B$19:$D$19,1,MATCH(A538,Inputs!$B$6:$D$6,0)),IF(INDEX(Roster!$D$6:$D$108,MATCH(D538,Roster!$A$6:$A$108,0))&gt;=20,INDEX(Inputs!$B$18:$D$18,1,MATCH(A538,Inputs!$B$6:$D$6,0)),IF(INDEX(Roster!$D$6:$D$108,MATCH(D538,Roster!$A$6:$A$108,0))&gt;=15,INDEX(Inputs!$B$17:$D$17,1,MATCH(A538,Inputs!$B$6:$D$6,0)),IF(INDEX(Roster!$D$6:$D$108,MATCH(D538,Roster!$A$6:$A$108,0))&gt;=10,INDEX(Inputs!$B$16:$D$16,1,MATCH(A538,Inputs!$B$6:$D$6,0)),IF(INDEX(Roster!$D$6:$D$108,MATCH(D538,Roster!$A$6:$A$108,0))&gt;=5,INDEX(Inputs!$B$15:$D$15,1,MATCH(A538,Inputs!$B$6:$D$6,0)),0)))))</x:f>
        <x:v>0</x:v>
      </x:c>
      <x:c r="M538" s="20" t="n">
        <x:f>G538*I538</x:f>
        <x:v>31135</x:v>
      </x:c>
      <x:c r="N538" s="20" t="n">
        <x:f>G538*J538</x:f>
        <x:v>10075</x:v>
      </x:c>
      <x:c r="O538" s="20" t="n">
        <x:f>G538*K538</x:f>
        <x:v>0</x:v>
      </x:c>
      <x:c r="P538" s="20" t="n">
        <x:f>G538*L538</x:f>
        <x:v>0</x:v>
      </x:c>
      <x:c r="Q538" s="20" t="n">
        <x:f>H538*INDEX(Inputs!$B$13:$D$13,1,MATCH(A538,Inputs!$B$6:$D$6,0))</x:f>
        <x:v>390</x:v>
      </x:c>
      <x:c r="R538" s="20" t="n">
        <x:f>SUM(M538:Q538)</x:f>
        <x:v>41600</x:v>
      </x:c>
      <x:c r="S538" s="20" t="n">
        <x:f>IF(AND(A537=A538,D537=D538),S537+R538,R538)</x:f>
        <x:v>41600</x:v>
      </x:c>
      <x:c r="T538" s="20" t="n">
        <x:f>MIN(S538,INDEX(Inputs!$B$20:$D$20,1,MATCH(A538,Inputs!$B$6:$D$6,0)))*INDEX(Inputs!$B$22:$D$22,1,MATCH(A538,Inputs!$B$6:$D$6,0))+MAX(MIN(S538,INDEX(Inputs!$B$21:$D$21,1,MATCH(A538,Inputs!$B$6:$D$6,0)))-INDEX(Inputs!$B$20:$D$20,1,MATCH(A538,Inputs!$B$6:$D$6,0)),0)*INDEX(Inputs!$B$23:$D$23,1,MATCH(A538,Inputs!$B$6:$D$6,0))+MAX(S538-INDEX(Inputs!$B$21:$D$21,1,MATCH(A538,Inputs!$B$6:$D$6,0)),0)*INDEX(Inputs!$B$24:$D$24,1,MATCH(A538,Inputs!$B$6:$D$6,0))</x:f>
        <x:v>3672.4</x:v>
      </x:c>
      <x:c r="U538" s="20" t="n">
        <x:f>IF(AND(A537=A538,D537=D538),T537,0)</x:f>
        <x:v>0</x:v>
      </x:c>
      <x:c r="V538" s="20" t="n">
        <x:f>T538-U538</x:f>
        <x:v>3672.4</x:v>
      </x:c>
      <x:c r="W538" s="20" t="n">
        <x:f>R538+V538</x:f>
        <x:v>45272.4</x:v>
      </x:c>
      <x:c r="X538" s="14" t="str">
        <x:f>IF(ABS(W538-SUM(M538:Q538)-V538)&lt;0.01,"OK","Check")</x:f>
        <x:v>OK</x:v>
      </x:c>
    </x:row>
    <x:row r="539">
      <x:c r="A539" s="14" t="n">
        <x:v>2027</x:v>
      </x:c>
      <x:c r="B539" s="14" t="str">
        <x:v>Q2</x:v>
      </x:c>
      <x:c r="C539" s="14" t="n">
        <x:v>2</x:v>
      </x:c>
      <x:c r="D539" s="14" t="n">
        <x:v>31</x:v>
      </x:c>
      <x:c r="E539" s="14" t="str">
        <x:f>INDEX(Roster!$B$6:$B$108,MATCH(D539,Roster!$A$6:$A$108,0))</x:f>
        <x:v>Associate Principal</x:v>
      </x:c>
      <x:c r="F539" s="14" t="str">
        <x:f>INDEX(Roster!$F$6:$F$108,MATCH(D539,Roster!$A$6:$A$108,0))</x:f>
        <x:v>Yes</x:v>
      </x:c>
      <x:c r="G539" s="14" t="n">
        <x:f>INDEX(Inputs!$B$7:$D$7,1,MATCH(A539,Inputs!$B$6:$D$6,0))</x:f>
        <x:v>13</x:v>
      </x:c>
      <x:c r="H539" s="14" t="n">
        <x:f>MIN(=INDEX(Inputs!$B$7:$D$7,1,MATCH(A539,Inputs!$B$6:$D$6,0)),MAX(0,INDEX(Inputs!$B$14:$D$14,1,MATCH(A539,Inputs!$B$6:$D$6,0))-(C539-1)*=INDEX(Inputs!$B$7:$D$7,1,MATCH(A539,Inputs!$B$6:$D$6,0))))</x:f>
        <x:v>13</x:v>
      </x:c>
      <x:c r="I539" s="20" t="n">
        <x:f>INDEX(Inputs!$B$8:$D$8,1,MATCH(A539,Inputs!$B$6:$D$6,0))</x:f>
        <x:v>2395</x:v>
      </x:c>
      <x:c r="J539" s="20" t="n">
        <x:f>INDEX(Roster!$C$6:$C$108,MATCH(D539,Roster!$A$6:$A$108,0))*(1+INDEX(Inputs!$B$9:$D$9,1,MATCH(A539,Inputs!$B$6:$D$6,0)))</x:f>
        <x:v>775</x:v>
      </x:c>
      <x:c r="K539" s="20" t="n">
        <x:f>IF(=INDEX(Roster!$F$6:$F$108,MATCH(D539,Roster!$A$6:$A$108,0))="Yes",0,=INDEX(Inputs!$B$8:$D$8,1,MATCH(A539,Inputs!$B$6:$D$6,0))*IF(=INDEX(Roster!$B$6:$B$108,MATCH(D539,Roster!$A$6:$A$108,0))="Principal",INDEX(Inputs!$B$10:$D$10,1,MATCH(A539,Inputs!$B$6:$D$6,0)),IF(=INDEX(Roster!$B$6:$B$108,MATCH(D539,Roster!$A$6:$A$108,0))="Associate Principal",INDEX(Inputs!$B$11:$D$11,1,MATCH(A539,Inputs!$B$6:$D$6,0)),IF(=INDEX(Roster!$B$6:$B$108,MATCH(D539,Roster!$A$6:$A$108,0))="Assistant Principal",INDEX(Inputs!$B$12:$D$12,1,MATCH(A539,Inputs!$B$6:$D$6,0)),0))))</x:f>
        <x:v>0</x:v>
      </x:c>
      <x:c r="L539" s="20" t="n">
        <x:f>IF(INDEX(Roster!$D$6:$D$108,MATCH(D539,Roster!$A$6:$A$108,0))&gt;=25,INDEX(Inputs!$B$19:$D$19,1,MATCH(A539,Inputs!$B$6:$D$6,0)),IF(INDEX(Roster!$D$6:$D$108,MATCH(D539,Roster!$A$6:$A$108,0))&gt;=20,INDEX(Inputs!$B$18:$D$18,1,MATCH(A539,Inputs!$B$6:$D$6,0)),IF(INDEX(Roster!$D$6:$D$108,MATCH(D539,Roster!$A$6:$A$108,0))&gt;=15,INDEX(Inputs!$B$17:$D$17,1,MATCH(A539,Inputs!$B$6:$D$6,0)),IF(INDEX(Roster!$D$6:$D$108,MATCH(D539,Roster!$A$6:$A$108,0))&gt;=10,INDEX(Inputs!$B$16:$D$16,1,MATCH(A539,Inputs!$B$6:$D$6,0)),IF(INDEX(Roster!$D$6:$D$108,MATCH(D539,Roster!$A$6:$A$108,0))&gt;=5,INDEX(Inputs!$B$15:$D$15,1,MATCH(A539,Inputs!$B$6:$D$6,0)),0)))))</x:f>
        <x:v>0</x:v>
      </x:c>
      <x:c r="M539" s="20" t="n">
        <x:f>G539*I539</x:f>
        <x:v>31135</x:v>
      </x:c>
      <x:c r="N539" s="20" t="n">
        <x:f>G539*J539</x:f>
        <x:v>10075</x:v>
      </x:c>
      <x:c r="O539" s="20" t="n">
        <x:f>G539*K539</x:f>
        <x:v>0</x:v>
      </x:c>
      <x:c r="P539" s="20" t="n">
        <x:f>G539*L539</x:f>
        <x:v>0</x:v>
      </x:c>
      <x:c r="Q539" s="20" t="n">
        <x:f>H539*INDEX(Inputs!$B$13:$D$13,1,MATCH(A539,Inputs!$B$6:$D$6,0))</x:f>
        <x:v>390</x:v>
      </x:c>
      <x:c r="R539" s="20" t="n">
        <x:f>SUM(M539:Q539)</x:f>
        <x:v>41600</x:v>
      </x:c>
      <x:c r="S539" s="20" t="n">
        <x:f>IF(AND(A538=A539,D538=D539),S538+R539,R539)</x:f>
        <x:v>83200</x:v>
      </x:c>
      <x:c r="T539" s="20" t="n">
        <x:f>MIN(S539,INDEX(Inputs!$B$20:$D$20,1,MATCH(A539,Inputs!$B$6:$D$6,0)))*INDEX(Inputs!$B$22:$D$22,1,MATCH(A539,Inputs!$B$6:$D$6,0))+MAX(MIN(S539,INDEX(Inputs!$B$21:$D$21,1,MATCH(A539,Inputs!$B$6:$D$6,0)))-INDEX(Inputs!$B$20:$D$20,1,MATCH(A539,Inputs!$B$6:$D$6,0)),0)*INDEX(Inputs!$B$23:$D$23,1,MATCH(A539,Inputs!$B$6:$D$6,0))+MAX(S539-INDEX(Inputs!$B$21:$D$21,1,MATCH(A539,Inputs!$B$6:$D$6,0)),0)*INDEX(Inputs!$B$24:$D$24,1,MATCH(A539,Inputs!$B$6:$D$6,0))</x:f>
        <x:v>6854.8</x:v>
      </x:c>
      <x:c r="U539" s="20" t="n">
        <x:f>IF(AND(A538=A539,D538=D539),T538,0)</x:f>
        <x:v>3672.4</x:v>
      </x:c>
      <x:c r="V539" s="20" t="n">
        <x:f>T539-U539</x:f>
        <x:v>3182.4</x:v>
      </x:c>
      <x:c r="W539" s="20" t="n">
        <x:f>R539+V539</x:f>
        <x:v>44782.4</x:v>
      </x:c>
      <x:c r="X539" s="14" t="str">
        <x:f>IF(ABS(W539-SUM(M539:Q539)-V539)&lt;0.01,"OK","Check")</x:f>
        <x:v>OK</x:v>
      </x:c>
    </x:row>
    <x:row r="540">
      <x:c r="A540" s="14" t="n">
        <x:v>2027</x:v>
      </x:c>
      <x:c r="B540" s="14" t="str">
        <x:v>Q3</x:v>
      </x:c>
      <x:c r="C540" s="14" t="n">
        <x:v>3</x:v>
      </x:c>
      <x:c r="D540" s="14" t="n">
        <x:v>31</x:v>
      </x:c>
      <x:c r="E540" s="14" t="str">
        <x:f>INDEX(Roster!$B$6:$B$108,MATCH(D540,Roster!$A$6:$A$108,0))</x:f>
        <x:v>Associate Principal</x:v>
      </x:c>
      <x:c r="F540" s="14" t="str">
        <x:f>INDEX(Roster!$F$6:$F$108,MATCH(D540,Roster!$A$6:$A$108,0))</x:f>
        <x:v>Yes</x:v>
      </x:c>
      <x:c r="G540" s="14" t="n">
        <x:f>INDEX(Inputs!$B$7:$D$7,1,MATCH(A540,Inputs!$B$6:$D$6,0))</x:f>
        <x:v>13</x:v>
      </x:c>
      <x:c r="H540" s="14" t="n">
        <x:f>MIN(=INDEX(Inputs!$B$7:$D$7,1,MATCH(A540,Inputs!$B$6:$D$6,0)),MAX(0,INDEX(Inputs!$B$14:$D$14,1,MATCH(A540,Inputs!$B$6:$D$6,0))-(C540-1)*=INDEX(Inputs!$B$7:$D$7,1,MATCH(A540,Inputs!$B$6:$D$6,0))))</x:f>
        <x:v>13</x:v>
      </x:c>
      <x:c r="I540" s="20" t="n">
        <x:f>INDEX(Inputs!$B$8:$D$8,1,MATCH(A540,Inputs!$B$6:$D$6,0))</x:f>
        <x:v>2395</x:v>
      </x:c>
      <x:c r="J540" s="20" t="n">
        <x:f>INDEX(Roster!$C$6:$C$108,MATCH(D540,Roster!$A$6:$A$108,0))*(1+INDEX(Inputs!$B$9:$D$9,1,MATCH(A540,Inputs!$B$6:$D$6,0)))</x:f>
        <x:v>775</x:v>
      </x:c>
      <x:c r="K540" s="20" t="n">
        <x:f>IF(=INDEX(Roster!$F$6:$F$108,MATCH(D540,Roster!$A$6:$A$108,0))="Yes",0,=INDEX(Inputs!$B$8:$D$8,1,MATCH(A540,Inputs!$B$6:$D$6,0))*IF(=INDEX(Roster!$B$6:$B$108,MATCH(D540,Roster!$A$6:$A$108,0))="Principal",INDEX(Inputs!$B$10:$D$10,1,MATCH(A540,Inputs!$B$6:$D$6,0)),IF(=INDEX(Roster!$B$6:$B$108,MATCH(D540,Roster!$A$6:$A$108,0))="Associate Principal",INDEX(Inputs!$B$11:$D$11,1,MATCH(A540,Inputs!$B$6:$D$6,0)),IF(=INDEX(Roster!$B$6:$B$108,MATCH(D540,Roster!$A$6:$A$108,0))="Assistant Principal",INDEX(Inputs!$B$12:$D$12,1,MATCH(A540,Inputs!$B$6:$D$6,0)),0))))</x:f>
        <x:v>0</x:v>
      </x:c>
      <x:c r="L540" s="20" t="n">
        <x:f>IF(INDEX(Roster!$D$6:$D$108,MATCH(D540,Roster!$A$6:$A$108,0))&gt;=25,INDEX(Inputs!$B$19:$D$19,1,MATCH(A540,Inputs!$B$6:$D$6,0)),IF(INDEX(Roster!$D$6:$D$108,MATCH(D540,Roster!$A$6:$A$108,0))&gt;=20,INDEX(Inputs!$B$18:$D$18,1,MATCH(A540,Inputs!$B$6:$D$6,0)),IF(INDEX(Roster!$D$6:$D$108,MATCH(D540,Roster!$A$6:$A$108,0))&gt;=15,INDEX(Inputs!$B$17:$D$17,1,MATCH(A540,Inputs!$B$6:$D$6,0)),IF(INDEX(Roster!$D$6:$D$108,MATCH(D540,Roster!$A$6:$A$108,0))&gt;=10,INDEX(Inputs!$B$16:$D$16,1,MATCH(A540,Inputs!$B$6:$D$6,0)),IF(INDEX(Roster!$D$6:$D$108,MATCH(D540,Roster!$A$6:$A$108,0))&gt;=5,INDEX(Inputs!$B$15:$D$15,1,MATCH(A540,Inputs!$B$6:$D$6,0)),0)))))</x:f>
        <x:v>0</x:v>
      </x:c>
      <x:c r="M540" s="20" t="n">
        <x:f>G540*I540</x:f>
        <x:v>31135</x:v>
      </x:c>
      <x:c r="N540" s="20" t="n">
        <x:f>G540*J540</x:f>
        <x:v>10075</x:v>
      </x:c>
      <x:c r="O540" s="20" t="n">
        <x:f>G540*K540</x:f>
        <x:v>0</x:v>
      </x:c>
      <x:c r="P540" s="20" t="n">
        <x:f>G540*L540</x:f>
        <x:v>0</x:v>
      </x:c>
      <x:c r="Q540" s="20" t="n">
        <x:f>H540*INDEX(Inputs!$B$13:$D$13,1,MATCH(A540,Inputs!$B$6:$D$6,0))</x:f>
        <x:v>390</x:v>
      </x:c>
      <x:c r="R540" s="20" t="n">
        <x:f>SUM(M540:Q540)</x:f>
        <x:v>41600</x:v>
      </x:c>
      <x:c r="S540" s="20" t="n">
        <x:f>IF(AND(A539=A540,D539=D540),S539+R540,R540)</x:f>
        <x:v>124800</x:v>
      </x:c>
      <x:c r="T540" s="20" t="n">
        <x:f>MIN(S540,INDEX(Inputs!$B$20:$D$20,1,MATCH(A540,Inputs!$B$6:$D$6,0)))*INDEX(Inputs!$B$22:$D$22,1,MATCH(A540,Inputs!$B$6:$D$6,0))+MAX(MIN(S540,INDEX(Inputs!$B$21:$D$21,1,MATCH(A540,Inputs!$B$6:$D$6,0)))-INDEX(Inputs!$B$20:$D$20,1,MATCH(A540,Inputs!$B$6:$D$6,0)),0)*INDEX(Inputs!$B$23:$D$23,1,MATCH(A540,Inputs!$B$6:$D$6,0))+MAX(S540-INDEX(Inputs!$B$21:$D$21,1,MATCH(A540,Inputs!$B$6:$D$6,0)),0)*INDEX(Inputs!$B$24:$D$24,1,MATCH(A540,Inputs!$B$6:$D$6,0))</x:f>
        <x:v>9723.542</x:v>
      </x:c>
      <x:c r="U540" s="20" t="n">
        <x:f>IF(AND(A539=A540,D539=D540),T539,0)</x:f>
        <x:v>6854.8</x:v>
      </x:c>
      <x:c r="V540" s="20" t="n">
        <x:f>T540-U540</x:f>
        <x:v>2868.7419999999993</x:v>
      </x:c>
      <x:c r="W540" s="20" t="n">
        <x:f>R540+V540</x:f>
        <x:v>44468.742</x:v>
      </x:c>
      <x:c r="X540" s="14" t="str">
        <x:f>IF(ABS(W540-SUM(M540:Q540)-V540)&lt;0.01,"OK","Check")</x:f>
        <x:v>OK</x:v>
      </x:c>
    </x:row>
    <x:row r="541">
      <x:c r="A541" s="14" t="n">
        <x:v>2027</x:v>
      </x:c>
      <x:c r="B541" s="14" t="str">
        <x:v>Q4</x:v>
      </x:c>
      <x:c r="C541" s="14" t="n">
        <x:v>4</x:v>
      </x:c>
      <x:c r="D541" s="14" t="n">
        <x:v>31</x:v>
      </x:c>
      <x:c r="E541" s="14" t="str">
        <x:f>INDEX(Roster!$B$6:$B$108,MATCH(D541,Roster!$A$6:$A$108,0))</x:f>
        <x:v>Associate Principal</x:v>
      </x:c>
      <x:c r="F541" s="14" t="str">
        <x:f>INDEX(Roster!$F$6:$F$108,MATCH(D541,Roster!$A$6:$A$108,0))</x:f>
        <x:v>Yes</x:v>
      </x:c>
      <x:c r="G541" s="14" t="n">
        <x:f>INDEX(Inputs!$B$7:$D$7,1,MATCH(A541,Inputs!$B$6:$D$6,0))</x:f>
        <x:v>13</x:v>
      </x:c>
      <x:c r="H541" s="14" t="n">
        <x:f>MIN(=INDEX(Inputs!$B$7:$D$7,1,MATCH(A541,Inputs!$B$6:$D$6,0)),MAX(0,INDEX(Inputs!$B$14:$D$14,1,MATCH(A541,Inputs!$B$6:$D$6,0))-(C541-1)*=INDEX(Inputs!$B$7:$D$7,1,MATCH(A541,Inputs!$B$6:$D$6,0))))</x:f>
        <x:v>0</x:v>
      </x:c>
      <x:c r="I541" s="20" t="n">
        <x:f>INDEX(Inputs!$B$8:$D$8,1,MATCH(A541,Inputs!$B$6:$D$6,0))</x:f>
        <x:v>2395</x:v>
      </x:c>
      <x:c r="J541" s="20" t="n">
        <x:f>INDEX(Roster!$C$6:$C$108,MATCH(D541,Roster!$A$6:$A$108,0))*(1+INDEX(Inputs!$B$9:$D$9,1,MATCH(A541,Inputs!$B$6:$D$6,0)))</x:f>
        <x:v>775</x:v>
      </x:c>
      <x:c r="K541" s="20" t="n">
        <x:f>IF(=INDEX(Roster!$F$6:$F$108,MATCH(D541,Roster!$A$6:$A$108,0))="Yes",0,=INDEX(Inputs!$B$8:$D$8,1,MATCH(A541,Inputs!$B$6:$D$6,0))*IF(=INDEX(Roster!$B$6:$B$108,MATCH(D541,Roster!$A$6:$A$108,0))="Principal",INDEX(Inputs!$B$10:$D$10,1,MATCH(A541,Inputs!$B$6:$D$6,0)),IF(=INDEX(Roster!$B$6:$B$108,MATCH(D541,Roster!$A$6:$A$108,0))="Associate Principal",INDEX(Inputs!$B$11:$D$11,1,MATCH(A541,Inputs!$B$6:$D$6,0)),IF(=INDEX(Roster!$B$6:$B$108,MATCH(D541,Roster!$A$6:$A$108,0))="Assistant Principal",INDEX(Inputs!$B$12:$D$12,1,MATCH(A541,Inputs!$B$6:$D$6,0)),0))))</x:f>
        <x:v>0</x:v>
      </x:c>
      <x:c r="L541" s="20" t="n">
        <x:f>IF(INDEX(Roster!$D$6:$D$108,MATCH(D541,Roster!$A$6:$A$108,0))&gt;=25,INDEX(Inputs!$B$19:$D$19,1,MATCH(A541,Inputs!$B$6:$D$6,0)),IF(INDEX(Roster!$D$6:$D$108,MATCH(D541,Roster!$A$6:$A$108,0))&gt;=20,INDEX(Inputs!$B$18:$D$18,1,MATCH(A541,Inputs!$B$6:$D$6,0)),IF(INDEX(Roster!$D$6:$D$108,MATCH(D541,Roster!$A$6:$A$108,0))&gt;=15,INDEX(Inputs!$B$17:$D$17,1,MATCH(A541,Inputs!$B$6:$D$6,0)),IF(INDEX(Roster!$D$6:$D$108,MATCH(D541,Roster!$A$6:$A$108,0))&gt;=10,INDEX(Inputs!$B$16:$D$16,1,MATCH(A541,Inputs!$B$6:$D$6,0)),IF(INDEX(Roster!$D$6:$D$108,MATCH(D541,Roster!$A$6:$A$108,0))&gt;=5,INDEX(Inputs!$B$15:$D$15,1,MATCH(A541,Inputs!$B$6:$D$6,0)),0)))))</x:f>
        <x:v>0</x:v>
      </x:c>
      <x:c r="M541" s="20" t="n">
        <x:f>G541*I541</x:f>
        <x:v>31135</x:v>
      </x:c>
      <x:c r="N541" s="20" t="n">
        <x:f>G541*J541</x:f>
        <x:v>10075</x:v>
      </x:c>
      <x:c r="O541" s="20" t="n">
        <x:f>G541*K541</x:f>
        <x:v>0</x:v>
      </x:c>
      <x:c r="P541" s="20" t="n">
        <x:f>G541*L541</x:f>
        <x:v>0</x:v>
      </x:c>
      <x:c r="Q541" s="20" t="n">
        <x:f>H541*INDEX(Inputs!$B$13:$D$13,1,MATCH(A541,Inputs!$B$6:$D$6,0))</x:f>
        <x:v>0</x:v>
      </x:c>
      <x:c r="R541" s="20" t="n">
        <x:f>SUM(M541:Q541)</x:f>
        <x:v>41210</x:v>
      </x:c>
      <x:c r="S541" s="20" t="n">
        <x:f>IF(AND(A540=A541,D540=D541),S540+R541,R541)</x:f>
        <x:v>166010</x:v>
      </x:c>
      <x:c r="T541" s="20" t="n">
        <x:f>MIN(S541,INDEX(Inputs!$B$20:$D$20,1,MATCH(A541,Inputs!$B$6:$D$6,0)))*INDEX(Inputs!$B$22:$D$22,1,MATCH(A541,Inputs!$B$6:$D$6,0))+MAX(MIN(S541,INDEX(Inputs!$B$21:$D$21,1,MATCH(A541,Inputs!$B$6:$D$6,0)))-INDEX(Inputs!$B$20:$D$20,1,MATCH(A541,Inputs!$B$6:$D$6,0)),0)*INDEX(Inputs!$B$23:$D$23,1,MATCH(A541,Inputs!$B$6:$D$6,0))+MAX(S541-INDEX(Inputs!$B$21:$D$21,1,MATCH(A541,Inputs!$B$6:$D$6,0)),0)*INDEX(Inputs!$B$24:$D$24,1,MATCH(A541,Inputs!$B$6:$D$6,0))</x:f>
        <x:v>10321.087</x:v>
      </x:c>
      <x:c r="U541" s="20" t="n">
        <x:f>IF(AND(A540=A541,D540=D541),T540,0)</x:f>
        <x:v>9723.542</x:v>
      </x:c>
      <x:c r="V541" s="20" t="n">
        <x:f>T541-U541</x:f>
        <x:v>597.5450000000001</x:v>
      </x:c>
      <x:c r="W541" s="20" t="n">
        <x:f>R541+V541</x:f>
        <x:v>41807.545</x:v>
      </x:c>
      <x:c r="X541" s="14" t="str">
        <x:f>IF(ABS(W541-SUM(M541:Q541)-V541)&lt;0.01,"OK","Check")</x:f>
        <x:v>OK</x:v>
      </x:c>
    </x:row>
    <x:row r="542">
      <x:c r="A542" s="14" t="n">
        <x:v>2027</x:v>
      </x:c>
      <x:c r="B542" s="14" t="str">
        <x:v>Q1</x:v>
      </x:c>
      <x:c r="C542" s="14" t="n">
        <x:v>1</x:v>
      </x:c>
      <x:c r="D542" s="14" t="n">
        <x:v>32</x:v>
      </x:c>
      <x:c r="E542" s="14" t="str">
        <x:f>INDEX(Roster!$B$6:$B$108,MATCH(D542,Roster!$A$6:$A$108,0))</x:f>
      </x:c>
      <x:c r="F542" s="14" t="str">
        <x:f>INDEX(Roster!$F$6:$F$108,MATCH(D542,Roster!$A$6:$A$108,0))</x:f>
        <x:v>No</x:v>
      </x:c>
      <x:c r="G542" s="14" t="n">
        <x:f>INDEX(Inputs!$B$7:$D$7,1,MATCH(A542,Inputs!$B$6:$D$6,0))</x:f>
        <x:v>13</x:v>
      </x:c>
      <x:c r="H542" s="14" t="n">
        <x:f>MIN(=INDEX(Inputs!$B$7:$D$7,1,MATCH(A542,Inputs!$B$6:$D$6,0)),MAX(0,INDEX(Inputs!$B$14:$D$14,1,MATCH(A542,Inputs!$B$6:$D$6,0))-(C542-1)*=INDEX(Inputs!$B$7:$D$7,1,MATCH(A542,Inputs!$B$6:$D$6,0))))</x:f>
        <x:v>13</x:v>
      </x:c>
      <x:c r="I542" s="20" t="n">
        <x:f>INDEX(Inputs!$B$8:$D$8,1,MATCH(A542,Inputs!$B$6:$D$6,0))</x:f>
        <x:v>2395</x:v>
      </x:c>
      <x:c r="J542" s="20" t="n">
        <x:f>INDEX(Roster!$C$6:$C$108,MATCH(D542,Roster!$A$6:$A$108,0))*(1+INDEX(Inputs!$B$9:$D$9,1,MATCH(A542,Inputs!$B$6:$D$6,0)))</x:f>
        <x:v>90</x:v>
      </x:c>
      <x:c r="K542" s="20" t="n">
        <x:f>IF(=INDEX(Roster!$F$6:$F$108,MATCH(D542,Roster!$A$6:$A$108,0))="Yes",0,=INDEX(Inputs!$B$8:$D$8,1,MATCH(A542,Inputs!$B$6:$D$6,0))*IF(=INDEX(Roster!$B$6:$B$108,MATCH(D542,Roster!$A$6:$A$108,0))="Principal",INDEX(Inputs!$B$10:$D$10,1,MATCH(A542,Inputs!$B$6:$D$6,0)),IF(=INDEX(Roster!$B$6:$B$108,MATCH(D542,Roster!$A$6:$A$108,0))="Associate Principal",INDEX(Inputs!$B$11:$D$11,1,MATCH(A542,Inputs!$B$6:$D$6,0)),IF(=INDEX(Roster!$B$6:$B$108,MATCH(D542,Roster!$A$6:$A$108,0))="Assistant Principal",INDEX(Inputs!$B$12:$D$12,1,MATCH(A542,Inputs!$B$6:$D$6,0)),0))))</x:f>
        <x:v>0</x:v>
      </x:c>
      <x:c r="L542" s="20" t="n">
        <x:f>IF(INDEX(Roster!$D$6:$D$108,MATCH(D542,Roster!$A$6:$A$108,0))&gt;=25,INDEX(Inputs!$B$19:$D$19,1,MATCH(A542,Inputs!$B$6:$D$6,0)),IF(INDEX(Roster!$D$6:$D$108,MATCH(D542,Roster!$A$6:$A$108,0))&gt;=20,INDEX(Inputs!$B$18:$D$18,1,MATCH(A542,Inputs!$B$6:$D$6,0)),IF(INDEX(Roster!$D$6:$D$108,MATCH(D542,Roster!$A$6:$A$108,0))&gt;=15,INDEX(Inputs!$B$17:$D$17,1,MATCH(A542,Inputs!$B$6:$D$6,0)),IF(INDEX(Roster!$D$6:$D$108,MATCH(D542,Roster!$A$6:$A$108,0))&gt;=10,INDEX(Inputs!$B$16:$D$16,1,MATCH(A542,Inputs!$B$6:$D$6,0)),IF(INDEX(Roster!$D$6:$D$108,MATCH(D542,Roster!$A$6:$A$108,0))&gt;=5,INDEX(Inputs!$B$15:$D$15,1,MATCH(A542,Inputs!$B$6:$D$6,0)),0)))))</x:f>
        <x:v>80</x:v>
      </x:c>
      <x:c r="M542" s="20" t="n">
        <x:f>G542*I542</x:f>
        <x:v>31135</x:v>
      </x:c>
      <x:c r="N542" s="20" t="n">
        <x:f>G542*J542</x:f>
        <x:v>1170</x:v>
      </x:c>
      <x:c r="O542" s="20" t="n">
        <x:f>G542*K542</x:f>
        <x:v>0</x:v>
      </x:c>
      <x:c r="P542" s="20" t="n">
        <x:f>G542*L542</x:f>
        <x:v>1040</x:v>
      </x:c>
      <x:c r="Q542" s="20" t="n">
        <x:f>H542*INDEX(Inputs!$B$13:$D$13,1,MATCH(A542,Inputs!$B$6:$D$6,0))</x:f>
        <x:v>390</x:v>
      </x:c>
      <x:c r="R542" s="20" t="n">
        <x:f>SUM(M542:Q542)</x:f>
        <x:v>33735</x:v>
      </x:c>
      <x:c r="S542" s="20" t="n">
        <x:f>IF(AND(A541=A542,D541=D542),S541+R542,R542)</x:f>
        <x:v>33735</x:v>
      </x:c>
      <x:c r="T542" s="20" t="n">
        <x:f>MIN(S542,INDEX(Inputs!$B$20:$D$20,1,MATCH(A542,Inputs!$B$6:$D$6,0)))*INDEX(Inputs!$B$22:$D$22,1,MATCH(A542,Inputs!$B$6:$D$6,0))+MAX(MIN(S542,INDEX(Inputs!$B$21:$D$21,1,MATCH(A542,Inputs!$B$6:$D$6,0)))-INDEX(Inputs!$B$20:$D$20,1,MATCH(A542,Inputs!$B$6:$D$6,0)),0)*INDEX(Inputs!$B$23:$D$23,1,MATCH(A542,Inputs!$B$6:$D$6,0))+MAX(S542-INDEX(Inputs!$B$21:$D$21,1,MATCH(A542,Inputs!$B$6:$D$6,0)),0)*INDEX(Inputs!$B$24:$D$24,1,MATCH(A542,Inputs!$B$6:$D$6,0))</x:f>
        <x:v>3070.7275</x:v>
      </x:c>
      <x:c r="U542" s="20" t="n">
        <x:f>IF(AND(A541=A542,D541=D542),T541,0)</x:f>
        <x:v>0</x:v>
      </x:c>
      <x:c r="V542" s="20" t="n">
        <x:f>T542-U542</x:f>
        <x:v>3070.7275</x:v>
      </x:c>
      <x:c r="W542" s="20" t="n">
        <x:f>R542+V542</x:f>
        <x:v>36805.7275</x:v>
      </x:c>
      <x:c r="X542" s="14" t="str">
        <x:f>IF(ABS(W542-SUM(M542:Q542)-V542)&lt;0.01,"OK","Check")</x:f>
        <x:v>OK</x:v>
      </x:c>
    </x:row>
    <x:row r="543">
      <x:c r="A543" s="14" t="n">
        <x:v>2027</x:v>
      </x:c>
      <x:c r="B543" s="14" t="str">
        <x:v>Q2</x:v>
      </x:c>
      <x:c r="C543" s="14" t="n">
        <x:v>2</x:v>
      </x:c>
      <x:c r="D543" s="14" t="n">
        <x:v>32</x:v>
      </x:c>
      <x:c r="E543" s="14" t="str">
        <x:f>INDEX(Roster!$B$6:$B$108,MATCH(D543,Roster!$A$6:$A$108,0))</x:f>
      </x:c>
      <x:c r="F543" s="14" t="str">
        <x:f>INDEX(Roster!$F$6:$F$108,MATCH(D543,Roster!$A$6:$A$108,0))</x:f>
        <x:v>No</x:v>
      </x:c>
      <x:c r="G543" s="14" t="n">
        <x:f>INDEX(Inputs!$B$7:$D$7,1,MATCH(A543,Inputs!$B$6:$D$6,0))</x:f>
        <x:v>13</x:v>
      </x:c>
      <x:c r="H543" s="14" t="n">
        <x:f>MIN(=INDEX(Inputs!$B$7:$D$7,1,MATCH(A543,Inputs!$B$6:$D$6,0)),MAX(0,INDEX(Inputs!$B$14:$D$14,1,MATCH(A543,Inputs!$B$6:$D$6,0))-(C543-1)*=INDEX(Inputs!$B$7:$D$7,1,MATCH(A543,Inputs!$B$6:$D$6,0))))</x:f>
        <x:v>13</x:v>
      </x:c>
      <x:c r="I543" s="20" t="n">
        <x:f>INDEX(Inputs!$B$8:$D$8,1,MATCH(A543,Inputs!$B$6:$D$6,0))</x:f>
        <x:v>2395</x:v>
      </x:c>
      <x:c r="J543" s="20" t="n">
        <x:f>INDEX(Roster!$C$6:$C$108,MATCH(D543,Roster!$A$6:$A$108,0))*(1+INDEX(Inputs!$B$9:$D$9,1,MATCH(A543,Inputs!$B$6:$D$6,0)))</x:f>
        <x:v>90</x:v>
      </x:c>
      <x:c r="K543" s="20" t="n">
        <x:f>IF(=INDEX(Roster!$F$6:$F$108,MATCH(D543,Roster!$A$6:$A$108,0))="Yes",0,=INDEX(Inputs!$B$8:$D$8,1,MATCH(A543,Inputs!$B$6:$D$6,0))*IF(=INDEX(Roster!$B$6:$B$108,MATCH(D543,Roster!$A$6:$A$108,0))="Principal",INDEX(Inputs!$B$10:$D$10,1,MATCH(A543,Inputs!$B$6:$D$6,0)),IF(=INDEX(Roster!$B$6:$B$108,MATCH(D543,Roster!$A$6:$A$108,0))="Associate Principal",INDEX(Inputs!$B$11:$D$11,1,MATCH(A543,Inputs!$B$6:$D$6,0)),IF(=INDEX(Roster!$B$6:$B$108,MATCH(D543,Roster!$A$6:$A$108,0))="Assistant Principal",INDEX(Inputs!$B$12:$D$12,1,MATCH(A543,Inputs!$B$6:$D$6,0)),0))))</x:f>
        <x:v>0</x:v>
      </x:c>
      <x:c r="L543" s="20" t="n">
        <x:f>IF(INDEX(Roster!$D$6:$D$108,MATCH(D543,Roster!$A$6:$A$108,0))&gt;=25,INDEX(Inputs!$B$19:$D$19,1,MATCH(A543,Inputs!$B$6:$D$6,0)),IF(INDEX(Roster!$D$6:$D$108,MATCH(D543,Roster!$A$6:$A$108,0))&gt;=20,INDEX(Inputs!$B$18:$D$18,1,MATCH(A543,Inputs!$B$6:$D$6,0)),IF(INDEX(Roster!$D$6:$D$108,MATCH(D543,Roster!$A$6:$A$108,0))&gt;=15,INDEX(Inputs!$B$17:$D$17,1,MATCH(A543,Inputs!$B$6:$D$6,0)),IF(INDEX(Roster!$D$6:$D$108,MATCH(D543,Roster!$A$6:$A$108,0))&gt;=10,INDEX(Inputs!$B$16:$D$16,1,MATCH(A543,Inputs!$B$6:$D$6,0)),IF(INDEX(Roster!$D$6:$D$108,MATCH(D543,Roster!$A$6:$A$108,0))&gt;=5,INDEX(Inputs!$B$15:$D$15,1,MATCH(A543,Inputs!$B$6:$D$6,0)),0)))))</x:f>
        <x:v>80</x:v>
      </x:c>
      <x:c r="M543" s="20" t="n">
        <x:f>G543*I543</x:f>
        <x:v>31135</x:v>
      </x:c>
      <x:c r="N543" s="20" t="n">
        <x:f>G543*J543</x:f>
        <x:v>1170</x:v>
      </x:c>
      <x:c r="O543" s="20" t="n">
        <x:f>G543*K543</x:f>
        <x:v>0</x:v>
      </x:c>
      <x:c r="P543" s="20" t="n">
        <x:f>G543*L543</x:f>
        <x:v>1040</x:v>
      </x:c>
      <x:c r="Q543" s="20" t="n">
        <x:f>H543*INDEX(Inputs!$B$13:$D$13,1,MATCH(A543,Inputs!$B$6:$D$6,0))</x:f>
        <x:v>390</x:v>
      </x:c>
      <x:c r="R543" s="20" t="n">
        <x:f>SUM(M543:Q543)</x:f>
        <x:v>33735</x:v>
      </x:c>
      <x:c r="S543" s="20" t="n">
        <x:f>IF(AND(A542=A543,D542=D543),S542+R543,R543)</x:f>
        <x:v>67470</x:v>
      </x:c>
      <x:c r="T543" s="20" t="n">
        <x:f>MIN(S543,INDEX(Inputs!$B$20:$D$20,1,MATCH(A543,Inputs!$B$6:$D$6,0)))*INDEX(Inputs!$B$22:$D$22,1,MATCH(A543,Inputs!$B$6:$D$6,0))+MAX(MIN(S543,INDEX(Inputs!$B$21:$D$21,1,MATCH(A543,Inputs!$B$6:$D$6,0)))-INDEX(Inputs!$B$20:$D$20,1,MATCH(A543,Inputs!$B$6:$D$6,0)),0)*INDEX(Inputs!$B$23:$D$23,1,MATCH(A543,Inputs!$B$6:$D$6,0))+MAX(S543-INDEX(Inputs!$B$21:$D$21,1,MATCH(A543,Inputs!$B$6:$D$6,0)),0)*INDEX(Inputs!$B$24:$D$24,1,MATCH(A543,Inputs!$B$6:$D$6,0))</x:f>
        <x:v>5651.455</x:v>
      </x:c>
      <x:c r="U543" s="20" t="n">
        <x:f>IF(AND(A542=A543,D542=D543),T542,0)</x:f>
        <x:v>3070.7275</x:v>
      </x:c>
      <x:c r="V543" s="20" t="n">
        <x:f>T543-U543</x:f>
        <x:v>2580.7275</x:v>
      </x:c>
      <x:c r="W543" s="20" t="n">
        <x:f>R543+V543</x:f>
        <x:v>36315.7275</x:v>
      </x:c>
      <x:c r="X543" s="14" t="str">
        <x:f>IF(ABS(W543-SUM(M543:Q543)-V543)&lt;0.01,"OK","Check")</x:f>
        <x:v>OK</x:v>
      </x:c>
    </x:row>
    <x:row r="544">
      <x:c r="A544" s="14" t="n">
        <x:v>2027</x:v>
      </x:c>
      <x:c r="B544" s="14" t="str">
        <x:v>Q3</x:v>
      </x:c>
      <x:c r="C544" s="14" t="n">
        <x:v>3</x:v>
      </x:c>
      <x:c r="D544" s="14" t="n">
        <x:v>32</x:v>
      </x:c>
      <x:c r="E544" s="14" t="str">
        <x:f>INDEX(Roster!$B$6:$B$108,MATCH(D544,Roster!$A$6:$A$108,0))</x:f>
      </x:c>
      <x:c r="F544" s="14" t="str">
        <x:f>INDEX(Roster!$F$6:$F$108,MATCH(D544,Roster!$A$6:$A$108,0))</x:f>
        <x:v>No</x:v>
      </x:c>
      <x:c r="G544" s="14" t="n">
        <x:f>INDEX(Inputs!$B$7:$D$7,1,MATCH(A544,Inputs!$B$6:$D$6,0))</x:f>
        <x:v>13</x:v>
      </x:c>
      <x:c r="H544" s="14" t="n">
        <x:f>MIN(=INDEX(Inputs!$B$7:$D$7,1,MATCH(A544,Inputs!$B$6:$D$6,0)),MAX(0,INDEX(Inputs!$B$14:$D$14,1,MATCH(A544,Inputs!$B$6:$D$6,0))-(C544-1)*=INDEX(Inputs!$B$7:$D$7,1,MATCH(A544,Inputs!$B$6:$D$6,0))))</x:f>
        <x:v>13</x:v>
      </x:c>
      <x:c r="I544" s="20" t="n">
        <x:f>INDEX(Inputs!$B$8:$D$8,1,MATCH(A544,Inputs!$B$6:$D$6,0))</x:f>
        <x:v>2395</x:v>
      </x:c>
      <x:c r="J544" s="20" t="n">
        <x:f>INDEX(Roster!$C$6:$C$108,MATCH(D544,Roster!$A$6:$A$108,0))*(1+INDEX(Inputs!$B$9:$D$9,1,MATCH(A544,Inputs!$B$6:$D$6,0)))</x:f>
        <x:v>90</x:v>
      </x:c>
      <x:c r="K544" s="20" t="n">
        <x:f>IF(=INDEX(Roster!$F$6:$F$108,MATCH(D544,Roster!$A$6:$A$108,0))="Yes",0,=INDEX(Inputs!$B$8:$D$8,1,MATCH(A544,Inputs!$B$6:$D$6,0))*IF(=INDEX(Roster!$B$6:$B$108,MATCH(D544,Roster!$A$6:$A$108,0))="Principal",INDEX(Inputs!$B$10:$D$10,1,MATCH(A544,Inputs!$B$6:$D$6,0)),IF(=INDEX(Roster!$B$6:$B$108,MATCH(D544,Roster!$A$6:$A$108,0))="Associate Principal",INDEX(Inputs!$B$11:$D$11,1,MATCH(A544,Inputs!$B$6:$D$6,0)),IF(=INDEX(Roster!$B$6:$B$108,MATCH(D544,Roster!$A$6:$A$108,0))="Assistant Principal",INDEX(Inputs!$B$12:$D$12,1,MATCH(A544,Inputs!$B$6:$D$6,0)),0))))</x:f>
        <x:v>0</x:v>
      </x:c>
      <x:c r="L544" s="20" t="n">
        <x:f>IF(INDEX(Roster!$D$6:$D$108,MATCH(D544,Roster!$A$6:$A$108,0))&gt;=25,INDEX(Inputs!$B$19:$D$19,1,MATCH(A544,Inputs!$B$6:$D$6,0)),IF(INDEX(Roster!$D$6:$D$108,MATCH(D544,Roster!$A$6:$A$108,0))&gt;=20,INDEX(Inputs!$B$18:$D$18,1,MATCH(A544,Inputs!$B$6:$D$6,0)),IF(INDEX(Roster!$D$6:$D$108,MATCH(D544,Roster!$A$6:$A$108,0))&gt;=15,INDEX(Inputs!$B$17:$D$17,1,MATCH(A544,Inputs!$B$6:$D$6,0)),IF(INDEX(Roster!$D$6:$D$108,MATCH(D544,Roster!$A$6:$A$108,0))&gt;=10,INDEX(Inputs!$B$16:$D$16,1,MATCH(A544,Inputs!$B$6:$D$6,0)),IF(INDEX(Roster!$D$6:$D$108,MATCH(D544,Roster!$A$6:$A$108,0))&gt;=5,INDEX(Inputs!$B$15:$D$15,1,MATCH(A544,Inputs!$B$6:$D$6,0)),0)))))</x:f>
        <x:v>80</x:v>
      </x:c>
      <x:c r="M544" s="20" t="n">
        <x:f>G544*I544</x:f>
        <x:v>31135</x:v>
      </x:c>
      <x:c r="N544" s="20" t="n">
        <x:f>G544*J544</x:f>
        <x:v>1170</x:v>
      </x:c>
      <x:c r="O544" s="20" t="n">
        <x:f>G544*K544</x:f>
        <x:v>0</x:v>
      </x:c>
      <x:c r="P544" s="20" t="n">
        <x:f>G544*L544</x:f>
        <x:v>1040</x:v>
      </x:c>
      <x:c r="Q544" s="20" t="n">
        <x:f>H544*INDEX(Inputs!$B$13:$D$13,1,MATCH(A544,Inputs!$B$6:$D$6,0))</x:f>
        <x:v>390</x:v>
      </x:c>
      <x:c r="R544" s="20" t="n">
        <x:f>SUM(M544:Q544)</x:f>
        <x:v>33735</x:v>
      </x:c>
      <x:c r="S544" s="20" t="n">
        <x:f>IF(AND(A543=A544,D543=D544),S543+R544,R544)</x:f>
        <x:v>101205</x:v>
      </x:c>
      <x:c r="T544" s="20" t="n">
        <x:f>MIN(S544,INDEX(Inputs!$B$20:$D$20,1,MATCH(A544,Inputs!$B$6:$D$6,0)))*INDEX(Inputs!$B$22:$D$22,1,MATCH(A544,Inputs!$B$6:$D$6,0))+MAX(MIN(S544,INDEX(Inputs!$B$21:$D$21,1,MATCH(A544,Inputs!$B$6:$D$6,0)))-INDEX(Inputs!$B$20:$D$20,1,MATCH(A544,Inputs!$B$6:$D$6,0)),0)*INDEX(Inputs!$B$23:$D$23,1,MATCH(A544,Inputs!$B$6:$D$6,0))+MAX(S544-INDEX(Inputs!$B$21:$D$21,1,MATCH(A544,Inputs!$B$6:$D$6,0)),0)*INDEX(Inputs!$B$24:$D$24,1,MATCH(A544,Inputs!$B$6:$D$6,0))</x:f>
        <x:v>8232.182499999999</x:v>
      </x:c>
      <x:c r="U544" s="20" t="n">
        <x:f>IF(AND(A543=A544,D543=D544),T543,0)</x:f>
        <x:v>5651.455</x:v>
      </x:c>
      <x:c r="V544" s="20" t="n">
        <x:f>T544-U544</x:f>
        <x:v>2580.727499999999</x:v>
      </x:c>
      <x:c r="W544" s="20" t="n">
        <x:f>R544+V544</x:f>
        <x:v>36315.7275</x:v>
      </x:c>
      <x:c r="X544" s="14" t="str">
        <x:f>IF(ABS(W544-SUM(M544:Q544)-V544)&lt;0.01,"OK","Check")</x:f>
        <x:v>OK</x:v>
      </x:c>
    </x:row>
    <x:row r="545">
      <x:c r="A545" s="14" t="n">
        <x:v>2027</x:v>
      </x:c>
      <x:c r="B545" s="14" t="str">
        <x:v>Q4</x:v>
      </x:c>
      <x:c r="C545" s="14" t="n">
        <x:v>4</x:v>
      </x:c>
      <x:c r="D545" s="14" t="n">
        <x:v>32</x:v>
      </x:c>
      <x:c r="E545" s="14" t="str">
        <x:f>INDEX(Roster!$B$6:$B$108,MATCH(D545,Roster!$A$6:$A$108,0))</x:f>
      </x:c>
      <x:c r="F545" s="14" t="str">
        <x:f>INDEX(Roster!$F$6:$F$108,MATCH(D545,Roster!$A$6:$A$108,0))</x:f>
        <x:v>No</x:v>
      </x:c>
      <x:c r="G545" s="14" t="n">
        <x:f>INDEX(Inputs!$B$7:$D$7,1,MATCH(A545,Inputs!$B$6:$D$6,0))</x:f>
        <x:v>13</x:v>
      </x:c>
      <x:c r="H545" s="14" t="n">
        <x:f>MIN(=INDEX(Inputs!$B$7:$D$7,1,MATCH(A545,Inputs!$B$6:$D$6,0)),MAX(0,INDEX(Inputs!$B$14:$D$14,1,MATCH(A545,Inputs!$B$6:$D$6,0))-(C545-1)*=INDEX(Inputs!$B$7:$D$7,1,MATCH(A545,Inputs!$B$6:$D$6,0))))</x:f>
        <x:v>0</x:v>
      </x:c>
      <x:c r="I545" s="20" t="n">
        <x:f>INDEX(Inputs!$B$8:$D$8,1,MATCH(A545,Inputs!$B$6:$D$6,0))</x:f>
        <x:v>2395</x:v>
      </x:c>
      <x:c r="J545" s="20" t="n">
        <x:f>INDEX(Roster!$C$6:$C$108,MATCH(D545,Roster!$A$6:$A$108,0))*(1+INDEX(Inputs!$B$9:$D$9,1,MATCH(A545,Inputs!$B$6:$D$6,0)))</x:f>
        <x:v>90</x:v>
      </x:c>
      <x:c r="K545" s="20" t="n">
        <x:f>IF(=INDEX(Roster!$F$6:$F$108,MATCH(D545,Roster!$A$6:$A$108,0))="Yes",0,=INDEX(Inputs!$B$8:$D$8,1,MATCH(A545,Inputs!$B$6:$D$6,0))*IF(=INDEX(Roster!$B$6:$B$108,MATCH(D545,Roster!$A$6:$A$108,0))="Principal",INDEX(Inputs!$B$10:$D$10,1,MATCH(A545,Inputs!$B$6:$D$6,0)),IF(=INDEX(Roster!$B$6:$B$108,MATCH(D545,Roster!$A$6:$A$108,0))="Associate Principal",INDEX(Inputs!$B$11:$D$11,1,MATCH(A545,Inputs!$B$6:$D$6,0)),IF(=INDEX(Roster!$B$6:$B$108,MATCH(D545,Roster!$A$6:$A$108,0))="Assistant Principal",INDEX(Inputs!$B$12:$D$12,1,MATCH(A545,Inputs!$B$6:$D$6,0)),0))))</x:f>
        <x:v>0</x:v>
      </x:c>
      <x:c r="L545" s="20" t="n">
        <x:f>IF(INDEX(Roster!$D$6:$D$108,MATCH(D545,Roster!$A$6:$A$108,0))&gt;=25,INDEX(Inputs!$B$19:$D$19,1,MATCH(A545,Inputs!$B$6:$D$6,0)),IF(INDEX(Roster!$D$6:$D$108,MATCH(D545,Roster!$A$6:$A$108,0))&gt;=20,INDEX(Inputs!$B$18:$D$18,1,MATCH(A545,Inputs!$B$6:$D$6,0)),IF(INDEX(Roster!$D$6:$D$108,MATCH(D545,Roster!$A$6:$A$108,0))&gt;=15,INDEX(Inputs!$B$17:$D$17,1,MATCH(A545,Inputs!$B$6:$D$6,0)),IF(INDEX(Roster!$D$6:$D$108,MATCH(D545,Roster!$A$6:$A$108,0))&gt;=10,INDEX(Inputs!$B$16:$D$16,1,MATCH(A545,Inputs!$B$6:$D$6,0)),IF(INDEX(Roster!$D$6:$D$108,MATCH(D545,Roster!$A$6:$A$108,0))&gt;=5,INDEX(Inputs!$B$15:$D$15,1,MATCH(A545,Inputs!$B$6:$D$6,0)),0)))))</x:f>
        <x:v>80</x:v>
      </x:c>
      <x:c r="M545" s="20" t="n">
        <x:f>G545*I545</x:f>
        <x:v>31135</x:v>
      </x:c>
      <x:c r="N545" s="20" t="n">
        <x:f>G545*J545</x:f>
        <x:v>1170</x:v>
      </x:c>
      <x:c r="O545" s="20" t="n">
        <x:f>G545*K545</x:f>
        <x:v>0</x:v>
      </x:c>
      <x:c r="P545" s="20" t="n">
        <x:f>G545*L545</x:f>
        <x:v>1040</x:v>
      </x:c>
      <x:c r="Q545" s="20" t="n">
        <x:f>H545*INDEX(Inputs!$B$13:$D$13,1,MATCH(A545,Inputs!$B$6:$D$6,0))</x:f>
        <x:v>0</x:v>
      </x:c>
      <x:c r="R545" s="20" t="n">
        <x:f>SUM(M545:Q545)</x:f>
        <x:v>33345</x:v>
      </x:c>
      <x:c r="S545" s="20" t="n">
        <x:f>IF(AND(A544=A545,D544=D545),S544+R545,R545)</x:f>
        <x:v>134550</x:v>
      </x:c>
      <x:c r="T545" s="20" t="n">
        <x:f>MIN(S545,INDEX(Inputs!$B$20:$D$20,1,MATCH(A545,Inputs!$B$6:$D$6,0)))*INDEX(Inputs!$B$22:$D$22,1,MATCH(A545,Inputs!$B$6:$D$6,0))+MAX(MIN(S545,INDEX(Inputs!$B$21:$D$21,1,MATCH(A545,Inputs!$B$6:$D$6,0)))-INDEX(Inputs!$B$20:$D$20,1,MATCH(A545,Inputs!$B$6:$D$6,0)),0)*INDEX(Inputs!$B$23:$D$23,1,MATCH(A545,Inputs!$B$6:$D$6,0))+MAX(S545-INDEX(Inputs!$B$21:$D$21,1,MATCH(A545,Inputs!$B$6:$D$6,0)),0)*INDEX(Inputs!$B$24:$D$24,1,MATCH(A545,Inputs!$B$6:$D$6,0))</x:f>
        <x:v>9864.917</x:v>
      </x:c>
      <x:c r="U545" s="20" t="n">
        <x:f>IF(AND(A544=A545,D544=D545),T544,0)</x:f>
        <x:v>8232.182499999999</x:v>
      </x:c>
      <x:c r="V545" s="20" t="n">
        <x:f>T545-U545</x:f>
        <x:v>1632.7345000000005</x:v>
      </x:c>
      <x:c r="W545" s="20" t="n">
        <x:f>R545+V545</x:f>
        <x:v>34977.7345</x:v>
      </x:c>
      <x:c r="X545" s="14" t="str">
        <x:f>IF(ABS(W545-SUM(M545:Q545)-V545)&lt;0.01,"OK","Check")</x:f>
        <x:v>OK</x:v>
      </x:c>
    </x:row>
    <x:row r="546">
      <x:c r="A546" s="14" t="n">
        <x:v>2027</x:v>
      </x:c>
      <x:c r="B546" s="14" t="str">
        <x:v>Q1</x:v>
      </x:c>
      <x:c r="C546" s="14" t="n">
        <x:v>1</x:v>
      </x:c>
      <x:c r="D546" s="14" t="n">
        <x:v>33</x:v>
      </x:c>
      <x:c r="E546" s="14" t="str">
        <x:f>INDEX(Roster!$B$6:$B$108,MATCH(D546,Roster!$A$6:$A$108,0))</x:f>
      </x:c>
      <x:c r="F546" s="14" t="str">
        <x:f>INDEX(Roster!$F$6:$F$108,MATCH(D546,Roster!$A$6:$A$108,0))</x:f>
        <x:v>No</x:v>
      </x:c>
      <x:c r="G546" s="14" t="n">
        <x:f>INDEX(Inputs!$B$7:$D$7,1,MATCH(A546,Inputs!$B$6:$D$6,0))</x:f>
        <x:v>13</x:v>
      </x:c>
      <x:c r="H546" s="14" t="n">
        <x:f>MIN(=INDEX(Inputs!$B$7:$D$7,1,MATCH(A546,Inputs!$B$6:$D$6,0)),MAX(0,INDEX(Inputs!$B$14:$D$14,1,MATCH(A546,Inputs!$B$6:$D$6,0))-(C546-1)*=INDEX(Inputs!$B$7:$D$7,1,MATCH(A546,Inputs!$B$6:$D$6,0))))</x:f>
        <x:v>13</x:v>
      </x:c>
      <x:c r="I546" s="20" t="n">
        <x:f>INDEX(Inputs!$B$8:$D$8,1,MATCH(A546,Inputs!$B$6:$D$6,0))</x:f>
        <x:v>2395</x:v>
      </x:c>
      <x:c r="J546" s="20" t="n">
        <x:f>INDEX(Roster!$C$6:$C$108,MATCH(D546,Roster!$A$6:$A$108,0))*(1+INDEX(Inputs!$B$9:$D$9,1,MATCH(A546,Inputs!$B$6:$D$6,0)))</x:f>
        <x:v>60</x:v>
      </x:c>
      <x:c r="K546" s="20" t="n">
        <x:f>IF(=INDEX(Roster!$F$6:$F$108,MATCH(D546,Roster!$A$6:$A$108,0))="Yes",0,=INDEX(Inputs!$B$8:$D$8,1,MATCH(A546,Inputs!$B$6:$D$6,0))*IF(=INDEX(Roster!$B$6:$B$108,MATCH(D546,Roster!$A$6:$A$108,0))="Principal",INDEX(Inputs!$B$10:$D$10,1,MATCH(A546,Inputs!$B$6:$D$6,0)),IF(=INDEX(Roster!$B$6:$B$108,MATCH(D546,Roster!$A$6:$A$108,0))="Associate Principal",INDEX(Inputs!$B$11:$D$11,1,MATCH(A546,Inputs!$B$6:$D$6,0)),IF(=INDEX(Roster!$B$6:$B$108,MATCH(D546,Roster!$A$6:$A$108,0))="Assistant Principal",INDEX(Inputs!$B$12:$D$12,1,MATCH(A546,Inputs!$B$6:$D$6,0)),0))))</x:f>
        <x:v>0</x:v>
      </x:c>
      <x:c r="L546" s="20" t="n">
        <x:f>IF(INDEX(Roster!$D$6:$D$108,MATCH(D546,Roster!$A$6:$A$108,0))&gt;=25,INDEX(Inputs!$B$19:$D$19,1,MATCH(A546,Inputs!$B$6:$D$6,0)),IF(INDEX(Roster!$D$6:$D$108,MATCH(D546,Roster!$A$6:$A$108,0))&gt;=20,INDEX(Inputs!$B$18:$D$18,1,MATCH(A546,Inputs!$B$6:$D$6,0)),IF(INDEX(Roster!$D$6:$D$108,MATCH(D546,Roster!$A$6:$A$108,0))&gt;=15,INDEX(Inputs!$B$17:$D$17,1,MATCH(A546,Inputs!$B$6:$D$6,0)),IF(INDEX(Roster!$D$6:$D$108,MATCH(D546,Roster!$A$6:$A$108,0))&gt;=10,INDEX(Inputs!$B$16:$D$16,1,MATCH(A546,Inputs!$B$6:$D$6,0)),IF(INDEX(Roster!$D$6:$D$108,MATCH(D546,Roster!$A$6:$A$108,0))&gt;=5,INDEX(Inputs!$B$15:$D$15,1,MATCH(A546,Inputs!$B$6:$D$6,0)),0)))))</x:f>
        <x:v>90</x:v>
      </x:c>
      <x:c r="M546" s="20" t="n">
        <x:f>G546*I546</x:f>
        <x:v>31135</x:v>
      </x:c>
      <x:c r="N546" s="20" t="n">
        <x:f>G546*J546</x:f>
        <x:v>780</x:v>
      </x:c>
      <x:c r="O546" s="20" t="n">
        <x:f>G546*K546</x:f>
        <x:v>0</x:v>
      </x:c>
      <x:c r="P546" s="20" t="n">
        <x:f>G546*L546</x:f>
        <x:v>1170</x:v>
      </x:c>
      <x:c r="Q546" s="20" t="n">
        <x:f>H546*INDEX(Inputs!$B$13:$D$13,1,MATCH(A546,Inputs!$B$6:$D$6,0))</x:f>
        <x:v>390</x:v>
      </x:c>
      <x:c r="R546" s="20" t="n">
        <x:f>SUM(M546:Q546)</x:f>
        <x:v>33475</x:v>
      </x:c>
      <x:c r="S546" s="20" t="n">
        <x:f>IF(AND(A545=A546,D545=D546),S545+R546,R546)</x:f>
        <x:v>33475</x:v>
      </x:c>
      <x:c r="T546" s="20" t="n">
        <x:f>MIN(S546,INDEX(Inputs!$B$20:$D$20,1,MATCH(A546,Inputs!$B$6:$D$6,0)))*INDEX(Inputs!$B$22:$D$22,1,MATCH(A546,Inputs!$B$6:$D$6,0))+MAX(MIN(S546,INDEX(Inputs!$B$21:$D$21,1,MATCH(A546,Inputs!$B$6:$D$6,0)))-INDEX(Inputs!$B$20:$D$20,1,MATCH(A546,Inputs!$B$6:$D$6,0)),0)*INDEX(Inputs!$B$23:$D$23,1,MATCH(A546,Inputs!$B$6:$D$6,0))+MAX(S546-INDEX(Inputs!$B$21:$D$21,1,MATCH(A546,Inputs!$B$6:$D$6,0)),0)*INDEX(Inputs!$B$24:$D$24,1,MATCH(A546,Inputs!$B$6:$D$6,0))</x:f>
        <x:v>3050.8374999999996</x:v>
      </x:c>
      <x:c r="U546" s="20" t="n">
        <x:f>IF(AND(A545=A546,D545=D546),T545,0)</x:f>
        <x:v>0</x:v>
      </x:c>
      <x:c r="V546" s="20" t="n">
        <x:f>T546-U546</x:f>
        <x:v>3050.8374999999996</x:v>
      </x:c>
      <x:c r="W546" s="20" t="n">
        <x:f>R546+V546</x:f>
        <x:v>36525.8375</x:v>
      </x:c>
      <x:c r="X546" s="14" t="str">
        <x:f>IF(ABS(W546-SUM(M546:Q546)-V546)&lt;0.01,"OK","Check")</x:f>
        <x:v>OK</x:v>
      </x:c>
    </x:row>
    <x:row r="547">
      <x:c r="A547" s="14" t="n">
        <x:v>2027</x:v>
      </x:c>
      <x:c r="B547" s="14" t="str">
        <x:v>Q2</x:v>
      </x:c>
      <x:c r="C547" s="14" t="n">
        <x:v>2</x:v>
      </x:c>
      <x:c r="D547" s="14" t="n">
        <x:v>33</x:v>
      </x:c>
      <x:c r="E547" s="14" t="str">
        <x:f>INDEX(Roster!$B$6:$B$108,MATCH(D547,Roster!$A$6:$A$108,0))</x:f>
      </x:c>
      <x:c r="F547" s="14" t="str">
        <x:f>INDEX(Roster!$F$6:$F$108,MATCH(D547,Roster!$A$6:$A$108,0))</x:f>
        <x:v>No</x:v>
      </x:c>
      <x:c r="G547" s="14" t="n">
        <x:f>INDEX(Inputs!$B$7:$D$7,1,MATCH(A547,Inputs!$B$6:$D$6,0))</x:f>
        <x:v>13</x:v>
      </x:c>
      <x:c r="H547" s="14" t="n">
        <x:f>MIN(=INDEX(Inputs!$B$7:$D$7,1,MATCH(A547,Inputs!$B$6:$D$6,0)),MAX(0,INDEX(Inputs!$B$14:$D$14,1,MATCH(A547,Inputs!$B$6:$D$6,0))-(C547-1)*=INDEX(Inputs!$B$7:$D$7,1,MATCH(A547,Inputs!$B$6:$D$6,0))))</x:f>
        <x:v>13</x:v>
      </x:c>
      <x:c r="I547" s="20" t="n">
        <x:f>INDEX(Inputs!$B$8:$D$8,1,MATCH(A547,Inputs!$B$6:$D$6,0))</x:f>
        <x:v>2395</x:v>
      </x:c>
      <x:c r="J547" s="20" t="n">
        <x:f>INDEX(Roster!$C$6:$C$108,MATCH(D547,Roster!$A$6:$A$108,0))*(1+INDEX(Inputs!$B$9:$D$9,1,MATCH(A547,Inputs!$B$6:$D$6,0)))</x:f>
        <x:v>60</x:v>
      </x:c>
      <x:c r="K547" s="20" t="n">
        <x:f>IF(=INDEX(Roster!$F$6:$F$108,MATCH(D547,Roster!$A$6:$A$108,0))="Yes",0,=INDEX(Inputs!$B$8:$D$8,1,MATCH(A547,Inputs!$B$6:$D$6,0))*IF(=INDEX(Roster!$B$6:$B$108,MATCH(D547,Roster!$A$6:$A$108,0))="Principal",INDEX(Inputs!$B$10:$D$10,1,MATCH(A547,Inputs!$B$6:$D$6,0)),IF(=INDEX(Roster!$B$6:$B$108,MATCH(D547,Roster!$A$6:$A$108,0))="Associate Principal",INDEX(Inputs!$B$11:$D$11,1,MATCH(A547,Inputs!$B$6:$D$6,0)),IF(=INDEX(Roster!$B$6:$B$108,MATCH(D547,Roster!$A$6:$A$108,0))="Assistant Principal",INDEX(Inputs!$B$12:$D$12,1,MATCH(A547,Inputs!$B$6:$D$6,0)),0))))</x:f>
        <x:v>0</x:v>
      </x:c>
      <x:c r="L547" s="20" t="n">
        <x:f>IF(INDEX(Roster!$D$6:$D$108,MATCH(D547,Roster!$A$6:$A$108,0))&gt;=25,INDEX(Inputs!$B$19:$D$19,1,MATCH(A547,Inputs!$B$6:$D$6,0)),IF(INDEX(Roster!$D$6:$D$108,MATCH(D547,Roster!$A$6:$A$108,0))&gt;=20,INDEX(Inputs!$B$18:$D$18,1,MATCH(A547,Inputs!$B$6:$D$6,0)),IF(INDEX(Roster!$D$6:$D$108,MATCH(D547,Roster!$A$6:$A$108,0))&gt;=15,INDEX(Inputs!$B$17:$D$17,1,MATCH(A547,Inputs!$B$6:$D$6,0)),IF(INDEX(Roster!$D$6:$D$108,MATCH(D547,Roster!$A$6:$A$108,0))&gt;=10,INDEX(Inputs!$B$16:$D$16,1,MATCH(A547,Inputs!$B$6:$D$6,0)),IF(INDEX(Roster!$D$6:$D$108,MATCH(D547,Roster!$A$6:$A$108,0))&gt;=5,INDEX(Inputs!$B$15:$D$15,1,MATCH(A547,Inputs!$B$6:$D$6,0)),0)))))</x:f>
        <x:v>90</x:v>
      </x:c>
      <x:c r="M547" s="20" t="n">
        <x:f>G547*I547</x:f>
        <x:v>31135</x:v>
      </x:c>
      <x:c r="N547" s="20" t="n">
        <x:f>G547*J547</x:f>
        <x:v>780</x:v>
      </x:c>
      <x:c r="O547" s="20" t="n">
        <x:f>G547*K547</x:f>
        <x:v>0</x:v>
      </x:c>
      <x:c r="P547" s="20" t="n">
        <x:f>G547*L547</x:f>
        <x:v>1170</x:v>
      </x:c>
      <x:c r="Q547" s="20" t="n">
        <x:f>H547*INDEX(Inputs!$B$13:$D$13,1,MATCH(A547,Inputs!$B$6:$D$6,0))</x:f>
        <x:v>390</x:v>
      </x:c>
      <x:c r="R547" s="20" t="n">
        <x:f>SUM(M547:Q547)</x:f>
        <x:v>33475</x:v>
      </x:c>
      <x:c r="S547" s="20" t="n">
        <x:f>IF(AND(A546=A547,D546=D547),S546+R547,R547)</x:f>
        <x:v>66950</x:v>
      </x:c>
      <x:c r="T547" s="20" t="n">
        <x:f>MIN(S547,INDEX(Inputs!$B$20:$D$20,1,MATCH(A547,Inputs!$B$6:$D$6,0)))*INDEX(Inputs!$B$22:$D$22,1,MATCH(A547,Inputs!$B$6:$D$6,0))+MAX(MIN(S547,INDEX(Inputs!$B$21:$D$21,1,MATCH(A547,Inputs!$B$6:$D$6,0)))-INDEX(Inputs!$B$20:$D$20,1,MATCH(A547,Inputs!$B$6:$D$6,0)),0)*INDEX(Inputs!$B$23:$D$23,1,MATCH(A547,Inputs!$B$6:$D$6,0))+MAX(S547-INDEX(Inputs!$B$21:$D$21,1,MATCH(A547,Inputs!$B$6:$D$6,0)),0)*INDEX(Inputs!$B$24:$D$24,1,MATCH(A547,Inputs!$B$6:$D$6,0))</x:f>
        <x:v>5611.675</x:v>
      </x:c>
      <x:c r="U547" s="20" t="n">
        <x:f>IF(AND(A546=A547,D546=D547),T546,0)</x:f>
        <x:v>3050.8374999999996</x:v>
      </x:c>
      <x:c r="V547" s="20" t="n">
        <x:f>T547-U547</x:f>
        <x:v>2560.8375000000005</x:v>
      </x:c>
      <x:c r="W547" s="20" t="n">
        <x:f>R547+V547</x:f>
        <x:v>36035.8375</x:v>
      </x:c>
      <x:c r="X547" s="14" t="str">
        <x:f>IF(ABS(W547-SUM(M547:Q547)-V547)&lt;0.01,"OK","Check")</x:f>
        <x:v>OK</x:v>
      </x:c>
    </x:row>
    <x:row r="548">
      <x:c r="A548" s="14" t="n">
        <x:v>2027</x:v>
      </x:c>
      <x:c r="B548" s="14" t="str">
        <x:v>Q3</x:v>
      </x:c>
      <x:c r="C548" s="14" t="n">
        <x:v>3</x:v>
      </x:c>
      <x:c r="D548" s="14" t="n">
        <x:v>33</x:v>
      </x:c>
      <x:c r="E548" s="14" t="str">
        <x:f>INDEX(Roster!$B$6:$B$108,MATCH(D548,Roster!$A$6:$A$108,0))</x:f>
      </x:c>
      <x:c r="F548" s="14" t="str">
        <x:f>INDEX(Roster!$F$6:$F$108,MATCH(D548,Roster!$A$6:$A$108,0))</x:f>
        <x:v>No</x:v>
      </x:c>
      <x:c r="G548" s="14" t="n">
        <x:f>INDEX(Inputs!$B$7:$D$7,1,MATCH(A548,Inputs!$B$6:$D$6,0))</x:f>
        <x:v>13</x:v>
      </x:c>
      <x:c r="H548" s="14" t="n">
        <x:f>MIN(=INDEX(Inputs!$B$7:$D$7,1,MATCH(A548,Inputs!$B$6:$D$6,0)),MAX(0,INDEX(Inputs!$B$14:$D$14,1,MATCH(A548,Inputs!$B$6:$D$6,0))-(C548-1)*=INDEX(Inputs!$B$7:$D$7,1,MATCH(A548,Inputs!$B$6:$D$6,0))))</x:f>
        <x:v>13</x:v>
      </x:c>
      <x:c r="I548" s="20" t="n">
        <x:f>INDEX(Inputs!$B$8:$D$8,1,MATCH(A548,Inputs!$B$6:$D$6,0))</x:f>
        <x:v>2395</x:v>
      </x:c>
      <x:c r="J548" s="20" t="n">
        <x:f>INDEX(Roster!$C$6:$C$108,MATCH(D548,Roster!$A$6:$A$108,0))*(1+INDEX(Inputs!$B$9:$D$9,1,MATCH(A548,Inputs!$B$6:$D$6,0)))</x:f>
        <x:v>60</x:v>
      </x:c>
      <x:c r="K548" s="20" t="n">
        <x:f>IF(=INDEX(Roster!$F$6:$F$108,MATCH(D548,Roster!$A$6:$A$108,0))="Yes",0,=INDEX(Inputs!$B$8:$D$8,1,MATCH(A548,Inputs!$B$6:$D$6,0))*IF(=INDEX(Roster!$B$6:$B$108,MATCH(D548,Roster!$A$6:$A$108,0))="Principal",INDEX(Inputs!$B$10:$D$10,1,MATCH(A548,Inputs!$B$6:$D$6,0)),IF(=INDEX(Roster!$B$6:$B$108,MATCH(D548,Roster!$A$6:$A$108,0))="Associate Principal",INDEX(Inputs!$B$11:$D$11,1,MATCH(A548,Inputs!$B$6:$D$6,0)),IF(=INDEX(Roster!$B$6:$B$108,MATCH(D548,Roster!$A$6:$A$108,0))="Assistant Principal",INDEX(Inputs!$B$12:$D$12,1,MATCH(A548,Inputs!$B$6:$D$6,0)),0))))</x:f>
        <x:v>0</x:v>
      </x:c>
      <x:c r="L548" s="20" t="n">
        <x:f>IF(INDEX(Roster!$D$6:$D$108,MATCH(D548,Roster!$A$6:$A$108,0))&gt;=25,INDEX(Inputs!$B$19:$D$19,1,MATCH(A548,Inputs!$B$6:$D$6,0)),IF(INDEX(Roster!$D$6:$D$108,MATCH(D548,Roster!$A$6:$A$108,0))&gt;=20,INDEX(Inputs!$B$18:$D$18,1,MATCH(A548,Inputs!$B$6:$D$6,0)),IF(INDEX(Roster!$D$6:$D$108,MATCH(D548,Roster!$A$6:$A$108,0))&gt;=15,INDEX(Inputs!$B$17:$D$17,1,MATCH(A548,Inputs!$B$6:$D$6,0)),IF(INDEX(Roster!$D$6:$D$108,MATCH(D548,Roster!$A$6:$A$108,0))&gt;=10,INDEX(Inputs!$B$16:$D$16,1,MATCH(A548,Inputs!$B$6:$D$6,0)),IF(INDEX(Roster!$D$6:$D$108,MATCH(D548,Roster!$A$6:$A$108,0))&gt;=5,INDEX(Inputs!$B$15:$D$15,1,MATCH(A548,Inputs!$B$6:$D$6,0)),0)))))</x:f>
        <x:v>90</x:v>
      </x:c>
      <x:c r="M548" s="20" t="n">
        <x:f>G548*I548</x:f>
        <x:v>31135</x:v>
      </x:c>
      <x:c r="N548" s="20" t="n">
        <x:f>G548*J548</x:f>
        <x:v>780</x:v>
      </x:c>
      <x:c r="O548" s="20" t="n">
        <x:f>G548*K548</x:f>
        <x:v>0</x:v>
      </x:c>
      <x:c r="P548" s="20" t="n">
        <x:f>G548*L548</x:f>
        <x:v>1170</x:v>
      </x:c>
      <x:c r="Q548" s="20" t="n">
        <x:f>H548*INDEX(Inputs!$B$13:$D$13,1,MATCH(A548,Inputs!$B$6:$D$6,0))</x:f>
        <x:v>390</x:v>
      </x:c>
      <x:c r="R548" s="20" t="n">
        <x:f>SUM(M548:Q548)</x:f>
        <x:v>33475</x:v>
      </x:c>
      <x:c r="S548" s="20" t="n">
        <x:f>IF(AND(A547=A548,D547=D548),S547+R548,R548)</x:f>
        <x:v>100425</x:v>
      </x:c>
      <x:c r="T548" s="20" t="n">
        <x:f>MIN(S548,INDEX(Inputs!$B$20:$D$20,1,MATCH(A548,Inputs!$B$6:$D$6,0)))*INDEX(Inputs!$B$22:$D$22,1,MATCH(A548,Inputs!$B$6:$D$6,0))+MAX(MIN(S548,INDEX(Inputs!$B$21:$D$21,1,MATCH(A548,Inputs!$B$6:$D$6,0)))-INDEX(Inputs!$B$20:$D$20,1,MATCH(A548,Inputs!$B$6:$D$6,0)),0)*INDEX(Inputs!$B$23:$D$23,1,MATCH(A548,Inputs!$B$6:$D$6,0))+MAX(S548-INDEX(Inputs!$B$21:$D$21,1,MATCH(A548,Inputs!$B$6:$D$6,0)),0)*INDEX(Inputs!$B$24:$D$24,1,MATCH(A548,Inputs!$B$6:$D$6,0))</x:f>
        <x:v>8172.5125</x:v>
      </x:c>
      <x:c r="U548" s="20" t="n">
        <x:f>IF(AND(A547=A548,D547=D548),T547,0)</x:f>
        <x:v>5611.675</x:v>
      </x:c>
      <x:c r="V548" s="20" t="n">
        <x:f>T548-U548</x:f>
        <x:v>2560.8374999999996</x:v>
      </x:c>
      <x:c r="W548" s="20" t="n">
        <x:f>R548+V548</x:f>
        <x:v>36035.8375</x:v>
      </x:c>
      <x:c r="X548" s="14" t="str">
        <x:f>IF(ABS(W548-SUM(M548:Q548)-V548)&lt;0.01,"OK","Check")</x:f>
        <x:v>OK</x:v>
      </x:c>
    </x:row>
    <x:row r="549">
      <x:c r="A549" s="14" t="n">
        <x:v>2027</x:v>
      </x:c>
      <x:c r="B549" s="14" t="str">
        <x:v>Q4</x:v>
      </x:c>
      <x:c r="C549" s="14" t="n">
        <x:v>4</x:v>
      </x:c>
      <x:c r="D549" s="14" t="n">
        <x:v>33</x:v>
      </x:c>
      <x:c r="E549" s="14" t="str">
        <x:f>INDEX(Roster!$B$6:$B$108,MATCH(D549,Roster!$A$6:$A$108,0))</x:f>
      </x:c>
      <x:c r="F549" s="14" t="str">
        <x:f>INDEX(Roster!$F$6:$F$108,MATCH(D549,Roster!$A$6:$A$108,0))</x:f>
        <x:v>No</x:v>
      </x:c>
      <x:c r="G549" s="14" t="n">
        <x:f>INDEX(Inputs!$B$7:$D$7,1,MATCH(A549,Inputs!$B$6:$D$6,0))</x:f>
        <x:v>13</x:v>
      </x:c>
      <x:c r="H549" s="14" t="n">
        <x:f>MIN(=INDEX(Inputs!$B$7:$D$7,1,MATCH(A549,Inputs!$B$6:$D$6,0)),MAX(0,INDEX(Inputs!$B$14:$D$14,1,MATCH(A549,Inputs!$B$6:$D$6,0))-(C549-1)*=INDEX(Inputs!$B$7:$D$7,1,MATCH(A549,Inputs!$B$6:$D$6,0))))</x:f>
        <x:v>0</x:v>
      </x:c>
      <x:c r="I549" s="20" t="n">
        <x:f>INDEX(Inputs!$B$8:$D$8,1,MATCH(A549,Inputs!$B$6:$D$6,0))</x:f>
        <x:v>2395</x:v>
      </x:c>
      <x:c r="J549" s="20" t="n">
        <x:f>INDEX(Roster!$C$6:$C$108,MATCH(D549,Roster!$A$6:$A$108,0))*(1+INDEX(Inputs!$B$9:$D$9,1,MATCH(A549,Inputs!$B$6:$D$6,0)))</x:f>
        <x:v>60</x:v>
      </x:c>
      <x:c r="K549" s="20" t="n">
        <x:f>IF(=INDEX(Roster!$F$6:$F$108,MATCH(D549,Roster!$A$6:$A$108,0))="Yes",0,=INDEX(Inputs!$B$8:$D$8,1,MATCH(A549,Inputs!$B$6:$D$6,0))*IF(=INDEX(Roster!$B$6:$B$108,MATCH(D549,Roster!$A$6:$A$108,0))="Principal",INDEX(Inputs!$B$10:$D$10,1,MATCH(A549,Inputs!$B$6:$D$6,0)),IF(=INDEX(Roster!$B$6:$B$108,MATCH(D549,Roster!$A$6:$A$108,0))="Associate Principal",INDEX(Inputs!$B$11:$D$11,1,MATCH(A549,Inputs!$B$6:$D$6,0)),IF(=INDEX(Roster!$B$6:$B$108,MATCH(D549,Roster!$A$6:$A$108,0))="Assistant Principal",INDEX(Inputs!$B$12:$D$12,1,MATCH(A549,Inputs!$B$6:$D$6,0)),0))))</x:f>
        <x:v>0</x:v>
      </x:c>
      <x:c r="L549" s="20" t="n">
        <x:f>IF(INDEX(Roster!$D$6:$D$108,MATCH(D549,Roster!$A$6:$A$108,0))&gt;=25,INDEX(Inputs!$B$19:$D$19,1,MATCH(A549,Inputs!$B$6:$D$6,0)),IF(INDEX(Roster!$D$6:$D$108,MATCH(D549,Roster!$A$6:$A$108,0))&gt;=20,INDEX(Inputs!$B$18:$D$18,1,MATCH(A549,Inputs!$B$6:$D$6,0)),IF(INDEX(Roster!$D$6:$D$108,MATCH(D549,Roster!$A$6:$A$108,0))&gt;=15,INDEX(Inputs!$B$17:$D$17,1,MATCH(A549,Inputs!$B$6:$D$6,0)),IF(INDEX(Roster!$D$6:$D$108,MATCH(D549,Roster!$A$6:$A$108,0))&gt;=10,INDEX(Inputs!$B$16:$D$16,1,MATCH(A549,Inputs!$B$6:$D$6,0)),IF(INDEX(Roster!$D$6:$D$108,MATCH(D549,Roster!$A$6:$A$108,0))&gt;=5,INDEX(Inputs!$B$15:$D$15,1,MATCH(A549,Inputs!$B$6:$D$6,0)),0)))))</x:f>
        <x:v>90</x:v>
      </x:c>
      <x:c r="M549" s="20" t="n">
        <x:f>G549*I549</x:f>
        <x:v>31135</x:v>
      </x:c>
      <x:c r="N549" s="20" t="n">
        <x:f>G549*J549</x:f>
        <x:v>780</x:v>
      </x:c>
      <x:c r="O549" s="20" t="n">
        <x:f>G549*K549</x:f>
        <x:v>0</x:v>
      </x:c>
      <x:c r="P549" s="20" t="n">
        <x:f>G549*L549</x:f>
        <x:v>1170</x:v>
      </x:c>
      <x:c r="Q549" s="20" t="n">
        <x:f>H549*INDEX(Inputs!$B$13:$D$13,1,MATCH(A549,Inputs!$B$6:$D$6,0))</x:f>
        <x:v>0</x:v>
      </x:c>
      <x:c r="R549" s="20" t="n">
        <x:f>SUM(M549:Q549)</x:f>
        <x:v>33085</x:v>
      </x:c>
      <x:c r="S549" s="20" t="n">
        <x:f>IF(AND(A548=A549,D548=D549),S548+R549,R549)</x:f>
        <x:v>133510</x:v>
      </x:c>
      <x:c r="T549" s="20" t="n">
        <x:f>MIN(S549,INDEX(Inputs!$B$20:$D$20,1,MATCH(A549,Inputs!$B$6:$D$6,0)))*INDEX(Inputs!$B$22:$D$22,1,MATCH(A549,Inputs!$B$6:$D$6,0))+MAX(MIN(S549,INDEX(Inputs!$B$21:$D$21,1,MATCH(A549,Inputs!$B$6:$D$6,0)))-INDEX(Inputs!$B$20:$D$20,1,MATCH(A549,Inputs!$B$6:$D$6,0)),0)*INDEX(Inputs!$B$23:$D$23,1,MATCH(A549,Inputs!$B$6:$D$6,0))+MAX(S549-INDEX(Inputs!$B$21:$D$21,1,MATCH(A549,Inputs!$B$6:$D$6,0)),0)*INDEX(Inputs!$B$24:$D$24,1,MATCH(A549,Inputs!$B$6:$D$6,0))</x:f>
        <x:v>9849.837</x:v>
      </x:c>
      <x:c r="U549" s="20" t="n">
        <x:f>IF(AND(A548=A549,D548=D549),T548,0)</x:f>
        <x:v>8172.5125</x:v>
      </x:c>
      <x:c r="V549" s="20" t="n">
        <x:f>T549-U549</x:f>
        <x:v>1677.3244999999997</x:v>
      </x:c>
      <x:c r="W549" s="20" t="n">
        <x:f>R549+V549</x:f>
        <x:v>34762.3245</x:v>
      </x:c>
      <x:c r="X549" s="14" t="str">
        <x:f>IF(ABS(W549-SUM(M549:Q549)-V549)&lt;0.01,"OK","Check")</x:f>
        <x:v>OK</x:v>
      </x:c>
    </x:row>
    <x:row r="550">
      <x:c r="A550" s="14" t="n">
        <x:v>2027</x:v>
      </x:c>
      <x:c r="B550" s="14" t="str">
        <x:v>Q1</x:v>
      </x:c>
      <x:c r="C550" s="14" t="n">
        <x:v>1</x:v>
      </x:c>
      <x:c r="D550" s="14" t="n">
        <x:v>34</x:v>
      </x:c>
      <x:c r="E550" s="14" t="str">
        <x:f>INDEX(Roster!$B$6:$B$108,MATCH(D550,Roster!$A$6:$A$108,0))</x:f>
      </x:c>
      <x:c r="F550" s="14" t="str">
        <x:f>INDEX(Roster!$F$6:$F$108,MATCH(D550,Roster!$A$6:$A$108,0))</x:f>
        <x:v>No</x:v>
      </x:c>
      <x:c r="G550" s="14" t="n">
        <x:f>INDEX(Inputs!$B$7:$D$7,1,MATCH(A550,Inputs!$B$6:$D$6,0))</x:f>
        <x:v>13</x:v>
      </x:c>
      <x:c r="H550" s="14" t="n">
        <x:f>MIN(=INDEX(Inputs!$B$7:$D$7,1,MATCH(A550,Inputs!$B$6:$D$6,0)),MAX(0,INDEX(Inputs!$B$14:$D$14,1,MATCH(A550,Inputs!$B$6:$D$6,0))-(C550-1)*=INDEX(Inputs!$B$7:$D$7,1,MATCH(A550,Inputs!$B$6:$D$6,0))))</x:f>
        <x:v>13</x:v>
      </x:c>
      <x:c r="I550" s="20" t="n">
        <x:f>INDEX(Inputs!$B$8:$D$8,1,MATCH(A550,Inputs!$B$6:$D$6,0))</x:f>
        <x:v>2395</x:v>
      </x:c>
      <x:c r="J550" s="20" t="n">
        <x:f>INDEX(Roster!$C$6:$C$108,MATCH(D550,Roster!$A$6:$A$108,0))*(1+INDEX(Inputs!$B$9:$D$9,1,MATCH(A550,Inputs!$B$6:$D$6,0)))</x:f>
        <x:v>40</x:v>
      </x:c>
      <x:c r="K550" s="20" t="n">
        <x:f>IF(=INDEX(Roster!$F$6:$F$108,MATCH(D550,Roster!$A$6:$A$108,0))="Yes",0,=INDEX(Inputs!$B$8:$D$8,1,MATCH(A550,Inputs!$B$6:$D$6,0))*IF(=INDEX(Roster!$B$6:$B$108,MATCH(D550,Roster!$A$6:$A$108,0))="Principal",INDEX(Inputs!$B$10:$D$10,1,MATCH(A550,Inputs!$B$6:$D$6,0)),IF(=INDEX(Roster!$B$6:$B$108,MATCH(D550,Roster!$A$6:$A$108,0))="Associate Principal",INDEX(Inputs!$B$11:$D$11,1,MATCH(A550,Inputs!$B$6:$D$6,0)),IF(=INDEX(Roster!$B$6:$B$108,MATCH(D550,Roster!$A$6:$A$108,0))="Assistant Principal",INDEX(Inputs!$B$12:$D$12,1,MATCH(A550,Inputs!$B$6:$D$6,0)),0))))</x:f>
        <x:v>0</x:v>
      </x:c>
      <x:c r="L550" s="20" t="n">
        <x:f>IF(INDEX(Roster!$D$6:$D$108,MATCH(D550,Roster!$A$6:$A$108,0))&gt;=25,INDEX(Inputs!$B$19:$D$19,1,MATCH(A550,Inputs!$B$6:$D$6,0)),IF(INDEX(Roster!$D$6:$D$108,MATCH(D550,Roster!$A$6:$A$108,0))&gt;=20,INDEX(Inputs!$B$18:$D$18,1,MATCH(A550,Inputs!$B$6:$D$6,0)),IF(INDEX(Roster!$D$6:$D$108,MATCH(D550,Roster!$A$6:$A$108,0))&gt;=15,INDEX(Inputs!$B$17:$D$17,1,MATCH(A550,Inputs!$B$6:$D$6,0)),IF(INDEX(Roster!$D$6:$D$108,MATCH(D550,Roster!$A$6:$A$108,0))&gt;=10,INDEX(Inputs!$B$16:$D$16,1,MATCH(A550,Inputs!$B$6:$D$6,0)),IF(INDEX(Roster!$D$6:$D$108,MATCH(D550,Roster!$A$6:$A$108,0))&gt;=5,INDEX(Inputs!$B$15:$D$15,1,MATCH(A550,Inputs!$B$6:$D$6,0)),0)))))</x:f>
        <x:v>90</x:v>
      </x:c>
      <x:c r="M550" s="20" t="n">
        <x:f>G550*I550</x:f>
        <x:v>31135</x:v>
      </x:c>
      <x:c r="N550" s="20" t="n">
        <x:f>G550*J550</x:f>
        <x:v>520</x:v>
      </x:c>
      <x:c r="O550" s="20" t="n">
        <x:f>G550*K550</x:f>
        <x:v>0</x:v>
      </x:c>
      <x:c r="P550" s="20" t="n">
        <x:f>G550*L550</x:f>
        <x:v>1170</x:v>
      </x:c>
      <x:c r="Q550" s="20" t="n">
        <x:f>H550*INDEX(Inputs!$B$13:$D$13,1,MATCH(A550,Inputs!$B$6:$D$6,0))</x:f>
        <x:v>390</x:v>
      </x:c>
      <x:c r="R550" s="20" t="n">
        <x:f>SUM(M550:Q550)</x:f>
        <x:v>33215</x:v>
      </x:c>
      <x:c r="S550" s="20" t="n">
        <x:f>IF(AND(A549=A550,D549=D550),S549+R550,R550)</x:f>
        <x:v>33215</x:v>
      </x:c>
      <x:c r="T550" s="20" t="n">
        <x:f>MIN(S550,INDEX(Inputs!$B$20:$D$20,1,MATCH(A550,Inputs!$B$6:$D$6,0)))*INDEX(Inputs!$B$22:$D$22,1,MATCH(A550,Inputs!$B$6:$D$6,0))+MAX(MIN(S550,INDEX(Inputs!$B$21:$D$21,1,MATCH(A550,Inputs!$B$6:$D$6,0)))-INDEX(Inputs!$B$20:$D$20,1,MATCH(A550,Inputs!$B$6:$D$6,0)),0)*INDEX(Inputs!$B$23:$D$23,1,MATCH(A550,Inputs!$B$6:$D$6,0))+MAX(S550-INDEX(Inputs!$B$21:$D$21,1,MATCH(A550,Inputs!$B$6:$D$6,0)),0)*INDEX(Inputs!$B$24:$D$24,1,MATCH(A550,Inputs!$B$6:$D$6,0))</x:f>
        <x:v>3030.9475</x:v>
      </x:c>
      <x:c r="U550" s="20" t="n">
        <x:f>IF(AND(A549=A550,D549=D550),T549,0)</x:f>
        <x:v>0</x:v>
      </x:c>
      <x:c r="V550" s="20" t="n">
        <x:f>T550-U550</x:f>
        <x:v>3030.9475</x:v>
      </x:c>
      <x:c r="W550" s="20" t="n">
        <x:f>R550+V550</x:f>
        <x:v>36245.9475</x:v>
      </x:c>
      <x:c r="X550" s="14" t="str">
        <x:f>IF(ABS(W550-SUM(M550:Q550)-V550)&lt;0.01,"OK","Check")</x:f>
        <x:v>OK</x:v>
      </x:c>
    </x:row>
    <x:row r="551">
      <x:c r="A551" s="14" t="n">
        <x:v>2027</x:v>
      </x:c>
      <x:c r="B551" s="14" t="str">
        <x:v>Q2</x:v>
      </x:c>
      <x:c r="C551" s="14" t="n">
        <x:v>2</x:v>
      </x:c>
      <x:c r="D551" s="14" t="n">
        <x:v>34</x:v>
      </x:c>
      <x:c r="E551" s="14" t="str">
        <x:f>INDEX(Roster!$B$6:$B$108,MATCH(D551,Roster!$A$6:$A$108,0))</x:f>
      </x:c>
      <x:c r="F551" s="14" t="str">
        <x:f>INDEX(Roster!$F$6:$F$108,MATCH(D551,Roster!$A$6:$A$108,0))</x:f>
        <x:v>No</x:v>
      </x:c>
      <x:c r="G551" s="14" t="n">
        <x:f>INDEX(Inputs!$B$7:$D$7,1,MATCH(A551,Inputs!$B$6:$D$6,0))</x:f>
        <x:v>13</x:v>
      </x:c>
      <x:c r="H551" s="14" t="n">
        <x:f>MIN(=INDEX(Inputs!$B$7:$D$7,1,MATCH(A551,Inputs!$B$6:$D$6,0)),MAX(0,INDEX(Inputs!$B$14:$D$14,1,MATCH(A551,Inputs!$B$6:$D$6,0))-(C551-1)*=INDEX(Inputs!$B$7:$D$7,1,MATCH(A551,Inputs!$B$6:$D$6,0))))</x:f>
        <x:v>13</x:v>
      </x:c>
      <x:c r="I551" s="20" t="n">
        <x:f>INDEX(Inputs!$B$8:$D$8,1,MATCH(A551,Inputs!$B$6:$D$6,0))</x:f>
        <x:v>2395</x:v>
      </x:c>
      <x:c r="J551" s="20" t="n">
        <x:f>INDEX(Roster!$C$6:$C$108,MATCH(D551,Roster!$A$6:$A$108,0))*(1+INDEX(Inputs!$B$9:$D$9,1,MATCH(A551,Inputs!$B$6:$D$6,0)))</x:f>
        <x:v>40</x:v>
      </x:c>
      <x:c r="K551" s="20" t="n">
        <x:f>IF(=INDEX(Roster!$F$6:$F$108,MATCH(D551,Roster!$A$6:$A$108,0))="Yes",0,=INDEX(Inputs!$B$8:$D$8,1,MATCH(A551,Inputs!$B$6:$D$6,0))*IF(=INDEX(Roster!$B$6:$B$108,MATCH(D551,Roster!$A$6:$A$108,0))="Principal",INDEX(Inputs!$B$10:$D$10,1,MATCH(A551,Inputs!$B$6:$D$6,0)),IF(=INDEX(Roster!$B$6:$B$108,MATCH(D551,Roster!$A$6:$A$108,0))="Associate Principal",INDEX(Inputs!$B$11:$D$11,1,MATCH(A551,Inputs!$B$6:$D$6,0)),IF(=INDEX(Roster!$B$6:$B$108,MATCH(D551,Roster!$A$6:$A$108,0))="Assistant Principal",INDEX(Inputs!$B$12:$D$12,1,MATCH(A551,Inputs!$B$6:$D$6,0)),0))))</x:f>
        <x:v>0</x:v>
      </x:c>
      <x:c r="L551" s="20" t="n">
        <x:f>IF(INDEX(Roster!$D$6:$D$108,MATCH(D551,Roster!$A$6:$A$108,0))&gt;=25,INDEX(Inputs!$B$19:$D$19,1,MATCH(A551,Inputs!$B$6:$D$6,0)),IF(INDEX(Roster!$D$6:$D$108,MATCH(D551,Roster!$A$6:$A$108,0))&gt;=20,INDEX(Inputs!$B$18:$D$18,1,MATCH(A551,Inputs!$B$6:$D$6,0)),IF(INDEX(Roster!$D$6:$D$108,MATCH(D551,Roster!$A$6:$A$108,0))&gt;=15,INDEX(Inputs!$B$17:$D$17,1,MATCH(A551,Inputs!$B$6:$D$6,0)),IF(INDEX(Roster!$D$6:$D$108,MATCH(D551,Roster!$A$6:$A$108,0))&gt;=10,INDEX(Inputs!$B$16:$D$16,1,MATCH(A551,Inputs!$B$6:$D$6,0)),IF(INDEX(Roster!$D$6:$D$108,MATCH(D551,Roster!$A$6:$A$108,0))&gt;=5,INDEX(Inputs!$B$15:$D$15,1,MATCH(A551,Inputs!$B$6:$D$6,0)),0)))))</x:f>
        <x:v>90</x:v>
      </x:c>
      <x:c r="M551" s="20" t="n">
        <x:f>G551*I551</x:f>
        <x:v>31135</x:v>
      </x:c>
      <x:c r="N551" s="20" t="n">
        <x:f>G551*J551</x:f>
        <x:v>520</x:v>
      </x:c>
      <x:c r="O551" s="20" t="n">
        <x:f>G551*K551</x:f>
        <x:v>0</x:v>
      </x:c>
      <x:c r="P551" s="20" t="n">
        <x:f>G551*L551</x:f>
        <x:v>1170</x:v>
      </x:c>
      <x:c r="Q551" s="20" t="n">
        <x:f>H551*INDEX(Inputs!$B$13:$D$13,1,MATCH(A551,Inputs!$B$6:$D$6,0))</x:f>
        <x:v>390</x:v>
      </x:c>
      <x:c r="R551" s="20" t="n">
        <x:f>SUM(M551:Q551)</x:f>
        <x:v>33215</x:v>
      </x:c>
      <x:c r="S551" s="20" t="n">
        <x:f>IF(AND(A550=A551,D550=D551),S550+R551,R551)</x:f>
        <x:v>66430</x:v>
      </x:c>
      <x:c r="T551" s="20" t="n">
        <x:f>MIN(S551,INDEX(Inputs!$B$20:$D$20,1,MATCH(A551,Inputs!$B$6:$D$6,0)))*INDEX(Inputs!$B$22:$D$22,1,MATCH(A551,Inputs!$B$6:$D$6,0))+MAX(MIN(S551,INDEX(Inputs!$B$21:$D$21,1,MATCH(A551,Inputs!$B$6:$D$6,0)))-INDEX(Inputs!$B$20:$D$20,1,MATCH(A551,Inputs!$B$6:$D$6,0)),0)*INDEX(Inputs!$B$23:$D$23,1,MATCH(A551,Inputs!$B$6:$D$6,0))+MAX(S551-INDEX(Inputs!$B$21:$D$21,1,MATCH(A551,Inputs!$B$6:$D$6,0)),0)*INDEX(Inputs!$B$24:$D$24,1,MATCH(A551,Inputs!$B$6:$D$6,0))</x:f>
        <x:v>5571.8949999999995</x:v>
      </x:c>
      <x:c r="U551" s="20" t="n">
        <x:f>IF(AND(A550=A551,D550=D551),T550,0)</x:f>
        <x:v>3030.9475</x:v>
      </x:c>
      <x:c r="V551" s="20" t="n">
        <x:f>T551-U551</x:f>
        <x:v>2540.9474999999993</x:v>
      </x:c>
      <x:c r="W551" s="20" t="n">
        <x:f>R551+V551</x:f>
        <x:v>35755.9475</x:v>
      </x:c>
      <x:c r="X551" s="14" t="str">
        <x:f>IF(ABS(W551-SUM(M551:Q551)-V551)&lt;0.01,"OK","Check")</x:f>
        <x:v>OK</x:v>
      </x:c>
    </x:row>
    <x:row r="552">
      <x:c r="A552" s="14" t="n">
        <x:v>2027</x:v>
      </x:c>
      <x:c r="B552" s="14" t="str">
        <x:v>Q3</x:v>
      </x:c>
      <x:c r="C552" s="14" t="n">
        <x:v>3</x:v>
      </x:c>
      <x:c r="D552" s="14" t="n">
        <x:v>34</x:v>
      </x:c>
      <x:c r="E552" s="14" t="str">
        <x:f>INDEX(Roster!$B$6:$B$108,MATCH(D552,Roster!$A$6:$A$108,0))</x:f>
      </x:c>
      <x:c r="F552" s="14" t="str">
        <x:f>INDEX(Roster!$F$6:$F$108,MATCH(D552,Roster!$A$6:$A$108,0))</x:f>
        <x:v>No</x:v>
      </x:c>
      <x:c r="G552" s="14" t="n">
        <x:f>INDEX(Inputs!$B$7:$D$7,1,MATCH(A552,Inputs!$B$6:$D$6,0))</x:f>
        <x:v>13</x:v>
      </x:c>
      <x:c r="H552" s="14" t="n">
        <x:f>MIN(=INDEX(Inputs!$B$7:$D$7,1,MATCH(A552,Inputs!$B$6:$D$6,0)),MAX(0,INDEX(Inputs!$B$14:$D$14,1,MATCH(A552,Inputs!$B$6:$D$6,0))-(C552-1)*=INDEX(Inputs!$B$7:$D$7,1,MATCH(A552,Inputs!$B$6:$D$6,0))))</x:f>
        <x:v>13</x:v>
      </x:c>
      <x:c r="I552" s="20" t="n">
        <x:f>INDEX(Inputs!$B$8:$D$8,1,MATCH(A552,Inputs!$B$6:$D$6,0))</x:f>
        <x:v>2395</x:v>
      </x:c>
      <x:c r="J552" s="20" t="n">
        <x:f>INDEX(Roster!$C$6:$C$108,MATCH(D552,Roster!$A$6:$A$108,0))*(1+INDEX(Inputs!$B$9:$D$9,1,MATCH(A552,Inputs!$B$6:$D$6,0)))</x:f>
        <x:v>40</x:v>
      </x:c>
      <x:c r="K552" s="20" t="n">
        <x:f>IF(=INDEX(Roster!$F$6:$F$108,MATCH(D552,Roster!$A$6:$A$108,0))="Yes",0,=INDEX(Inputs!$B$8:$D$8,1,MATCH(A552,Inputs!$B$6:$D$6,0))*IF(=INDEX(Roster!$B$6:$B$108,MATCH(D552,Roster!$A$6:$A$108,0))="Principal",INDEX(Inputs!$B$10:$D$10,1,MATCH(A552,Inputs!$B$6:$D$6,0)),IF(=INDEX(Roster!$B$6:$B$108,MATCH(D552,Roster!$A$6:$A$108,0))="Associate Principal",INDEX(Inputs!$B$11:$D$11,1,MATCH(A552,Inputs!$B$6:$D$6,0)),IF(=INDEX(Roster!$B$6:$B$108,MATCH(D552,Roster!$A$6:$A$108,0))="Assistant Principal",INDEX(Inputs!$B$12:$D$12,1,MATCH(A552,Inputs!$B$6:$D$6,0)),0))))</x:f>
        <x:v>0</x:v>
      </x:c>
      <x:c r="L552" s="20" t="n">
        <x:f>IF(INDEX(Roster!$D$6:$D$108,MATCH(D552,Roster!$A$6:$A$108,0))&gt;=25,INDEX(Inputs!$B$19:$D$19,1,MATCH(A552,Inputs!$B$6:$D$6,0)),IF(INDEX(Roster!$D$6:$D$108,MATCH(D552,Roster!$A$6:$A$108,0))&gt;=20,INDEX(Inputs!$B$18:$D$18,1,MATCH(A552,Inputs!$B$6:$D$6,0)),IF(INDEX(Roster!$D$6:$D$108,MATCH(D552,Roster!$A$6:$A$108,0))&gt;=15,INDEX(Inputs!$B$17:$D$17,1,MATCH(A552,Inputs!$B$6:$D$6,0)),IF(INDEX(Roster!$D$6:$D$108,MATCH(D552,Roster!$A$6:$A$108,0))&gt;=10,INDEX(Inputs!$B$16:$D$16,1,MATCH(A552,Inputs!$B$6:$D$6,0)),IF(INDEX(Roster!$D$6:$D$108,MATCH(D552,Roster!$A$6:$A$108,0))&gt;=5,INDEX(Inputs!$B$15:$D$15,1,MATCH(A552,Inputs!$B$6:$D$6,0)),0)))))</x:f>
        <x:v>90</x:v>
      </x:c>
      <x:c r="M552" s="20" t="n">
        <x:f>G552*I552</x:f>
        <x:v>31135</x:v>
      </x:c>
      <x:c r="N552" s="20" t="n">
        <x:f>G552*J552</x:f>
        <x:v>520</x:v>
      </x:c>
      <x:c r="O552" s="20" t="n">
        <x:f>G552*K552</x:f>
        <x:v>0</x:v>
      </x:c>
      <x:c r="P552" s="20" t="n">
        <x:f>G552*L552</x:f>
        <x:v>1170</x:v>
      </x:c>
      <x:c r="Q552" s="20" t="n">
        <x:f>H552*INDEX(Inputs!$B$13:$D$13,1,MATCH(A552,Inputs!$B$6:$D$6,0))</x:f>
        <x:v>390</x:v>
      </x:c>
      <x:c r="R552" s="20" t="n">
        <x:f>SUM(M552:Q552)</x:f>
        <x:v>33215</x:v>
      </x:c>
      <x:c r="S552" s="20" t="n">
        <x:f>IF(AND(A551=A552,D551=D552),S551+R552,R552)</x:f>
        <x:v>99645</x:v>
      </x:c>
      <x:c r="T552" s="20" t="n">
        <x:f>MIN(S552,INDEX(Inputs!$B$20:$D$20,1,MATCH(A552,Inputs!$B$6:$D$6,0)))*INDEX(Inputs!$B$22:$D$22,1,MATCH(A552,Inputs!$B$6:$D$6,0))+MAX(MIN(S552,INDEX(Inputs!$B$21:$D$21,1,MATCH(A552,Inputs!$B$6:$D$6,0)))-INDEX(Inputs!$B$20:$D$20,1,MATCH(A552,Inputs!$B$6:$D$6,0)),0)*INDEX(Inputs!$B$23:$D$23,1,MATCH(A552,Inputs!$B$6:$D$6,0))+MAX(S552-INDEX(Inputs!$B$21:$D$21,1,MATCH(A552,Inputs!$B$6:$D$6,0)),0)*INDEX(Inputs!$B$24:$D$24,1,MATCH(A552,Inputs!$B$6:$D$6,0))</x:f>
        <x:v>8112.8425</x:v>
      </x:c>
      <x:c r="U552" s="20" t="n">
        <x:f>IF(AND(A551=A552,D551=D552),T551,0)</x:f>
        <x:v>5571.8949999999995</x:v>
      </x:c>
      <x:c r="V552" s="20" t="n">
        <x:f>T552-U552</x:f>
        <x:v>2540.9475</x:v>
      </x:c>
      <x:c r="W552" s="20" t="n">
        <x:f>R552+V552</x:f>
        <x:v>35755.9475</x:v>
      </x:c>
      <x:c r="X552" s="14" t="str">
        <x:f>IF(ABS(W552-SUM(M552:Q552)-V552)&lt;0.01,"OK","Check")</x:f>
        <x:v>OK</x:v>
      </x:c>
    </x:row>
    <x:row r="553">
      <x:c r="A553" s="14" t="n">
        <x:v>2027</x:v>
      </x:c>
      <x:c r="B553" s="14" t="str">
        <x:v>Q4</x:v>
      </x:c>
      <x:c r="C553" s="14" t="n">
        <x:v>4</x:v>
      </x:c>
      <x:c r="D553" s="14" t="n">
        <x:v>34</x:v>
      </x:c>
      <x:c r="E553" s="14" t="str">
        <x:f>INDEX(Roster!$B$6:$B$108,MATCH(D553,Roster!$A$6:$A$108,0))</x:f>
      </x:c>
      <x:c r="F553" s="14" t="str">
        <x:f>INDEX(Roster!$F$6:$F$108,MATCH(D553,Roster!$A$6:$A$108,0))</x:f>
        <x:v>No</x:v>
      </x:c>
      <x:c r="G553" s="14" t="n">
        <x:f>INDEX(Inputs!$B$7:$D$7,1,MATCH(A553,Inputs!$B$6:$D$6,0))</x:f>
        <x:v>13</x:v>
      </x:c>
      <x:c r="H553" s="14" t="n">
        <x:f>MIN(=INDEX(Inputs!$B$7:$D$7,1,MATCH(A553,Inputs!$B$6:$D$6,0)),MAX(0,INDEX(Inputs!$B$14:$D$14,1,MATCH(A553,Inputs!$B$6:$D$6,0))-(C553-1)*=INDEX(Inputs!$B$7:$D$7,1,MATCH(A553,Inputs!$B$6:$D$6,0))))</x:f>
        <x:v>0</x:v>
      </x:c>
      <x:c r="I553" s="20" t="n">
        <x:f>INDEX(Inputs!$B$8:$D$8,1,MATCH(A553,Inputs!$B$6:$D$6,0))</x:f>
        <x:v>2395</x:v>
      </x:c>
      <x:c r="J553" s="20" t="n">
        <x:f>INDEX(Roster!$C$6:$C$108,MATCH(D553,Roster!$A$6:$A$108,0))*(1+INDEX(Inputs!$B$9:$D$9,1,MATCH(A553,Inputs!$B$6:$D$6,0)))</x:f>
        <x:v>40</x:v>
      </x:c>
      <x:c r="K553" s="20" t="n">
        <x:f>IF(=INDEX(Roster!$F$6:$F$108,MATCH(D553,Roster!$A$6:$A$108,0))="Yes",0,=INDEX(Inputs!$B$8:$D$8,1,MATCH(A553,Inputs!$B$6:$D$6,0))*IF(=INDEX(Roster!$B$6:$B$108,MATCH(D553,Roster!$A$6:$A$108,0))="Principal",INDEX(Inputs!$B$10:$D$10,1,MATCH(A553,Inputs!$B$6:$D$6,0)),IF(=INDEX(Roster!$B$6:$B$108,MATCH(D553,Roster!$A$6:$A$108,0))="Associate Principal",INDEX(Inputs!$B$11:$D$11,1,MATCH(A553,Inputs!$B$6:$D$6,0)),IF(=INDEX(Roster!$B$6:$B$108,MATCH(D553,Roster!$A$6:$A$108,0))="Assistant Principal",INDEX(Inputs!$B$12:$D$12,1,MATCH(A553,Inputs!$B$6:$D$6,0)),0))))</x:f>
        <x:v>0</x:v>
      </x:c>
      <x:c r="L553" s="20" t="n">
        <x:f>IF(INDEX(Roster!$D$6:$D$108,MATCH(D553,Roster!$A$6:$A$108,0))&gt;=25,INDEX(Inputs!$B$19:$D$19,1,MATCH(A553,Inputs!$B$6:$D$6,0)),IF(INDEX(Roster!$D$6:$D$108,MATCH(D553,Roster!$A$6:$A$108,0))&gt;=20,INDEX(Inputs!$B$18:$D$18,1,MATCH(A553,Inputs!$B$6:$D$6,0)),IF(INDEX(Roster!$D$6:$D$108,MATCH(D553,Roster!$A$6:$A$108,0))&gt;=15,INDEX(Inputs!$B$17:$D$17,1,MATCH(A553,Inputs!$B$6:$D$6,0)),IF(INDEX(Roster!$D$6:$D$108,MATCH(D553,Roster!$A$6:$A$108,0))&gt;=10,INDEX(Inputs!$B$16:$D$16,1,MATCH(A553,Inputs!$B$6:$D$6,0)),IF(INDEX(Roster!$D$6:$D$108,MATCH(D553,Roster!$A$6:$A$108,0))&gt;=5,INDEX(Inputs!$B$15:$D$15,1,MATCH(A553,Inputs!$B$6:$D$6,0)),0)))))</x:f>
        <x:v>90</x:v>
      </x:c>
      <x:c r="M553" s="20" t="n">
        <x:f>G553*I553</x:f>
        <x:v>31135</x:v>
      </x:c>
      <x:c r="N553" s="20" t="n">
        <x:f>G553*J553</x:f>
        <x:v>520</x:v>
      </x:c>
      <x:c r="O553" s="20" t="n">
        <x:f>G553*K553</x:f>
        <x:v>0</x:v>
      </x:c>
      <x:c r="P553" s="20" t="n">
        <x:f>G553*L553</x:f>
        <x:v>1170</x:v>
      </x:c>
      <x:c r="Q553" s="20" t="n">
        <x:f>H553*INDEX(Inputs!$B$13:$D$13,1,MATCH(A553,Inputs!$B$6:$D$6,0))</x:f>
        <x:v>0</x:v>
      </x:c>
      <x:c r="R553" s="20" t="n">
        <x:f>SUM(M553:Q553)</x:f>
        <x:v>32825</x:v>
      </x:c>
      <x:c r="S553" s="20" t="n">
        <x:f>IF(AND(A552=A553,D552=D553),S552+R553,R553)</x:f>
        <x:v>132470</x:v>
      </x:c>
      <x:c r="T553" s="20" t="n">
        <x:f>MIN(S553,INDEX(Inputs!$B$20:$D$20,1,MATCH(A553,Inputs!$B$6:$D$6,0)))*INDEX(Inputs!$B$22:$D$22,1,MATCH(A553,Inputs!$B$6:$D$6,0))+MAX(MIN(S553,INDEX(Inputs!$B$21:$D$21,1,MATCH(A553,Inputs!$B$6:$D$6,0)))-INDEX(Inputs!$B$20:$D$20,1,MATCH(A553,Inputs!$B$6:$D$6,0)),0)*INDEX(Inputs!$B$23:$D$23,1,MATCH(A553,Inputs!$B$6:$D$6,0))+MAX(S553-INDEX(Inputs!$B$21:$D$21,1,MATCH(A553,Inputs!$B$6:$D$6,0)),0)*INDEX(Inputs!$B$24:$D$24,1,MATCH(A553,Inputs!$B$6:$D$6,0))</x:f>
        <x:v>9834.757</x:v>
      </x:c>
      <x:c r="U553" s="20" t="n">
        <x:f>IF(AND(A552=A553,D552=D553),T552,0)</x:f>
        <x:v>8112.8425</x:v>
      </x:c>
      <x:c r="V553" s="20" t="n">
        <x:f>T553-U553</x:f>
        <x:v>1721.9144999999999</x:v>
      </x:c>
      <x:c r="W553" s="20" t="n">
        <x:f>R553+V553</x:f>
        <x:v>34546.9145</x:v>
      </x:c>
      <x:c r="X553" s="14" t="str">
        <x:f>IF(ABS(W553-SUM(M553:Q553)-V553)&lt;0.01,"OK","Check")</x:f>
        <x:v>OK</x:v>
      </x:c>
    </x:row>
    <x:row r="554">
      <x:c r="A554" s="14" t="n">
        <x:v>2027</x:v>
      </x:c>
      <x:c r="B554" s="14" t="str">
        <x:v>Q1</x:v>
      </x:c>
      <x:c r="C554" s="14" t="n">
        <x:v>1</x:v>
      </x:c>
      <x:c r="D554" s="14" t="n">
        <x:v>35</x:v>
      </x:c>
      <x:c r="E554" s="14" t="str">
        <x:f>INDEX(Roster!$B$6:$B$108,MATCH(D554,Roster!$A$6:$A$108,0))</x:f>
      </x:c>
      <x:c r="F554" s="14" t="str">
        <x:f>INDEX(Roster!$F$6:$F$108,MATCH(D554,Roster!$A$6:$A$108,0))</x:f>
        <x:v>No</x:v>
      </x:c>
      <x:c r="G554" s="14" t="n">
        <x:f>INDEX(Inputs!$B$7:$D$7,1,MATCH(A554,Inputs!$B$6:$D$6,0))</x:f>
        <x:v>13</x:v>
      </x:c>
      <x:c r="H554" s="14" t="n">
        <x:f>MIN(=INDEX(Inputs!$B$7:$D$7,1,MATCH(A554,Inputs!$B$6:$D$6,0)),MAX(0,INDEX(Inputs!$B$14:$D$14,1,MATCH(A554,Inputs!$B$6:$D$6,0))-(C554-1)*=INDEX(Inputs!$B$7:$D$7,1,MATCH(A554,Inputs!$B$6:$D$6,0))))</x:f>
        <x:v>13</x:v>
      </x:c>
      <x:c r="I554" s="20" t="n">
        <x:f>INDEX(Inputs!$B$8:$D$8,1,MATCH(A554,Inputs!$B$6:$D$6,0))</x:f>
        <x:v>2395</x:v>
      </x:c>
      <x:c r="J554" s="20" t="n">
        <x:f>INDEX(Roster!$C$6:$C$108,MATCH(D554,Roster!$A$6:$A$108,0))*(1+INDEX(Inputs!$B$9:$D$9,1,MATCH(A554,Inputs!$B$6:$D$6,0)))</x:f>
        <x:v>30</x:v>
      </x:c>
      <x:c r="K554" s="20" t="n">
        <x:f>IF(=INDEX(Roster!$F$6:$F$108,MATCH(D554,Roster!$A$6:$A$108,0))="Yes",0,=INDEX(Inputs!$B$8:$D$8,1,MATCH(A554,Inputs!$B$6:$D$6,0))*IF(=INDEX(Roster!$B$6:$B$108,MATCH(D554,Roster!$A$6:$A$108,0))="Principal",INDEX(Inputs!$B$10:$D$10,1,MATCH(A554,Inputs!$B$6:$D$6,0)),IF(=INDEX(Roster!$B$6:$B$108,MATCH(D554,Roster!$A$6:$A$108,0))="Associate Principal",INDEX(Inputs!$B$11:$D$11,1,MATCH(A554,Inputs!$B$6:$D$6,0)),IF(=INDEX(Roster!$B$6:$B$108,MATCH(D554,Roster!$A$6:$A$108,0))="Assistant Principal",INDEX(Inputs!$B$12:$D$12,1,MATCH(A554,Inputs!$B$6:$D$6,0)),0))))</x:f>
        <x:v>0</x:v>
      </x:c>
      <x:c r="L554" s="20" t="n">
        <x:f>IF(INDEX(Roster!$D$6:$D$108,MATCH(D554,Roster!$A$6:$A$108,0))&gt;=25,INDEX(Inputs!$B$19:$D$19,1,MATCH(A554,Inputs!$B$6:$D$6,0)),IF(INDEX(Roster!$D$6:$D$108,MATCH(D554,Roster!$A$6:$A$108,0))&gt;=20,INDEX(Inputs!$B$18:$D$18,1,MATCH(A554,Inputs!$B$6:$D$6,0)),IF(INDEX(Roster!$D$6:$D$108,MATCH(D554,Roster!$A$6:$A$108,0))&gt;=15,INDEX(Inputs!$B$17:$D$17,1,MATCH(A554,Inputs!$B$6:$D$6,0)),IF(INDEX(Roster!$D$6:$D$108,MATCH(D554,Roster!$A$6:$A$108,0))&gt;=10,INDEX(Inputs!$B$16:$D$16,1,MATCH(A554,Inputs!$B$6:$D$6,0)),IF(INDEX(Roster!$D$6:$D$108,MATCH(D554,Roster!$A$6:$A$108,0))&gt;=5,INDEX(Inputs!$B$15:$D$15,1,MATCH(A554,Inputs!$B$6:$D$6,0)),0)))))</x:f>
        <x:v>0</x:v>
      </x:c>
      <x:c r="M554" s="20" t="n">
        <x:f>G554*I554</x:f>
        <x:v>31135</x:v>
      </x:c>
      <x:c r="N554" s="20" t="n">
        <x:f>G554*J554</x:f>
        <x:v>390</x:v>
      </x:c>
      <x:c r="O554" s="20" t="n">
        <x:f>G554*K554</x:f>
        <x:v>0</x:v>
      </x:c>
      <x:c r="P554" s="20" t="n">
        <x:f>G554*L554</x:f>
        <x:v>0</x:v>
      </x:c>
      <x:c r="Q554" s="20" t="n">
        <x:f>H554*INDEX(Inputs!$B$13:$D$13,1,MATCH(A554,Inputs!$B$6:$D$6,0))</x:f>
        <x:v>390</x:v>
      </x:c>
      <x:c r="R554" s="20" t="n">
        <x:f>SUM(M554:Q554)</x:f>
        <x:v>31915</x:v>
      </x:c>
      <x:c r="S554" s="20" t="n">
        <x:f>IF(AND(A553=A554,D553=D554),S553+R554,R554)</x:f>
        <x:v>31915</x:v>
      </x:c>
      <x:c r="T554" s="20" t="n">
        <x:f>MIN(S554,INDEX(Inputs!$B$20:$D$20,1,MATCH(A554,Inputs!$B$6:$D$6,0)))*INDEX(Inputs!$B$22:$D$22,1,MATCH(A554,Inputs!$B$6:$D$6,0))+MAX(MIN(S554,INDEX(Inputs!$B$21:$D$21,1,MATCH(A554,Inputs!$B$6:$D$6,0)))-INDEX(Inputs!$B$20:$D$20,1,MATCH(A554,Inputs!$B$6:$D$6,0)),0)*INDEX(Inputs!$B$23:$D$23,1,MATCH(A554,Inputs!$B$6:$D$6,0))+MAX(S554-INDEX(Inputs!$B$21:$D$21,1,MATCH(A554,Inputs!$B$6:$D$6,0)),0)*INDEX(Inputs!$B$24:$D$24,1,MATCH(A554,Inputs!$B$6:$D$6,0))</x:f>
        <x:v>2931.4975</x:v>
      </x:c>
      <x:c r="U554" s="20" t="n">
        <x:f>IF(AND(A553=A554,D553=D554),T553,0)</x:f>
        <x:v>0</x:v>
      </x:c>
      <x:c r="V554" s="20" t="n">
        <x:f>T554-U554</x:f>
        <x:v>2931.4975</x:v>
      </x:c>
      <x:c r="W554" s="20" t="n">
        <x:f>R554+V554</x:f>
        <x:v>34846.4975</x:v>
      </x:c>
      <x:c r="X554" s="14" t="str">
        <x:f>IF(ABS(W554-SUM(M554:Q554)-V554)&lt;0.01,"OK","Check")</x:f>
        <x:v>OK</x:v>
      </x:c>
    </x:row>
    <x:row r="555">
      <x:c r="A555" s="14" t="n">
        <x:v>2027</x:v>
      </x:c>
      <x:c r="B555" s="14" t="str">
        <x:v>Q2</x:v>
      </x:c>
      <x:c r="C555" s="14" t="n">
        <x:v>2</x:v>
      </x:c>
      <x:c r="D555" s="14" t="n">
        <x:v>35</x:v>
      </x:c>
      <x:c r="E555" s="14" t="str">
        <x:f>INDEX(Roster!$B$6:$B$108,MATCH(D555,Roster!$A$6:$A$108,0))</x:f>
      </x:c>
      <x:c r="F555" s="14" t="str">
        <x:f>INDEX(Roster!$F$6:$F$108,MATCH(D555,Roster!$A$6:$A$108,0))</x:f>
        <x:v>No</x:v>
      </x:c>
      <x:c r="G555" s="14" t="n">
        <x:f>INDEX(Inputs!$B$7:$D$7,1,MATCH(A555,Inputs!$B$6:$D$6,0))</x:f>
        <x:v>13</x:v>
      </x:c>
      <x:c r="H555" s="14" t="n">
        <x:f>MIN(=INDEX(Inputs!$B$7:$D$7,1,MATCH(A555,Inputs!$B$6:$D$6,0)),MAX(0,INDEX(Inputs!$B$14:$D$14,1,MATCH(A555,Inputs!$B$6:$D$6,0))-(C555-1)*=INDEX(Inputs!$B$7:$D$7,1,MATCH(A555,Inputs!$B$6:$D$6,0))))</x:f>
        <x:v>13</x:v>
      </x:c>
      <x:c r="I555" s="20" t="n">
        <x:f>INDEX(Inputs!$B$8:$D$8,1,MATCH(A555,Inputs!$B$6:$D$6,0))</x:f>
        <x:v>2395</x:v>
      </x:c>
      <x:c r="J555" s="20" t="n">
        <x:f>INDEX(Roster!$C$6:$C$108,MATCH(D555,Roster!$A$6:$A$108,0))*(1+INDEX(Inputs!$B$9:$D$9,1,MATCH(A555,Inputs!$B$6:$D$6,0)))</x:f>
        <x:v>30</x:v>
      </x:c>
      <x:c r="K555" s="20" t="n">
        <x:f>IF(=INDEX(Roster!$F$6:$F$108,MATCH(D555,Roster!$A$6:$A$108,0))="Yes",0,=INDEX(Inputs!$B$8:$D$8,1,MATCH(A555,Inputs!$B$6:$D$6,0))*IF(=INDEX(Roster!$B$6:$B$108,MATCH(D555,Roster!$A$6:$A$108,0))="Principal",INDEX(Inputs!$B$10:$D$10,1,MATCH(A555,Inputs!$B$6:$D$6,0)),IF(=INDEX(Roster!$B$6:$B$108,MATCH(D555,Roster!$A$6:$A$108,0))="Associate Principal",INDEX(Inputs!$B$11:$D$11,1,MATCH(A555,Inputs!$B$6:$D$6,0)),IF(=INDEX(Roster!$B$6:$B$108,MATCH(D555,Roster!$A$6:$A$108,0))="Assistant Principal",INDEX(Inputs!$B$12:$D$12,1,MATCH(A555,Inputs!$B$6:$D$6,0)),0))))</x:f>
        <x:v>0</x:v>
      </x:c>
      <x:c r="L555" s="20" t="n">
        <x:f>IF(INDEX(Roster!$D$6:$D$108,MATCH(D555,Roster!$A$6:$A$108,0))&gt;=25,INDEX(Inputs!$B$19:$D$19,1,MATCH(A555,Inputs!$B$6:$D$6,0)),IF(INDEX(Roster!$D$6:$D$108,MATCH(D555,Roster!$A$6:$A$108,0))&gt;=20,INDEX(Inputs!$B$18:$D$18,1,MATCH(A555,Inputs!$B$6:$D$6,0)),IF(INDEX(Roster!$D$6:$D$108,MATCH(D555,Roster!$A$6:$A$108,0))&gt;=15,INDEX(Inputs!$B$17:$D$17,1,MATCH(A555,Inputs!$B$6:$D$6,0)),IF(INDEX(Roster!$D$6:$D$108,MATCH(D555,Roster!$A$6:$A$108,0))&gt;=10,INDEX(Inputs!$B$16:$D$16,1,MATCH(A555,Inputs!$B$6:$D$6,0)),IF(INDEX(Roster!$D$6:$D$108,MATCH(D555,Roster!$A$6:$A$108,0))&gt;=5,INDEX(Inputs!$B$15:$D$15,1,MATCH(A555,Inputs!$B$6:$D$6,0)),0)))))</x:f>
        <x:v>0</x:v>
      </x:c>
      <x:c r="M555" s="20" t="n">
        <x:f>G555*I555</x:f>
        <x:v>31135</x:v>
      </x:c>
      <x:c r="N555" s="20" t="n">
        <x:f>G555*J555</x:f>
        <x:v>390</x:v>
      </x:c>
      <x:c r="O555" s="20" t="n">
        <x:f>G555*K555</x:f>
        <x:v>0</x:v>
      </x:c>
      <x:c r="P555" s="20" t="n">
        <x:f>G555*L555</x:f>
        <x:v>0</x:v>
      </x:c>
      <x:c r="Q555" s="20" t="n">
        <x:f>H555*INDEX(Inputs!$B$13:$D$13,1,MATCH(A555,Inputs!$B$6:$D$6,0))</x:f>
        <x:v>390</x:v>
      </x:c>
      <x:c r="R555" s="20" t="n">
        <x:f>SUM(M555:Q555)</x:f>
        <x:v>31915</x:v>
      </x:c>
      <x:c r="S555" s="20" t="n">
        <x:f>IF(AND(A554=A555,D554=D555),S554+R555,R555)</x:f>
        <x:v>63830</x:v>
      </x:c>
      <x:c r="T555" s="20" t="n">
        <x:f>MIN(S555,INDEX(Inputs!$B$20:$D$20,1,MATCH(A555,Inputs!$B$6:$D$6,0)))*INDEX(Inputs!$B$22:$D$22,1,MATCH(A555,Inputs!$B$6:$D$6,0))+MAX(MIN(S555,INDEX(Inputs!$B$21:$D$21,1,MATCH(A555,Inputs!$B$6:$D$6,0)))-INDEX(Inputs!$B$20:$D$20,1,MATCH(A555,Inputs!$B$6:$D$6,0)),0)*INDEX(Inputs!$B$23:$D$23,1,MATCH(A555,Inputs!$B$6:$D$6,0))+MAX(S555-INDEX(Inputs!$B$21:$D$21,1,MATCH(A555,Inputs!$B$6:$D$6,0)),0)*INDEX(Inputs!$B$24:$D$24,1,MATCH(A555,Inputs!$B$6:$D$6,0))</x:f>
        <x:v>5372.995</x:v>
      </x:c>
      <x:c r="U555" s="20" t="n">
        <x:f>IF(AND(A554=A555,D554=D555),T554,0)</x:f>
        <x:v>2931.4975</x:v>
      </x:c>
      <x:c r="V555" s="20" t="n">
        <x:f>T555-U555</x:f>
        <x:v>2441.4975</x:v>
      </x:c>
      <x:c r="W555" s="20" t="n">
        <x:f>R555+V555</x:f>
        <x:v>34356.4975</x:v>
      </x:c>
      <x:c r="X555" s="14" t="str">
        <x:f>IF(ABS(W555-SUM(M555:Q555)-V555)&lt;0.01,"OK","Check")</x:f>
        <x:v>OK</x:v>
      </x:c>
    </x:row>
    <x:row r="556">
      <x:c r="A556" s="14" t="n">
        <x:v>2027</x:v>
      </x:c>
      <x:c r="B556" s="14" t="str">
        <x:v>Q3</x:v>
      </x:c>
      <x:c r="C556" s="14" t="n">
        <x:v>3</x:v>
      </x:c>
      <x:c r="D556" s="14" t="n">
        <x:v>35</x:v>
      </x:c>
      <x:c r="E556" s="14" t="str">
        <x:f>INDEX(Roster!$B$6:$B$108,MATCH(D556,Roster!$A$6:$A$108,0))</x:f>
      </x:c>
      <x:c r="F556" s="14" t="str">
        <x:f>INDEX(Roster!$F$6:$F$108,MATCH(D556,Roster!$A$6:$A$108,0))</x:f>
        <x:v>No</x:v>
      </x:c>
      <x:c r="G556" s="14" t="n">
        <x:f>INDEX(Inputs!$B$7:$D$7,1,MATCH(A556,Inputs!$B$6:$D$6,0))</x:f>
        <x:v>13</x:v>
      </x:c>
      <x:c r="H556" s="14" t="n">
        <x:f>MIN(=INDEX(Inputs!$B$7:$D$7,1,MATCH(A556,Inputs!$B$6:$D$6,0)),MAX(0,INDEX(Inputs!$B$14:$D$14,1,MATCH(A556,Inputs!$B$6:$D$6,0))-(C556-1)*=INDEX(Inputs!$B$7:$D$7,1,MATCH(A556,Inputs!$B$6:$D$6,0))))</x:f>
        <x:v>13</x:v>
      </x:c>
      <x:c r="I556" s="20" t="n">
        <x:f>INDEX(Inputs!$B$8:$D$8,1,MATCH(A556,Inputs!$B$6:$D$6,0))</x:f>
        <x:v>2395</x:v>
      </x:c>
      <x:c r="J556" s="20" t="n">
        <x:f>INDEX(Roster!$C$6:$C$108,MATCH(D556,Roster!$A$6:$A$108,0))*(1+INDEX(Inputs!$B$9:$D$9,1,MATCH(A556,Inputs!$B$6:$D$6,0)))</x:f>
        <x:v>30</x:v>
      </x:c>
      <x:c r="K556" s="20" t="n">
        <x:f>IF(=INDEX(Roster!$F$6:$F$108,MATCH(D556,Roster!$A$6:$A$108,0))="Yes",0,=INDEX(Inputs!$B$8:$D$8,1,MATCH(A556,Inputs!$B$6:$D$6,0))*IF(=INDEX(Roster!$B$6:$B$108,MATCH(D556,Roster!$A$6:$A$108,0))="Principal",INDEX(Inputs!$B$10:$D$10,1,MATCH(A556,Inputs!$B$6:$D$6,0)),IF(=INDEX(Roster!$B$6:$B$108,MATCH(D556,Roster!$A$6:$A$108,0))="Associate Principal",INDEX(Inputs!$B$11:$D$11,1,MATCH(A556,Inputs!$B$6:$D$6,0)),IF(=INDEX(Roster!$B$6:$B$108,MATCH(D556,Roster!$A$6:$A$108,0))="Assistant Principal",INDEX(Inputs!$B$12:$D$12,1,MATCH(A556,Inputs!$B$6:$D$6,0)),0))))</x:f>
        <x:v>0</x:v>
      </x:c>
      <x:c r="L556" s="20" t="n">
        <x:f>IF(INDEX(Roster!$D$6:$D$108,MATCH(D556,Roster!$A$6:$A$108,0))&gt;=25,INDEX(Inputs!$B$19:$D$19,1,MATCH(A556,Inputs!$B$6:$D$6,0)),IF(INDEX(Roster!$D$6:$D$108,MATCH(D556,Roster!$A$6:$A$108,0))&gt;=20,INDEX(Inputs!$B$18:$D$18,1,MATCH(A556,Inputs!$B$6:$D$6,0)),IF(INDEX(Roster!$D$6:$D$108,MATCH(D556,Roster!$A$6:$A$108,0))&gt;=15,INDEX(Inputs!$B$17:$D$17,1,MATCH(A556,Inputs!$B$6:$D$6,0)),IF(INDEX(Roster!$D$6:$D$108,MATCH(D556,Roster!$A$6:$A$108,0))&gt;=10,INDEX(Inputs!$B$16:$D$16,1,MATCH(A556,Inputs!$B$6:$D$6,0)),IF(INDEX(Roster!$D$6:$D$108,MATCH(D556,Roster!$A$6:$A$108,0))&gt;=5,INDEX(Inputs!$B$15:$D$15,1,MATCH(A556,Inputs!$B$6:$D$6,0)),0)))))</x:f>
        <x:v>0</x:v>
      </x:c>
      <x:c r="M556" s="20" t="n">
        <x:f>G556*I556</x:f>
        <x:v>31135</x:v>
      </x:c>
      <x:c r="N556" s="20" t="n">
        <x:f>G556*J556</x:f>
        <x:v>390</x:v>
      </x:c>
      <x:c r="O556" s="20" t="n">
        <x:f>G556*K556</x:f>
        <x:v>0</x:v>
      </x:c>
      <x:c r="P556" s="20" t="n">
        <x:f>G556*L556</x:f>
        <x:v>0</x:v>
      </x:c>
      <x:c r="Q556" s="20" t="n">
        <x:f>H556*INDEX(Inputs!$B$13:$D$13,1,MATCH(A556,Inputs!$B$6:$D$6,0))</x:f>
        <x:v>390</x:v>
      </x:c>
      <x:c r="R556" s="20" t="n">
        <x:f>SUM(M556:Q556)</x:f>
        <x:v>31915</x:v>
      </x:c>
      <x:c r="S556" s="20" t="n">
        <x:f>IF(AND(A555=A556,D555=D556),S555+R556,R556)</x:f>
        <x:v>95745</x:v>
      </x:c>
      <x:c r="T556" s="20" t="n">
        <x:f>MIN(S556,INDEX(Inputs!$B$20:$D$20,1,MATCH(A556,Inputs!$B$6:$D$6,0)))*INDEX(Inputs!$B$22:$D$22,1,MATCH(A556,Inputs!$B$6:$D$6,0))+MAX(MIN(S556,INDEX(Inputs!$B$21:$D$21,1,MATCH(A556,Inputs!$B$6:$D$6,0)))-INDEX(Inputs!$B$20:$D$20,1,MATCH(A556,Inputs!$B$6:$D$6,0)),0)*INDEX(Inputs!$B$23:$D$23,1,MATCH(A556,Inputs!$B$6:$D$6,0))+MAX(S556-INDEX(Inputs!$B$21:$D$21,1,MATCH(A556,Inputs!$B$6:$D$6,0)),0)*INDEX(Inputs!$B$24:$D$24,1,MATCH(A556,Inputs!$B$6:$D$6,0))</x:f>
        <x:v>7814.4925</x:v>
      </x:c>
      <x:c r="U556" s="20" t="n">
        <x:f>IF(AND(A555=A556,D555=D556),T555,0)</x:f>
        <x:v>5372.995</x:v>
      </x:c>
      <x:c r="V556" s="20" t="n">
        <x:f>T556-U556</x:f>
        <x:v>2441.4975000000004</x:v>
      </x:c>
      <x:c r="W556" s="20" t="n">
        <x:f>R556+V556</x:f>
        <x:v>34356.4975</x:v>
      </x:c>
      <x:c r="X556" s="14" t="str">
        <x:f>IF(ABS(W556-SUM(M556:Q556)-V556)&lt;0.01,"OK","Check")</x:f>
        <x:v>OK</x:v>
      </x:c>
    </x:row>
    <x:row r="557">
      <x:c r="A557" s="14" t="n">
        <x:v>2027</x:v>
      </x:c>
      <x:c r="B557" s="14" t="str">
        <x:v>Q4</x:v>
      </x:c>
      <x:c r="C557" s="14" t="n">
        <x:v>4</x:v>
      </x:c>
      <x:c r="D557" s="14" t="n">
        <x:v>35</x:v>
      </x:c>
      <x:c r="E557" s="14" t="str">
        <x:f>INDEX(Roster!$B$6:$B$108,MATCH(D557,Roster!$A$6:$A$108,0))</x:f>
      </x:c>
      <x:c r="F557" s="14" t="str">
        <x:f>INDEX(Roster!$F$6:$F$108,MATCH(D557,Roster!$A$6:$A$108,0))</x:f>
        <x:v>No</x:v>
      </x:c>
      <x:c r="G557" s="14" t="n">
        <x:f>INDEX(Inputs!$B$7:$D$7,1,MATCH(A557,Inputs!$B$6:$D$6,0))</x:f>
        <x:v>13</x:v>
      </x:c>
      <x:c r="H557" s="14" t="n">
        <x:f>MIN(=INDEX(Inputs!$B$7:$D$7,1,MATCH(A557,Inputs!$B$6:$D$6,0)),MAX(0,INDEX(Inputs!$B$14:$D$14,1,MATCH(A557,Inputs!$B$6:$D$6,0))-(C557-1)*=INDEX(Inputs!$B$7:$D$7,1,MATCH(A557,Inputs!$B$6:$D$6,0))))</x:f>
        <x:v>0</x:v>
      </x:c>
      <x:c r="I557" s="20" t="n">
        <x:f>INDEX(Inputs!$B$8:$D$8,1,MATCH(A557,Inputs!$B$6:$D$6,0))</x:f>
        <x:v>2395</x:v>
      </x:c>
      <x:c r="J557" s="20" t="n">
        <x:f>INDEX(Roster!$C$6:$C$108,MATCH(D557,Roster!$A$6:$A$108,0))*(1+INDEX(Inputs!$B$9:$D$9,1,MATCH(A557,Inputs!$B$6:$D$6,0)))</x:f>
        <x:v>30</x:v>
      </x:c>
      <x:c r="K557" s="20" t="n">
        <x:f>IF(=INDEX(Roster!$F$6:$F$108,MATCH(D557,Roster!$A$6:$A$108,0))="Yes",0,=INDEX(Inputs!$B$8:$D$8,1,MATCH(A557,Inputs!$B$6:$D$6,0))*IF(=INDEX(Roster!$B$6:$B$108,MATCH(D557,Roster!$A$6:$A$108,0))="Principal",INDEX(Inputs!$B$10:$D$10,1,MATCH(A557,Inputs!$B$6:$D$6,0)),IF(=INDEX(Roster!$B$6:$B$108,MATCH(D557,Roster!$A$6:$A$108,0))="Associate Principal",INDEX(Inputs!$B$11:$D$11,1,MATCH(A557,Inputs!$B$6:$D$6,0)),IF(=INDEX(Roster!$B$6:$B$108,MATCH(D557,Roster!$A$6:$A$108,0))="Assistant Principal",INDEX(Inputs!$B$12:$D$12,1,MATCH(A557,Inputs!$B$6:$D$6,0)),0))))</x:f>
        <x:v>0</x:v>
      </x:c>
      <x:c r="L557" s="20" t="n">
        <x:f>IF(INDEX(Roster!$D$6:$D$108,MATCH(D557,Roster!$A$6:$A$108,0))&gt;=25,INDEX(Inputs!$B$19:$D$19,1,MATCH(A557,Inputs!$B$6:$D$6,0)),IF(INDEX(Roster!$D$6:$D$108,MATCH(D557,Roster!$A$6:$A$108,0))&gt;=20,INDEX(Inputs!$B$18:$D$18,1,MATCH(A557,Inputs!$B$6:$D$6,0)),IF(INDEX(Roster!$D$6:$D$108,MATCH(D557,Roster!$A$6:$A$108,0))&gt;=15,INDEX(Inputs!$B$17:$D$17,1,MATCH(A557,Inputs!$B$6:$D$6,0)),IF(INDEX(Roster!$D$6:$D$108,MATCH(D557,Roster!$A$6:$A$108,0))&gt;=10,INDEX(Inputs!$B$16:$D$16,1,MATCH(A557,Inputs!$B$6:$D$6,0)),IF(INDEX(Roster!$D$6:$D$108,MATCH(D557,Roster!$A$6:$A$108,0))&gt;=5,INDEX(Inputs!$B$15:$D$15,1,MATCH(A557,Inputs!$B$6:$D$6,0)),0)))))</x:f>
        <x:v>0</x:v>
      </x:c>
      <x:c r="M557" s="20" t="n">
        <x:f>G557*I557</x:f>
        <x:v>31135</x:v>
      </x:c>
      <x:c r="N557" s="20" t="n">
        <x:f>G557*J557</x:f>
        <x:v>390</x:v>
      </x:c>
      <x:c r="O557" s="20" t="n">
        <x:f>G557*K557</x:f>
        <x:v>0</x:v>
      </x:c>
      <x:c r="P557" s="20" t="n">
        <x:f>G557*L557</x:f>
        <x:v>0</x:v>
      </x:c>
      <x:c r="Q557" s="20" t="n">
        <x:f>H557*INDEX(Inputs!$B$13:$D$13,1,MATCH(A557,Inputs!$B$6:$D$6,0))</x:f>
        <x:v>0</x:v>
      </x:c>
      <x:c r="R557" s="20" t="n">
        <x:f>SUM(M557:Q557)</x:f>
        <x:v>31525</x:v>
      </x:c>
      <x:c r="S557" s="20" t="n">
        <x:f>IF(AND(A556=A557,D556=D557),S556+R557,R557)</x:f>
        <x:v>127270</x:v>
      </x:c>
      <x:c r="T557" s="20" t="n">
        <x:f>MIN(S557,INDEX(Inputs!$B$20:$D$20,1,MATCH(A557,Inputs!$B$6:$D$6,0)))*INDEX(Inputs!$B$22:$D$22,1,MATCH(A557,Inputs!$B$6:$D$6,0))+MAX(MIN(S557,INDEX(Inputs!$B$21:$D$21,1,MATCH(A557,Inputs!$B$6:$D$6,0)))-INDEX(Inputs!$B$20:$D$20,1,MATCH(A557,Inputs!$B$6:$D$6,0)),0)*INDEX(Inputs!$B$23:$D$23,1,MATCH(A557,Inputs!$B$6:$D$6,0))+MAX(S557-INDEX(Inputs!$B$21:$D$21,1,MATCH(A557,Inputs!$B$6:$D$6,0)),0)*INDEX(Inputs!$B$24:$D$24,1,MATCH(A557,Inputs!$B$6:$D$6,0))</x:f>
        <x:v>9759.357</x:v>
      </x:c>
      <x:c r="U557" s="20" t="n">
        <x:f>IF(AND(A556=A557,D556=D557),T556,0)</x:f>
        <x:v>7814.4925</x:v>
      </x:c>
      <x:c r="V557" s="20" t="n">
        <x:f>T557-U557</x:f>
        <x:v>1944.8644999999997</x:v>
      </x:c>
      <x:c r="W557" s="20" t="n">
        <x:f>R557+V557</x:f>
        <x:v>33469.864499999996</x:v>
      </x:c>
      <x:c r="X557" s="14" t="str">
        <x:f>IF(ABS(W557-SUM(M557:Q557)-V557)&lt;0.01,"OK","Check")</x:f>
        <x:v>OK</x:v>
      </x:c>
    </x:row>
    <x:row r="558">
      <x:c r="A558" s="14" t="n">
        <x:v>2027</x:v>
      </x:c>
      <x:c r="B558" s="14" t="str">
        <x:v>Q1</x:v>
      </x:c>
      <x:c r="C558" s="14" t="n">
        <x:v>1</x:v>
      </x:c>
      <x:c r="D558" s="14" t="n">
        <x:v>36</x:v>
      </x:c>
      <x:c r="E558" s="14" t="str">
        <x:f>INDEX(Roster!$B$6:$B$108,MATCH(D558,Roster!$A$6:$A$108,0))</x:f>
      </x:c>
      <x:c r="F558" s="14" t="str">
        <x:f>INDEX(Roster!$F$6:$F$108,MATCH(D558,Roster!$A$6:$A$108,0))</x:f>
        <x:v>No</x:v>
      </x:c>
      <x:c r="G558" s="14" t="n">
        <x:f>INDEX(Inputs!$B$7:$D$7,1,MATCH(A558,Inputs!$B$6:$D$6,0))</x:f>
        <x:v>13</x:v>
      </x:c>
      <x:c r="H558" s="14" t="n">
        <x:f>MIN(=INDEX(Inputs!$B$7:$D$7,1,MATCH(A558,Inputs!$B$6:$D$6,0)),MAX(0,INDEX(Inputs!$B$14:$D$14,1,MATCH(A558,Inputs!$B$6:$D$6,0))-(C558-1)*=INDEX(Inputs!$B$7:$D$7,1,MATCH(A558,Inputs!$B$6:$D$6,0))))</x:f>
        <x:v>13</x:v>
      </x:c>
      <x:c r="I558" s="20" t="n">
        <x:f>INDEX(Inputs!$B$8:$D$8,1,MATCH(A558,Inputs!$B$6:$D$6,0))</x:f>
        <x:v>2395</x:v>
      </x:c>
      <x:c r="J558" s="20" t="n">
        <x:f>INDEX(Roster!$C$6:$C$108,MATCH(D558,Roster!$A$6:$A$108,0))*(1+INDEX(Inputs!$B$9:$D$9,1,MATCH(A558,Inputs!$B$6:$D$6,0)))</x:f>
        <x:v>50</x:v>
      </x:c>
      <x:c r="K558" s="20" t="n">
        <x:f>IF(=INDEX(Roster!$F$6:$F$108,MATCH(D558,Roster!$A$6:$A$108,0))="Yes",0,=INDEX(Inputs!$B$8:$D$8,1,MATCH(A558,Inputs!$B$6:$D$6,0))*IF(=INDEX(Roster!$B$6:$B$108,MATCH(D558,Roster!$A$6:$A$108,0))="Principal",INDEX(Inputs!$B$10:$D$10,1,MATCH(A558,Inputs!$B$6:$D$6,0)),IF(=INDEX(Roster!$B$6:$B$108,MATCH(D558,Roster!$A$6:$A$108,0))="Associate Principal",INDEX(Inputs!$B$11:$D$11,1,MATCH(A558,Inputs!$B$6:$D$6,0)),IF(=INDEX(Roster!$B$6:$B$108,MATCH(D558,Roster!$A$6:$A$108,0))="Assistant Principal",INDEX(Inputs!$B$12:$D$12,1,MATCH(A558,Inputs!$B$6:$D$6,0)),0))))</x:f>
        <x:v>0</x:v>
      </x:c>
      <x:c r="L558" s="20" t="n">
        <x:f>IF(INDEX(Roster!$D$6:$D$108,MATCH(D558,Roster!$A$6:$A$108,0))&gt;=25,INDEX(Inputs!$B$19:$D$19,1,MATCH(A558,Inputs!$B$6:$D$6,0)),IF(INDEX(Roster!$D$6:$D$108,MATCH(D558,Roster!$A$6:$A$108,0))&gt;=20,INDEX(Inputs!$B$18:$D$18,1,MATCH(A558,Inputs!$B$6:$D$6,0)),IF(INDEX(Roster!$D$6:$D$108,MATCH(D558,Roster!$A$6:$A$108,0))&gt;=15,INDEX(Inputs!$B$17:$D$17,1,MATCH(A558,Inputs!$B$6:$D$6,0)),IF(INDEX(Roster!$D$6:$D$108,MATCH(D558,Roster!$A$6:$A$108,0))&gt;=10,INDEX(Inputs!$B$16:$D$16,1,MATCH(A558,Inputs!$B$6:$D$6,0)),IF(INDEX(Roster!$D$6:$D$108,MATCH(D558,Roster!$A$6:$A$108,0))&gt;=5,INDEX(Inputs!$B$15:$D$15,1,MATCH(A558,Inputs!$B$6:$D$6,0)),0)))))</x:f>
        <x:v>90</x:v>
      </x:c>
      <x:c r="M558" s="20" t="n">
        <x:f>G558*I558</x:f>
        <x:v>31135</x:v>
      </x:c>
      <x:c r="N558" s="20" t="n">
        <x:f>G558*J558</x:f>
        <x:v>650</x:v>
      </x:c>
      <x:c r="O558" s="20" t="n">
        <x:f>G558*K558</x:f>
        <x:v>0</x:v>
      </x:c>
      <x:c r="P558" s="20" t="n">
        <x:f>G558*L558</x:f>
        <x:v>1170</x:v>
      </x:c>
      <x:c r="Q558" s="20" t="n">
        <x:f>H558*INDEX(Inputs!$B$13:$D$13,1,MATCH(A558,Inputs!$B$6:$D$6,0))</x:f>
        <x:v>390</x:v>
      </x:c>
      <x:c r="R558" s="20" t="n">
        <x:f>SUM(M558:Q558)</x:f>
        <x:v>33345</x:v>
      </x:c>
      <x:c r="S558" s="20" t="n">
        <x:f>IF(AND(A557=A558,D557=D558),S557+R558,R558)</x:f>
        <x:v>33345</x:v>
      </x:c>
      <x:c r="T558" s="20" t="n">
        <x:f>MIN(S558,INDEX(Inputs!$B$20:$D$20,1,MATCH(A558,Inputs!$B$6:$D$6,0)))*INDEX(Inputs!$B$22:$D$22,1,MATCH(A558,Inputs!$B$6:$D$6,0))+MAX(MIN(S558,INDEX(Inputs!$B$21:$D$21,1,MATCH(A558,Inputs!$B$6:$D$6,0)))-INDEX(Inputs!$B$20:$D$20,1,MATCH(A558,Inputs!$B$6:$D$6,0)),0)*INDEX(Inputs!$B$23:$D$23,1,MATCH(A558,Inputs!$B$6:$D$6,0))+MAX(S558-INDEX(Inputs!$B$21:$D$21,1,MATCH(A558,Inputs!$B$6:$D$6,0)),0)*INDEX(Inputs!$B$24:$D$24,1,MATCH(A558,Inputs!$B$6:$D$6,0))</x:f>
        <x:v>3040.8925</x:v>
      </x:c>
      <x:c r="U558" s="20" t="n">
        <x:f>IF(AND(A557=A558,D557=D558),T557,0)</x:f>
        <x:v>0</x:v>
      </x:c>
      <x:c r="V558" s="20" t="n">
        <x:f>T558-U558</x:f>
        <x:v>3040.8925</x:v>
      </x:c>
      <x:c r="W558" s="20" t="n">
        <x:f>R558+V558</x:f>
        <x:v>36385.8925</x:v>
      </x:c>
      <x:c r="X558" s="14" t="str">
        <x:f>IF(ABS(W558-SUM(M558:Q558)-V558)&lt;0.01,"OK","Check")</x:f>
        <x:v>OK</x:v>
      </x:c>
    </x:row>
    <x:row r="559">
      <x:c r="A559" s="14" t="n">
        <x:v>2027</x:v>
      </x:c>
      <x:c r="B559" s="14" t="str">
        <x:v>Q2</x:v>
      </x:c>
      <x:c r="C559" s="14" t="n">
        <x:v>2</x:v>
      </x:c>
      <x:c r="D559" s="14" t="n">
        <x:v>36</x:v>
      </x:c>
      <x:c r="E559" s="14" t="str">
        <x:f>INDEX(Roster!$B$6:$B$108,MATCH(D559,Roster!$A$6:$A$108,0))</x:f>
      </x:c>
      <x:c r="F559" s="14" t="str">
        <x:f>INDEX(Roster!$F$6:$F$108,MATCH(D559,Roster!$A$6:$A$108,0))</x:f>
        <x:v>No</x:v>
      </x:c>
      <x:c r="G559" s="14" t="n">
        <x:f>INDEX(Inputs!$B$7:$D$7,1,MATCH(A559,Inputs!$B$6:$D$6,0))</x:f>
        <x:v>13</x:v>
      </x:c>
      <x:c r="H559" s="14" t="n">
        <x:f>MIN(=INDEX(Inputs!$B$7:$D$7,1,MATCH(A559,Inputs!$B$6:$D$6,0)),MAX(0,INDEX(Inputs!$B$14:$D$14,1,MATCH(A559,Inputs!$B$6:$D$6,0))-(C559-1)*=INDEX(Inputs!$B$7:$D$7,1,MATCH(A559,Inputs!$B$6:$D$6,0))))</x:f>
        <x:v>13</x:v>
      </x:c>
      <x:c r="I559" s="20" t="n">
        <x:f>INDEX(Inputs!$B$8:$D$8,1,MATCH(A559,Inputs!$B$6:$D$6,0))</x:f>
        <x:v>2395</x:v>
      </x:c>
      <x:c r="J559" s="20" t="n">
        <x:f>INDEX(Roster!$C$6:$C$108,MATCH(D559,Roster!$A$6:$A$108,0))*(1+INDEX(Inputs!$B$9:$D$9,1,MATCH(A559,Inputs!$B$6:$D$6,0)))</x:f>
        <x:v>50</x:v>
      </x:c>
      <x:c r="K559" s="20" t="n">
        <x:f>IF(=INDEX(Roster!$F$6:$F$108,MATCH(D559,Roster!$A$6:$A$108,0))="Yes",0,=INDEX(Inputs!$B$8:$D$8,1,MATCH(A559,Inputs!$B$6:$D$6,0))*IF(=INDEX(Roster!$B$6:$B$108,MATCH(D559,Roster!$A$6:$A$108,0))="Principal",INDEX(Inputs!$B$10:$D$10,1,MATCH(A559,Inputs!$B$6:$D$6,0)),IF(=INDEX(Roster!$B$6:$B$108,MATCH(D559,Roster!$A$6:$A$108,0))="Associate Principal",INDEX(Inputs!$B$11:$D$11,1,MATCH(A559,Inputs!$B$6:$D$6,0)),IF(=INDEX(Roster!$B$6:$B$108,MATCH(D559,Roster!$A$6:$A$108,0))="Assistant Principal",INDEX(Inputs!$B$12:$D$12,1,MATCH(A559,Inputs!$B$6:$D$6,0)),0))))</x:f>
        <x:v>0</x:v>
      </x:c>
      <x:c r="L559" s="20" t="n">
        <x:f>IF(INDEX(Roster!$D$6:$D$108,MATCH(D559,Roster!$A$6:$A$108,0))&gt;=25,INDEX(Inputs!$B$19:$D$19,1,MATCH(A559,Inputs!$B$6:$D$6,0)),IF(INDEX(Roster!$D$6:$D$108,MATCH(D559,Roster!$A$6:$A$108,0))&gt;=20,INDEX(Inputs!$B$18:$D$18,1,MATCH(A559,Inputs!$B$6:$D$6,0)),IF(INDEX(Roster!$D$6:$D$108,MATCH(D559,Roster!$A$6:$A$108,0))&gt;=15,INDEX(Inputs!$B$17:$D$17,1,MATCH(A559,Inputs!$B$6:$D$6,0)),IF(INDEX(Roster!$D$6:$D$108,MATCH(D559,Roster!$A$6:$A$108,0))&gt;=10,INDEX(Inputs!$B$16:$D$16,1,MATCH(A559,Inputs!$B$6:$D$6,0)),IF(INDEX(Roster!$D$6:$D$108,MATCH(D559,Roster!$A$6:$A$108,0))&gt;=5,INDEX(Inputs!$B$15:$D$15,1,MATCH(A559,Inputs!$B$6:$D$6,0)),0)))))</x:f>
        <x:v>90</x:v>
      </x:c>
      <x:c r="M559" s="20" t="n">
        <x:f>G559*I559</x:f>
        <x:v>31135</x:v>
      </x:c>
      <x:c r="N559" s="20" t="n">
        <x:f>G559*J559</x:f>
        <x:v>650</x:v>
      </x:c>
      <x:c r="O559" s="20" t="n">
        <x:f>G559*K559</x:f>
        <x:v>0</x:v>
      </x:c>
      <x:c r="P559" s="20" t="n">
        <x:f>G559*L559</x:f>
        <x:v>1170</x:v>
      </x:c>
      <x:c r="Q559" s="20" t="n">
        <x:f>H559*INDEX(Inputs!$B$13:$D$13,1,MATCH(A559,Inputs!$B$6:$D$6,0))</x:f>
        <x:v>390</x:v>
      </x:c>
      <x:c r="R559" s="20" t="n">
        <x:f>SUM(M559:Q559)</x:f>
        <x:v>33345</x:v>
      </x:c>
      <x:c r="S559" s="20" t="n">
        <x:f>IF(AND(A558=A559,D558=D559),S558+R559,R559)</x:f>
        <x:v>66690</x:v>
      </x:c>
      <x:c r="T559" s="20" t="n">
        <x:f>MIN(S559,INDEX(Inputs!$B$20:$D$20,1,MATCH(A559,Inputs!$B$6:$D$6,0)))*INDEX(Inputs!$B$22:$D$22,1,MATCH(A559,Inputs!$B$6:$D$6,0))+MAX(MIN(S559,INDEX(Inputs!$B$21:$D$21,1,MATCH(A559,Inputs!$B$6:$D$6,0)))-INDEX(Inputs!$B$20:$D$20,1,MATCH(A559,Inputs!$B$6:$D$6,0)),0)*INDEX(Inputs!$B$23:$D$23,1,MATCH(A559,Inputs!$B$6:$D$6,0))+MAX(S559-INDEX(Inputs!$B$21:$D$21,1,MATCH(A559,Inputs!$B$6:$D$6,0)),0)*INDEX(Inputs!$B$24:$D$24,1,MATCH(A559,Inputs!$B$6:$D$6,0))</x:f>
        <x:v>5591.785</x:v>
      </x:c>
      <x:c r="U559" s="20" t="n">
        <x:f>IF(AND(A558=A559,D558=D559),T558,0)</x:f>
        <x:v>3040.8925</x:v>
      </x:c>
      <x:c r="V559" s="20" t="n">
        <x:f>T559-U559</x:f>
        <x:v>2550.8925</x:v>
      </x:c>
      <x:c r="W559" s="20" t="n">
        <x:f>R559+V559</x:f>
        <x:v>35895.8925</x:v>
      </x:c>
      <x:c r="X559" s="14" t="str">
        <x:f>IF(ABS(W559-SUM(M559:Q559)-V559)&lt;0.01,"OK","Check")</x:f>
        <x:v>OK</x:v>
      </x:c>
    </x:row>
    <x:row r="560">
      <x:c r="A560" s="14" t="n">
        <x:v>2027</x:v>
      </x:c>
      <x:c r="B560" s="14" t="str">
        <x:v>Q3</x:v>
      </x:c>
      <x:c r="C560" s="14" t="n">
        <x:v>3</x:v>
      </x:c>
      <x:c r="D560" s="14" t="n">
        <x:v>36</x:v>
      </x:c>
      <x:c r="E560" s="14" t="str">
        <x:f>INDEX(Roster!$B$6:$B$108,MATCH(D560,Roster!$A$6:$A$108,0))</x:f>
      </x:c>
      <x:c r="F560" s="14" t="str">
        <x:f>INDEX(Roster!$F$6:$F$108,MATCH(D560,Roster!$A$6:$A$108,0))</x:f>
        <x:v>No</x:v>
      </x:c>
      <x:c r="G560" s="14" t="n">
        <x:f>INDEX(Inputs!$B$7:$D$7,1,MATCH(A560,Inputs!$B$6:$D$6,0))</x:f>
        <x:v>13</x:v>
      </x:c>
      <x:c r="H560" s="14" t="n">
        <x:f>MIN(=INDEX(Inputs!$B$7:$D$7,1,MATCH(A560,Inputs!$B$6:$D$6,0)),MAX(0,INDEX(Inputs!$B$14:$D$14,1,MATCH(A560,Inputs!$B$6:$D$6,0))-(C560-1)*=INDEX(Inputs!$B$7:$D$7,1,MATCH(A560,Inputs!$B$6:$D$6,0))))</x:f>
        <x:v>13</x:v>
      </x:c>
      <x:c r="I560" s="20" t="n">
        <x:f>INDEX(Inputs!$B$8:$D$8,1,MATCH(A560,Inputs!$B$6:$D$6,0))</x:f>
        <x:v>2395</x:v>
      </x:c>
      <x:c r="J560" s="20" t="n">
        <x:f>INDEX(Roster!$C$6:$C$108,MATCH(D560,Roster!$A$6:$A$108,0))*(1+INDEX(Inputs!$B$9:$D$9,1,MATCH(A560,Inputs!$B$6:$D$6,0)))</x:f>
        <x:v>50</x:v>
      </x:c>
      <x:c r="K560" s="20" t="n">
        <x:f>IF(=INDEX(Roster!$F$6:$F$108,MATCH(D560,Roster!$A$6:$A$108,0))="Yes",0,=INDEX(Inputs!$B$8:$D$8,1,MATCH(A560,Inputs!$B$6:$D$6,0))*IF(=INDEX(Roster!$B$6:$B$108,MATCH(D560,Roster!$A$6:$A$108,0))="Principal",INDEX(Inputs!$B$10:$D$10,1,MATCH(A560,Inputs!$B$6:$D$6,0)),IF(=INDEX(Roster!$B$6:$B$108,MATCH(D560,Roster!$A$6:$A$108,0))="Associate Principal",INDEX(Inputs!$B$11:$D$11,1,MATCH(A560,Inputs!$B$6:$D$6,0)),IF(=INDEX(Roster!$B$6:$B$108,MATCH(D560,Roster!$A$6:$A$108,0))="Assistant Principal",INDEX(Inputs!$B$12:$D$12,1,MATCH(A560,Inputs!$B$6:$D$6,0)),0))))</x:f>
        <x:v>0</x:v>
      </x:c>
      <x:c r="L560" s="20" t="n">
        <x:f>IF(INDEX(Roster!$D$6:$D$108,MATCH(D560,Roster!$A$6:$A$108,0))&gt;=25,INDEX(Inputs!$B$19:$D$19,1,MATCH(A560,Inputs!$B$6:$D$6,0)),IF(INDEX(Roster!$D$6:$D$108,MATCH(D560,Roster!$A$6:$A$108,0))&gt;=20,INDEX(Inputs!$B$18:$D$18,1,MATCH(A560,Inputs!$B$6:$D$6,0)),IF(INDEX(Roster!$D$6:$D$108,MATCH(D560,Roster!$A$6:$A$108,0))&gt;=15,INDEX(Inputs!$B$17:$D$17,1,MATCH(A560,Inputs!$B$6:$D$6,0)),IF(INDEX(Roster!$D$6:$D$108,MATCH(D560,Roster!$A$6:$A$108,0))&gt;=10,INDEX(Inputs!$B$16:$D$16,1,MATCH(A560,Inputs!$B$6:$D$6,0)),IF(INDEX(Roster!$D$6:$D$108,MATCH(D560,Roster!$A$6:$A$108,0))&gt;=5,INDEX(Inputs!$B$15:$D$15,1,MATCH(A560,Inputs!$B$6:$D$6,0)),0)))))</x:f>
        <x:v>90</x:v>
      </x:c>
      <x:c r="M560" s="20" t="n">
        <x:f>G560*I560</x:f>
        <x:v>31135</x:v>
      </x:c>
      <x:c r="N560" s="20" t="n">
        <x:f>G560*J560</x:f>
        <x:v>650</x:v>
      </x:c>
      <x:c r="O560" s="20" t="n">
        <x:f>G560*K560</x:f>
        <x:v>0</x:v>
      </x:c>
      <x:c r="P560" s="20" t="n">
        <x:f>G560*L560</x:f>
        <x:v>1170</x:v>
      </x:c>
      <x:c r="Q560" s="20" t="n">
        <x:f>H560*INDEX(Inputs!$B$13:$D$13,1,MATCH(A560,Inputs!$B$6:$D$6,0))</x:f>
        <x:v>390</x:v>
      </x:c>
      <x:c r="R560" s="20" t="n">
        <x:f>SUM(M560:Q560)</x:f>
        <x:v>33345</x:v>
      </x:c>
      <x:c r="S560" s="20" t="n">
        <x:f>IF(AND(A559=A560,D559=D560),S559+R560,R560)</x:f>
        <x:v>100035</x:v>
      </x:c>
      <x:c r="T560" s="20" t="n">
        <x:f>MIN(S560,INDEX(Inputs!$B$20:$D$20,1,MATCH(A560,Inputs!$B$6:$D$6,0)))*INDEX(Inputs!$B$22:$D$22,1,MATCH(A560,Inputs!$B$6:$D$6,0))+MAX(MIN(S560,INDEX(Inputs!$B$21:$D$21,1,MATCH(A560,Inputs!$B$6:$D$6,0)))-INDEX(Inputs!$B$20:$D$20,1,MATCH(A560,Inputs!$B$6:$D$6,0)),0)*INDEX(Inputs!$B$23:$D$23,1,MATCH(A560,Inputs!$B$6:$D$6,0))+MAX(S560-INDEX(Inputs!$B$21:$D$21,1,MATCH(A560,Inputs!$B$6:$D$6,0)),0)*INDEX(Inputs!$B$24:$D$24,1,MATCH(A560,Inputs!$B$6:$D$6,0))</x:f>
        <x:v>8142.6775</x:v>
      </x:c>
      <x:c r="U560" s="20" t="n">
        <x:f>IF(AND(A559=A560,D559=D560),T559,0)</x:f>
        <x:v>5591.785</x:v>
      </x:c>
      <x:c r="V560" s="20" t="n">
        <x:f>T560-U560</x:f>
        <x:v>2550.8925</x:v>
      </x:c>
      <x:c r="W560" s="20" t="n">
        <x:f>R560+V560</x:f>
        <x:v>35895.8925</x:v>
      </x:c>
      <x:c r="X560" s="14" t="str">
        <x:f>IF(ABS(W560-SUM(M560:Q560)-V560)&lt;0.01,"OK","Check")</x:f>
        <x:v>OK</x:v>
      </x:c>
    </x:row>
    <x:row r="561">
      <x:c r="A561" s="14" t="n">
        <x:v>2027</x:v>
      </x:c>
      <x:c r="B561" s="14" t="str">
        <x:v>Q4</x:v>
      </x:c>
      <x:c r="C561" s="14" t="n">
        <x:v>4</x:v>
      </x:c>
      <x:c r="D561" s="14" t="n">
        <x:v>36</x:v>
      </x:c>
      <x:c r="E561" s="14" t="str">
        <x:f>INDEX(Roster!$B$6:$B$108,MATCH(D561,Roster!$A$6:$A$108,0))</x:f>
      </x:c>
      <x:c r="F561" s="14" t="str">
        <x:f>INDEX(Roster!$F$6:$F$108,MATCH(D561,Roster!$A$6:$A$108,0))</x:f>
        <x:v>No</x:v>
      </x:c>
      <x:c r="G561" s="14" t="n">
        <x:f>INDEX(Inputs!$B$7:$D$7,1,MATCH(A561,Inputs!$B$6:$D$6,0))</x:f>
        <x:v>13</x:v>
      </x:c>
      <x:c r="H561" s="14" t="n">
        <x:f>MIN(=INDEX(Inputs!$B$7:$D$7,1,MATCH(A561,Inputs!$B$6:$D$6,0)),MAX(0,INDEX(Inputs!$B$14:$D$14,1,MATCH(A561,Inputs!$B$6:$D$6,0))-(C561-1)*=INDEX(Inputs!$B$7:$D$7,1,MATCH(A561,Inputs!$B$6:$D$6,0))))</x:f>
        <x:v>0</x:v>
      </x:c>
      <x:c r="I561" s="20" t="n">
        <x:f>INDEX(Inputs!$B$8:$D$8,1,MATCH(A561,Inputs!$B$6:$D$6,0))</x:f>
        <x:v>2395</x:v>
      </x:c>
      <x:c r="J561" s="20" t="n">
        <x:f>INDEX(Roster!$C$6:$C$108,MATCH(D561,Roster!$A$6:$A$108,0))*(1+INDEX(Inputs!$B$9:$D$9,1,MATCH(A561,Inputs!$B$6:$D$6,0)))</x:f>
        <x:v>50</x:v>
      </x:c>
      <x:c r="K561" s="20" t="n">
        <x:f>IF(=INDEX(Roster!$F$6:$F$108,MATCH(D561,Roster!$A$6:$A$108,0))="Yes",0,=INDEX(Inputs!$B$8:$D$8,1,MATCH(A561,Inputs!$B$6:$D$6,0))*IF(=INDEX(Roster!$B$6:$B$108,MATCH(D561,Roster!$A$6:$A$108,0))="Principal",INDEX(Inputs!$B$10:$D$10,1,MATCH(A561,Inputs!$B$6:$D$6,0)),IF(=INDEX(Roster!$B$6:$B$108,MATCH(D561,Roster!$A$6:$A$108,0))="Associate Principal",INDEX(Inputs!$B$11:$D$11,1,MATCH(A561,Inputs!$B$6:$D$6,0)),IF(=INDEX(Roster!$B$6:$B$108,MATCH(D561,Roster!$A$6:$A$108,0))="Assistant Principal",INDEX(Inputs!$B$12:$D$12,1,MATCH(A561,Inputs!$B$6:$D$6,0)),0))))</x:f>
        <x:v>0</x:v>
      </x:c>
      <x:c r="L561" s="20" t="n">
        <x:f>IF(INDEX(Roster!$D$6:$D$108,MATCH(D561,Roster!$A$6:$A$108,0))&gt;=25,INDEX(Inputs!$B$19:$D$19,1,MATCH(A561,Inputs!$B$6:$D$6,0)),IF(INDEX(Roster!$D$6:$D$108,MATCH(D561,Roster!$A$6:$A$108,0))&gt;=20,INDEX(Inputs!$B$18:$D$18,1,MATCH(A561,Inputs!$B$6:$D$6,0)),IF(INDEX(Roster!$D$6:$D$108,MATCH(D561,Roster!$A$6:$A$108,0))&gt;=15,INDEX(Inputs!$B$17:$D$17,1,MATCH(A561,Inputs!$B$6:$D$6,0)),IF(INDEX(Roster!$D$6:$D$108,MATCH(D561,Roster!$A$6:$A$108,0))&gt;=10,INDEX(Inputs!$B$16:$D$16,1,MATCH(A561,Inputs!$B$6:$D$6,0)),IF(INDEX(Roster!$D$6:$D$108,MATCH(D561,Roster!$A$6:$A$108,0))&gt;=5,INDEX(Inputs!$B$15:$D$15,1,MATCH(A561,Inputs!$B$6:$D$6,0)),0)))))</x:f>
        <x:v>90</x:v>
      </x:c>
      <x:c r="M561" s="20" t="n">
        <x:f>G561*I561</x:f>
        <x:v>31135</x:v>
      </x:c>
      <x:c r="N561" s="20" t="n">
        <x:f>G561*J561</x:f>
        <x:v>650</x:v>
      </x:c>
      <x:c r="O561" s="20" t="n">
        <x:f>G561*K561</x:f>
        <x:v>0</x:v>
      </x:c>
      <x:c r="P561" s="20" t="n">
        <x:f>G561*L561</x:f>
        <x:v>1170</x:v>
      </x:c>
      <x:c r="Q561" s="20" t="n">
        <x:f>H561*INDEX(Inputs!$B$13:$D$13,1,MATCH(A561,Inputs!$B$6:$D$6,0))</x:f>
        <x:v>0</x:v>
      </x:c>
      <x:c r="R561" s="20" t="n">
        <x:f>SUM(M561:Q561)</x:f>
        <x:v>32955</x:v>
      </x:c>
      <x:c r="S561" s="20" t="n">
        <x:f>IF(AND(A560=A561,D560=D561),S560+R561,R561)</x:f>
        <x:v>132990</x:v>
      </x:c>
      <x:c r="T561" s="20" t="n">
        <x:f>MIN(S561,INDEX(Inputs!$B$20:$D$20,1,MATCH(A561,Inputs!$B$6:$D$6,0)))*INDEX(Inputs!$B$22:$D$22,1,MATCH(A561,Inputs!$B$6:$D$6,0))+MAX(MIN(S561,INDEX(Inputs!$B$21:$D$21,1,MATCH(A561,Inputs!$B$6:$D$6,0)))-INDEX(Inputs!$B$20:$D$20,1,MATCH(A561,Inputs!$B$6:$D$6,0)),0)*INDEX(Inputs!$B$23:$D$23,1,MATCH(A561,Inputs!$B$6:$D$6,0))+MAX(S561-INDEX(Inputs!$B$21:$D$21,1,MATCH(A561,Inputs!$B$6:$D$6,0)),0)*INDEX(Inputs!$B$24:$D$24,1,MATCH(A561,Inputs!$B$6:$D$6,0))</x:f>
        <x:v>9842.297</x:v>
      </x:c>
      <x:c r="U561" s="20" t="n">
        <x:f>IF(AND(A560=A561,D560=D561),T560,0)</x:f>
        <x:v>8142.6775</x:v>
      </x:c>
      <x:c r="V561" s="20" t="n">
        <x:f>T561-U561</x:f>
        <x:v>1699.6195000000007</x:v>
      </x:c>
      <x:c r="W561" s="20" t="n">
        <x:f>R561+V561</x:f>
        <x:v>34654.6195</x:v>
      </x:c>
      <x:c r="X561" s="14" t="str">
        <x:f>IF(ABS(W561-SUM(M561:Q561)-V561)&lt;0.01,"OK","Check")</x:f>
        <x:v>OK</x:v>
      </x:c>
    </x:row>
    <x:row r="562">
      <x:c r="A562" s="14" t="n">
        <x:v>2027</x:v>
      </x:c>
      <x:c r="B562" s="14" t="str">
        <x:v>Q1</x:v>
      </x:c>
      <x:c r="C562" s="14" t="n">
        <x:v>1</x:v>
      </x:c>
      <x:c r="D562" s="14" t="n">
        <x:v>37</x:v>
      </x:c>
      <x:c r="E562" s="14" t="str">
        <x:f>INDEX(Roster!$B$6:$B$108,MATCH(D562,Roster!$A$6:$A$108,0))</x:f>
      </x:c>
      <x:c r="F562" s="14" t="str">
        <x:f>INDEX(Roster!$F$6:$F$108,MATCH(D562,Roster!$A$6:$A$108,0))</x:f>
        <x:v>No</x:v>
      </x:c>
      <x:c r="G562" s="14" t="n">
        <x:f>INDEX(Inputs!$B$7:$D$7,1,MATCH(A562,Inputs!$B$6:$D$6,0))</x:f>
        <x:v>13</x:v>
      </x:c>
      <x:c r="H562" s="14" t="n">
        <x:f>MIN(=INDEX(Inputs!$B$7:$D$7,1,MATCH(A562,Inputs!$B$6:$D$6,0)),MAX(0,INDEX(Inputs!$B$14:$D$14,1,MATCH(A562,Inputs!$B$6:$D$6,0))-(C562-1)*=INDEX(Inputs!$B$7:$D$7,1,MATCH(A562,Inputs!$B$6:$D$6,0))))</x:f>
        <x:v>13</x:v>
      </x:c>
      <x:c r="I562" s="20" t="n">
        <x:f>INDEX(Inputs!$B$8:$D$8,1,MATCH(A562,Inputs!$B$6:$D$6,0))</x:f>
        <x:v>2395</x:v>
      </x:c>
      <x:c r="J562" s="20" t="n">
        <x:f>INDEX(Roster!$C$6:$C$108,MATCH(D562,Roster!$A$6:$A$108,0))*(1+INDEX(Inputs!$B$9:$D$9,1,MATCH(A562,Inputs!$B$6:$D$6,0)))</x:f>
        <x:v>300</x:v>
      </x:c>
      <x:c r="K562" s="20" t="n">
        <x:f>IF(=INDEX(Roster!$F$6:$F$108,MATCH(D562,Roster!$A$6:$A$108,0))="Yes",0,=INDEX(Inputs!$B$8:$D$8,1,MATCH(A562,Inputs!$B$6:$D$6,0))*IF(=INDEX(Roster!$B$6:$B$108,MATCH(D562,Roster!$A$6:$A$108,0))="Principal",INDEX(Inputs!$B$10:$D$10,1,MATCH(A562,Inputs!$B$6:$D$6,0)),IF(=INDEX(Roster!$B$6:$B$108,MATCH(D562,Roster!$A$6:$A$108,0))="Associate Principal",INDEX(Inputs!$B$11:$D$11,1,MATCH(A562,Inputs!$B$6:$D$6,0)),IF(=INDEX(Roster!$B$6:$B$108,MATCH(D562,Roster!$A$6:$A$108,0))="Assistant Principal",INDEX(Inputs!$B$12:$D$12,1,MATCH(A562,Inputs!$B$6:$D$6,0)),0))))</x:f>
        <x:v>0</x:v>
      </x:c>
      <x:c r="L562" s="20" t="n">
        <x:f>IF(INDEX(Roster!$D$6:$D$108,MATCH(D562,Roster!$A$6:$A$108,0))&gt;=25,INDEX(Inputs!$B$19:$D$19,1,MATCH(A562,Inputs!$B$6:$D$6,0)),IF(INDEX(Roster!$D$6:$D$108,MATCH(D562,Roster!$A$6:$A$108,0))&gt;=20,INDEX(Inputs!$B$18:$D$18,1,MATCH(A562,Inputs!$B$6:$D$6,0)),IF(INDEX(Roster!$D$6:$D$108,MATCH(D562,Roster!$A$6:$A$108,0))&gt;=15,INDEX(Inputs!$B$17:$D$17,1,MATCH(A562,Inputs!$B$6:$D$6,0)),IF(INDEX(Roster!$D$6:$D$108,MATCH(D562,Roster!$A$6:$A$108,0))&gt;=10,INDEX(Inputs!$B$16:$D$16,1,MATCH(A562,Inputs!$B$6:$D$6,0)),IF(INDEX(Roster!$D$6:$D$108,MATCH(D562,Roster!$A$6:$A$108,0))&gt;=5,INDEX(Inputs!$B$15:$D$15,1,MATCH(A562,Inputs!$B$6:$D$6,0)),0)))))</x:f>
        <x:v>90</x:v>
      </x:c>
      <x:c r="M562" s="20" t="n">
        <x:f>G562*I562</x:f>
        <x:v>31135</x:v>
      </x:c>
      <x:c r="N562" s="20" t="n">
        <x:f>G562*J562</x:f>
        <x:v>3900</x:v>
      </x:c>
      <x:c r="O562" s="20" t="n">
        <x:f>G562*K562</x:f>
        <x:v>0</x:v>
      </x:c>
      <x:c r="P562" s="20" t="n">
        <x:f>G562*L562</x:f>
        <x:v>1170</x:v>
      </x:c>
      <x:c r="Q562" s="20" t="n">
        <x:f>H562*INDEX(Inputs!$B$13:$D$13,1,MATCH(A562,Inputs!$B$6:$D$6,0))</x:f>
        <x:v>390</x:v>
      </x:c>
      <x:c r="R562" s="20" t="n">
        <x:f>SUM(M562:Q562)</x:f>
        <x:v>36595</x:v>
      </x:c>
      <x:c r="S562" s="20" t="n">
        <x:f>IF(AND(A561=A562,D561=D562),S561+R562,R562)</x:f>
        <x:v>36595</x:v>
      </x:c>
      <x:c r="T562" s="20" t="n">
        <x:f>MIN(S562,INDEX(Inputs!$B$20:$D$20,1,MATCH(A562,Inputs!$B$6:$D$6,0)))*INDEX(Inputs!$B$22:$D$22,1,MATCH(A562,Inputs!$B$6:$D$6,0))+MAX(MIN(S562,INDEX(Inputs!$B$21:$D$21,1,MATCH(A562,Inputs!$B$6:$D$6,0)))-INDEX(Inputs!$B$20:$D$20,1,MATCH(A562,Inputs!$B$6:$D$6,0)),0)*INDEX(Inputs!$B$23:$D$23,1,MATCH(A562,Inputs!$B$6:$D$6,0))+MAX(S562-INDEX(Inputs!$B$21:$D$21,1,MATCH(A562,Inputs!$B$6:$D$6,0)),0)*INDEX(Inputs!$B$24:$D$24,1,MATCH(A562,Inputs!$B$6:$D$6,0))</x:f>
        <x:v>3289.5175</x:v>
      </x:c>
      <x:c r="U562" s="20" t="n">
        <x:f>IF(AND(A561=A562,D561=D562),T561,0)</x:f>
        <x:v>0</x:v>
      </x:c>
      <x:c r="V562" s="20" t="n">
        <x:f>T562-U562</x:f>
        <x:v>3289.5175</x:v>
      </x:c>
      <x:c r="W562" s="20" t="n">
        <x:f>R562+V562</x:f>
        <x:v>39884.5175</x:v>
      </x:c>
      <x:c r="X562" s="14" t="str">
        <x:f>IF(ABS(W562-SUM(M562:Q562)-V562)&lt;0.01,"OK","Check")</x:f>
        <x:v>OK</x:v>
      </x:c>
    </x:row>
    <x:row r="563">
      <x:c r="A563" s="14" t="n">
        <x:v>2027</x:v>
      </x:c>
      <x:c r="B563" s="14" t="str">
        <x:v>Q2</x:v>
      </x:c>
      <x:c r="C563" s="14" t="n">
        <x:v>2</x:v>
      </x:c>
      <x:c r="D563" s="14" t="n">
        <x:v>37</x:v>
      </x:c>
      <x:c r="E563" s="14" t="str">
        <x:f>INDEX(Roster!$B$6:$B$108,MATCH(D563,Roster!$A$6:$A$108,0))</x:f>
      </x:c>
      <x:c r="F563" s="14" t="str">
        <x:f>INDEX(Roster!$F$6:$F$108,MATCH(D563,Roster!$A$6:$A$108,0))</x:f>
        <x:v>No</x:v>
      </x:c>
      <x:c r="G563" s="14" t="n">
        <x:f>INDEX(Inputs!$B$7:$D$7,1,MATCH(A563,Inputs!$B$6:$D$6,0))</x:f>
        <x:v>13</x:v>
      </x:c>
      <x:c r="H563" s="14" t="n">
        <x:f>MIN(=INDEX(Inputs!$B$7:$D$7,1,MATCH(A563,Inputs!$B$6:$D$6,0)),MAX(0,INDEX(Inputs!$B$14:$D$14,1,MATCH(A563,Inputs!$B$6:$D$6,0))-(C563-1)*=INDEX(Inputs!$B$7:$D$7,1,MATCH(A563,Inputs!$B$6:$D$6,0))))</x:f>
        <x:v>13</x:v>
      </x:c>
      <x:c r="I563" s="20" t="n">
        <x:f>INDEX(Inputs!$B$8:$D$8,1,MATCH(A563,Inputs!$B$6:$D$6,0))</x:f>
        <x:v>2395</x:v>
      </x:c>
      <x:c r="J563" s="20" t="n">
        <x:f>INDEX(Roster!$C$6:$C$108,MATCH(D563,Roster!$A$6:$A$108,0))*(1+INDEX(Inputs!$B$9:$D$9,1,MATCH(A563,Inputs!$B$6:$D$6,0)))</x:f>
        <x:v>300</x:v>
      </x:c>
      <x:c r="K563" s="20" t="n">
        <x:f>IF(=INDEX(Roster!$F$6:$F$108,MATCH(D563,Roster!$A$6:$A$108,0))="Yes",0,=INDEX(Inputs!$B$8:$D$8,1,MATCH(A563,Inputs!$B$6:$D$6,0))*IF(=INDEX(Roster!$B$6:$B$108,MATCH(D563,Roster!$A$6:$A$108,0))="Principal",INDEX(Inputs!$B$10:$D$10,1,MATCH(A563,Inputs!$B$6:$D$6,0)),IF(=INDEX(Roster!$B$6:$B$108,MATCH(D563,Roster!$A$6:$A$108,0))="Associate Principal",INDEX(Inputs!$B$11:$D$11,1,MATCH(A563,Inputs!$B$6:$D$6,0)),IF(=INDEX(Roster!$B$6:$B$108,MATCH(D563,Roster!$A$6:$A$108,0))="Assistant Principal",INDEX(Inputs!$B$12:$D$12,1,MATCH(A563,Inputs!$B$6:$D$6,0)),0))))</x:f>
        <x:v>0</x:v>
      </x:c>
      <x:c r="L563" s="20" t="n">
        <x:f>IF(INDEX(Roster!$D$6:$D$108,MATCH(D563,Roster!$A$6:$A$108,0))&gt;=25,INDEX(Inputs!$B$19:$D$19,1,MATCH(A563,Inputs!$B$6:$D$6,0)),IF(INDEX(Roster!$D$6:$D$108,MATCH(D563,Roster!$A$6:$A$108,0))&gt;=20,INDEX(Inputs!$B$18:$D$18,1,MATCH(A563,Inputs!$B$6:$D$6,0)),IF(INDEX(Roster!$D$6:$D$108,MATCH(D563,Roster!$A$6:$A$108,0))&gt;=15,INDEX(Inputs!$B$17:$D$17,1,MATCH(A563,Inputs!$B$6:$D$6,0)),IF(INDEX(Roster!$D$6:$D$108,MATCH(D563,Roster!$A$6:$A$108,0))&gt;=10,INDEX(Inputs!$B$16:$D$16,1,MATCH(A563,Inputs!$B$6:$D$6,0)),IF(INDEX(Roster!$D$6:$D$108,MATCH(D563,Roster!$A$6:$A$108,0))&gt;=5,INDEX(Inputs!$B$15:$D$15,1,MATCH(A563,Inputs!$B$6:$D$6,0)),0)))))</x:f>
        <x:v>90</x:v>
      </x:c>
      <x:c r="M563" s="20" t="n">
        <x:f>G563*I563</x:f>
        <x:v>31135</x:v>
      </x:c>
      <x:c r="N563" s="20" t="n">
        <x:f>G563*J563</x:f>
        <x:v>3900</x:v>
      </x:c>
      <x:c r="O563" s="20" t="n">
        <x:f>G563*K563</x:f>
        <x:v>0</x:v>
      </x:c>
      <x:c r="P563" s="20" t="n">
        <x:f>G563*L563</x:f>
        <x:v>1170</x:v>
      </x:c>
      <x:c r="Q563" s="20" t="n">
        <x:f>H563*INDEX(Inputs!$B$13:$D$13,1,MATCH(A563,Inputs!$B$6:$D$6,0))</x:f>
        <x:v>390</x:v>
      </x:c>
      <x:c r="R563" s="20" t="n">
        <x:f>SUM(M563:Q563)</x:f>
        <x:v>36595</x:v>
      </x:c>
      <x:c r="S563" s="20" t="n">
        <x:f>IF(AND(A562=A563,D562=D563),S562+R563,R563)</x:f>
        <x:v>73190</x:v>
      </x:c>
      <x:c r="T563" s="20" t="n">
        <x:f>MIN(S563,INDEX(Inputs!$B$20:$D$20,1,MATCH(A563,Inputs!$B$6:$D$6,0)))*INDEX(Inputs!$B$22:$D$22,1,MATCH(A563,Inputs!$B$6:$D$6,0))+MAX(MIN(S563,INDEX(Inputs!$B$21:$D$21,1,MATCH(A563,Inputs!$B$6:$D$6,0)))-INDEX(Inputs!$B$20:$D$20,1,MATCH(A563,Inputs!$B$6:$D$6,0)),0)*INDEX(Inputs!$B$23:$D$23,1,MATCH(A563,Inputs!$B$6:$D$6,0))+MAX(S563-INDEX(Inputs!$B$21:$D$21,1,MATCH(A563,Inputs!$B$6:$D$6,0)),0)*INDEX(Inputs!$B$24:$D$24,1,MATCH(A563,Inputs!$B$6:$D$6,0))</x:f>
        <x:v>6089.035</x:v>
      </x:c>
      <x:c r="U563" s="20" t="n">
        <x:f>IF(AND(A562=A563,D562=D563),T562,0)</x:f>
        <x:v>3289.5175</x:v>
      </x:c>
      <x:c r="V563" s="20" t="n">
        <x:f>T563-U563</x:f>
        <x:v>2799.5175</x:v>
      </x:c>
      <x:c r="W563" s="20" t="n">
        <x:f>R563+V563</x:f>
        <x:v>39394.5175</x:v>
      </x:c>
      <x:c r="X563" s="14" t="str">
        <x:f>IF(ABS(W563-SUM(M563:Q563)-V563)&lt;0.01,"OK","Check")</x:f>
        <x:v>OK</x:v>
      </x:c>
    </x:row>
    <x:row r="564">
      <x:c r="A564" s="14" t="n">
        <x:v>2027</x:v>
      </x:c>
      <x:c r="B564" s="14" t="str">
        <x:v>Q3</x:v>
      </x:c>
      <x:c r="C564" s="14" t="n">
        <x:v>3</x:v>
      </x:c>
      <x:c r="D564" s="14" t="n">
        <x:v>37</x:v>
      </x:c>
      <x:c r="E564" s="14" t="str">
        <x:f>INDEX(Roster!$B$6:$B$108,MATCH(D564,Roster!$A$6:$A$108,0))</x:f>
      </x:c>
      <x:c r="F564" s="14" t="str">
        <x:f>INDEX(Roster!$F$6:$F$108,MATCH(D564,Roster!$A$6:$A$108,0))</x:f>
        <x:v>No</x:v>
      </x:c>
      <x:c r="G564" s="14" t="n">
        <x:f>INDEX(Inputs!$B$7:$D$7,1,MATCH(A564,Inputs!$B$6:$D$6,0))</x:f>
        <x:v>13</x:v>
      </x:c>
      <x:c r="H564" s="14" t="n">
        <x:f>MIN(=INDEX(Inputs!$B$7:$D$7,1,MATCH(A564,Inputs!$B$6:$D$6,0)),MAX(0,INDEX(Inputs!$B$14:$D$14,1,MATCH(A564,Inputs!$B$6:$D$6,0))-(C564-1)*=INDEX(Inputs!$B$7:$D$7,1,MATCH(A564,Inputs!$B$6:$D$6,0))))</x:f>
        <x:v>13</x:v>
      </x:c>
      <x:c r="I564" s="20" t="n">
        <x:f>INDEX(Inputs!$B$8:$D$8,1,MATCH(A564,Inputs!$B$6:$D$6,0))</x:f>
        <x:v>2395</x:v>
      </x:c>
      <x:c r="J564" s="20" t="n">
        <x:f>INDEX(Roster!$C$6:$C$108,MATCH(D564,Roster!$A$6:$A$108,0))*(1+INDEX(Inputs!$B$9:$D$9,1,MATCH(A564,Inputs!$B$6:$D$6,0)))</x:f>
        <x:v>300</x:v>
      </x:c>
      <x:c r="K564" s="20" t="n">
        <x:f>IF(=INDEX(Roster!$F$6:$F$108,MATCH(D564,Roster!$A$6:$A$108,0))="Yes",0,=INDEX(Inputs!$B$8:$D$8,1,MATCH(A564,Inputs!$B$6:$D$6,0))*IF(=INDEX(Roster!$B$6:$B$108,MATCH(D564,Roster!$A$6:$A$108,0))="Principal",INDEX(Inputs!$B$10:$D$10,1,MATCH(A564,Inputs!$B$6:$D$6,0)),IF(=INDEX(Roster!$B$6:$B$108,MATCH(D564,Roster!$A$6:$A$108,0))="Associate Principal",INDEX(Inputs!$B$11:$D$11,1,MATCH(A564,Inputs!$B$6:$D$6,0)),IF(=INDEX(Roster!$B$6:$B$108,MATCH(D564,Roster!$A$6:$A$108,0))="Assistant Principal",INDEX(Inputs!$B$12:$D$12,1,MATCH(A564,Inputs!$B$6:$D$6,0)),0))))</x:f>
        <x:v>0</x:v>
      </x:c>
      <x:c r="L564" s="20" t="n">
        <x:f>IF(INDEX(Roster!$D$6:$D$108,MATCH(D564,Roster!$A$6:$A$108,0))&gt;=25,INDEX(Inputs!$B$19:$D$19,1,MATCH(A564,Inputs!$B$6:$D$6,0)),IF(INDEX(Roster!$D$6:$D$108,MATCH(D564,Roster!$A$6:$A$108,0))&gt;=20,INDEX(Inputs!$B$18:$D$18,1,MATCH(A564,Inputs!$B$6:$D$6,0)),IF(INDEX(Roster!$D$6:$D$108,MATCH(D564,Roster!$A$6:$A$108,0))&gt;=15,INDEX(Inputs!$B$17:$D$17,1,MATCH(A564,Inputs!$B$6:$D$6,0)),IF(INDEX(Roster!$D$6:$D$108,MATCH(D564,Roster!$A$6:$A$108,0))&gt;=10,INDEX(Inputs!$B$16:$D$16,1,MATCH(A564,Inputs!$B$6:$D$6,0)),IF(INDEX(Roster!$D$6:$D$108,MATCH(D564,Roster!$A$6:$A$108,0))&gt;=5,INDEX(Inputs!$B$15:$D$15,1,MATCH(A564,Inputs!$B$6:$D$6,0)),0)))))</x:f>
        <x:v>90</x:v>
      </x:c>
      <x:c r="M564" s="20" t="n">
        <x:f>G564*I564</x:f>
        <x:v>31135</x:v>
      </x:c>
      <x:c r="N564" s="20" t="n">
        <x:f>G564*J564</x:f>
        <x:v>3900</x:v>
      </x:c>
      <x:c r="O564" s="20" t="n">
        <x:f>G564*K564</x:f>
        <x:v>0</x:v>
      </x:c>
      <x:c r="P564" s="20" t="n">
        <x:f>G564*L564</x:f>
        <x:v>1170</x:v>
      </x:c>
      <x:c r="Q564" s="20" t="n">
        <x:f>H564*INDEX(Inputs!$B$13:$D$13,1,MATCH(A564,Inputs!$B$6:$D$6,0))</x:f>
        <x:v>390</x:v>
      </x:c>
      <x:c r="R564" s="20" t="n">
        <x:f>SUM(M564:Q564)</x:f>
        <x:v>36595</x:v>
      </x:c>
      <x:c r="S564" s="20" t="n">
        <x:f>IF(AND(A563=A564,D563=D564),S563+R564,R564)</x:f>
        <x:v>109785</x:v>
      </x:c>
      <x:c r="T564" s="20" t="n">
        <x:f>MIN(S564,INDEX(Inputs!$B$20:$D$20,1,MATCH(A564,Inputs!$B$6:$D$6,0)))*INDEX(Inputs!$B$22:$D$22,1,MATCH(A564,Inputs!$B$6:$D$6,0))+MAX(MIN(S564,INDEX(Inputs!$B$21:$D$21,1,MATCH(A564,Inputs!$B$6:$D$6,0)))-INDEX(Inputs!$B$20:$D$20,1,MATCH(A564,Inputs!$B$6:$D$6,0)),0)*INDEX(Inputs!$B$23:$D$23,1,MATCH(A564,Inputs!$B$6:$D$6,0))+MAX(S564-INDEX(Inputs!$B$21:$D$21,1,MATCH(A564,Inputs!$B$6:$D$6,0)),0)*INDEX(Inputs!$B$24:$D$24,1,MATCH(A564,Inputs!$B$6:$D$6,0))</x:f>
        <x:v>8888.5525</x:v>
      </x:c>
      <x:c r="U564" s="20" t="n">
        <x:f>IF(AND(A563=A564,D563=D564),T563,0)</x:f>
        <x:v>6089.035</x:v>
      </x:c>
      <x:c r="V564" s="20" t="n">
        <x:f>T564-U564</x:f>
        <x:v>2799.5175</x:v>
      </x:c>
      <x:c r="W564" s="20" t="n">
        <x:f>R564+V564</x:f>
        <x:v>39394.5175</x:v>
      </x:c>
      <x:c r="X564" s="14" t="str">
        <x:f>IF(ABS(W564-SUM(M564:Q564)-V564)&lt;0.01,"OK","Check")</x:f>
        <x:v>OK</x:v>
      </x:c>
    </x:row>
    <x:row r="565">
      <x:c r="A565" s="14" t="n">
        <x:v>2027</x:v>
      </x:c>
      <x:c r="B565" s="14" t="str">
        <x:v>Q4</x:v>
      </x:c>
      <x:c r="C565" s="14" t="n">
        <x:v>4</x:v>
      </x:c>
      <x:c r="D565" s="14" t="n">
        <x:v>37</x:v>
      </x:c>
      <x:c r="E565" s="14" t="str">
        <x:f>INDEX(Roster!$B$6:$B$108,MATCH(D565,Roster!$A$6:$A$108,0))</x:f>
      </x:c>
      <x:c r="F565" s="14" t="str">
        <x:f>INDEX(Roster!$F$6:$F$108,MATCH(D565,Roster!$A$6:$A$108,0))</x:f>
        <x:v>No</x:v>
      </x:c>
      <x:c r="G565" s="14" t="n">
        <x:f>INDEX(Inputs!$B$7:$D$7,1,MATCH(A565,Inputs!$B$6:$D$6,0))</x:f>
        <x:v>13</x:v>
      </x:c>
      <x:c r="H565" s="14" t="n">
        <x:f>MIN(=INDEX(Inputs!$B$7:$D$7,1,MATCH(A565,Inputs!$B$6:$D$6,0)),MAX(0,INDEX(Inputs!$B$14:$D$14,1,MATCH(A565,Inputs!$B$6:$D$6,0))-(C565-1)*=INDEX(Inputs!$B$7:$D$7,1,MATCH(A565,Inputs!$B$6:$D$6,0))))</x:f>
        <x:v>0</x:v>
      </x:c>
      <x:c r="I565" s="20" t="n">
        <x:f>INDEX(Inputs!$B$8:$D$8,1,MATCH(A565,Inputs!$B$6:$D$6,0))</x:f>
        <x:v>2395</x:v>
      </x:c>
      <x:c r="J565" s="20" t="n">
        <x:f>INDEX(Roster!$C$6:$C$108,MATCH(D565,Roster!$A$6:$A$108,0))*(1+INDEX(Inputs!$B$9:$D$9,1,MATCH(A565,Inputs!$B$6:$D$6,0)))</x:f>
        <x:v>300</x:v>
      </x:c>
      <x:c r="K565" s="20" t="n">
        <x:f>IF(=INDEX(Roster!$F$6:$F$108,MATCH(D565,Roster!$A$6:$A$108,0))="Yes",0,=INDEX(Inputs!$B$8:$D$8,1,MATCH(A565,Inputs!$B$6:$D$6,0))*IF(=INDEX(Roster!$B$6:$B$108,MATCH(D565,Roster!$A$6:$A$108,0))="Principal",INDEX(Inputs!$B$10:$D$10,1,MATCH(A565,Inputs!$B$6:$D$6,0)),IF(=INDEX(Roster!$B$6:$B$108,MATCH(D565,Roster!$A$6:$A$108,0))="Associate Principal",INDEX(Inputs!$B$11:$D$11,1,MATCH(A565,Inputs!$B$6:$D$6,0)),IF(=INDEX(Roster!$B$6:$B$108,MATCH(D565,Roster!$A$6:$A$108,0))="Assistant Principal",INDEX(Inputs!$B$12:$D$12,1,MATCH(A565,Inputs!$B$6:$D$6,0)),0))))</x:f>
        <x:v>0</x:v>
      </x:c>
      <x:c r="L565" s="20" t="n">
        <x:f>IF(INDEX(Roster!$D$6:$D$108,MATCH(D565,Roster!$A$6:$A$108,0))&gt;=25,INDEX(Inputs!$B$19:$D$19,1,MATCH(A565,Inputs!$B$6:$D$6,0)),IF(INDEX(Roster!$D$6:$D$108,MATCH(D565,Roster!$A$6:$A$108,0))&gt;=20,INDEX(Inputs!$B$18:$D$18,1,MATCH(A565,Inputs!$B$6:$D$6,0)),IF(INDEX(Roster!$D$6:$D$108,MATCH(D565,Roster!$A$6:$A$108,0))&gt;=15,INDEX(Inputs!$B$17:$D$17,1,MATCH(A565,Inputs!$B$6:$D$6,0)),IF(INDEX(Roster!$D$6:$D$108,MATCH(D565,Roster!$A$6:$A$108,0))&gt;=10,INDEX(Inputs!$B$16:$D$16,1,MATCH(A565,Inputs!$B$6:$D$6,0)),IF(INDEX(Roster!$D$6:$D$108,MATCH(D565,Roster!$A$6:$A$108,0))&gt;=5,INDEX(Inputs!$B$15:$D$15,1,MATCH(A565,Inputs!$B$6:$D$6,0)),0)))))</x:f>
        <x:v>90</x:v>
      </x:c>
      <x:c r="M565" s="20" t="n">
        <x:f>G565*I565</x:f>
        <x:v>31135</x:v>
      </x:c>
      <x:c r="N565" s="20" t="n">
        <x:f>G565*J565</x:f>
        <x:v>3900</x:v>
      </x:c>
      <x:c r="O565" s="20" t="n">
        <x:f>G565*K565</x:f>
        <x:v>0</x:v>
      </x:c>
      <x:c r="P565" s="20" t="n">
        <x:f>G565*L565</x:f>
        <x:v>1170</x:v>
      </x:c>
      <x:c r="Q565" s="20" t="n">
        <x:f>H565*INDEX(Inputs!$B$13:$D$13,1,MATCH(A565,Inputs!$B$6:$D$6,0))</x:f>
        <x:v>0</x:v>
      </x:c>
      <x:c r="R565" s="20" t="n">
        <x:f>SUM(M565:Q565)</x:f>
        <x:v>36205</x:v>
      </x:c>
      <x:c r="S565" s="20" t="n">
        <x:f>IF(AND(A564=A565,D564=D565),S564+R565,R565)</x:f>
        <x:v>145990</x:v>
      </x:c>
      <x:c r="T565" s="20" t="n">
        <x:f>MIN(S565,INDEX(Inputs!$B$20:$D$20,1,MATCH(A565,Inputs!$B$6:$D$6,0)))*INDEX(Inputs!$B$22:$D$22,1,MATCH(A565,Inputs!$B$6:$D$6,0))+MAX(MIN(S565,INDEX(Inputs!$B$21:$D$21,1,MATCH(A565,Inputs!$B$6:$D$6,0)))-INDEX(Inputs!$B$20:$D$20,1,MATCH(A565,Inputs!$B$6:$D$6,0)),0)*INDEX(Inputs!$B$23:$D$23,1,MATCH(A565,Inputs!$B$6:$D$6,0))+MAX(S565-INDEX(Inputs!$B$21:$D$21,1,MATCH(A565,Inputs!$B$6:$D$6,0)),0)*INDEX(Inputs!$B$24:$D$24,1,MATCH(A565,Inputs!$B$6:$D$6,0))</x:f>
        <x:v>10030.797</x:v>
      </x:c>
      <x:c r="U565" s="20" t="n">
        <x:f>IF(AND(A564=A565,D564=D565),T564,0)</x:f>
        <x:v>8888.5525</x:v>
      </x:c>
      <x:c r="V565" s="20" t="n">
        <x:f>T565-U565</x:f>
        <x:v>1142.2445000000007</x:v>
      </x:c>
      <x:c r="W565" s="20" t="n">
        <x:f>R565+V565</x:f>
        <x:v>37347.2445</x:v>
      </x:c>
      <x:c r="X565" s="14" t="str">
        <x:f>IF(ABS(W565-SUM(M565:Q565)-V565)&lt;0.01,"OK","Check")</x:f>
        <x:v>OK</x:v>
      </x:c>
    </x:row>
    <x:row r="566">
      <x:c r="A566" s="14" t="n">
        <x:v>2027</x:v>
      </x:c>
      <x:c r="B566" s="14" t="str">
        <x:v>Q1</x:v>
      </x:c>
      <x:c r="C566" s="14" t="n">
        <x:v>1</x:v>
      </x:c>
      <x:c r="D566" s="14" t="n">
        <x:v>38</x:v>
      </x:c>
      <x:c r="E566" s="14" t="str">
        <x:f>INDEX(Roster!$B$6:$B$108,MATCH(D566,Roster!$A$6:$A$108,0))</x:f>
        <x:v>Principal</x:v>
      </x:c>
      <x:c r="F566" s="14" t="str">
        <x:f>INDEX(Roster!$F$6:$F$108,MATCH(D566,Roster!$A$6:$A$108,0))</x:f>
        <x:v>No</x:v>
      </x:c>
      <x:c r="G566" s="14" t="n">
        <x:f>INDEX(Inputs!$B$7:$D$7,1,MATCH(A566,Inputs!$B$6:$D$6,0))</x:f>
        <x:v>13</x:v>
      </x:c>
      <x:c r="H566" s="14" t="n">
        <x:f>MIN(=INDEX(Inputs!$B$7:$D$7,1,MATCH(A566,Inputs!$B$6:$D$6,0)),MAX(0,INDEX(Inputs!$B$14:$D$14,1,MATCH(A566,Inputs!$B$6:$D$6,0))-(C566-1)*=INDEX(Inputs!$B$7:$D$7,1,MATCH(A566,Inputs!$B$6:$D$6,0))))</x:f>
        <x:v>13</x:v>
      </x:c>
      <x:c r="I566" s="20" t="n">
        <x:f>INDEX(Inputs!$B$8:$D$8,1,MATCH(A566,Inputs!$B$6:$D$6,0))</x:f>
        <x:v>2395</x:v>
      </x:c>
      <x:c r="J566" s="20" t="n">
        <x:f>INDEX(Roster!$C$6:$C$108,MATCH(D566,Roster!$A$6:$A$108,0))*(1+INDEX(Inputs!$B$9:$D$9,1,MATCH(A566,Inputs!$B$6:$D$6,0)))</x:f>
        <x:v>700</x:v>
      </x:c>
      <x:c r="K566" s="20" t="n">
        <x:f>IF(=INDEX(Roster!$F$6:$F$108,MATCH(D566,Roster!$A$6:$A$108,0))="Yes",0,=INDEX(Inputs!$B$8:$D$8,1,MATCH(A566,Inputs!$B$6:$D$6,0))*IF(=INDEX(Roster!$B$6:$B$108,MATCH(D566,Roster!$A$6:$A$108,0))="Principal",INDEX(Inputs!$B$10:$D$10,1,MATCH(A566,Inputs!$B$6:$D$6,0)),IF(=INDEX(Roster!$B$6:$B$108,MATCH(D566,Roster!$A$6:$A$108,0))="Associate Principal",INDEX(Inputs!$B$11:$D$11,1,MATCH(A566,Inputs!$B$6:$D$6,0)),IF(=INDEX(Roster!$B$6:$B$108,MATCH(D566,Roster!$A$6:$A$108,0))="Assistant Principal",INDEX(Inputs!$B$12:$D$12,1,MATCH(A566,Inputs!$B$6:$D$6,0)),0))))</x:f>
        <x:v>479</x:v>
      </x:c>
      <x:c r="L566" s="20" t="n">
        <x:f>IF(INDEX(Roster!$D$6:$D$108,MATCH(D566,Roster!$A$6:$A$108,0))&gt;=25,INDEX(Inputs!$B$19:$D$19,1,MATCH(A566,Inputs!$B$6:$D$6,0)),IF(INDEX(Roster!$D$6:$D$108,MATCH(D566,Roster!$A$6:$A$108,0))&gt;=20,INDEX(Inputs!$B$18:$D$18,1,MATCH(A566,Inputs!$B$6:$D$6,0)),IF(INDEX(Roster!$D$6:$D$108,MATCH(D566,Roster!$A$6:$A$108,0))&gt;=15,INDEX(Inputs!$B$17:$D$17,1,MATCH(A566,Inputs!$B$6:$D$6,0)),IF(INDEX(Roster!$D$6:$D$108,MATCH(D566,Roster!$A$6:$A$108,0))&gt;=10,INDEX(Inputs!$B$16:$D$16,1,MATCH(A566,Inputs!$B$6:$D$6,0)),IF(INDEX(Roster!$D$6:$D$108,MATCH(D566,Roster!$A$6:$A$108,0))&gt;=5,INDEX(Inputs!$B$15:$D$15,1,MATCH(A566,Inputs!$B$6:$D$6,0)),0)))))</x:f>
        <x:v>90</x:v>
      </x:c>
      <x:c r="M566" s="20" t="n">
        <x:f>G566*I566</x:f>
        <x:v>31135</x:v>
      </x:c>
      <x:c r="N566" s="20" t="n">
        <x:f>G566*J566</x:f>
        <x:v>9100</x:v>
      </x:c>
      <x:c r="O566" s="20" t="n">
        <x:f>G566*K566</x:f>
        <x:v>6227</x:v>
      </x:c>
      <x:c r="P566" s="20" t="n">
        <x:f>G566*L566</x:f>
        <x:v>1170</x:v>
      </x:c>
      <x:c r="Q566" s="20" t="n">
        <x:f>H566*INDEX(Inputs!$B$13:$D$13,1,MATCH(A566,Inputs!$B$6:$D$6,0))</x:f>
        <x:v>390</x:v>
      </x:c>
      <x:c r="R566" s="20" t="n">
        <x:f>SUM(M566:Q566)</x:f>
        <x:v>48022</x:v>
      </x:c>
      <x:c r="S566" s="20" t="n">
        <x:f>IF(AND(A565=A566,D565=D566),S565+R566,R566)</x:f>
        <x:v>48022</x:v>
      </x:c>
      <x:c r="T566" s="20" t="n">
        <x:f>MIN(S566,INDEX(Inputs!$B$20:$D$20,1,MATCH(A566,Inputs!$B$6:$D$6,0)))*INDEX(Inputs!$B$22:$D$22,1,MATCH(A566,Inputs!$B$6:$D$6,0))+MAX(MIN(S566,INDEX(Inputs!$B$21:$D$21,1,MATCH(A566,Inputs!$B$6:$D$6,0)))-INDEX(Inputs!$B$20:$D$20,1,MATCH(A566,Inputs!$B$6:$D$6,0)),0)*INDEX(Inputs!$B$23:$D$23,1,MATCH(A566,Inputs!$B$6:$D$6,0))+MAX(S566-INDEX(Inputs!$B$21:$D$21,1,MATCH(A566,Inputs!$B$6:$D$6,0)),0)*INDEX(Inputs!$B$24:$D$24,1,MATCH(A566,Inputs!$B$6:$D$6,0))</x:f>
        <x:v>4163.683</x:v>
      </x:c>
      <x:c r="U566" s="20" t="n">
        <x:f>IF(AND(A565=A566,D565=D566),T565,0)</x:f>
        <x:v>0</x:v>
      </x:c>
      <x:c r="V566" s="20" t="n">
        <x:f>T566-U566</x:f>
        <x:v>4163.683</x:v>
      </x:c>
      <x:c r="W566" s="20" t="n">
        <x:f>R566+V566</x:f>
        <x:v>52185.683</x:v>
      </x:c>
      <x:c r="X566" s="14" t="str">
        <x:f>IF(ABS(W566-SUM(M566:Q566)-V566)&lt;0.01,"OK","Check")</x:f>
        <x:v>OK</x:v>
      </x:c>
    </x:row>
    <x:row r="567">
      <x:c r="A567" s="14" t="n">
        <x:v>2027</x:v>
      </x:c>
      <x:c r="B567" s="14" t="str">
        <x:v>Q2</x:v>
      </x:c>
      <x:c r="C567" s="14" t="n">
        <x:v>2</x:v>
      </x:c>
      <x:c r="D567" s="14" t="n">
        <x:v>38</x:v>
      </x:c>
      <x:c r="E567" s="14" t="str">
        <x:f>INDEX(Roster!$B$6:$B$108,MATCH(D567,Roster!$A$6:$A$108,0))</x:f>
        <x:v>Principal</x:v>
      </x:c>
      <x:c r="F567" s="14" t="str">
        <x:f>INDEX(Roster!$F$6:$F$108,MATCH(D567,Roster!$A$6:$A$108,0))</x:f>
        <x:v>No</x:v>
      </x:c>
      <x:c r="G567" s="14" t="n">
        <x:f>INDEX(Inputs!$B$7:$D$7,1,MATCH(A567,Inputs!$B$6:$D$6,0))</x:f>
        <x:v>13</x:v>
      </x:c>
      <x:c r="H567" s="14" t="n">
        <x:f>MIN(=INDEX(Inputs!$B$7:$D$7,1,MATCH(A567,Inputs!$B$6:$D$6,0)),MAX(0,INDEX(Inputs!$B$14:$D$14,1,MATCH(A567,Inputs!$B$6:$D$6,0))-(C567-1)*=INDEX(Inputs!$B$7:$D$7,1,MATCH(A567,Inputs!$B$6:$D$6,0))))</x:f>
        <x:v>13</x:v>
      </x:c>
      <x:c r="I567" s="20" t="n">
        <x:f>INDEX(Inputs!$B$8:$D$8,1,MATCH(A567,Inputs!$B$6:$D$6,0))</x:f>
        <x:v>2395</x:v>
      </x:c>
      <x:c r="J567" s="20" t="n">
        <x:f>INDEX(Roster!$C$6:$C$108,MATCH(D567,Roster!$A$6:$A$108,0))*(1+INDEX(Inputs!$B$9:$D$9,1,MATCH(A567,Inputs!$B$6:$D$6,0)))</x:f>
        <x:v>700</x:v>
      </x:c>
      <x:c r="K567" s="20" t="n">
        <x:f>IF(=INDEX(Roster!$F$6:$F$108,MATCH(D567,Roster!$A$6:$A$108,0))="Yes",0,=INDEX(Inputs!$B$8:$D$8,1,MATCH(A567,Inputs!$B$6:$D$6,0))*IF(=INDEX(Roster!$B$6:$B$108,MATCH(D567,Roster!$A$6:$A$108,0))="Principal",INDEX(Inputs!$B$10:$D$10,1,MATCH(A567,Inputs!$B$6:$D$6,0)),IF(=INDEX(Roster!$B$6:$B$108,MATCH(D567,Roster!$A$6:$A$108,0))="Associate Principal",INDEX(Inputs!$B$11:$D$11,1,MATCH(A567,Inputs!$B$6:$D$6,0)),IF(=INDEX(Roster!$B$6:$B$108,MATCH(D567,Roster!$A$6:$A$108,0))="Assistant Principal",INDEX(Inputs!$B$12:$D$12,1,MATCH(A567,Inputs!$B$6:$D$6,0)),0))))</x:f>
        <x:v>479</x:v>
      </x:c>
      <x:c r="L567" s="20" t="n">
        <x:f>IF(INDEX(Roster!$D$6:$D$108,MATCH(D567,Roster!$A$6:$A$108,0))&gt;=25,INDEX(Inputs!$B$19:$D$19,1,MATCH(A567,Inputs!$B$6:$D$6,0)),IF(INDEX(Roster!$D$6:$D$108,MATCH(D567,Roster!$A$6:$A$108,0))&gt;=20,INDEX(Inputs!$B$18:$D$18,1,MATCH(A567,Inputs!$B$6:$D$6,0)),IF(INDEX(Roster!$D$6:$D$108,MATCH(D567,Roster!$A$6:$A$108,0))&gt;=15,INDEX(Inputs!$B$17:$D$17,1,MATCH(A567,Inputs!$B$6:$D$6,0)),IF(INDEX(Roster!$D$6:$D$108,MATCH(D567,Roster!$A$6:$A$108,0))&gt;=10,INDEX(Inputs!$B$16:$D$16,1,MATCH(A567,Inputs!$B$6:$D$6,0)),IF(INDEX(Roster!$D$6:$D$108,MATCH(D567,Roster!$A$6:$A$108,0))&gt;=5,INDEX(Inputs!$B$15:$D$15,1,MATCH(A567,Inputs!$B$6:$D$6,0)),0)))))</x:f>
        <x:v>90</x:v>
      </x:c>
      <x:c r="M567" s="20" t="n">
        <x:f>G567*I567</x:f>
        <x:v>31135</x:v>
      </x:c>
      <x:c r="N567" s="20" t="n">
        <x:f>G567*J567</x:f>
        <x:v>9100</x:v>
      </x:c>
      <x:c r="O567" s="20" t="n">
        <x:f>G567*K567</x:f>
        <x:v>6227</x:v>
      </x:c>
      <x:c r="P567" s="20" t="n">
        <x:f>G567*L567</x:f>
        <x:v>1170</x:v>
      </x:c>
      <x:c r="Q567" s="20" t="n">
        <x:f>H567*INDEX(Inputs!$B$13:$D$13,1,MATCH(A567,Inputs!$B$6:$D$6,0))</x:f>
        <x:v>390</x:v>
      </x:c>
      <x:c r="R567" s="20" t="n">
        <x:f>SUM(M567:Q567)</x:f>
        <x:v>48022</x:v>
      </x:c>
      <x:c r="S567" s="20" t="n">
        <x:f>IF(AND(A566=A567,D566=D567),S566+R567,R567)</x:f>
        <x:v>96044</x:v>
      </x:c>
      <x:c r="T567" s="20" t="n">
        <x:f>MIN(S567,INDEX(Inputs!$B$20:$D$20,1,MATCH(A567,Inputs!$B$6:$D$6,0)))*INDEX(Inputs!$B$22:$D$22,1,MATCH(A567,Inputs!$B$6:$D$6,0))+MAX(MIN(S567,INDEX(Inputs!$B$21:$D$21,1,MATCH(A567,Inputs!$B$6:$D$6,0)))-INDEX(Inputs!$B$20:$D$20,1,MATCH(A567,Inputs!$B$6:$D$6,0)),0)*INDEX(Inputs!$B$23:$D$23,1,MATCH(A567,Inputs!$B$6:$D$6,0))+MAX(S567-INDEX(Inputs!$B$21:$D$21,1,MATCH(A567,Inputs!$B$6:$D$6,0)),0)*INDEX(Inputs!$B$24:$D$24,1,MATCH(A567,Inputs!$B$6:$D$6,0))</x:f>
        <x:v>7837.366</x:v>
      </x:c>
      <x:c r="U567" s="20" t="n">
        <x:f>IF(AND(A566=A567,D566=D567),T566,0)</x:f>
        <x:v>4163.683</x:v>
      </x:c>
      <x:c r="V567" s="20" t="n">
        <x:f>T567-U567</x:f>
        <x:v>3673.683</x:v>
      </x:c>
      <x:c r="W567" s="20" t="n">
        <x:f>R567+V567</x:f>
        <x:v>51695.683</x:v>
      </x:c>
      <x:c r="X567" s="14" t="str">
        <x:f>IF(ABS(W567-SUM(M567:Q567)-V567)&lt;0.01,"OK","Check")</x:f>
        <x:v>OK</x:v>
      </x:c>
    </x:row>
    <x:row r="568">
      <x:c r="A568" s="14" t="n">
        <x:v>2027</x:v>
      </x:c>
      <x:c r="B568" s="14" t="str">
        <x:v>Q3</x:v>
      </x:c>
      <x:c r="C568" s="14" t="n">
        <x:v>3</x:v>
      </x:c>
      <x:c r="D568" s="14" t="n">
        <x:v>38</x:v>
      </x:c>
      <x:c r="E568" s="14" t="str">
        <x:f>INDEX(Roster!$B$6:$B$108,MATCH(D568,Roster!$A$6:$A$108,0))</x:f>
        <x:v>Principal</x:v>
      </x:c>
      <x:c r="F568" s="14" t="str">
        <x:f>INDEX(Roster!$F$6:$F$108,MATCH(D568,Roster!$A$6:$A$108,0))</x:f>
        <x:v>No</x:v>
      </x:c>
      <x:c r="G568" s="14" t="n">
        <x:f>INDEX(Inputs!$B$7:$D$7,1,MATCH(A568,Inputs!$B$6:$D$6,0))</x:f>
        <x:v>13</x:v>
      </x:c>
      <x:c r="H568" s="14" t="n">
        <x:f>MIN(=INDEX(Inputs!$B$7:$D$7,1,MATCH(A568,Inputs!$B$6:$D$6,0)),MAX(0,INDEX(Inputs!$B$14:$D$14,1,MATCH(A568,Inputs!$B$6:$D$6,0))-(C568-1)*=INDEX(Inputs!$B$7:$D$7,1,MATCH(A568,Inputs!$B$6:$D$6,0))))</x:f>
        <x:v>13</x:v>
      </x:c>
      <x:c r="I568" s="20" t="n">
        <x:f>INDEX(Inputs!$B$8:$D$8,1,MATCH(A568,Inputs!$B$6:$D$6,0))</x:f>
        <x:v>2395</x:v>
      </x:c>
      <x:c r="J568" s="20" t="n">
        <x:f>INDEX(Roster!$C$6:$C$108,MATCH(D568,Roster!$A$6:$A$108,0))*(1+INDEX(Inputs!$B$9:$D$9,1,MATCH(A568,Inputs!$B$6:$D$6,0)))</x:f>
        <x:v>700</x:v>
      </x:c>
      <x:c r="K568" s="20" t="n">
        <x:f>IF(=INDEX(Roster!$F$6:$F$108,MATCH(D568,Roster!$A$6:$A$108,0))="Yes",0,=INDEX(Inputs!$B$8:$D$8,1,MATCH(A568,Inputs!$B$6:$D$6,0))*IF(=INDEX(Roster!$B$6:$B$108,MATCH(D568,Roster!$A$6:$A$108,0))="Principal",INDEX(Inputs!$B$10:$D$10,1,MATCH(A568,Inputs!$B$6:$D$6,0)),IF(=INDEX(Roster!$B$6:$B$108,MATCH(D568,Roster!$A$6:$A$108,0))="Associate Principal",INDEX(Inputs!$B$11:$D$11,1,MATCH(A568,Inputs!$B$6:$D$6,0)),IF(=INDEX(Roster!$B$6:$B$108,MATCH(D568,Roster!$A$6:$A$108,0))="Assistant Principal",INDEX(Inputs!$B$12:$D$12,1,MATCH(A568,Inputs!$B$6:$D$6,0)),0))))</x:f>
        <x:v>479</x:v>
      </x:c>
      <x:c r="L568" s="20" t="n">
        <x:f>IF(INDEX(Roster!$D$6:$D$108,MATCH(D568,Roster!$A$6:$A$108,0))&gt;=25,INDEX(Inputs!$B$19:$D$19,1,MATCH(A568,Inputs!$B$6:$D$6,0)),IF(INDEX(Roster!$D$6:$D$108,MATCH(D568,Roster!$A$6:$A$108,0))&gt;=20,INDEX(Inputs!$B$18:$D$18,1,MATCH(A568,Inputs!$B$6:$D$6,0)),IF(INDEX(Roster!$D$6:$D$108,MATCH(D568,Roster!$A$6:$A$108,0))&gt;=15,INDEX(Inputs!$B$17:$D$17,1,MATCH(A568,Inputs!$B$6:$D$6,0)),IF(INDEX(Roster!$D$6:$D$108,MATCH(D568,Roster!$A$6:$A$108,0))&gt;=10,INDEX(Inputs!$B$16:$D$16,1,MATCH(A568,Inputs!$B$6:$D$6,0)),IF(INDEX(Roster!$D$6:$D$108,MATCH(D568,Roster!$A$6:$A$108,0))&gt;=5,INDEX(Inputs!$B$15:$D$15,1,MATCH(A568,Inputs!$B$6:$D$6,0)),0)))))</x:f>
        <x:v>90</x:v>
      </x:c>
      <x:c r="M568" s="20" t="n">
        <x:f>G568*I568</x:f>
        <x:v>31135</x:v>
      </x:c>
      <x:c r="N568" s="20" t="n">
        <x:f>G568*J568</x:f>
        <x:v>9100</x:v>
      </x:c>
      <x:c r="O568" s="20" t="n">
        <x:f>G568*K568</x:f>
        <x:v>6227</x:v>
      </x:c>
      <x:c r="P568" s="20" t="n">
        <x:f>G568*L568</x:f>
        <x:v>1170</x:v>
      </x:c>
      <x:c r="Q568" s="20" t="n">
        <x:f>H568*INDEX(Inputs!$B$13:$D$13,1,MATCH(A568,Inputs!$B$6:$D$6,0))</x:f>
        <x:v>390</x:v>
      </x:c>
      <x:c r="R568" s="20" t="n">
        <x:f>SUM(M568:Q568)</x:f>
        <x:v>48022</x:v>
      </x:c>
      <x:c r="S568" s="20" t="n">
        <x:f>IF(AND(A567=A568,D567=D568),S567+R568,R568)</x:f>
        <x:v>144066</x:v>
      </x:c>
      <x:c r="T568" s="20" t="n">
        <x:f>MIN(S568,INDEX(Inputs!$B$20:$D$20,1,MATCH(A568,Inputs!$B$6:$D$6,0)))*INDEX(Inputs!$B$22:$D$22,1,MATCH(A568,Inputs!$B$6:$D$6,0))+MAX(MIN(S568,INDEX(Inputs!$B$21:$D$21,1,MATCH(A568,Inputs!$B$6:$D$6,0)))-INDEX(Inputs!$B$20:$D$20,1,MATCH(A568,Inputs!$B$6:$D$6,0)),0)*INDEX(Inputs!$B$23:$D$23,1,MATCH(A568,Inputs!$B$6:$D$6,0))+MAX(S568-INDEX(Inputs!$B$21:$D$21,1,MATCH(A568,Inputs!$B$6:$D$6,0)),0)*INDEX(Inputs!$B$24:$D$24,1,MATCH(A568,Inputs!$B$6:$D$6,0))</x:f>
        <x:v>10002.899</x:v>
      </x:c>
      <x:c r="U568" s="20" t="n">
        <x:f>IF(AND(A567=A568,D567=D568),T567,0)</x:f>
        <x:v>7837.366</x:v>
      </x:c>
      <x:c r="V568" s="20" t="n">
        <x:f>T568-U568</x:f>
        <x:v>2165.5329999999994</x:v>
      </x:c>
      <x:c r="W568" s="20" t="n">
        <x:f>R568+V568</x:f>
        <x:v>50187.532999999996</x:v>
      </x:c>
      <x:c r="X568" s="14" t="str">
        <x:f>IF(ABS(W568-SUM(M568:Q568)-V568)&lt;0.01,"OK","Check")</x:f>
        <x:v>OK</x:v>
      </x:c>
    </x:row>
    <x:row r="569">
      <x:c r="A569" s="14" t="n">
        <x:v>2027</x:v>
      </x:c>
      <x:c r="B569" s="14" t="str">
        <x:v>Q4</x:v>
      </x:c>
      <x:c r="C569" s="14" t="n">
        <x:v>4</x:v>
      </x:c>
      <x:c r="D569" s="14" t="n">
        <x:v>38</x:v>
      </x:c>
      <x:c r="E569" s="14" t="str">
        <x:f>INDEX(Roster!$B$6:$B$108,MATCH(D569,Roster!$A$6:$A$108,0))</x:f>
        <x:v>Principal</x:v>
      </x:c>
      <x:c r="F569" s="14" t="str">
        <x:f>INDEX(Roster!$F$6:$F$108,MATCH(D569,Roster!$A$6:$A$108,0))</x:f>
        <x:v>No</x:v>
      </x:c>
      <x:c r="G569" s="14" t="n">
        <x:f>INDEX(Inputs!$B$7:$D$7,1,MATCH(A569,Inputs!$B$6:$D$6,0))</x:f>
        <x:v>13</x:v>
      </x:c>
      <x:c r="H569" s="14" t="n">
        <x:f>MIN(=INDEX(Inputs!$B$7:$D$7,1,MATCH(A569,Inputs!$B$6:$D$6,0)),MAX(0,INDEX(Inputs!$B$14:$D$14,1,MATCH(A569,Inputs!$B$6:$D$6,0))-(C569-1)*=INDEX(Inputs!$B$7:$D$7,1,MATCH(A569,Inputs!$B$6:$D$6,0))))</x:f>
        <x:v>0</x:v>
      </x:c>
      <x:c r="I569" s="20" t="n">
        <x:f>INDEX(Inputs!$B$8:$D$8,1,MATCH(A569,Inputs!$B$6:$D$6,0))</x:f>
        <x:v>2395</x:v>
      </x:c>
      <x:c r="J569" s="20" t="n">
        <x:f>INDEX(Roster!$C$6:$C$108,MATCH(D569,Roster!$A$6:$A$108,0))*(1+INDEX(Inputs!$B$9:$D$9,1,MATCH(A569,Inputs!$B$6:$D$6,0)))</x:f>
        <x:v>700</x:v>
      </x:c>
      <x:c r="K569" s="20" t="n">
        <x:f>IF(=INDEX(Roster!$F$6:$F$108,MATCH(D569,Roster!$A$6:$A$108,0))="Yes",0,=INDEX(Inputs!$B$8:$D$8,1,MATCH(A569,Inputs!$B$6:$D$6,0))*IF(=INDEX(Roster!$B$6:$B$108,MATCH(D569,Roster!$A$6:$A$108,0))="Principal",INDEX(Inputs!$B$10:$D$10,1,MATCH(A569,Inputs!$B$6:$D$6,0)),IF(=INDEX(Roster!$B$6:$B$108,MATCH(D569,Roster!$A$6:$A$108,0))="Associate Principal",INDEX(Inputs!$B$11:$D$11,1,MATCH(A569,Inputs!$B$6:$D$6,0)),IF(=INDEX(Roster!$B$6:$B$108,MATCH(D569,Roster!$A$6:$A$108,0))="Assistant Principal",INDEX(Inputs!$B$12:$D$12,1,MATCH(A569,Inputs!$B$6:$D$6,0)),0))))</x:f>
        <x:v>479</x:v>
      </x:c>
      <x:c r="L569" s="20" t="n">
        <x:f>IF(INDEX(Roster!$D$6:$D$108,MATCH(D569,Roster!$A$6:$A$108,0))&gt;=25,INDEX(Inputs!$B$19:$D$19,1,MATCH(A569,Inputs!$B$6:$D$6,0)),IF(INDEX(Roster!$D$6:$D$108,MATCH(D569,Roster!$A$6:$A$108,0))&gt;=20,INDEX(Inputs!$B$18:$D$18,1,MATCH(A569,Inputs!$B$6:$D$6,0)),IF(INDEX(Roster!$D$6:$D$108,MATCH(D569,Roster!$A$6:$A$108,0))&gt;=15,INDEX(Inputs!$B$17:$D$17,1,MATCH(A569,Inputs!$B$6:$D$6,0)),IF(INDEX(Roster!$D$6:$D$108,MATCH(D569,Roster!$A$6:$A$108,0))&gt;=10,INDEX(Inputs!$B$16:$D$16,1,MATCH(A569,Inputs!$B$6:$D$6,0)),IF(INDEX(Roster!$D$6:$D$108,MATCH(D569,Roster!$A$6:$A$108,0))&gt;=5,INDEX(Inputs!$B$15:$D$15,1,MATCH(A569,Inputs!$B$6:$D$6,0)),0)))))</x:f>
        <x:v>90</x:v>
      </x:c>
      <x:c r="M569" s="20" t="n">
        <x:f>G569*I569</x:f>
        <x:v>31135</x:v>
      </x:c>
      <x:c r="N569" s="20" t="n">
        <x:f>G569*J569</x:f>
        <x:v>9100</x:v>
      </x:c>
      <x:c r="O569" s="20" t="n">
        <x:f>G569*K569</x:f>
        <x:v>6227</x:v>
      </x:c>
      <x:c r="P569" s="20" t="n">
        <x:f>G569*L569</x:f>
        <x:v>1170</x:v>
      </x:c>
      <x:c r="Q569" s="20" t="n">
        <x:f>H569*INDEX(Inputs!$B$13:$D$13,1,MATCH(A569,Inputs!$B$6:$D$6,0))</x:f>
        <x:v>0</x:v>
      </x:c>
      <x:c r="R569" s="20" t="n">
        <x:f>SUM(M569:Q569)</x:f>
        <x:v>47632</x:v>
      </x:c>
      <x:c r="S569" s="20" t="n">
        <x:f>IF(AND(A568=A569,D568=D569),S568+R569,R569)</x:f>
        <x:v>191698</x:v>
      </x:c>
      <x:c r="T569" s="20" t="n">
        <x:f>MIN(S569,INDEX(Inputs!$B$20:$D$20,1,MATCH(A569,Inputs!$B$6:$D$6,0)))*INDEX(Inputs!$B$22:$D$22,1,MATCH(A569,Inputs!$B$6:$D$6,0))+MAX(MIN(S569,INDEX(Inputs!$B$21:$D$21,1,MATCH(A569,Inputs!$B$6:$D$6,0)))-INDEX(Inputs!$B$20:$D$20,1,MATCH(A569,Inputs!$B$6:$D$6,0)),0)*INDEX(Inputs!$B$23:$D$23,1,MATCH(A569,Inputs!$B$6:$D$6,0))+MAX(S569-INDEX(Inputs!$B$21:$D$21,1,MATCH(A569,Inputs!$B$6:$D$6,0)),0)*INDEX(Inputs!$B$24:$D$24,1,MATCH(A569,Inputs!$B$6:$D$6,0))</x:f>
        <x:v>10693.563</x:v>
      </x:c>
      <x:c r="U569" s="20" t="n">
        <x:f>IF(AND(A568=A569,D568=D569),T568,0)</x:f>
        <x:v>10002.899</x:v>
      </x:c>
      <x:c r="V569" s="20" t="n">
        <x:f>T569-U569</x:f>
        <x:v>690.6640000000007</x:v>
      </x:c>
      <x:c r="W569" s="20" t="n">
        <x:f>R569+V569</x:f>
        <x:v>48322.664000000004</x:v>
      </x:c>
      <x:c r="X569" s="14" t="str">
        <x:f>IF(ABS(W569-SUM(M569:Q569)-V569)&lt;0.01,"OK","Check")</x:f>
        <x:v>OK</x:v>
      </x:c>
    </x:row>
    <x:row r="570">
      <x:c r="A570" s="14" t="n">
        <x:v>2027</x:v>
      </x:c>
      <x:c r="B570" s="14" t="str">
        <x:v>Q1</x:v>
      </x:c>
      <x:c r="C570" s="14" t="n">
        <x:v>1</x:v>
      </x:c>
      <x:c r="D570" s="14" t="n">
        <x:v>39</x:v>
      </x:c>
      <x:c r="E570" s="14" t="str">
        <x:f>INDEX(Roster!$B$6:$B$108,MATCH(D570,Roster!$A$6:$A$108,0))</x:f>
      </x:c>
      <x:c r="F570" s="14" t="str">
        <x:f>INDEX(Roster!$F$6:$F$108,MATCH(D570,Roster!$A$6:$A$108,0))</x:f>
        <x:v>No</x:v>
      </x:c>
      <x:c r="G570" s="14" t="n">
        <x:f>INDEX(Inputs!$B$7:$D$7,1,MATCH(A570,Inputs!$B$6:$D$6,0))</x:f>
        <x:v>13</x:v>
      </x:c>
      <x:c r="H570" s="14" t="n">
        <x:f>MIN(=INDEX(Inputs!$B$7:$D$7,1,MATCH(A570,Inputs!$B$6:$D$6,0)),MAX(0,INDEX(Inputs!$B$14:$D$14,1,MATCH(A570,Inputs!$B$6:$D$6,0))-(C570-1)*=INDEX(Inputs!$B$7:$D$7,1,MATCH(A570,Inputs!$B$6:$D$6,0))))</x:f>
        <x:v>13</x:v>
      </x:c>
      <x:c r="I570" s="20" t="n">
        <x:f>INDEX(Inputs!$B$8:$D$8,1,MATCH(A570,Inputs!$B$6:$D$6,0))</x:f>
        <x:v>2395</x:v>
      </x:c>
      <x:c r="J570" s="20" t="n">
        <x:f>INDEX(Roster!$C$6:$C$108,MATCH(D570,Roster!$A$6:$A$108,0))*(1+INDEX(Inputs!$B$9:$D$9,1,MATCH(A570,Inputs!$B$6:$D$6,0)))</x:f>
        <x:v>70</x:v>
      </x:c>
      <x:c r="K570" s="20" t="n">
        <x:f>IF(=INDEX(Roster!$F$6:$F$108,MATCH(D570,Roster!$A$6:$A$108,0))="Yes",0,=INDEX(Inputs!$B$8:$D$8,1,MATCH(A570,Inputs!$B$6:$D$6,0))*IF(=INDEX(Roster!$B$6:$B$108,MATCH(D570,Roster!$A$6:$A$108,0))="Principal",INDEX(Inputs!$B$10:$D$10,1,MATCH(A570,Inputs!$B$6:$D$6,0)),IF(=INDEX(Roster!$B$6:$B$108,MATCH(D570,Roster!$A$6:$A$108,0))="Associate Principal",INDEX(Inputs!$B$11:$D$11,1,MATCH(A570,Inputs!$B$6:$D$6,0)),IF(=INDEX(Roster!$B$6:$B$108,MATCH(D570,Roster!$A$6:$A$108,0))="Assistant Principal",INDEX(Inputs!$B$12:$D$12,1,MATCH(A570,Inputs!$B$6:$D$6,0)),0))))</x:f>
        <x:v>0</x:v>
      </x:c>
      <x:c r="L570" s="20" t="n">
        <x:f>IF(INDEX(Roster!$D$6:$D$108,MATCH(D570,Roster!$A$6:$A$108,0))&gt;=25,INDEX(Inputs!$B$19:$D$19,1,MATCH(A570,Inputs!$B$6:$D$6,0)),IF(INDEX(Roster!$D$6:$D$108,MATCH(D570,Roster!$A$6:$A$108,0))&gt;=20,INDEX(Inputs!$B$18:$D$18,1,MATCH(A570,Inputs!$B$6:$D$6,0)),IF(INDEX(Roster!$D$6:$D$108,MATCH(D570,Roster!$A$6:$A$108,0))&gt;=15,INDEX(Inputs!$B$17:$D$17,1,MATCH(A570,Inputs!$B$6:$D$6,0)),IF(INDEX(Roster!$D$6:$D$108,MATCH(D570,Roster!$A$6:$A$108,0))&gt;=10,INDEX(Inputs!$B$16:$D$16,1,MATCH(A570,Inputs!$B$6:$D$6,0)),IF(INDEX(Roster!$D$6:$D$108,MATCH(D570,Roster!$A$6:$A$108,0))&gt;=5,INDEX(Inputs!$B$15:$D$15,1,MATCH(A570,Inputs!$B$6:$D$6,0)),0)))))</x:f>
        <x:v>90</x:v>
      </x:c>
      <x:c r="M570" s="20" t="n">
        <x:f>G570*I570</x:f>
        <x:v>31135</x:v>
      </x:c>
      <x:c r="N570" s="20" t="n">
        <x:f>G570*J570</x:f>
        <x:v>910</x:v>
      </x:c>
      <x:c r="O570" s="20" t="n">
        <x:f>G570*K570</x:f>
        <x:v>0</x:v>
      </x:c>
      <x:c r="P570" s="20" t="n">
        <x:f>G570*L570</x:f>
        <x:v>1170</x:v>
      </x:c>
      <x:c r="Q570" s="20" t="n">
        <x:f>H570*INDEX(Inputs!$B$13:$D$13,1,MATCH(A570,Inputs!$B$6:$D$6,0))</x:f>
        <x:v>390</x:v>
      </x:c>
      <x:c r="R570" s="20" t="n">
        <x:f>SUM(M570:Q570)</x:f>
        <x:v>33605</x:v>
      </x:c>
      <x:c r="S570" s="20" t="n">
        <x:f>IF(AND(A569=A570,D569=D570),S569+R570,R570)</x:f>
        <x:v>33605</x:v>
      </x:c>
      <x:c r="T570" s="20" t="n">
        <x:f>MIN(S570,INDEX(Inputs!$B$20:$D$20,1,MATCH(A570,Inputs!$B$6:$D$6,0)))*INDEX(Inputs!$B$22:$D$22,1,MATCH(A570,Inputs!$B$6:$D$6,0))+MAX(MIN(S570,INDEX(Inputs!$B$21:$D$21,1,MATCH(A570,Inputs!$B$6:$D$6,0)))-INDEX(Inputs!$B$20:$D$20,1,MATCH(A570,Inputs!$B$6:$D$6,0)),0)*INDEX(Inputs!$B$23:$D$23,1,MATCH(A570,Inputs!$B$6:$D$6,0))+MAX(S570-INDEX(Inputs!$B$21:$D$21,1,MATCH(A570,Inputs!$B$6:$D$6,0)),0)*INDEX(Inputs!$B$24:$D$24,1,MATCH(A570,Inputs!$B$6:$D$6,0))</x:f>
        <x:v>3060.7825000000003</x:v>
      </x:c>
      <x:c r="U570" s="20" t="n">
        <x:f>IF(AND(A569=A570,D569=D570),T569,0)</x:f>
        <x:v>0</x:v>
      </x:c>
      <x:c r="V570" s="20" t="n">
        <x:f>T570-U570</x:f>
        <x:v>3060.7825000000003</x:v>
      </x:c>
      <x:c r="W570" s="20" t="n">
        <x:f>R570+V570</x:f>
        <x:v>36665.7825</x:v>
      </x:c>
      <x:c r="X570" s="14" t="str">
        <x:f>IF(ABS(W570-SUM(M570:Q570)-V570)&lt;0.01,"OK","Check")</x:f>
        <x:v>OK</x:v>
      </x:c>
    </x:row>
    <x:row r="571">
      <x:c r="A571" s="14" t="n">
        <x:v>2027</x:v>
      </x:c>
      <x:c r="B571" s="14" t="str">
        <x:v>Q2</x:v>
      </x:c>
      <x:c r="C571" s="14" t="n">
        <x:v>2</x:v>
      </x:c>
      <x:c r="D571" s="14" t="n">
        <x:v>39</x:v>
      </x:c>
      <x:c r="E571" s="14" t="str">
        <x:f>INDEX(Roster!$B$6:$B$108,MATCH(D571,Roster!$A$6:$A$108,0))</x:f>
      </x:c>
      <x:c r="F571" s="14" t="str">
        <x:f>INDEX(Roster!$F$6:$F$108,MATCH(D571,Roster!$A$6:$A$108,0))</x:f>
        <x:v>No</x:v>
      </x:c>
      <x:c r="G571" s="14" t="n">
        <x:f>INDEX(Inputs!$B$7:$D$7,1,MATCH(A571,Inputs!$B$6:$D$6,0))</x:f>
        <x:v>13</x:v>
      </x:c>
      <x:c r="H571" s="14" t="n">
        <x:f>MIN(=INDEX(Inputs!$B$7:$D$7,1,MATCH(A571,Inputs!$B$6:$D$6,0)),MAX(0,INDEX(Inputs!$B$14:$D$14,1,MATCH(A571,Inputs!$B$6:$D$6,0))-(C571-1)*=INDEX(Inputs!$B$7:$D$7,1,MATCH(A571,Inputs!$B$6:$D$6,0))))</x:f>
        <x:v>13</x:v>
      </x:c>
      <x:c r="I571" s="20" t="n">
        <x:f>INDEX(Inputs!$B$8:$D$8,1,MATCH(A571,Inputs!$B$6:$D$6,0))</x:f>
        <x:v>2395</x:v>
      </x:c>
      <x:c r="J571" s="20" t="n">
        <x:f>INDEX(Roster!$C$6:$C$108,MATCH(D571,Roster!$A$6:$A$108,0))*(1+INDEX(Inputs!$B$9:$D$9,1,MATCH(A571,Inputs!$B$6:$D$6,0)))</x:f>
        <x:v>70</x:v>
      </x:c>
      <x:c r="K571" s="20" t="n">
        <x:f>IF(=INDEX(Roster!$F$6:$F$108,MATCH(D571,Roster!$A$6:$A$108,0))="Yes",0,=INDEX(Inputs!$B$8:$D$8,1,MATCH(A571,Inputs!$B$6:$D$6,0))*IF(=INDEX(Roster!$B$6:$B$108,MATCH(D571,Roster!$A$6:$A$108,0))="Principal",INDEX(Inputs!$B$10:$D$10,1,MATCH(A571,Inputs!$B$6:$D$6,0)),IF(=INDEX(Roster!$B$6:$B$108,MATCH(D571,Roster!$A$6:$A$108,0))="Associate Principal",INDEX(Inputs!$B$11:$D$11,1,MATCH(A571,Inputs!$B$6:$D$6,0)),IF(=INDEX(Roster!$B$6:$B$108,MATCH(D571,Roster!$A$6:$A$108,0))="Assistant Principal",INDEX(Inputs!$B$12:$D$12,1,MATCH(A571,Inputs!$B$6:$D$6,0)),0))))</x:f>
        <x:v>0</x:v>
      </x:c>
      <x:c r="L571" s="20" t="n">
        <x:f>IF(INDEX(Roster!$D$6:$D$108,MATCH(D571,Roster!$A$6:$A$108,0))&gt;=25,INDEX(Inputs!$B$19:$D$19,1,MATCH(A571,Inputs!$B$6:$D$6,0)),IF(INDEX(Roster!$D$6:$D$108,MATCH(D571,Roster!$A$6:$A$108,0))&gt;=20,INDEX(Inputs!$B$18:$D$18,1,MATCH(A571,Inputs!$B$6:$D$6,0)),IF(INDEX(Roster!$D$6:$D$108,MATCH(D571,Roster!$A$6:$A$108,0))&gt;=15,INDEX(Inputs!$B$17:$D$17,1,MATCH(A571,Inputs!$B$6:$D$6,0)),IF(INDEX(Roster!$D$6:$D$108,MATCH(D571,Roster!$A$6:$A$108,0))&gt;=10,INDEX(Inputs!$B$16:$D$16,1,MATCH(A571,Inputs!$B$6:$D$6,0)),IF(INDEX(Roster!$D$6:$D$108,MATCH(D571,Roster!$A$6:$A$108,0))&gt;=5,INDEX(Inputs!$B$15:$D$15,1,MATCH(A571,Inputs!$B$6:$D$6,0)),0)))))</x:f>
        <x:v>90</x:v>
      </x:c>
      <x:c r="M571" s="20" t="n">
        <x:f>G571*I571</x:f>
        <x:v>31135</x:v>
      </x:c>
      <x:c r="N571" s="20" t="n">
        <x:f>G571*J571</x:f>
        <x:v>910</x:v>
      </x:c>
      <x:c r="O571" s="20" t="n">
        <x:f>G571*K571</x:f>
        <x:v>0</x:v>
      </x:c>
      <x:c r="P571" s="20" t="n">
        <x:f>G571*L571</x:f>
        <x:v>1170</x:v>
      </x:c>
      <x:c r="Q571" s="20" t="n">
        <x:f>H571*INDEX(Inputs!$B$13:$D$13,1,MATCH(A571,Inputs!$B$6:$D$6,0))</x:f>
        <x:v>390</x:v>
      </x:c>
      <x:c r="R571" s="20" t="n">
        <x:f>SUM(M571:Q571)</x:f>
        <x:v>33605</x:v>
      </x:c>
      <x:c r="S571" s="20" t="n">
        <x:f>IF(AND(A570=A571,D570=D571),S570+R571,R571)</x:f>
        <x:v>67210</x:v>
      </x:c>
      <x:c r="T571" s="20" t="n">
        <x:f>MIN(S571,INDEX(Inputs!$B$20:$D$20,1,MATCH(A571,Inputs!$B$6:$D$6,0)))*INDEX(Inputs!$B$22:$D$22,1,MATCH(A571,Inputs!$B$6:$D$6,0))+MAX(MIN(S571,INDEX(Inputs!$B$21:$D$21,1,MATCH(A571,Inputs!$B$6:$D$6,0)))-INDEX(Inputs!$B$20:$D$20,1,MATCH(A571,Inputs!$B$6:$D$6,0)),0)*INDEX(Inputs!$B$23:$D$23,1,MATCH(A571,Inputs!$B$6:$D$6,0))+MAX(S571-INDEX(Inputs!$B$21:$D$21,1,MATCH(A571,Inputs!$B$6:$D$6,0)),0)*INDEX(Inputs!$B$24:$D$24,1,MATCH(A571,Inputs!$B$6:$D$6,0))</x:f>
        <x:v>5631.565</x:v>
      </x:c>
      <x:c r="U571" s="20" t="n">
        <x:f>IF(AND(A570=A571,D570=D571),T570,0)</x:f>
        <x:v>3060.7825000000003</x:v>
      </x:c>
      <x:c r="V571" s="20" t="n">
        <x:f>T571-U571</x:f>
        <x:v>2570.7824999999993</x:v>
      </x:c>
      <x:c r="W571" s="20" t="n">
        <x:f>R571+V571</x:f>
        <x:v>36175.7825</x:v>
      </x:c>
      <x:c r="X571" s="14" t="str">
        <x:f>IF(ABS(W571-SUM(M571:Q571)-V571)&lt;0.01,"OK","Check")</x:f>
        <x:v>OK</x:v>
      </x:c>
    </x:row>
    <x:row r="572">
      <x:c r="A572" s="14" t="n">
        <x:v>2027</x:v>
      </x:c>
      <x:c r="B572" s="14" t="str">
        <x:v>Q3</x:v>
      </x:c>
      <x:c r="C572" s="14" t="n">
        <x:v>3</x:v>
      </x:c>
      <x:c r="D572" s="14" t="n">
        <x:v>39</x:v>
      </x:c>
      <x:c r="E572" s="14" t="str">
        <x:f>INDEX(Roster!$B$6:$B$108,MATCH(D572,Roster!$A$6:$A$108,0))</x:f>
      </x:c>
      <x:c r="F572" s="14" t="str">
        <x:f>INDEX(Roster!$F$6:$F$108,MATCH(D572,Roster!$A$6:$A$108,0))</x:f>
        <x:v>No</x:v>
      </x:c>
      <x:c r="G572" s="14" t="n">
        <x:f>INDEX(Inputs!$B$7:$D$7,1,MATCH(A572,Inputs!$B$6:$D$6,0))</x:f>
        <x:v>13</x:v>
      </x:c>
      <x:c r="H572" s="14" t="n">
        <x:f>MIN(=INDEX(Inputs!$B$7:$D$7,1,MATCH(A572,Inputs!$B$6:$D$6,0)),MAX(0,INDEX(Inputs!$B$14:$D$14,1,MATCH(A572,Inputs!$B$6:$D$6,0))-(C572-1)*=INDEX(Inputs!$B$7:$D$7,1,MATCH(A572,Inputs!$B$6:$D$6,0))))</x:f>
        <x:v>13</x:v>
      </x:c>
      <x:c r="I572" s="20" t="n">
        <x:f>INDEX(Inputs!$B$8:$D$8,1,MATCH(A572,Inputs!$B$6:$D$6,0))</x:f>
        <x:v>2395</x:v>
      </x:c>
      <x:c r="J572" s="20" t="n">
        <x:f>INDEX(Roster!$C$6:$C$108,MATCH(D572,Roster!$A$6:$A$108,0))*(1+INDEX(Inputs!$B$9:$D$9,1,MATCH(A572,Inputs!$B$6:$D$6,0)))</x:f>
        <x:v>70</x:v>
      </x:c>
      <x:c r="K572" s="20" t="n">
        <x:f>IF(=INDEX(Roster!$F$6:$F$108,MATCH(D572,Roster!$A$6:$A$108,0))="Yes",0,=INDEX(Inputs!$B$8:$D$8,1,MATCH(A572,Inputs!$B$6:$D$6,0))*IF(=INDEX(Roster!$B$6:$B$108,MATCH(D572,Roster!$A$6:$A$108,0))="Principal",INDEX(Inputs!$B$10:$D$10,1,MATCH(A572,Inputs!$B$6:$D$6,0)),IF(=INDEX(Roster!$B$6:$B$108,MATCH(D572,Roster!$A$6:$A$108,0))="Associate Principal",INDEX(Inputs!$B$11:$D$11,1,MATCH(A572,Inputs!$B$6:$D$6,0)),IF(=INDEX(Roster!$B$6:$B$108,MATCH(D572,Roster!$A$6:$A$108,0))="Assistant Principal",INDEX(Inputs!$B$12:$D$12,1,MATCH(A572,Inputs!$B$6:$D$6,0)),0))))</x:f>
        <x:v>0</x:v>
      </x:c>
      <x:c r="L572" s="20" t="n">
        <x:f>IF(INDEX(Roster!$D$6:$D$108,MATCH(D572,Roster!$A$6:$A$108,0))&gt;=25,INDEX(Inputs!$B$19:$D$19,1,MATCH(A572,Inputs!$B$6:$D$6,0)),IF(INDEX(Roster!$D$6:$D$108,MATCH(D572,Roster!$A$6:$A$108,0))&gt;=20,INDEX(Inputs!$B$18:$D$18,1,MATCH(A572,Inputs!$B$6:$D$6,0)),IF(INDEX(Roster!$D$6:$D$108,MATCH(D572,Roster!$A$6:$A$108,0))&gt;=15,INDEX(Inputs!$B$17:$D$17,1,MATCH(A572,Inputs!$B$6:$D$6,0)),IF(INDEX(Roster!$D$6:$D$108,MATCH(D572,Roster!$A$6:$A$108,0))&gt;=10,INDEX(Inputs!$B$16:$D$16,1,MATCH(A572,Inputs!$B$6:$D$6,0)),IF(INDEX(Roster!$D$6:$D$108,MATCH(D572,Roster!$A$6:$A$108,0))&gt;=5,INDEX(Inputs!$B$15:$D$15,1,MATCH(A572,Inputs!$B$6:$D$6,0)),0)))))</x:f>
        <x:v>90</x:v>
      </x:c>
      <x:c r="M572" s="20" t="n">
        <x:f>G572*I572</x:f>
        <x:v>31135</x:v>
      </x:c>
      <x:c r="N572" s="20" t="n">
        <x:f>G572*J572</x:f>
        <x:v>910</x:v>
      </x:c>
      <x:c r="O572" s="20" t="n">
        <x:f>G572*K572</x:f>
        <x:v>0</x:v>
      </x:c>
      <x:c r="P572" s="20" t="n">
        <x:f>G572*L572</x:f>
        <x:v>1170</x:v>
      </x:c>
      <x:c r="Q572" s="20" t="n">
        <x:f>H572*INDEX(Inputs!$B$13:$D$13,1,MATCH(A572,Inputs!$B$6:$D$6,0))</x:f>
        <x:v>390</x:v>
      </x:c>
      <x:c r="R572" s="20" t="n">
        <x:f>SUM(M572:Q572)</x:f>
        <x:v>33605</x:v>
      </x:c>
      <x:c r="S572" s="20" t="n">
        <x:f>IF(AND(A571=A572,D571=D572),S571+R572,R572)</x:f>
        <x:v>100815</x:v>
      </x:c>
      <x:c r="T572" s="20" t="n">
        <x:f>MIN(S572,INDEX(Inputs!$B$20:$D$20,1,MATCH(A572,Inputs!$B$6:$D$6,0)))*INDEX(Inputs!$B$22:$D$22,1,MATCH(A572,Inputs!$B$6:$D$6,0))+MAX(MIN(S572,INDEX(Inputs!$B$21:$D$21,1,MATCH(A572,Inputs!$B$6:$D$6,0)))-INDEX(Inputs!$B$20:$D$20,1,MATCH(A572,Inputs!$B$6:$D$6,0)),0)*INDEX(Inputs!$B$23:$D$23,1,MATCH(A572,Inputs!$B$6:$D$6,0))+MAX(S572-INDEX(Inputs!$B$21:$D$21,1,MATCH(A572,Inputs!$B$6:$D$6,0)),0)*INDEX(Inputs!$B$24:$D$24,1,MATCH(A572,Inputs!$B$6:$D$6,0))</x:f>
        <x:v>8202.3475</x:v>
      </x:c>
      <x:c r="U572" s="20" t="n">
        <x:f>IF(AND(A571=A572,D571=D572),T571,0)</x:f>
        <x:v>5631.565</x:v>
      </x:c>
      <x:c r="V572" s="20" t="n">
        <x:f>T572-U572</x:f>
        <x:v>2570.7825000000003</x:v>
      </x:c>
      <x:c r="W572" s="20" t="n">
        <x:f>R572+V572</x:f>
        <x:v>36175.7825</x:v>
      </x:c>
      <x:c r="X572" s="14" t="str">
        <x:f>IF(ABS(W572-SUM(M572:Q572)-V572)&lt;0.01,"OK","Check")</x:f>
        <x:v>OK</x:v>
      </x:c>
    </x:row>
    <x:row r="573">
      <x:c r="A573" s="14" t="n">
        <x:v>2027</x:v>
      </x:c>
      <x:c r="B573" s="14" t="str">
        <x:v>Q4</x:v>
      </x:c>
      <x:c r="C573" s="14" t="n">
        <x:v>4</x:v>
      </x:c>
      <x:c r="D573" s="14" t="n">
        <x:v>39</x:v>
      </x:c>
      <x:c r="E573" s="14" t="str">
        <x:f>INDEX(Roster!$B$6:$B$108,MATCH(D573,Roster!$A$6:$A$108,0))</x:f>
      </x:c>
      <x:c r="F573" s="14" t="str">
        <x:f>INDEX(Roster!$F$6:$F$108,MATCH(D573,Roster!$A$6:$A$108,0))</x:f>
        <x:v>No</x:v>
      </x:c>
      <x:c r="G573" s="14" t="n">
        <x:f>INDEX(Inputs!$B$7:$D$7,1,MATCH(A573,Inputs!$B$6:$D$6,0))</x:f>
        <x:v>13</x:v>
      </x:c>
      <x:c r="H573" s="14" t="n">
        <x:f>MIN(=INDEX(Inputs!$B$7:$D$7,1,MATCH(A573,Inputs!$B$6:$D$6,0)),MAX(0,INDEX(Inputs!$B$14:$D$14,1,MATCH(A573,Inputs!$B$6:$D$6,0))-(C573-1)*=INDEX(Inputs!$B$7:$D$7,1,MATCH(A573,Inputs!$B$6:$D$6,0))))</x:f>
        <x:v>0</x:v>
      </x:c>
      <x:c r="I573" s="20" t="n">
        <x:f>INDEX(Inputs!$B$8:$D$8,1,MATCH(A573,Inputs!$B$6:$D$6,0))</x:f>
        <x:v>2395</x:v>
      </x:c>
      <x:c r="J573" s="20" t="n">
        <x:f>INDEX(Roster!$C$6:$C$108,MATCH(D573,Roster!$A$6:$A$108,0))*(1+INDEX(Inputs!$B$9:$D$9,1,MATCH(A573,Inputs!$B$6:$D$6,0)))</x:f>
        <x:v>70</x:v>
      </x:c>
      <x:c r="K573" s="20" t="n">
        <x:f>IF(=INDEX(Roster!$F$6:$F$108,MATCH(D573,Roster!$A$6:$A$108,0))="Yes",0,=INDEX(Inputs!$B$8:$D$8,1,MATCH(A573,Inputs!$B$6:$D$6,0))*IF(=INDEX(Roster!$B$6:$B$108,MATCH(D573,Roster!$A$6:$A$108,0))="Principal",INDEX(Inputs!$B$10:$D$10,1,MATCH(A573,Inputs!$B$6:$D$6,0)),IF(=INDEX(Roster!$B$6:$B$108,MATCH(D573,Roster!$A$6:$A$108,0))="Associate Principal",INDEX(Inputs!$B$11:$D$11,1,MATCH(A573,Inputs!$B$6:$D$6,0)),IF(=INDEX(Roster!$B$6:$B$108,MATCH(D573,Roster!$A$6:$A$108,0))="Assistant Principal",INDEX(Inputs!$B$12:$D$12,1,MATCH(A573,Inputs!$B$6:$D$6,0)),0))))</x:f>
        <x:v>0</x:v>
      </x:c>
      <x:c r="L573" s="20" t="n">
        <x:f>IF(INDEX(Roster!$D$6:$D$108,MATCH(D573,Roster!$A$6:$A$108,0))&gt;=25,INDEX(Inputs!$B$19:$D$19,1,MATCH(A573,Inputs!$B$6:$D$6,0)),IF(INDEX(Roster!$D$6:$D$108,MATCH(D573,Roster!$A$6:$A$108,0))&gt;=20,INDEX(Inputs!$B$18:$D$18,1,MATCH(A573,Inputs!$B$6:$D$6,0)),IF(INDEX(Roster!$D$6:$D$108,MATCH(D573,Roster!$A$6:$A$108,0))&gt;=15,INDEX(Inputs!$B$17:$D$17,1,MATCH(A573,Inputs!$B$6:$D$6,0)),IF(INDEX(Roster!$D$6:$D$108,MATCH(D573,Roster!$A$6:$A$108,0))&gt;=10,INDEX(Inputs!$B$16:$D$16,1,MATCH(A573,Inputs!$B$6:$D$6,0)),IF(INDEX(Roster!$D$6:$D$108,MATCH(D573,Roster!$A$6:$A$108,0))&gt;=5,INDEX(Inputs!$B$15:$D$15,1,MATCH(A573,Inputs!$B$6:$D$6,0)),0)))))</x:f>
        <x:v>90</x:v>
      </x:c>
      <x:c r="M573" s="20" t="n">
        <x:f>G573*I573</x:f>
        <x:v>31135</x:v>
      </x:c>
      <x:c r="N573" s="20" t="n">
        <x:f>G573*J573</x:f>
        <x:v>910</x:v>
      </x:c>
      <x:c r="O573" s="20" t="n">
        <x:f>G573*K573</x:f>
        <x:v>0</x:v>
      </x:c>
      <x:c r="P573" s="20" t="n">
        <x:f>G573*L573</x:f>
        <x:v>1170</x:v>
      </x:c>
      <x:c r="Q573" s="20" t="n">
        <x:f>H573*INDEX(Inputs!$B$13:$D$13,1,MATCH(A573,Inputs!$B$6:$D$6,0))</x:f>
        <x:v>0</x:v>
      </x:c>
      <x:c r="R573" s="20" t="n">
        <x:f>SUM(M573:Q573)</x:f>
        <x:v>33215</x:v>
      </x:c>
      <x:c r="S573" s="20" t="n">
        <x:f>IF(AND(A572=A573,D572=D573),S572+R573,R573)</x:f>
        <x:v>134030</x:v>
      </x:c>
      <x:c r="T573" s="20" t="n">
        <x:f>MIN(S573,INDEX(Inputs!$B$20:$D$20,1,MATCH(A573,Inputs!$B$6:$D$6,0)))*INDEX(Inputs!$B$22:$D$22,1,MATCH(A573,Inputs!$B$6:$D$6,0))+MAX(MIN(S573,INDEX(Inputs!$B$21:$D$21,1,MATCH(A573,Inputs!$B$6:$D$6,0)))-INDEX(Inputs!$B$20:$D$20,1,MATCH(A573,Inputs!$B$6:$D$6,0)),0)*INDEX(Inputs!$B$23:$D$23,1,MATCH(A573,Inputs!$B$6:$D$6,0))+MAX(S573-INDEX(Inputs!$B$21:$D$21,1,MATCH(A573,Inputs!$B$6:$D$6,0)),0)*INDEX(Inputs!$B$24:$D$24,1,MATCH(A573,Inputs!$B$6:$D$6,0))</x:f>
        <x:v>9857.377</x:v>
      </x:c>
      <x:c r="U573" s="20" t="n">
        <x:f>IF(AND(A572=A573,D572=D573),T572,0)</x:f>
        <x:v>8202.3475</x:v>
      </x:c>
      <x:c r="V573" s="20" t="n">
        <x:f>T573-U573</x:f>
        <x:v>1655.0295000000006</x:v>
      </x:c>
      <x:c r="W573" s="20" t="n">
        <x:f>R573+V573</x:f>
        <x:v>34870.029500000004</x:v>
      </x:c>
      <x:c r="X573" s="14" t="str">
        <x:f>IF(ABS(W573-SUM(M573:Q573)-V573)&lt;0.01,"OK","Check")</x:f>
        <x:v>OK</x:v>
      </x:c>
    </x:row>
    <x:row r="574">
      <x:c r="A574" s="14" t="n">
        <x:v>2027</x:v>
      </x:c>
      <x:c r="B574" s="14" t="str">
        <x:v>Q1</x:v>
      </x:c>
      <x:c r="C574" s="14" t="n">
        <x:v>1</x:v>
      </x:c>
      <x:c r="D574" s="14" t="n">
        <x:v>40</x:v>
      </x:c>
      <x:c r="E574" s="14" t="str">
        <x:f>INDEX(Roster!$B$6:$B$108,MATCH(D574,Roster!$A$6:$A$108,0))</x:f>
      </x:c>
      <x:c r="F574" s="14" t="str">
        <x:f>INDEX(Roster!$F$6:$F$108,MATCH(D574,Roster!$A$6:$A$108,0))</x:f>
        <x:v>No</x:v>
      </x:c>
      <x:c r="G574" s="14" t="n">
        <x:f>INDEX(Inputs!$B$7:$D$7,1,MATCH(A574,Inputs!$B$6:$D$6,0))</x:f>
        <x:v>13</x:v>
      </x:c>
      <x:c r="H574" s="14" t="n">
        <x:f>MIN(=INDEX(Inputs!$B$7:$D$7,1,MATCH(A574,Inputs!$B$6:$D$6,0)),MAX(0,INDEX(Inputs!$B$14:$D$14,1,MATCH(A574,Inputs!$B$6:$D$6,0))-(C574-1)*=INDEX(Inputs!$B$7:$D$7,1,MATCH(A574,Inputs!$B$6:$D$6,0))))</x:f>
        <x:v>13</x:v>
      </x:c>
      <x:c r="I574" s="20" t="n">
        <x:f>INDEX(Inputs!$B$8:$D$8,1,MATCH(A574,Inputs!$B$6:$D$6,0))</x:f>
        <x:v>2395</x:v>
      </x:c>
      <x:c r="J574" s="20" t="n">
        <x:f>INDEX(Roster!$C$6:$C$108,MATCH(D574,Roster!$A$6:$A$108,0))*(1+INDEX(Inputs!$B$9:$D$9,1,MATCH(A574,Inputs!$B$6:$D$6,0)))</x:f>
        <x:v>94</x:v>
      </x:c>
      <x:c r="K574" s="20" t="n">
        <x:f>IF(=INDEX(Roster!$F$6:$F$108,MATCH(D574,Roster!$A$6:$A$108,0))="Yes",0,=INDEX(Inputs!$B$8:$D$8,1,MATCH(A574,Inputs!$B$6:$D$6,0))*IF(=INDEX(Roster!$B$6:$B$108,MATCH(D574,Roster!$A$6:$A$108,0))="Principal",INDEX(Inputs!$B$10:$D$10,1,MATCH(A574,Inputs!$B$6:$D$6,0)),IF(=INDEX(Roster!$B$6:$B$108,MATCH(D574,Roster!$A$6:$A$108,0))="Associate Principal",INDEX(Inputs!$B$11:$D$11,1,MATCH(A574,Inputs!$B$6:$D$6,0)),IF(=INDEX(Roster!$B$6:$B$108,MATCH(D574,Roster!$A$6:$A$108,0))="Assistant Principal",INDEX(Inputs!$B$12:$D$12,1,MATCH(A574,Inputs!$B$6:$D$6,0)),0))))</x:f>
        <x:v>0</x:v>
      </x:c>
      <x:c r="L574" s="20" t="n">
        <x:f>IF(INDEX(Roster!$D$6:$D$108,MATCH(D574,Roster!$A$6:$A$108,0))&gt;=25,INDEX(Inputs!$B$19:$D$19,1,MATCH(A574,Inputs!$B$6:$D$6,0)),IF(INDEX(Roster!$D$6:$D$108,MATCH(D574,Roster!$A$6:$A$108,0))&gt;=20,INDEX(Inputs!$B$18:$D$18,1,MATCH(A574,Inputs!$B$6:$D$6,0)),IF(INDEX(Roster!$D$6:$D$108,MATCH(D574,Roster!$A$6:$A$108,0))&gt;=15,INDEX(Inputs!$B$17:$D$17,1,MATCH(A574,Inputs!$B$6:$D$6,0)),IF(INDEX(Roster!$D$6:$D$108,MATCH(D574,Roster!$A$6:$A$108,0))&gt;=10,INDEX(Inputs!$B$16:$D$16,1,MATCH(A574,Inputs!$B$6:$D$6,0)),IF(INDEX(Roster!$D$6:$D$108,MATCH(D574,Roster!$A$6:$A$108,0))&gt;=5,INDEX(Inputs!$B$15:$D$15,1,MATCH(A574,Inputs!$B$6:$D$6,0)),0)))))</x:f>
        <x:v>90</x:v>
      </x:c>
      <x:c r="M574" s="20" t="n">
        <x:f>G574*I574</x:f>
        <x:v>31135</x:v>
      </x:c>
      <x:c r="N574" s="20" t="n">
        <x:f>G574*J574</x:f>
        <x:v>1222</x:v>
      </x:c>
      <x:c r="O574" s="20" t="n">
        <x:f>G574*K574</x:f>
        <x:v>0</x:v>
      </x:c>
      <x:c r="P574" s="20" t="n">
        <x:f>G574*L574</x:f>
        <x:v>1170</x:v>
      </x:c>
      <x:c r="Q574" s="20" t="n">
        <x:f>H574*INDEX(Inputs!$B$13:$D$13,1,MATCH(A574,Inputs!$B$6:$D$6,0))</x:f>
        <x:v>390</x:v>
      </x:c>
      <x:c r="R574" s="20" t="n">
        <x:f>SUM(M574:Q574)</x:f>
        <x:v>33917</x:v>
      </x:c>
      <x:c r="S574" s="20" t="n">
        <x:f>IF(AND(A573=A574,D573=D574),S573+R574,R574)</x:f>
        <x:v>33917</x:v>
      </x:c>
      <x:c r="T574" s="20" t="n">
        <x:f>MIN(S574,INDEX(Inputs!$B$20:$D$20,1,MATCH(A574,Inputs!$B$6:$D$6,0)))*INDEX(Inputs!$B$22:$D$22,1,MATCH(A574,Inputs!$B$6:$D$6,0))+MAX(MIN(S574,INDEX(Inputs!$B$21:$D$21,1,MATCH(A574,Inputs!$B$6:$D$6,0)))-INDEX(Inputs!$B$20:$D$20,1,MATCH(A574,Inputs!$B$6:$D$6,0)),0)*INDEX(Inputs!$B$23:$D$23,1,MATCH(A574,Inputs!$B$6:$D$6,0))+MAX(S574-INDEX(Inputs!$B$21:$D$21,1,MATCH(A574,Inputs!$B$6:$D$6,0)),0)*INDEX(Inputs!$B$24:$D$24,1,MATCH(A574,Inputs!$B$6:$D$6,0))</x:f>
        <x:v>3084.6504999999997</x:v>
      </x:c>
      <x:c r="U574" s="20" t="n">
        <x:f>IF(AND(A573=A574,D573=D574),T573,0)</x:f>
        <x:v>0</x:v>
      </x:c>
      <x:c r="V574" s="20" t="n">
        <x:f>T574-U574</x:f>
        <x:v>3084.6504999999997</x:v>
      </x:c>
      <x:c r="W574" s="20" t="n">
        <x:f>R574+V574</x:f>
        <x:v>37001.6505</x:v>
      </x:c>
      <x:c r="X574" s="14" t="str">
        <x:f>IF(ABS(W574-SUM(M574:Q574)-V574)&lt;0.01,"OK","Check")</x:f>
        <x:v>OK</x:v>
      </x:c>
    </x:row>
    <x:row r="575">
      <x:c r="A575" s="14" t="n">
        <x:v>2027</x:v>
      </x:c>
      <x:c r="B575" s="14" t="str">
        <x:v>Q2</x:v>
      </x:c>
      <x:c r="C575" s="14" t="n">
        <x:v>2</x:v>
      </x:c>
      <x:c r="D575" s="14" t="n">
        <x:v>40</x:v>
      </x:c>
      <x:c r="E575" s="14" t="str">
        <x:f>INDEX(Roster!$B$6:$B$108,MATCH(D575,Roster!$A$6:$A$108,0))</x:f>
      </x:c>
      <x:c r="F575" s="14" t="str">
        <x:f>INDEX(Roster!$F$6:$F$108,MATCH(D575,Roster!$A$6:$A$108,0))</x:f>
        <x:v>No</x:v>
      </x:c>
      <x:c r="G575" s="14" t="n">
        <x:f>INDEX(Inputs!$B$7:$D$7,1,MATCH(A575,Inputs!$B$6:$D$6,0))</x:f>
        <x:v>13</x:v>
      </x:c>
      <x:c r="H575" s="14" t="n">
        <x:f>MIN(=INDEX(Inputs!$B$7:$D$7,1,MATCH(A575,Inputs!$B$6:$D$6,0)),MAX(0,INDEX(Inputs!$B$14:$D$14,1,MATCH(A575,Inputs!$B$6:$D$6,0))-(C575-1)*=INDEX(Inputs!$B$7:$D$7,1,MATCH(A575,Inputs!$B$6:$D$6,0))))</x:f>
        <x:v>13</x:v>
      </x:c>
      <x:c r="I575" s="20" t="n">
        <x:f>INDEX(Inputs!$B$8:$D$8,1,MATCH(A575,Inputs!$B$6:$D$6,0))</x:f>
        <x:v>2395</x:v>
      </x:c>
      <x:c r="J575" s="20" t="n">
        <x:f>INDEX(Roster!$C$6:$C$108,MATCH(D575,Roster!$A$6:$A$108,0))*(1+INDEX(Inputs!$B$9:$D$9,1,MATCH(A575,Inputs!$B$6:$D$6,0)))</x:f>
        <x:v>94</x:v>
      </x:c>
      <x:c r="K575" s="20" t="n">
        <x:f>IF(=INDEX(Roster!$F$6:$F$108,MATCH(D575,Roster!$A$6:$A$108,0))="Yes",0,=INDEX(Inputs!$B$8:$D$8,1,MATCH(A575,Inputs!$B$6:$D$6,0))*IF(=INDEX(Roster!$B$6:$B$108,MATCH(D575,Roster!$A$6:$A$108,0))="Principal",INDEX(Inputs!$B$10:$D$10,1,MATCH(A575,Inputs!$B$6:$D$6,0)),IF(=INDEX(Roster!$B$6:$B$108,MATCH(D575,Roster!$A$6:$A$108,0))="Associate Principal",INDEX(Inputs!$B$11:$D$11,1,MATCH(A575,Inputs!$B$6:$D$6,0)),IF(=INDEX(Roster!$B$6:$B$108,MATCH(D575,Roster!$A$6:$A$108,0))="Assistant Principal",INDEX(Inputs!$B$12:$D$12,1,MATCH(A575,Inputs!$B$6:$D$6,0)),0))))</x:f>
        <x:v>0</x:v>
      </x:c>
      <x:c r="L575" s="20" t="n">
        <x:f>IF(INDEX(Roster!$D$6:$D$108,MATCH(D575,Roster!$A$6:$A$108,0))&gt;=25,INDEX(Inputs!$B$19:$D$19,1,MATCH(A575,Inputs!$B$6:$D$6,0)),IF(INDEX(Roster!$D$6:$D$108,MATCH(D575,Roster!$A$6:$A$108,0))&gt;=20,INDEX(Inputs!$B$18:$D$18,1,MATCH(A575,Inputs!$B$6:$D$6,0)),IF(INDEX(Roster!$D$6:$D$108,MATCH(D575,Roster!$A$6:$A$108,0))&gt;=15,INDEX(Inputs!$B$17:$D$17,1,MATCH(A575,Inputs!$B$6:$D$6,0)),IF(INDEX(Roster!$D$6:$D$108,MATCH(D575,Roster!$A$6:$A$108,0))&gt;=10,INDEX(Inputs!$B$16:$D$16,1,MATCH(A575,Inputs!$B$6:$D$6,0)),IF(INDEX(Roster!$D$6:$D$108,MATCH(D575,Roster!$A$6:$A$108,0))&gt;=5,INDEX(Inputs!$B$15:$D$15,1,MATCH(A575,Inputs!$B$6:$D$6,0)),0)))))</x:f>
        <x:v>90</x:v>
      </x:c>
      <x:c r="M575" s="20" t="n">
        <x:f>G575*I575</x:f>
        <x:v>31135</x:v>
      </x:c>
      <x:c r="N575" s="20" t="n">
        <x:f>G575*J575</x:f>
        <x:v>1222</x:v>
      </x:c>
      <x:c r="O575" s="20" t="n">
        <x:f>G575*K575</x:f>
        <x:v>0</x:v>
      </x:c>
      <x:c r="P575" s="20" t="n">
        <x:f>G575*L575</x:f>
        <x:v>1170</x:v>
      </x:c>
      <x:c r="Q575" s="20" t="n">
        <x:f>H575*INDEX(Inputs!$B$13:$D$13,1,MATCH(A575,Inputs!$B$6:$D$6,0))</x:f>
        <x:v>390</x:v>
      </x:c>
      <x:c r="R575" s="20" t="n">
        <x:f>SUM(M575:Q575)</x:f>
        <x:v>33917</x:v>
      </x:c>
      <x:c r="S575" s="20" t="n">
        <x:f>IF(AND(A574=A575,D574=D575),S574+R575,R575)</x:f>
        <x:v>67834</x:v>
      </x:c>
      <x:c r="T575" s="20" t="n">
        <x:f>MIN(S575,INDEX(Inputs!$B$20:$D$20,1,MATCH(A575,Inputs!$B$6:$D$6,0)))*INDEX(Inputs!$B$22:$D$22,1,MATCH(A575,Inputs!$B$6:$D$6,0))+MAX(MIN(S575,INDEX(Inputs!$B$21:$D$21,1,MATCH(A575,Inputs!$B$6:$D$6,0)))-INDEX(Inputs!$B$20:$D$20,1,MATCH(A575,Inputs!$B$6:$D$6,0)),0)*INDEX(Inputs!$B$23:$D$23,1,MATCH(A575,Inputs!$B$6:$D$6,0))+MAX(S575-INDEX(Inputs!$B$21:$D$21,1,MATCH(A575,Inputs!$B$6:$D$6,0)),0)*INDEX(Inputs!$B$24:$D$24,1,MATCH(A575,Inputs!$B$6:$D$6,0))</x:f>
        <x:v>5679.3009999999995</x:v>
      </x:c>
      <x:c r="U575" s="20" t="n">
        <x:f>IF(AND(A574=A575,D574=D575),T574,0)</x:f>
        <x:v>3084.6504999999997</x:v>
      </x:c>
      <x:c r="V575" s="20" t="n">
        <x:f>T575-U575</x:f>
        <x:v>2594.6504999999997</x:v>
      </x:c>
      <x:c r="W575" s="20" t="n">
        <x:f>R575+V575</x:f>
        <x:v>36511.6505</x:v>
      </x:c>
      <x:c r="X575" s="14" t="str">
        <x:f>IF(ABS(W575-SUM(M575:Q575)-V575)&lt;0.01,"OK","Check")</x:f>
        <x:v>OK</x:v>
      </x:c>
    </x:row>
    <x:row r="576">
      <x:c r="A576" s="14" t="n">
        <x:v>2027</x:v>
      </x:c>
      <x:c r="B576" s="14" t="str">
        <x:v>Q3</x:v>
      </x:c>
      <x:c r="C576" s="14" t="n">
        <x:v>3</x:v>
      </x:c>
      <x:c r="D576" s="14" t="n">
        <x:v>40</x:v>
      </x:c>
      <x:c r="E576" s="14" t="str">
        <x:f>INDEX(Roster!$B$6:$B$108,MATCH(D576,Roster!$A$6:$A$108,0))</x:f>
      </x:c>
      <x:c r="F576" s="14" t="str">
        <x:f>INDEX(Roster!$F$6:$F$108,MATCH(D576,Roster!$A$6:$A$108,0))</x:f>
        <x:v>No</x:v>
      </x:c>
      <x:c r="G576" s="14" t="n">
        <x:f>INDEX(Inputs!$B$7:$D$7,1,MATCH(A576,Inputs!$B$6:$D$6,0))</x:f>
        <x:v>13</x:v>
      </x:c>
      <x:c r="H576" s="14" t="n">
        <x:f>MIN(=INDEX(Inputs!$B$7:$D$7,1,MATCH(A576,Inputs!$B$6:$D$6,0)),MAX(0,INDEX(Inputs!$B$14:$D$14,1,MATCH(A576,Inputs!$B$6:$D$6,0))-(C576-1)*=INDEX(Inputs!$B$7:$D$7,1,MATCH(A576,Inputs!$B$6:$D$6,0))))</x:f>
        <x:v>13</x:v>
      </x:c>
      <x:c r="I576" s="20" t="n">
        <x:f>INDEX(Inputs!$B$8:$D$8,1,MATCH(A576,Inputs!$B$6:$D$6,0))</x:f>
        <x:v>2395</x:v>
      </x:c>
      <x:c r="J576" s="20" t="n">
        <x:f>INDEX(Roster!$C$6:$C$108,MATCH(D576,Roster!$A$6:$A$108,0))*(1+INDEX(Inputs!$B$9:$D$9,1,MATCH(A576,Inputs!$B$6:$D$6,0)))</x:f>
        <x:v>94</x:v>
      </x:c>
      <x:c r="K576" s="20" t="n">
        <x:f>IF(=INDEX(Roster!$F$6:$F$108,MATCH(D576,Roster!$A$6:$A$108,0))="Yes",0,=INDEX(Inputs!$B$8:$D$8,1,MATCH(A576,Inputs!$B$6:$D$6,0))*IF(=INDEX(Roster!$B$6:$B$108,MATCH(D576,Roster!$A$6:$A$108,0))="Principal",INDEX(Inputs!$B$10:$D$10,1,MATCH(A576,Inputs!$B$6:$D$6,0)),IF(=INDEX(Roster!$B$6:$B$108,MATCH(D576,Roster!$A$6:$A$108,0))="Associate Principal",INDEX(Inputs!$B$11:$D$11,1,MATCH(A576,Inputs!$B$6:$D$6,0)),IF(=INDEX(Roster!$B$6:$B$108,MATCH(D576,Roster!$A$6:$A$108,0))="Assistant Principal",INDEX(Inputs!$B$12:$D$12,1,MATCH(A576,Inputs!$B$6:$D$6,0)),0))))</x:f>
        <x:v>0</x:v>
      </x:c>
      <x:c r="L576" s="20" t="n">
        <x:f>IF(INDEX(Roster!$D$6:$D$108,MATCH(D576,Roster!$A$6:$A$108,0))&gt;=25,INDEX(Inputs!$B$19:$D$19,1,MATCH(A576,Inputs!$B$6:$D$6,0)),IF(INDEX(Roster!$D$6:$D$108,MATCH(D576,Roster!$A$6:$A$108,0))&gt;=20,INDEX(Inputs!$B$18:$D$18,1,MATCH(A576,Inputs!$B$6:$D$6,0)),IF(INDEX(Roster!$D$6:$D$108,MATCH(D576,Roster!$A$6:$A$108,0))&gt;=15,INDEX(Inputs!$B$17:$D$17,1,MATCH(A576,Inputs!$B$6:$D$6,0)),IF(INDEX(Roster!$D$6:$D$108,MATCH(D576,Roster!$A$6:$A$108,0))&gt;=10,INDEX(Inputs!$B$16:$D$16,1,MATCH(A576,Inputs!$B$6:$D$6,0)),IF(INDEX(Roster!$D$6:$D$108,MATCH(D576,Roster!$A$6:$A$108,0))&gt;=5,INDEX(Inputs!$B$15:$D$15,1,MATCH(A576,Inputs!$B$6:$D$6,0)),0)))))</x:f>
        <x:v>90</x:v>
      </x:c>
      <x:c r="M576" s="20" t="n">
        <x:f>G576*I576</x:f>
        <x:v>31135</x:v>
      </x:c>
      <x:c r="N576" s="20" t="n">
        <x:f>G576*J576</x:f>
        <x:v>1222</x:v>
      </x:c>
      <x:c r="O576" s="20" t="n">
        <x:f>G576*K576</x:f>
        <x:v>0</x:v>
      </x:c>
      <x:c r="P576" s="20" t="n">
        <x:f>G576*L576</x:f>
        <x:v>1170</x:v>
      </x:c>
      <x:c r="Q576" s="20" t="n">
        <x:f>H576*INDEX(Inputs!$B$13:$D$13,1,MATCH(A576,Inputs!$B$6:$D$6,0))</x:f>
        <x:v>390</x:v>
      </x:c>
      <x:c r="R576" s="20" t="n">
        <x:f>SUM(M576:Q576)</x:f>
        <x:v>33917</x:v>
      </x:c>
      <x:c r="S576" s="20" t="n">
        <x:f>IF(AND(A575=A576,D575=D576),S575+R576,R576)</x:f>
        <x:v>101751</x:v>
      </x:c>
      <x:c r="T576" s="20" t="n">
        <x:f>MIN(S576,INDEX(Inputs!$B$20:$D$20,1,MATCH(A576,Inputs!$B$6:$D$6,0)))*INDEX(Inputs!$B$22:$D$22,1,MATCH(A576,Inputs!$B$6:$D$6,0))+MAX(MIN(S576,INDEX(Inputs!$B$21:$D$21,1,MATCH(A576,Inputs!$B$6:$D$6,0)))-INDEX(Inputs!$B$20:$D$20,1,MATCH(A576,Inputs!$B$6:$D$6,0)),0)*INDEX(Inputs!$B$23:$D$23,1,MATCH(A576,Inputs!$B$6:$D$6,0))+MAX(S576-INDEX(Inputs!$B$21:$D$21,1,MATCH(A576,Inputs!$B$6:$D$6,0)),0)*INDEX(Inputs!$B$24:$D$24,1,MATCH(A576,Inputs!$B$6:$D$6,0))</x:f>
        <x:v>8273.9515</x:v>
      </x:c>
      <x:c r="U576" s="20" t="n">
        <x:f>IF(AND(A575=A576,D575=D576),T575,0)</x:f>
        <x:v>5679.3009999999995</x:v>
      </x:c>
      <x:c r="V576" s="20" t="n">
        <x:f>T576-U576</x:f>
        <x:v>2594.6504999999997</x:v>
      </x:c>
      <x:c r="W576" s="20" t="n">
        <x:f>R576+V576</x:f>
        <x:v>36511.6505</x:v>
      </x:c>
      <x:c r="X576" s="14" t="str">
        <x:f>IF(ABS(W576-SUM(M576:Q576)-V576)&lt;0.01,"OK","Check")</x:f>
        <x:v>OK</x:v>
      </x:c>
    </x:row>
    <x:row r="577">
      <x:c r="A577" s="14" t="n">
        <x:v>2027</x:v>
      </x:c>
      <x:c r="B577" s="14" t="str">
        <x:v>Q4</x:v>
      </x:c>
      <x:c r="C577" s="14" t="n">
        <x:v>4</x:v>
      </x:c>
      <x:c r="D577" s="14" t="n">
        <x:v>40</x:v>
      </x:c>
      <x:c r="E577" s="14" t="str">
        <x:f>INDEX(Roster!$B$6:$B$108,MATCH(D577,Roster!$A$6:$A$108,0))</x:f>
      </x:c>
      <x:c r="F577" s="14" t="str">
        <x:f>INDEX(Roster!$F$6:$F$108,MATCH(D577,Roster!$A$6:$A$108,0))</x:f>
        <x:v>No</x:v>
      </x:c>
      <x:c r="G577" s="14" t="n">
        <x:f>INDEX(Inputs!$B$7:$D$7,1,MATCH(A577,Inputs!$B$6:$D$6,0))</x:f>
        <x:v>13</x:v>
      </x:c>
      <x:c r="H577" s="14" t="n">
        <x:f>MIN(=INDEX(Inputs!$B$7:$D$7,1,MATCH(A577,Inputs!$B$6:$D$6,0)),MAX(0,INDEX(Inputs!$B$14:$D$14,1,MATCH(A577,Inputs!$B$6:$D$6,0))-(C577-1)*=INDEX(Inputs!$B$7:$D$7,1,MATCH(A577,Inputs!$B$6:$D$6,0))))</x:f>
        <x:v>0</x:v>
      </x:c>
      <x:c r="I577" s="20" t="n">
        <x:f>INDEX(Inputs!$B$8:$D$8,1,MATCH(A577,Inputs!$B$6:$D$6,0))</x:f>
        <x:v>2395</x:v>
      </x:c>
      <x:c r="J577" s="20" t="n">
        <x:f>INDEX(Roster!$C$6:$C$108,MATCH(D577,Roster!$A$6:$A$108,0))*(1+INDEX(Inputs!$B$9:$D$9,1,MATCH(A577,Inputs!$B$6:$D$6,0)))</x:f>
        <x:v>94</x:v>
      </x:c>
      <x:c r="K577" s="20" t="n">
        <x:f>IF(=INDEX(Roster!$F$6:$F$108,MATCH(D577,Roster!$A$6:$A$108,0))="Yes",0,=INDEX(Inputs!$B$8:$D$8,1,MATCH(A577,Inputs!$B$6:$D$6,0))*IF(=INDEX(Roster!$B$6:$B$108,MATCH(D577,Roster!$A$6:$A$108,0))="Principal",INDEX(Inputs!$B$10:$D$10,1,MATCH(A577,Inputs!$B$6:$D$6,0)),IF(=INDEX(Roster!$B$6:$B$108,MATCH(D577,Roster!$A$6:$A$108,0))="Associate Principal",INDEX(Inputs!$B$11:$D$11,1,MATCH(A577,Inputs!$B$6:$D$6,0)),IF(=INDEX(Roster!$B$6:$B$108,MATCH(D577,Roster!$A$6:$A$108,0))="Assistant Principal",INDEX(Inputs!$B$12:$D$12,1,MATCH(A577,Inputs!$B$6:$D$6,0)),0))))</x:f>
        <x:v>0</x:v>
      </x:c>
      <x:c r="L577" s="20" t="n">
        <x:f>IF(INDEX(Roster!$D$6:$D$108,MATCH(D577,Roster!$A$6:$A$108,0))&gt;=25,INDEX(Inputs!$B$19:$D$19,1,MATCH(A577,Inputs!$B$6:$D$6,0)),IF(INDEX(Roster!$D$6:$D$108,MATCH(D577,Roster!$A$6:$A$108,0))&gt;=20,INDEX(Inputs!$B$18:$D$18,1,MATCH(A577,Inputs!$B$6:$D$6,0)),IF(INDEX(Roster!$D$6:$D$108,MATCH(D577,Roster!$A$6:$A$108,0))&gt;=15,INDEX(Inputs!$B$17:$D$17,1,MATCH(A577,Inputs!$B$6:$D$6,0)),IF(INDEX(Roster!$D$6:$D$108,MATCH(D577,Roster!$A$6:$A$108,0))&gt;=10,INDEX(Inputs!$B$16:$D$16,1,MATCH(A577,Inputs!$B$6:$D$6,0)),IF(INDEX(Roster!$D$6:$D$108,MATCH(D577,Roster!$A$6:$A$108,0))&gt;=5,INDEX(Inputs!$B$15:$D$15,1,MATCH(A577,Inputs!$B$6:$D$6,0)),0)))))</x:f>
        <x:v>90</x:v>
      </x:c>
      <x:c r="M577" s="20" t="n">
        <x:f>G577*I577</x:f>
        <x:v>31135</x:v>
      </x:c>
      <x:c r="N577" s="20" t="n">
        <x:f>G577*J577</x:f>
        <x:v>1222</x:v>
      </x:c>
      <x:c r="O577" s="20" t="n">
        <x:f>G577*K577</x:f>
        <x:v>0</x:v>
      </x:c>
      <x:c r="P577" s="20" t="n">
        <x:f>G577*L577</x:f>
        <x:v>1170</x:v>
      </x:c>
      <x:c r="Q577" s="20" t="n">
        <x:f>H577*INDEX(Inputs!$B$13:$D$13,1,MATCH(A577,Inputs!$B$6:$D$6,0))</x:f>
        <x:v>0</x:v>
      </x:c>
      <x:c r="R577" s="20" t="n">
        <x:f>SUM(M577:Q577)</x:f>
        <x:v>33527</x:v>
      </x:c>
      <x:c r="S577" s="20" t="n">
        <x:f>IF(AND(A576=A577,D576=D577),S576+R577,R577)</x:f>
        <x:v>135278</x:v>
      </x:c>
      <x:c r="T577" s="20" t="n">
        <x:f>MIN(S577,INDEX(Inputs!$B$20:$D$20,1,MATCH(A577,Inputs!$B$6:$D$6,0)))*INDEX(Inputs!$B$22:$D$22,1,MATCH(A577,Inputs!$B$6:$D$6,0))+MAX(MIN(S577,INDEX(Inputs!$B$21:$D$21,1,MATCH(A577,Inputs!$B$6:$D$6,0)))-INDEX(Inputs!$B$20:$D$20,1,MATCH(A577,Inputs!$B$6:$D$6,0)),0)*INDEX(Inputs!$B$23:$D$23,1,MATCH(A577,Inputs!$B$6:$D$6,0))+MAX(S577-INDEX(Inputs!$B$21:$D$21,1,MATCH(A577,Inputs!$B$6:$D$6,0)),0)*INDEX(Inputs!$B$24:$D$24,1,MATCH(A577,Inputs!$B$6:$D$6,0))</x:f>
        <x:v>9875.473</x:v>
      </x:c>
      <x:c r="U577" s="20" t="n">
        <x:f>IF(AND(A576=A577,D576=D577),T576,0)</x:f>
        <x:v>8273.9515</x:v>
      </x:c>
      <x:c r="V577" s="20" t="n">
        <x:f>T577-U577</x:f>
        <x:v>1601.5215000000007</x:v>
      </x:c>
      <x:c r="W577" s="20" t="n">
        <x:f>R577+V577</x:f>
        <x:v>35128.5215</x:v>
      </x:c>
      <x:c r="X577" s="14" t="str">
        <x:f>IF(ABS(W577-SUM(M577:Q577)-V577)&lt;0.01,"OK","Check")</x:f>
        <x:v>OK</x:v>
      </x:c>
    </x:row>
    <x:row r="578">
      <x:c r="A578" s="14" t="n">
        <x:v>2027</x:v>
      </x:c>
      <x:c r="B578" s="14" t="str">
        <x:v>Q1</x:v>
      </x:c>
      <x:c r="C578" s="14" t="n">
        <x:v>1</x:v>
      </x:c>
      <x:c r="D578" s="14" t="n">
        <x:v>41</x:v>
      </x:c>
      <x:c r="E578" s="14" t="str">
        <x:f>INDEX(Roster!$B$6:$B$108,MATCH(D578,Roster!$A$6:$A$108,0))</x:f>
        <x:v>Principal</x:v>
      </x:c>
      <x:c r="F578" s="14" t="str">
        <x:f>INDEX(Roster!$F$6:$F$108,MATCH(D578,Roster!$A$6:$A$108,0))</x:f>
        <x:v>Yes</x:v>
      </x:c>
      <x:c r="G578" s="14" t="n">
        <x:f>INDEX(Inputs!$B$7:$D$7,1,MATCH(A578,Inputs!$B$6:$D$6,0))</x:f>
        <x:v>13</x:v>
      </x:c>
      <x:c r="H578" s="14" t="n">
        <x:f>MIN(=INDEX(Inputs!$B$7:$D$7,1,MATCH(A578,Inputs!$B$6:$D$6,0)),MAX(0,INDEX(Inputs!$B$14:$D$14,1,MATCH(A578,Inputs!$B$6:$D$6,0))-(C578-1)*=INDEX(Inputs!$B$7:$D$7,1,MATCH(A578,Inputs!$B$6:$D$6,0))))</x:f>
        <x:v>13</x:v>
      </x:c>
      <x:c r="I578" s="20" t="n">
        <x:f>INDEX(Inputs!$B$8:$D$8,1,MATCH(A578,Inputs!$B$6:$D$6,0))</x:f>
        <x:v>2395</x:v>
      </x:c>
      <x:c r="J578" s="20" t="n">
        <x:f>INDEX(Roster!$C$6:$C$108,MATCH(D578,Roster!$A$6:$A$108,0))*(1+INDEX(Inputs!$B$9:$D$9,1,MATCH(A578,Inputs!$B$6:$D$6,0)))</x:f>
        <x:v>600</x:v>
      </x:c>
      <x:c r="K578" s="20" t="n">
        <x:f>IF(=INDEX(Roster!$F$6:$F$108,MATCH(D578,Roster!$A$6:$A$108,0))="Yes",0,=INDEX(Inputs!$B$8:$D$8,1,MATCH(A578,Inputs!$B$6:$D$6,0))*IF(=INDEX(Roster!$B$6:$B$108,MATCH(D578,Roster!$A$6:$A$108,0))="Principal",INDEX(Inputs!$B$10:$D$10,1,MATCH(A578,Inputs!$B$6:$D$6,0)),IF(=INDEX(Roster!$B$6:$B$108,MATCH(D578,Roster!$A$6:$A$108,0))="Associate Principal",INDEX(Inputs!$B$11:$D$11,1,MATCH(A578,Inputs!$B$6:$D$6,0)),IF(=INDEX(Roster!$B$6:$B$108,MATCH(D578,Roster!$A$6:$A$108,0))="Assistant Principal",INDEX(Inputs!$B$12:$D$12,1,MATCH(A578,Inputs!$B$6:$D$6,0)),0))))</x:f>
        <x:v>0</x:v>
      </x:c>
      <x:c r="L578" s="20" t="n">
        <x:f>IF(INDEX(Roster!$D$6:$D$108,MATCH(D578,Roster!$A$6:$A$108,0))&gt;=25,INDEX(Inputs!$B$19:$D$19,1,MATCH(A578,Inputs!$B$6:$D$6,0)),IF(INDEX(Roster!$D$6:$D$108,MATCH(D578,Roster!$A$6:$A$108,0))&gt;=20,INDEX(Inputs!$B$18:$D$18,1,MATCH(A578,Inputs!$B$6:$D$6,0)),IF(INDEX(Roster!$D$6:$D$108,MATCH(D578,Roster!$A$6:$A$108,0))&gt;=15,INDEX(Inputs!$B$17:$D$17,1,MATCH(A578,Inputs!$B$6:$D$6,0)),IF(INDEX(Roster!$D$6:$D$108,MATCH(D578,Roster!$A$6:$A$108,0))&gt;=10,INDEX(Inputs!$B$16:$D$16,1,MATCH(A578,Inputs!$B$6:$D$6,0)),IF(INDEX(Roster!$D$6:$D$108,MATCH(D578,Roster!$A$6:$A$108,0))&gt;=5,INDEX(Inputs!$B$15:$D$15,1,MATCH(A578,Inputs!$B$6:$D$6,0)),0)))))</x:f>
        <x:v>0</x:v>
      </x:c>
      <x:c r="M578" s="20" t="n">
        <x:f>G578*I578</x:f>
        <x:v>31135</x:v>
      </x:c>
      <x:c r="N578" s="20" t="n">
        <x:f>G578*J578</x:f>
        <x:v>7800</x:v>
      </x:c>
      <x:c r="O578" s="20" t="n">
        <x:f>G578*K578</x:f>
        <x:v>0</x:v>
      </x:c>
      <x:c r="P578" s="20" t="n">
        <x:f>G578*L578</x:f>
        <x:v>0</x:v>
      </x:c>
      <x:c r="Q578" s="20" t="n">
        <x:f>H578*INDEX(Inputs!$B$13:$D$13,1,MATCH(A578,Inputs!$B$6:$D$6,0))</x:f>
        <x:v>390</x:v>
      </x:c>
      <x:c r="R578" s="20" t="n">
        <x:f>SUM(M578:Q578)</x:f>
        <x:v>39325</x:v>
      </x:c>
      <x:c r="S578" s="20" t="n">
        <x:f>IF(AND(A577=A578,D577=D578),S577+R578,R578)</x:f>
        <x:v>39325</x:v>
      </x:c>
      <x:c r="T578" s="20" t="n">
        <x:f>MIN(S578,INDEX(Inputs!$B$20:$D$20,1,MATCH(A578,Inputs!$B$6:$D$6,0)))*INDEX(Inputs!$B$22:$D$22,1,MATCH(A578,Inputs!$B$6:$D$6,0))+MAX(MIN(S578,INDEX(Inputs!$B$21:$D$21,1,MATCH(A578,Inputs!$B$6:$D$6,0)))-INDEX(Inputs!$B$20:$D$20,1,MATCH(A578,Inputs!$B$6:$D$6,0)),0)*INDEX(Inputs!$B$23:$D$23,1,MATCH(A578,Inputs!$B$6:$D$6,0))+MAX(S578-INDEX(Inputs!$B$21:$D$21,1,MATCH(A578,Inputs!$B$6:$D$6,0)),0)*INDEX(Inputs!$B$24:$D$24,1,MATCH(A578,Inputs!$B$6:$D$6,0))</x:f>
        <x:v>3498.3624999999997</x:v>
      </x:c>
      <x:c r="U578" s="20" t="n">
        <x:f>IF(AND(A577=A578,D577=D578),T577,0)</x:f>
        <x:v>0</x:v>
      </x:c>
      <x:c r="V578" s="20" t="n">
        <x:f>T578-U578</x:f>
        <x:v>3498.3624999999997</x:v>
      </x:c>
      <x:c r="W578" s="20" t="n">
        <x:f>R578+V578</x:f>
        <x:v>42823.3625</x:v>
      </x:c>
      <x:c r="X578" s="14" t="str">
        <x:f>IF(ABS(W578-SUM(M578:Q578)-V578)&lt;0.01,"OK","Check")</x:f>
        <x:v>OK</x:v>
      </x:c>
    </x:row>
    <x:row r="579">
      <x:c r="A579" s="14" t="n">
        <x:v>2027</x:v>
      </x:c>
      <x:c r="B579" s="14" t="str">
        <x:v>Q2</x:v>
      </x:c>
      <x:c r="C579" s="14" t="n">
        <x:v>2</x:v>
      </x:c>
      <x:c r="D579" s="14" t="n">
        <x:v>41</x:v>
      </x:c>
      <x:c r="E579" s="14" t="str">
        <x:f>INDEX(Roster!$B$6:$B$108,MATCH(D579,Roster!$A$6:$A$108,0))</x:f>
        <x:v>Principal</x:v>
      </x:c>
      <x:c r="F579" s="14" t="str">
        <x:f>INDEX(Roster!$F$6:$F$108,MATCH(D579,Roster!$A$6:$A$108,0))</x:f>
        <x:v>Yes</x:v>
      </x:c>
      <x:c r="G579" s="14" t="n">
        <x:f>INDEX(Inputs!$B$7:$D$7,1,MATCH(A579,Inputs!$B$6:$D$6,0))</x:f>
        <x:v>13</x:v>
      </x:c>
      <x:c r="H579" s="14" t="n">
        <x:f>MIN(=INDEX(Inputs!$B$7:$D$7,1,MATCH(A579,Inputs!$B$6:$D$6,0)),MAX(0,INDEX(Inputs!$B$14:$D$14,1,MATCH(A579,Inputs!$B$6:$D$6,0))-(C579-1)*=INDEX(Inputs!$B$7:$D$7,1,MATCH(A579,Inputs!$B$6:$D$6,0))))</x:f>
        <x:v>13</x:v>
      </x:c>
      <x:c r="I579" s="20" t="n">
        <x:f>INDEX(Inputs!$B$8:$D$8,1,MATCH(A579,Inputs!$B$6:$D$6,0))</x:f>
        <x:v>2395</x:v>
      </x:c>
      <x:c r="J579" s="20" t="n">
        <x:f>INDEX(Roster!$C$6:$C$108,MATCH(D579,Roster!$A$6:$A$108,0))*(1+INDEX(Inputs!$B$9:$D$9,1,MATCH(A579,Inputs!$B$6:$D$6,0)))</x:f>
        <x:v>600</x:v>
      </x:c>
      <x:c r="K579" s="20" t="n">
        <x:f>IF(=INDEX(Roster!$F$6:$F$108,MATCH(D579,Roster!$A$6:$A$108,0))="Yes",0,=INDEX(Inputs!$B$8:$D$8,1,MATCH(A579,Inputs!$B$6:$D$6,0))*IF(=INDEX(Roster!$B$6:$B$108,MATCH(D579,Roster!$A$6:$A$108,0))="Principal",INDEX(Inputs!$B$10:$D$10,1,MATCH(A579,Inputs!$B$6:$D$6,0)),IF(=INDEX(Roster!$B$6:$B$108,MATCH(D579,Roster!$A$6:$A$108,0))="Associate Principal",INDEX(Inputs!$B$11:$D$11,1,MATCH(A579,Inputs!$B$6:$D$6,0)),IF(=INDEX(Roster!$B$6:$B$108,MATCH(D579,Roster!$A$6:$A$108,0))="Assistant Principal",INDEX(Inputs!$B$12:$D$12,1,MATCH(A579,Inputs!$B$6:$D$6,0)),0))))</x:f>
        <x:v>0</x:v>
      </x:c>
      <x:c r="L579" s="20" t="n">
        <x:f>IF(INDEX(Roster!$D$6:$D$108,MATCH(D579,Roster!$A$6:$A$108,0))&gt;=25,INDEX(Inputs!$B$19:$D$19,1,MATCH(A579,Inputs!$B$6:$D$6,0)),IF(INDEX(Roster!$D$6:$D$108,MATCH(D579,Roster!$A$6:$A$108,0))&gt;=20,INDEX(Inputs!$B$18:$D$18,1,MATCH(A579,Inputs!$B$6:$D$6,0)),IF(INDEX(Roster!$D$6:$D$108,MATCH(D579,Roster!$A$6:$A$108,0))&gt;=15,INDEX(Inputs!$B$17:$D$17,1,MATCH(A579,Inputs!$B$6:$D$6,0)),IF(INDEX(Roster!$D$6:$D$108,MATCH(D579,Roster!$A$6:$A$108,0))&gt;=10,INDEX(Inputs!$B$16:$D$16,1,MATCH(A579,Inputs!$B$6:$D$6,0)),IF(INDEX(Roster!$D$6:$D$108,MATCH(D579,Roster!$A$6:$A$108,0))&gt;=5,INDEX(Inputs!$B$15:$D$15,1,MATCH(A579,Inputs!$B$6:$D$6,0)),0)))))</x:f>
        <x:v>0</x:v>
      </x:c>
      <x:c r="M579" s="20" t="n">
        <x:f>G579*I579</x:f>
        <x:v>31135</x:v>
      </x:c>
      <x:c r="N579" s="20" t="n">
        <x:f>G579*J579</x:f>
        <x:v>7800</x:v>
      </x:c>
      <x:c r="O579" s="20" t="n">
        <x:f>G579*K579</x:f>
        <x:v>0</x:v>
      </x:c>
      <x:c r="P579" s="20" t="n">
        <x:f>G579*L579</x:f>
        <x:v>0</x:v>
      </x:c>
      <x:c r="Q579" s="20" t="n">
        <x:f>H579*INDEX(Inputs!$B$13:$D$13,1,MATCH(A579,Inputs!$B$6:$D$6,0))</x:f>
        <x:v>390</x:v>
      </x:c>
      <x:c r="R579" s="20" t="n">
        <x:f>SUM(M579:Q579)</x:f>
        <x:v>39325</x:v>
      </x:c>
      <x:c r="S579" s="20" t="n">
        <x:f>IF(AND(A578=A579,D578=D579),S578+R579,R579)</x:f>
        <x:v>78650</x:v>
      </x:c>
      <x:c r="T579" s="20" t="n">
        <x:f>MIN(S579,INDEX(Inputs!$B$20:$D$20,1,MATCH(A579,Inputs!$B$6:$D$6,0)))*INDEX(Inputs!$B$22:$D$22,1,MATCH(A579,Inputs!$B$6:$D$6,0))+MAX(MIN(S579,INDEX(Inputs!$B$21:$D$21,1,MATCH(A579,Inputs!$B$6:$D$6,0)))-INDEX(Inputs!$B$20:$D$20,1,MATCH(A579,Inputs!$B$6:$D$6,0)),0)*INDEX(Inputs!$B$23:$D$23,1,MATCH(A579,Inputs!$B$6:$D$6,0))+MAX(S579-INDEX(Inputs!$B$21:$D$21,1,MATCH(A579,Inputs!$B$6:$D$6,0)),0)*INDEX(Inputs!$B$24:$D$24,1,MATCH(A579,Inputs!$B$6:$D$6,0))</x:f>
        <x:v>6506.724999999999</x:v>
      </x:c>
      <x:c r="U579" s="20" t="n">
        <x:f>IF(AND(A578=A579,D578=D579),T578,0)</x:f>
        <x:v>3498.3624999999997</x:v>
      </x:c>
      <x:c r="V579" s="20" t="n">
        <x:f>T579-U579</x:f>
        <x:v>3008.3624999999997</x:v>
      </x:c>
      <x:c r="W579" s="20" t="n">
        <x:f>R579+V579</x:f>
        <x:v>42333.3625</x:v>
      </x:c>
      <x:c r="X579" s="14" t="str">
        <x:f>IF(ABS(W579-SUM(M579:Q579)-V579)&lt;0.01,"OK","Check")</x:f>
        <x:v>OK</x:v>
      </x:c>
    </x:row>
    <x:row r="580">
      <x:c r="A580" s="14" t="n">
        <x:v>2027</x:v>
      </x:c>
      <x:c r="B580" s="14" t="str">
        <x:v>Q3</x:v>
      </x:c>
      <x:c r="C580" s="14" t="n">
        <x:v>3</x:v>
      </x:c>
      <x:c r="D580" s="14" t="n">
        <x:v>41</x:v>
      </x:c>
      <x:c r="E580" s="14" t="str">
        <x:f>INDEX(Roster!$B$6:$B$108,MATCH(D580,Roster!$A$6:$A$108,0))</x:f>
        <x:v>Principal</x:v>
      </x:c>
      <x:c r="F580" s="14" t="str">
        <x:f>INDEX(Roster!$F$6:$F$108,MATCH(D580,Roster!$A$6:$A$108,0))</x:f>
        <x:v>Yes</x:v>
      </x:c>
      <x:c r="G580" s="14" t="n">
        <x:f>INDEX(Inputs!$B$7:$D$7,1,MATCH(A580,Inputs!$B$6:$D$6,0))</x:f>
        <x:v>13</x:v>
      </x:c>
      <x:c r="H580" s="14" t="n">
        <x:f>MIN(=INDEX(Inputs!$B$7:$D$7,1,MATCH(A580,Inputs!$B$6:$D$6,0)),MAX(0,INDEX(Inputs!$B$14:$D$14,1,MATCH(A580,Inputs!$B$6:$D$6,0))-(C580-1)*=INDEX(Inputs!$B$7:$D$7,1,MATCH(A580,Inputs!$B$6:$D$6,0))))</x:f>
        <x:v>13</x:v>
      </x:c>
      <x:c r="I580" s="20" t="n">
        <x:f>INDEX(Inputs!$B$8:$D$8,1,MATCH(A580,Inputs!$B$6:$D$6,0))</x:f>
        <x:v>2395</x:v>
      </x:c>
      <x:c r="J580" s="20" t="n">
        <x:f>INDEX(Roster!$C$6:$C$108,MATCH(D580,Roster!$A$6:$A$108,0))*(1+INDEX(Inputs!$B$9:$D$9,1,MATCH(A580,Inputs!$B$6:$D$6,0)))</x:f>
        <x:v>600</x:v>
      </x:c>
      <x:c r="K580" s="20" t="n">
        <x:f>IF(=INDEX(Roster!$F$6:$F$108,MATCH(D580,Roster!$A$6:$A$108,0))="Yes",0,=INDEX(Inputs!$B$8:$D$8,1,MATCH(A580,Inputs!$B$6:$D$6,0))*IF(=INDEX(Roster!$B$6:$B$108,MATCH(D580,Roster!$A$6:$A$108,0))="Principal",INDEX(Inputs!$B$10:$D$10,1,MATCH(A580,Inputs!$B$6:$D$6,0)),IF(=INDEX(Roster!$B$6:$B$108,MATCH(D580,Roster!$A$6:$A$108,0))="Associate Principal",INDEX(Inputs!$B$11:$D$11,1,MATCH(A580,Inputs!$B$6:$D$6,0)),IF(=INDEX(Roster!$B$6:$B$108,MATCH(D580,Roster!$A$6:$A$108,0))="Assistant Principal",INDEX(Inputs!$B$12:$D$12,1,MATCH(A580,Inputs!$B$6:$D$6,0)),0))))</x:f>
        <x:v>0</x:v>
      </x:c>
      <x:c r="L580" s="20" t="n">
        <x:f>IF(INDEX(Roster!$D$6:$D$108,MATCH(D580,Roster!$A$6:$A$108,0))&gt;=25,INDEX(Inputs!$B$19:$D$19,1,MATCH(A580,Inputs!$B$6:$D$6,0)),IF(INDEX(Roster!$D$6:$D$108,MATCH(D580,Roster!$A$6:$A$108,0))&gt;=20,INDEX(Inputs!$B$18:$D$18,1,MATCH(A580,Inputs!$B$6:$D$6,0)),IF(INDEX(Roster!$D$6:$D$108,MATCH(D580,Roster!$A$6:$A$108,0))&gt;=15,INDEX(Inputs!$B$17:$D$17,1,MATCH(A580,Inputs!$B$6:$D$6,0)),IF(INDEX(Roster!$D$6:$D$108,MATCH(D580,Roster!$A$6:$A$108,0))&gt;=10,INDEX(Inputs!$B$16:$D$16,1,MATCH(A580,Inputs!$B$6:$D$6,0)),IF(INDEX(Roster!$D$6:$D$108,MATCH(D580,Roster!$A$6:$A$108,0))&gt;=5,INDEX(Inputs!$B$15:$D$15,1,MATCH(A580,Inputs!$B$6:$D$6,0)),0)))))</x:f>
        <x:v>0</x:v>
      </x:c>
      <x:c r="M580" s="20" t="n">
        <x:f>G580*I580</x:f>
        <x:v>31135</x:v>
      </x:c>
      <x:c r="N580" s="20" t="n">
        <x:f>G580*J580</x:f>
        <x:v>7800</x:v>
      </x:c>
      <x:c r="O580" s="20" t="n">
        <x:f>G580*K580</x:f>
        <x:v>0</x:v>
      </x:c>
      <x:c r="P580" s="20" t="n">
        <x:f>G580*L580</x:f>
        <x:v>0</x:v>
      </x:c>
      <x:c r="Q580" s="20" t="n">
        <x:f>H580*INDEX(Inputs!$B$13:$D$13,1,MATCH(A580,Inputs!$B$6:$D$6,0))</x:f>
        <x:v>390</x:v>
      </x:c>
      <x:c r="R580" s="20" t="n">
        <x:f>SUM(M580:Q580)</x:f>
        <x:v>39325</x:v>
      </x:c>
      <x:c r="S580" s="20" t="n">
        <x:f>IF(AND(A579=A580,D579=D580),S579+R580,R580)</x:f>
        <x:v>117975</x:v>
      </x:c>
      <x:c r="T580" s="20" t="n">
        <x:f>MIN(S580,INDEX(Inputs!$B$20:$D$20,1,MATCH(A580,Inputs!$B$6:$D$6,0)))*INDEX(Inputs!$B$22:$D$22,1,MATCH(A580,Inputs!$B$6:$D$6,0))+MAX(MIN(S580,INDEX(Inputs!$B$21:$D$21,1,MATCH(A580,Inputs!$B$6:$D$6,0)))-INDEX(Inputs!$B$20:$D$20,1,MATCH(A580,Inputs!$B$6:$D$6,0)),0)*INDEX(Inputs!$B$23:$D$23,1,MATCH(A580,Inputs!$B$6:$D$6,0))+MAX(S580-INDEX(Inputs!$B$21:$D$21,1,MATCH(A580,Inputs!$B$6:$D$6,0)),0)*INDEX(Inputs!$B$24:$D$24,1,MATCH(A580,Inputs!$B$6:$D$6,0))</x:f>
        <x:v>9515.0875</x:v>
      </x:c>
      <x:c r="U580" s="20" t="n">
        <x:f>IF(AND(A579=A580,D579=D580),T579,0)</x:f>
        <x:v>6506.724999999999</x:v>
      </x:c>
      <x:c r="V580" s="20" t="n">
        <x:f>T580-U580</x:f>
        <x:v>3008.3625</x:v>
      </x:c>
      <x:c r="W580" s="20" t="n">
        <x:f>R580+V580</x:f>
        <x:v>42333.3625</x:v>
      </x:c>
      <x:c r="X580" s="14" t="str">
        <x:f>IF(ABS(W580-SUM(M580:Q580)-V580)&lt;0.01,"OK","Check")</x:f>
        <x:v>OK</x:v>
      </x:c>
    </x:row>
    <x:row r="581">
      <x:c r="A581" s="14" t="n">
        <x:v>2027</x:v>
      </x:c>
      <x:c r="B581" s="14" t="str">
        <x:v>Q4</x:v>
      </x:c>
      <x:c r="C581" s="14" t="n">
        <x:v>4</x:v>
      </x:c>
      <x:c r="D581" s="14" t="n">
        <x:v>41</x:v>
      </x:c>
      <x:c r="E581" s="14" t="str">
        <x:f>INDEX(Roster!$B$6:$B$108,MATCH(D581,Roster!$A$6:$A$108,0))</x:f>
        <x:v>Principal</x:v>
      </x:c>
      <x:c r="F581" s="14" t="str">
        <x:f>INDEX(Roster!$F$6:$F$108,MATCH(D581,Roster!$A$6:$A$108,0))</x:f>
        <x:v>Yes</x:v>
      </x:c>
      <x:c r="G581" s="14" t="n">
        <x:f>INDEX(Inputs!$B$7:$D$7,1,MATCH(A581,Inputs!$B$6:$D$6,0))</x:f>
        <x:v>13</x:v>
      </x:c>
      <x:c r="H581" s="14" t="n">
        <x:f>MIN(=INDEX(Inputs!$B$7:$D$7,1,MATCH(A581,Inputs!$B$6:$D$6,0)),MAX(0,INDEX(Inputs!$B$14:$D$14,1,MATCH(A581,Inputs!$B$6:$D$6,0))-(C581-1)*=INDEX(Inputs!$B$7:$D$7,1,MATCH(A581,Inputs!$B$6:$D$6,0))))</x:f>
        <x:v>0</x:v>
      </x:c>
      <x:c r="I581" s="20" t="n">
        <x:f>INDEX(Inputs!$B$8:$D$8,1,MATCH(A581,Inputs!$B$6:$D$6,0))</x:f>
        <x:v>2395</x:v>
      </x:c>
      <x:c r="J581" s="20" t="n">
        <x:f>INDEX(Roster!$C$6:$C$108,MATCH(D581,Roster!$A$6:$A$108,0))*(1+INDEX(Inputs!$B$9:$D$9,1,MATCH(A581,Inputs!$B$6:$D$6,0)))</x:f>
        <x:v>600</x:v>
      </x:c>
      <x:c r="K581" s="20" t="n">
        <x:f>IF(=INDEX(Roster!$F$6:$F$108,MATCH(D581,Roster!$A$6:$A$108,0))="Yes",0,=INDEX(Inputs!$B$8:$D$8,1,MATCH(A581,Inputs!$B$6:$D$6,0))*IF(=INDEX(Roster!$B$6:$B$108,MATCH(D581,Roster!$A$6:$A$108,0))="Principal",INDEX(Inputs!$B$10:$D$10,1,MATCH(A581,Inputs!$B$6:$D$6,0)),IF(=INDEX(Roster!$B$6:$B$108,MATCH(D581,Roster!$A$6:$A$108,0))="Associate Principal",INDEX(Inputs!$B$11:$D$11,1,MATCH(A581,Inputs!$B$6:$D$6,0)),IF(=INDEX(Roster!$B$6:$B$108,MATCH(D581,Roster!$A$6:$A$108,0))="Assistant Principal",INDEX(Inputs!$B$12:$D$12,1,MATCH(A581,Inputs!$B$6:$D$6,0)),0))))</x:f>
        <x:v>0</x:v>
      </x:c>
      <x:c r="L581" s="20" t="n">
        <x:f>IF(INDEX(Roster!$D$6:$D$108,MATCH(D581,Roster!$A$6:$A$108,0))&gt;=25,INDEX(Inputs!$B$19:$D$19,1,MATCH(A581,Inputs!$B$6:$D$6,0)),IF(INDEX(Roster!$D$6:$D$108,MATCH(D581,Roster!$A$6:$A$108,0))&gt;=20,INDEX(Inputs!$B$18:$D$18,1,MATCH(A581,Inputs!$B$6:$D$6,0)),IF(INDEX(Roster!$D$6:$D$108,MATCH(D581,Roster!$A$6:$A$108,0))&gt;=15,INDEX(Inputs!$B$17:$D$17,1,MATCH(A581,Inputs!$B$6:$D$6,0)),IF(INDEX(Roster!$D$6:$D$108,MATCH(D581,Roster!$A$6:$A$108,0))&gt;=10,INDEX(Inputs!$B$16:$D$16,1,MATCH(A581,Inputs!$B$6:$D$6,0)),IF(INDEX(Roster!$D$6:$D$108,MATCH(D581,Roster!$A$6:$A$108,0))&gt;=5,INDEX(Inputs!$B$15:$D$15,1,MATCH(A581,Inputs!$B$6:$D$6,0)),0)))))</x:f>
        <x:v>0</x:v>
      </x:c>
      <x:c r="M581" s="20" t="n">
        <x:f>G581*I581</x:f>
        <x:v>31135</x:v>
      </x:c>
      <x:c r="N581" s="20" t="n">
        <x:f>G581*J581</x:f>
        <x:v>7800</x:v>
      </x:c>
      <x:c r="O581" s="20" t="n">
        <x:f>G581*K581</x:f>
        <x:v>0</x:v>
      </x:c>
      <x:c r="P581" s="20" t="n">
        <x:f>G581*L581</x:f>
        <x:v>0</x:v>
      </x:c>
      <x:c r="Q581" s="20" t="n">
        <x:f>H581*INDEX(Inputs!$B$13:$D$13,1,MATCH(A581,Inputs!$B$6:$D$6,0))</x:f>
        <x:v>0</x:v>
      </x:c>
      <x:c r="R581" s="20" t="n">
        <x:f>SUM(M581:Q581)</x:f>
        <x:v>38935</x:v>
      </x:c>
      <x:c r="S581" s="20" t="n">
        <x:f>IF(AND(A580=A581,D580=D581),S580+R581,R581)</x:f>
        <x:v>156910</x:v>
      </x:c>
      <x:c r="T581" s="20" t="n">
        <x:f>MIN(S581,INDEX(Inputs!$B$20:$D$20,1,MATCH(A581,Inputs!$B$6:$D$6,0)))*INDEX(Inputs!$B$22:$D$22,1,MATCH(A581,Inputs!$B$6:$D$6,0))+MAX(MIN(S581,INDEX(Inputs!$B$21:$D$21,1,MATCH(A581,Inputs!$B$6:$D$6,0)))-INDEX(Inputs!$B$20:$D$20,1,MATCH(A581,Inputs!$B$6:$D$6,0)),0)*INDEX(Inputs!$B$23:$D$23,1,MATCH(A581,Inputs!$B$6:$D$6,0))+MAX(S581-INDEX(Inputs!$B$21:$D$21,1,MATCH(A581,Inputs!$B$6:$D$6,0)),0)*INDEX(Inputs!$B$24:$D$24,1,MATCH(A581,Inputs!$B$6:$D$6,0))</x:f>
        <x:v>10189.137</x:v>
      </x:c>
      <x:c r="U581" s="20" t="n">
        <x:f>IF(AND(A580=A581,D580=D581),T580,0)</x:f>
        <x:v>9515.0875</x:v>
      </x:c>
      <x:c r="V581" s="20" t="n">
        <x:f>T581-U581</x:f>
        <x:v>674.049500000001</x:v>
      </x:c>
      <x:c r="W581" s="20" t="n">
        <x:f>R581+V581</x:f>
        <x:v>39609.0495</x:v>
      </x:c>
      <x:c r="X581" s="14" t="str">
        <x:f>IF(ABS(W581-SUM(M581:Q581)-V581)&lt;0.01,"OK","Check")</x:f>
        <x:v>OK</x:v>
      </x:c>
    </x:row>
    <x:row r="582">
      <x:c r="A582" s="14" t="n">
        <x:v>2027</x:v>
      </x:c>
      <x:c r="B582" s="14" t="str">
        <x:v>Q1</x:v>
      </x:c>
      <x:c r="C582" s="14" t="n">
        <x:v>1</x:v>
      </x:c>
      <x:c r="D582" s="14" t="n">
        <x:v>42</x:v>
      </x:c>
      <x:c r="E582" s="14" t="str">
        <x:f>INDEX(Roster!$B$6:$B$108,MATCH(D582,Roster!$A$6:$A$108,0))</x:f>
        <x:v>Principal</x:v>
      </x:c>
      <x:c r="F582" s="14" t="str">
        <x:f>INDEX(Roster!$F$6:$F$108,MATCH(D582,Roster!$A$6:$A$108,0))</x:f>
        <x:v>Yes</x:v>
      </x:c>
      <x:c r="G582" s="14" t="n">
        <x:f>INDEX(Inputs!$B$7:$D$7,1,MATCH(A582,Inputs!$B$6:$D$6,0))</x:f>
        <x:v>13</x:v>
      </x:c>
      <x:c r="H582" s="14" t="n">
        <x:f>MIN(=INDEX(Inputs!$B$7:$D$7,1,MATCH(A582,Inputs!$B$6:$D$6,0)),MAX(0,INDEX(Inputs!$B$14:$D$14,1,MATCH(A582,Inputs!$B$6:$D$6,0))-(C582-1)*=INDEX(Inputs!$B$7:$D$7,1,MATCH(A582,Inputs!$B$6:$D$6,0))))</x:f>
        <x:v>13</x:v>
      </x:c>
      <x:c r="I582" s="20" t="n">
        <x:f>INDEX(Inputs!$B$8:$D$8,1,MATCH(A582,Inputs!$B$6:$D$6,0))</x:f>
        <x:v>2395</x:v>
      </x:c>
      <x:c r="J582" s="20" t="n">
        <x:f>INDEX(Roster!$C$6:$C$108,MATCH(D582,Roster!$A$6:$A$108,0))*(1+INDEX(Inputs!$B$9:$D$9,1,MATCH(A582,Inputs!$B$6:$D$6,0)))</x:f>
        <x:v>1500</x:v>
      </x:c>
      <x:c r="K582" s="20" t="n">
        <x:f>IF(=INDEX(Roster!$F$6:$F$108,MATCH(D582,Roster!$A$6:$A$108,0))="Yes",0,=INDEX(Inputs!$B$8:$D$8,1,MATCH(A582,Inputs!$B$6:$D$6,0))*IF(=INDEX(Roster!$B$6:$B$108,MATCH(D582,Roster!$A$6:$A$108,0))="Principal",INDEX(Inputs!$B$10:$D$10,1,MATCH(A582,Inputs!$B$6:$D$6,0)),IF(=INDEX(Roster!$B$6:$B$108,MATCH(D582,Roster!$A$6:$A$108,0))="Associate Principal",INDEX(Inputs!$B$11:$D$11,1,MATCH(A582,Inputs!$B$6:$D$6,0)),IF(=INDEX(Roster!$B$6:$B$108,MATCH(D582,Roster!$A$6:$A$108,0))="Assistant Principal",INDEX(Inputs!$B$12:$D$12,1,MATCH(A582,Inputs!$B$6:$D$6,0)),0))))</x:f>
        <x:v>0</x:v>
      </x:c>
      <x:c r="L582" s="20" t="n">
        <x:f>IF(INDEX(Roster!$D$6:$D$108,MATCH(D582,Roster!$A$6:$A$108,0))&gt;=25,INDEX(Inputs!$B$19:$D$19,1,MATCH(A582,Inputs!$B$6:$D$6,0)),IF(INDEX(Roster!$D$6:$D$108,MATCH(D582,Roster!$A$6:$A$108,0))&gt;=20,INDEX(Inputs!$B$18:$D$18,1,MATCH(A582,Inputs!$B$6:$D$6,0)),IF(INDEX(Roster!$D$6:$D$108,MATCH(D582,Roster!$A$6:$A$108,0))&gt;=15,INDEX(Inputs!$B$17:$D$17,1,MATCH(A582,Inputs!$B$6:$D$6,0)),IF(INDEX(Roster!$D$6:$D$108,MATCH(D582,Roster!$A$6:$A$108,0))&gt;=10,INDEX(Inputs!$B$16:$D$16,1,MATCH(A582,Inputs!$B$6:$D$6,0)),IF(INDEX(Roster!$D$6:$D$108,MATCH(D582,Roster!$A$6:$A$108,0))&gt;=5,INDEX(Inputs!$B$15:$D$15,1,MATCH(A582,Inputs!$B$6:$D$6,0)),0)))))</x:f>
        <x:v>50</x:v>
      </x:c>
      <x:c r="M582" s="20" t="n">
        <x:f>G582*I582</x:f>
        <x:v>31135</x:v>
      </x:c>
      <x:c r="N582" s="20" t="n">
        <x:f>G582*J582</x:f>
        <x:v>19500</x:v>
      </x:c>
      <x:c r="O582" s="20" t="n">
        <x:f>G582*K582</x:f>
        <x:v>0</x:v>
      </x:c>
      <x:c r="P582" s="20" t="n">
        <x:f>G582*L582</x:f>
        <x:v>650</x:v>
      </x:c>
      <x:c r="Q582" s="20" t="n">
        <x:f>H582*INDEX(Inputs!$B$13:$D$13,1,MATCH(A582,Inputs!$B$6:$D$6,0))</x:f>
        <x:v>390</x:v>
      </x:c>
      <x:c r="R582" s="20" t="n">
        <x:f>SUM(M582:Q582)</x:f>
        <x:v>51675</x:v>
      </x:c>
      <x:c r="S582" s="20" t="n">
        <x:f>IF(AND(A581=A582,D581=D582),S581+R582,R582)</x:f>
        <x:v>51675</x:v>
      </x:c>
      <x:c r="T582" s="20" t="n">
        <x:f>MIN(S582,INDEX(Inputs!$B$20:$D$20,1,MATCH(A582,Inputs!$B$6:$D$6,0)))*INDEX(Inputs!$B$22:$D$22,1,MATCH(A582,Inputs!$B$6:$D$6,0))+MAX(MIN(S582,INDEX(Inputs!$B$21:$D$21,1,MATCH(A582,Inputs!$B$6:$D$6,0)))-INDEX(Inputs!$B$20:$D$20,1,MATCH(A582,Inputs!$B$6:$D$6,0)),0)*INDEX(Inputs!$B$23:$D$23,1,MATCH(A582,Inputs!$B$6:$D$6,0))+MAX(S582-INDEX(Inputs!$B$21:$D$21,1,MATCH(A582,Inputs!$B$6:$D$6,0)),0)*INDEX(Inputs!$B$24:$D$24,1,MATCH(A582,Inputs!$B$6:$D$6,0))</x:f>
        <x:v>4443.1375</x:v>
      </x:c>
      <x:c r="U582" s="20" t="n">
        <x:f>IF(AND(A581=A582,D581=D582),T581,0)</x:f>
        <x:v>0</x:v>
      </x:c>
      <x:c r="V582" s="20" t="n">
        <x:f>T582-U582</x:f>
        <x:v>4443.1375</x:v>
      </x:c>
      <x:c r="W582" s="20" t="n">
        <x:f>R582+V582</x:f>
        <x:v>56118.1375</x:v>
      </x:c>
      <x:c r="X582" s="14" t="str">
        <x:f>IF(ABS(W582-SUM(M582:Q582)-V582)&lt;0.01,"OK","Check")</x:f>
        <x:v>OK</x:v>
      </x:c>
    </x:row>
    <x:row r="583">
      <x:c r="A583" s="14" t="n">
        <x:v>2027</x:v>
      </x:c>
      <x:c r="B583" s="14" t="str">
        <x:v>Q2</x:v>
      </x:c>
      <x:c r="C583" s="14" t="n">
        <x:v>2</x:v>
      </x:c>
      <x:c r="D583" s="14" t="n">
        <x:v>42</x:v>
      </x:c>
      <x:c r="E583" s="14" t="str">
        <x:f>INDEX(Roster!$B$6:$B$108,MATCH(D583,Roster!$A$6:$A$108,0))</x:f>
        <x:v>Principal</x:v>
      </x:c>
      <x:c r="F583" s="14" t="str">
        <x:f>INDEX(Roster!$F$6:$F$108,MATCH(D583,Roster!$A$6:$A$108,0))</x:f>
        <x:v>Yes</x:v>
      </x:c>
      <x:c r="G583" s="14" t="n">
        <x:f>INDEX(Inputs!$B$7:$D$7,1,MATCH(A583,Inputs!$B$6:$D$6,0))</x:f>
        <x:v>13</x:v>
      </x:c>
      <x:c r="H583" s="14" t="n">
        <x:f>MIN(=INDEX(Inputs!$B$7:$D$7,1,MATCH(A583,Inputs!$B$6:$D$6,0)),MAX(0,INDEX(Inputs!$B$14:$D$14,1,MATCH(A583,Inputs!$B$6:$D$6,0))-(C583-1)*=INDEX(Inputs!$B$7:$D$7,1,MATCH(A583,Inputs!$B$6:$D$6,0))))</x:f>
        <x:v>13</x:v>
      </x:c>
      <x:c r="I583" s="20" t="n">
        <x:f>INDEX(Inputs!$B$8:$D$8,1,MATCH(A583,Inputs!$B$6:$D$6,0))</x:f>
        <x:v>2395</x:v>
      </x:c>
      <x:c r="J583" s="20" t="n">
        <x:f>INDEX(Roster!$C$6:$C$108,MATCH(D583,Roster!$A$6:$A$108,0))*(1+INDEX(Inputs!$B$9:$D$9,1,MATCH(A583,Inputs!$B$6:$D$6,0)))</x:f>
        <x:v>1500</x:v>
      </x:c>
      <x:c r="K583" s="20" t="n">
        <x:f>IF(=INDEX(Roster!$F$6:$F$108,MATCH(D583,Roster!$A$6:$A$108,0))="Yes",0,=INDEX(Inputs!$B$8:$D$8,1,MATCH(A583,Inputs!$B$6:$D$6,0))*IF(=INDEX(Roster!$B$6:$B$108,MATCH(D583,Roster!$A$6:$A$108,0))="Principal",INDEX(Inputs!$B$10:$D$10,1,MATCH(A583,Inputs!$B$6:$D$6,0)),IF(=INDEX(Roster!$B$6:$B$108,MATCH(D583,Roster!$A$6:$A$108,0))="Associate Principal",INDEX(Inputs!$B$11:$D$11,1,MATCH(A583,Inputs!$B$6:$D$6,0)),IF(=INDEX(Roster!$B$6:$B$108,MATCH(D583,Roster!$A$6:$A$108,0))="Assistant Principal",INDEX(Inputs!$B$12:$D$12,1,MATCH(A583,Inputs!$B$6:$D$6,0)),0))))</x:f>
        <x:v>0</x:v>
      </x:c>
      <x:c r="L583" s="20" t="n">
        <x:f>IF(INDEX(Roster!$D$6:$D$108,MATCH(D583,Roster!$A$6:$A$108,0))&gt;=25,INDEX(Inputs!$B$19:$D$19,1,MATCH(A583,Inputs!$B$6:$D$6,0)),IF(INDEX(Roster!$D$6:$D$108,MATCH(D583,Roster!$A$6:$A$108,0))&gt;=20,INDEX(Inputs!$B$18:$D$18,1,MATCH(A583,Inputs!$B$6:$D$6,0)),IF(INDEX(Roster!$D$6:$D$108,MATCH(D583,Roster!$A$6:$A$108,0))&gt;=15,INDEX(Inputs!$B$17:$D$17,1,MATCH(A583,Inputs!$B$6:$D$6,0)),IF(INDEX(Roster!$D$6:$D$108,MATCH(D583,Roster!$A$6:$A$108,0))&gt;=10,INDEX(Inputs!$B$16:$D$16,1,MATCH(A583,Inputs!$B$6:$D$6,0)),IF(INDEX(Roster!$D$6:$D$108,MATCH(D583,Roster!$A$6:$A$108,0))&gt;=5,INDEX(Inputs!$B$15:$D$15,1,MATCH(A583,Inputs!$B$6:$D$6,0)),0)))))</x:f>
        <x:v>50</x:v>
      </x:c>
      <x:c r="M583" s="20" t="n">
        <x:f>G583*I583</x:f>
        <x:v>31135</x:v>
      </x:c>
      <x:c r="N583" s="20" t="n">
        <x:f>G583*J583</x:f>
        <x:v>19500</x:v>
      </x:c>
      <x:c r="O583" s="20" t="n">
        <x:f>G583*K583</x:f>
        <x:v>0</x:v>
      </x:c>
      <x:c r="P583" s="20" t="n">
        <x:f>G583*L583</x:f>
        <x:v>650</x:v>
      </x:c>
      <x:c r="Q583" s="20" t="n">
        <x:f>H583*INDEX(Inputs!$B$13:$D$13,1,MATCH(A583,Inputs!$B$6:$D$6,0))</x:f>
        <x:v>390</x:v>
      </x:c>
      <x:c r="R583" s="20" t="n">
        <x:f>SUM(M583:Q583)</x:f>
        <x:v>51675</x:v>
      </x:c>
      <x:c r="S583" s="20" t="n">
        <x:f>IF(AND(A582=A583,D582=D583),S582+R583,R583)</x:f>
        <x:v>103350</x:v>
      </x:c>
      <x:c r="T583" s="20" t="n">
        <x:f>MIN(S583,INDEX(Inputs!$B$20:$D$20,1,MATCH(A583,Inputs!$B$6:$D$6,0)))*INDEX(Inputs!$B$22:$D$22,1,MATCH(A583,Inputs!$B$6:$D$6,0))+MAX(MIN(S583,INDEX(Inputs!$B$21:$D$21,1,MATCH(A583,Inputs!$B$6:$D$6,0)))-INDEX(Inputs!$B$20:$D$20,1,MATCH(A583,Inputs!$B$6:$D$6,0)),0)*INDEX(Inputs!$B$23:$D$23,1,MATCH(A583,Inputs!$B$6:$D$6,0))+MAX(S583-INDEX(Inputs!$B$21:$D$21,1,MATCH(A583,Inputs!$B$6:$D$6,0)),0)*INDEX(Inputs!$B$24:$D$24,1,MATCH(A583,Inputs!$B$6:$D$6,0))</x:f>
        <x:v>8396.275</x:v>
      </x:c>
      <x:c r="U583" s="20" t="n">
        <x:f>IF(AND(A582=A583,D582=D583),T582,0)</x:f>
        <x:v>4443.1375</x:v>
      </x:c>
      <x:c r="V583" s="20" t="n">
        <x:f>T583-U583</x:f>
        <x:v>3953.1375</x:v>
      </x:c>
      <x:c r="W583" s="20" t="n">
        <x:f>R583+V583</x:f>
        <x:v>55628.1375</x:v>
      </x:c>
      <x:c r="X583" s="14" t="str">
        <x:f>IF(ABS(W583-SUM(M583:Q583)-V583)&lt;0.01,"OK","Check")</x:f>
        <x:v>OK</x:v>
      </x:c>
    </x:row>
    <x:row r="584">
      <x:c r="A584" s="14" t="n">
        <x:v>2027</x:v>
      </x:c>
      <x:c r="B584" s="14" t="str">
        <x:v>Q3</x:v>
      </x:c>
      <x:c r="C584" s="14" t="n">
        <x:v>3</x:v>
      </x:c>
      <x:c r="D584" s="14" t="n">
        <x:v>42</x:v>
      </x:c>
      <x:c r="E584" s="14" t="str">
        <x:f>INDEX(Roster!$B$6:$B$108,MATCH(D584,Roster!$A$6:$A$108,0))</x:f>
        <x:v>Principal</x:v>
      </x:c>
      <x:c r="F584" s="14" t="str">
        <x:f>INDEX(Roster!$F$6:$F$108,MATCH(D584,Roster!$A$6:$A$108,0))</x:f>
        <x:v>Yes</x:v>
      </x:c>
      <x:c r="G584" s="14" t="n">
        <x:f>INDEX(Inputs!$B$7:$D$7,1,MATCH(A584,Inputs!$B$6:$D$6,0))</x:f>
        <x:v>13</x:v>
      </x:c>
      <x:c r="H584" s="14" t="n">
        <x:f>MIN(=INDEX(Inputs!$B$7:$D$7,1,MATCH(A584,Inputs!$B$6:$D$6,0)),MAX(0,INDEX(Inputs!$B$14:$D$14,1,MATCH(A584,Inputs!$B$6:$D$6,0))-(C584-1)*=INDEX(Inputs!$B$7:$D$7,1,MATCH(A584,Inputs!$B$6:$D$6,0))))</x:f>
        <x:v>13</x:v>
      </x:c>
      <x:c r="I584" s="20" t="n">
        <x:f>INDEX(Inputs!$B$8:$D$8,1,MATCH(A584,Inputs!$B$6:$D$6,0))</x:f>
        <x:v>2395</x:v>
      </x:c>
      <x:c r="J584" s="20" t="n">
        <x:f>INDEX(Roster!$C$6:$C$108,MATCH(D584,Roster!$A$6:$A$108,0))*(1+INDEX(Inputs!$B$9:$D$9,1,MATCH(A584,Inputs!$B$6:$D$6,0)))</x:f>
        <x:v>1500</x:v>
      </x:c>
      <x:c r="K584" s="20" t="n">
        <x:f>IF(=INDEX(Roster!$F$6:$F$108,MATCH(D584,Roster!$A$6:$A$108,0))="Yes",0,=INDEX(Inputs!$B$8:$D$8,1,MATCH(A584,Inputs!$B$6:$D$6,0))*IF(=INDEX(Roster!$B$6:$B$108,MATCH(D584,Roster!$A$6:$A$108,0))="Principal",INDEX(Inputs!$B$10:$D$10,1,MATCH(A584,Inputs!$B$6:$D$6,0)),IF(=INDEX(Roster!$B$6:$B$108,MATCH(D584,Roster!$A$6:$A$108,0))="Associate Principal",INDEX(Inputs!$B$11:$D$11,1,MATCH(A584,Inputs!$B$6:$D$6,0)),IF(=INDEX(Roster!$B$6:$B$108,MATCH(D584,Roster!$A$6:$A$108,0))="Assistant Principal",INDEX(Inputs!$B$12:$D$12,1,MATCH(A584,Inputs!$B$6:$D$6,0)),0))))</x:f>
        <x:v>0</x:v>
      </x:c>
      <x:c r="L584" s="20" t="n">
        <x:f>IF(INDEX(Roster!$D$6:$D$108,MATCH(D584,Roster!$A$6:$A$108,0))&gt;=25,INDEX(Inputs!$B$19:$D$19,1,MATCH(A584,Inputs!$B$6:$D$6,0)),IF(INDEX(Roster!$D$6:$D$108,MATCH(D584,Roster!$A$6:$A$108,0))&gt;=20,INDEX(Inputs!$B$18:$D$18,1,MATCH(A584,Inputs!$B$6:$D$6,0)),IF(INDEX(Roster!$D$6:$D$108,MATCH(D584,Roster!$A$6:$A$108,0))&gt;=15,INDEX(Inputs!$B$17:$D$17,1,MATCH(A584,Inputs!$B$6:$D$6,0)),IF(INDEX(Roster!$D$6:$D$108,MATCH(D584,Roster!$A$6:$A$108,0))&gt;=10,INDEX(Inputs!$B$16:$D$16,1,MATCH(A584,Inputs!$B$6:$D$6,0)),IF(INDEX(Roster!$D$6:$D$108,MATCH(D584,Roster!$A$6:$A$108,0))&gt;=5,INDEX(Inputs!$B$15:$D$15,1,MATCH(A584,Inputs!$B$6:$D$6,0)),0)))))</x:f>
        <x:v>50</x:v>
      </x:c>
      <x:c r="M584" s="20" t="n">
        <x:f>G584*I584</x:f>
        <x:v>31135</x:v>
      </x:c>
      <x:c r="N584" s="20" t="n">
        <x:f>G584*J584</x:f>
        <x:v>19500</x:v>
      </x:c>
      <x:c r="O584" s="20" t="n">
        <x:f>G584*K584</x:f>
        <x:v>0</x:v>
      </x:c>
      <x:c r="P584" s="20" t="n">
        <x:f>G584*L584</x:f>
        <x:v>650</x:v>
      </x:c>
      <x:c r="Q584" s="20" t="n">
        <x:f>H584*INDEX(Inputs!$B$13:$D$13,1,MATCH(A584,Inputs!$B$6:$D$6,0))</x:f>
        <x:v>390</x:v>
      </x:c>
      <x:c r="R584" s="20" t="n">
        <x:f>SUM(M584:Q584)</x:f>
        <x:v>51675</x:v>
      </x:c>
      <x:c r="S584" s="20" t="n">
        <x:f>IF(AND(A583=A584,D583=D584),S583+R584,R584)</x:f>
        <x:v>155025</x:v>
      </x:c>
      <x:c r="T584" s="20" t="n">
        <x:f>MIN(S584,INDEX(Inputs!$B$20:$D$20,1,MATCH(A584,Inputs!$B$6:$D$6,0)))*INDEX(Inputs!$B$22:$D$22,1,MATCH(A584,Inputs!$B$6:$D$6,0))+MAX(MIN(S584,INDEX(Inputs!$B$21:$D$21,1,MATCH(A584,Inputs!$B$6:$D$6,0)))-INDEX(Inputs!$B$20:$D$20,1,MATCH(A584,Inputs!$B$6:$D$6,0)),0)*INDEX(Inputs!$B$23:$D$23,1,MATCH(A584,Inputs!$B$6:$D$6,0))+MAX(S584-INDEX(Inputs!$B$21:$D$21,1,MATCH(A584,Inputs!$B$6:$D$6,0)),0)*INDEX(Inputs!$B$24:$D$24,1,MATCH(A584,Inputs!$B$6:$D$6,0))</x:f>
        <x:v>10161.8045</x:v>
      </x:c>
      <x:c r="U584" s="20" t="n">
        <x:f>IF(AND(A583=A584,D583=D584),T583,0)</x:f>
        <x:v>8396.275</x:v>
      </x:c>
      <x:c r="V584" s="20" t="n">
        <x:f>T584-U584</x:f>
        <x:v>1765.5295000000006</x:v>
      </x:c>
      <x:c r="W584" s="20" t="n">
        <x:f>R584+V584</x:f>
        <x:v>53440.529500000004</x:v>
      </x:c>
      <x:c r="X584" s="14" t="str">
        <x:f>IF(ABS(W584-SUM(M584:Q584)-V584)&lt;0.01,"OK","Check")</x:f>
        <x:v>OK</x:v>
      </x:c>
    </x:row>
    <x:row r="585">
      <x:c r="A585" s="14" t="n">
        <x:v>2027</x:v>
      </x:c>
      <x:c r="B585" s="14" t="str">
        <x:v>Q4</x:v>
      </x:c>
      <x:c r="C585" s="14" t="n">
        <x:v>4</x:v>
      </x:c>
      <x:c r="D585" s="14" t="n">
        <x:v>42</x:v>
      </x:c>
      <x:c r="E585" s="14" t="str">
        <x:f>INDEX(Roster!$B$6:$B$108,MATCH(D585,Roster!$A$6:$A$108,0))</x:f>
        <x:v>Principal</x:v>
      </x:c>
      <x:c r="F585" s="14" t="str">
        <x:f>INDEX(Roster!$F$6:$F$108,MATCH(D585,Roster!$A$6:$A$108,0))</x:f>
        <x:v>Yes</x:v>
      </x:c>
      <x:c r="G585" s="14" t="n">
        <x:f>INDEX(Inputs!$B$7:$D$7,1,MATCH(A585,Inputs!$B$6:$D$6,0))</x:f>
        <x:v>13</x:v>
      </x:c>
      <x:c r="H585" s="14" t="n">
        <x:f>MIN(=INDEX(Inputs!$B$7:$D$7,1,MATCH(A585,Inputs!$B$6:$D$6,0)),MAX(0,INDEX(Inputs!$B$14:$D$14,1,MATCH(A585,Inputs!$B$6:$D$6,0))-(C585-1)*=INDEX(Inputs!$B$7:$D$7,1,MATCH(A585,Inputs!$B$6:$D$6,0))))</x:f>
        <x:v>0</x:v>
      </x:c>
      <x:c r="I585" s="20" t="n">
        <x:f>INDEX(Inputs!$B$8:$D$8,1,MATCH(A585,Inputs!$B$6:$D$6,0))</x:f>
        <x:v>2395</x:v>
      </x:c>
      <x:c r="J585" s="20" t="n">
        <x:f>INDEX(Roster!$C$6:$C$108,MATCH(D585,Roster!$A$6:$A$108,0))*(1+INDEX(Inputs!$B$9:$D$9,1,MATCH(A585,Inputs!$B$6:$D$6,0)))</x:f>
        <x:v>1500</x:v>
      </x:c>
      <x:c r="K585" s="20" t="n">
        <x:f>IF(=INDEX(Roster!$F$6:$F$108,MATCH(D585,Roster!$A$6:$A$108,0))="Yes",0,=INDEX(Inputs!$B$8:$D$8,1,MATCH(A585,Inputs!$B$6:$D$6,0))*IF(=INDEX(Roster!$B$6:$B$108,MATCH(D585,Roster!$A$6:$A$108,0))="Principal",INDEX(Inputs!$B$10:$D$10,1,MATCH(A585,Inputs!$B$6:$D$6,0)),IF(=INDEX(Roster!$B$6:$B$108,MATCH(D585,Roster!$A$6:$A$108,0))="Associate Principal",INDEX(Inputs!$B$11:$D$11,1,MATCH(A585,Inputs!$B$6:$D$6,0)),IF(=INDEX(Roster!$B$6:$B$108,MATCH(D585,Roster!$A$6:$A$108,0))="Assistant Principal",INDEX(Inputs!$B$12:$D$12,1,MATCH(A585,Inputs!$B$6:$D$6,0)),0))))</x:f>
        <x:v>0</x:v>
      </x:c>
      <x:c r="L585" s="20" t="n">
        <x:f>IF(INDEX(Roster!$D$6:$D$108,MATCH(D585,Roster!$A$6:$A$108,0))&gt;=25,INDEX(Inputs!$B$19:$D$19,1,MATCH(A585,Inputs!$B$6:$D$6,0)),IF(INDEX(Roster!$D$6:$D$108,MATCH(D585,Roster!$A$6:$A$108,0))&gt;=20,INDEX(Inputs!$B$18:$D$18,1,MATCH(A585,Inputs!$B$6:$D$6,0)),IF(INDEX(Roster!$D$6:$D$108,MATCH(D585,Roster!$A$6:$A$108,0))&gt;=15,INDEX(Inputs!$B$17:$D$17,1,MATCH(A585,Inputs!$B$6:$D$6,0)),IF(INDEX(Roster!$D$6:$D$108,MATCH(D585,Roster!$A$6:$A$108,0))&gt;=10,INDEX(Inputs!$B$16:$D$16,1,MATCH(A585,Inputs!$B$6:$D$6,0)),IF(INDEX(Roster!$D$6:$D$108,MATCH(D585,Roster!$A$6:$A$108,0))&gt;=5,INDEX(Inputs!$B$15:$D$15,1,MATCH(A585,Inputs!$B$6:$D$6,0)),0)))))</x:f>
        <x:v>50</x:v>
      </x:c>
      <x:c r="M585" s="20" t="n">
        <x:f>G585*I585</x:f>
        <x:v>31135</x:v>
      </x:c>
      <x:c r="N585" s="20" t="n">
        <x:f>G585*J585</x:f>
        <x:v>19500</x:v>
      </x:c>
      <x:c r="O585" s="20" t="n">
        <x:f>G585*K585</x:f>
        <x:v>0</x:v>
      </x:c>
      <x:c r="P585" s="20" t="n">
        <x:f>G585*L585</x:f>
        <x:v>650</x:v>
      </x:c>
      <x:c r="Q585" s="20" t="n">
        <x:f>H585*INDEX(Inputs!$B$13:$D$13,1,MATCH(A585,Inputs!$B$6:$D$6,0))</x:f>
        <x:v>0</x:v>
      </x:c>
      <x:c r="R585" s="20" t="n">
        <x:f>SUM(M585:Q585)</x:f>
        <x:v>51285</x:v>
      </x:c>
      <x:c r="S585" s="20" t="n">
        <x:f>IF(AND(A584=A585,D584=D585),S584+R585,R585)</x:f>
        <x:v>206310</x:v>
      </x:c>
      <x:c r="T585" s="20" t="n">
        <x:f>MIN(S585,INDEX(Inputs!$B$20:$D$20,1,MATCH(A585,Inputs!$B$6:$D$6,0)))*INDEX(Inputs!$B$22:$D$22,1,MATCH(A585,Inputs!$B$6:$D$6,0))+MAX(MIN(S585,INDEX(Inputs!$B$21:$D$21,1,MATCH(A585,Inputs!$B$6:$D$6,0)))-INDEX(Inputs!$B$20:$D$20,1,MATCH(A585,Inputs!$B$6:$D$6,0)),0)*INDEX(Inputs!$B$23:$D$23,1,MATCH(A585,Inputs!$B$6:$D$6,0))+MAX(S585-INDEX(Inputs!$B$21:$D$21,1,MATCH(A585,Inputs!$B$6:$D$6,0)),0)*INDEX(Inputs!$B$24:$D$24,1,MATCH(A585,Inputs!$B$6:$D$6,0))</x:f>
        <x:v>10905.437</x:v>
      </x:c>
      <x:c r="U585" s="20" t="n">
        <x:f>IF(AND(A584=A585,D584=D585),T584,0)</x:f>
        <x:v>10161.8045</x:v>
      </x:c>
      <x:c r="V585" s="20" t="n">
        <x:f>T585-U585</x:f>
        <x:v>743.6324999999997</x:v>
      </x:c>
      <x:c r="W585" s="20" t="n">
        <x:f>R585+V585</x:f>
        <x:v>52028.6325</x:v>
      </x:c>
      <x:c r="X585" s="14" t="str">
        <x:f>IF(ABS(W585-SUM(M585:Q585)-V585)&lt;0.01,"OK","Check")</x:f>
        <x:v>OK</x:v>
      </x:c>
    </x:row>
    <x:row r="586">
      <x:c r="A586" s="14" t="n">
        <x:v>2027</x:v>
      </x:c>
      <x:c r="B586" s="14" t="str">
        <x:v>Q1</x:v>
      </x:c>
      <x:c r="C586" s="14" t="n">
        <x:v>1</x:v>
      </x:c>
      <x:c r="D586" s="14" t="n">
        <x:v>43</x:v>
      </x:c>
      <x:c r="E586" s="14" t="str">
        <x:f>INDEX(Roster!$B$6:$B$108,MATCH(D586,Roster!$A$6:$A$108,0))</x:f>
      </x:c>
      <x:c r="F586" s="14" t="str">
        <x:f>INDEX(Roster!$F$6:$F$108,MATCH(D586,Roster!$A$6:$A$108,0))</x:f>
        <x:v>No</x:v>
      </x:c>
      <x:c r="G586" s="14" t="n">
        <x:f>INDEX(Inputs!$B$7:$D$7,1,MATCH(A586,Inputs!$B$6:$D$6,0))</x:f>
        <x:v>13</x:v>
      </x:c>
      <x:c r="H586" s="14" t="n">
        <x:f>MIN(=INDEX(Inputs!$B$7:$D$7,1,MATCH(A586,Inputs!$B$6:$D$6,0)),MAX(0,INDEX(Inputs!$B$14:$D$14,1,MATCH(A586,Inputs!$B$6:$D$6,0))-(C586-1)*=INDEX(Inputs!$B$7:$D$7,1,MATCH(A586,Inputs!$B$6:$D$6,0))))</x:f>
        <x:v>13</x:v>
      </x:c>
      <x:c r="I586" s="20" t="n">
        <x:f>INDEX(Inputs!$B$8:$D$8,1,MATCH(A586,Inputs!$B$6:$D$6,0))</x:f>
        <x:v>2395</x:v>
      </x:c>
      <x:c r="J586" s="20" t="n">
        <x:f>INDEX(Roster!$C$6:$C$108,MATCH(D586,Roster!$A$6:$A$108,0))*(1+INDEX(Inputs!$B$9:$D$9,1,MATCH(A586,Inputs!$B$6:$D$6,0)))</x:f>
        <x:v>20</x:v>
      </x:c>
      <x:c r="K586" s="20" t="n">
        <x:f>IF(=INDEX(Roster!$F$6:$F$108,MATCH(D586,Roster!$A$6:$A$108,0))="Yes",0,=INDEX(Inputs!$B$8:$D$8,1,MATCH(A586,Inputs!$B$6:$D$6,0))*IF(=INDEX(Roster!$B$6:$B$108,MATCH(D586,Roster!$A$6:$A$108,0))="Principal",INDEX(Inputs!$B$10:$D$10,1,MATCH(A586,Inputs!$B$6:$D$6,0)),IF(=INDEX(Roster!$B$6:$B$108,MATCH(D586,Roster!$A$6:$A$108,0))="Associate Principal",INDEX(Inputs!$B$11:$D$11,1,MATCH(A586,Inputs!$B$6:$D$6,0)),IF(=INDEX(Roster!$B$6:$B$108,MATCH(D586,Roster!$A$6:$A$108,0))="Assistant Principal",INDEX(Inputs!$B$12:$D$12,1,MATCH(A586,Inputs!$B$6:$D$6,0)),0))))</x:f>
        <x:v>0</x:v>
      </x:c>
      <x:c r="L586" s="20" t="n">
        <x:f>IF(INDEX(Roster!$D$6:$D$108,MATCH(D586,Roster!$A$6:$A$108,0))&gt;=25,INDEX(Inputs!$B$19:$D$19,1,MATCH(A586,Inputs!$B$6:$D$6,0)),IF(INDEX(Roster!$D$6:$D$108,MATCH(D586,Roster!$A$6:$A$108,0))&gt;=20,INDEX(Inputs!$B$18:$D$18,1,MATCH(A586,Inputs!$B$6:$D$6,0)),IF(INDEX(Roster!$D$6:$D$108,MATCH(D586,Roster!$A$6:$A$108,0))&gt;=15,INDEX(Inputs!$B$17:$D$17,1,MATCH(A586,Inputs!$B$6:$D$6,0)),IF(INDEX(Roster!$D$6:$D$108,MATCH(D586,Roster!$A$6:$A$108,0))&gt;=10,INDEX(Inputs!$B$16:$D$16,1,MATCH(A586,Inputs!$B$6:$D$6,0)),IF(INDEX(Roster!$D$6:$D$108,MATCH(D586,Roster!$A$6:$A$108,0))&gt;=5,INDEX(Inputs!$B$15:$D$15,1,MATCH(A586,Inputs!$B$6:$D$6,0)),0)))))</x:f>
        <x:v>50</x:v>
      </x:c>
      <x:c r="M586" s="20" t="n">
        <x:f>G586*I586</x:f>
        <x:v>31135</x:v>
      </x:c>
      <x:c r="N586" s="20" t="n">
        <x:f>G586*J586</x:f>
        <x:v>260</x:v>
      </x:c>
      <x:c r="O586" s="20" t="n">
        <x:f>G586*K586</x:f>
        <x:v>0</x:v>
      </x:c>
      <x:c r="P586" s="20" t="n">
        <x:f>G586*L586</x:f>
        <x:v>650</x:v>
      </x:c>
      <x:c r="Q586" s="20" t="n">
        <x:f>H586*INDEX(Inputs!$B$13:$D$13,1,MATCH(A586,Inputs!$B$6:$D$6,0))</x:f>
        <x:v>390</x:v>
      </x:c>
      <x:c r="R586" s="20" t="n">
        <x:f>SUM(M586:Q586)</x:f>
        <x:v>32435</x:v>
      </x:c>
      <x:c r="S586" s="20" t="n">
        <x:f>IF(AND(A585=A586,D585=D586),S585+R586,R586)</x:f>
        <x:v>32435</x:v>
      </x:c>
      <x:c r="T586" s="20" t="n">
        <x:f>MIN(S586,INDEX(Inputs!$B$20:$D$20,1,MATCH(A586,Inputs!$B$6:$D$6,0)))*INDEX(Inputs!$B$22:$D$22,1,MATCH(A586,Inputs!$B$6:$D$6,0))+MAX(MIN(S586,INDEX(Inputs!$B$21:$D$21,1,MATCH(A586,Inputs!$B$6:$D$6,0)))-INDEX(Inputs!$B$20:$D$20,1,MATCH(A586,Inputs!$B$6:$D$6,0)),0)*INDEX(Inputs!$B$23:$D$23,1,MATCH(A586,Inputs!$B$6:$D$6,0))+MAX(S586-INDEX(Inputs!$B$21:$D$21,1,MATCH(A586,Inputs!$B$6:$D$6,0)),0)*INDEX(Inputs!$B$24:$D$24,1,MATCH(A586,Inputs!$B$6:$D$6,0))</x:f>
        <x:v>2971.2775</x:v>
      </x:c>
      <x:c r="U586" s="20" t="n">
        <x:f>IF(AND(A585=A586,D585=D586),T585,0)</x:f>
        <x:v>0</x:v>
      </x:c>
      <x:c r="V586" s="20" t="n">
        <x:f>T586-U586</x:f>
        <x:v>2971.2775</x:v>
      </x:c>
      <x:c r="W586" s="20" t="n">
        <x:f>R586+V586</x:f>
        <x:v>35406.2775</x:v>
      </x:c>
      <x:c r="X586" s="14" t="str">
        <x:f>IF(ABS(W586-SUM(M586:Q586)-V586)&lt;0.01,"OK","Check")</x:f>
        <x:v>OK</x:v>
      </x:c>
    </x:row>
    <x:row r="587">
      <x:c r="A587" s="14" t="n">
        <x:v>2027</x:v>
      </x:c>
      <x:c r="B587" s="14" t="str">
        <x:v>Q2</x:v>
      </x:c>
      <x:c r="C587" s="14" t="n">
        <x:v>2</x:v>
      </x:c>
      <x:c r="D587" s="14" t="n">
        <x:v>43</x:v>
      </x:c>
      <x:c r="E587" s="14" t="str">
        <x:f>INDEX(Roster!$B$6:$B$108,MATCH(D587,Roster!$A$6:$A$108,0))</x:f>
      </x:c>
      <x:c r="F587" s="14" t="str">
        <x:f>INDEX(Roster!$F$6:$F$108,MATCH(D587,Roster!$A$6:$A$108,0))</x:f>
        <x:v>No</x:v>
      </x:c>
      <x:c r="G587" s="14" t="n">
        <x:f>INDEX(Inputs!$B$7:$D$7,1,MATCH(A587,Inputs!$B$6:$D$6,0))</x:f>
        <x:v>13</x:v>
      </x:c>
      <x:c r="H587" s="14" t="n">
        <x:f>MIN(=INDEX(Inputs!$B$7:$D$7,1,MATCH(A587,Inputs!$B$6:$D$6,0)),MAX(0,INDEX(Inputs!$B$14:$D$14,1,MATCH(A587,Inputs!$B$6:$D$6,0))-(C587-1)*=INDEX(Inputs!$B$7:$D$7,1,MATCH(A587,Inputs!$B$6:$D$6,0))))</x:f>
        <x:v>13</x:v>
      </x:c>
      <x:c r="I587" s="20" t="n">
        <x:f>INDEX(Inputs!$B$8:$D$8,1,MATCH(A587,Inputs!$B$6:$D$6,0))</x:f>
        <x:v>2395</x:v>
      </x:c>
      <x:c r="J587" s="20" t="n">
        <x:f>INDEX(Roster!$C$6:$C$108,MATCH(D587,Roster!$A$6:$A$108,0))*(1+INDEX(Inputs!$B$9:$D$9,1,MATCH(A587,Inputs!$B$6:$D$6,0)))</x:f>
        <x:v>20</x:v>
      </x:c>
      <x:c r="K587" s="20" t="n">
        <x:f>IF(=INDEX(Roster!$F$6:$F$108,MATCH(D587,Roster!$A$6:$A$108,0))="Yes",0,=INDEX(Inputs!$B$8:$D$8,1,MATCH(A587,Inputs!$B$6:$D$6,0))*IF(=INDEX(Roster!$B$6:$B$108,MATCH(D587,Roster!$A$6:$A$108,0))="Principal",INDEX(Inputs!$B$10:$D$10,1,MATCH(A587,Inputs!$B$6:$D$6,0)),IF(=INDEX(Roster!$B$6:$B$108,MATCH(D587,Roster!$A$6:$A$108,0))="Associate Principal",INDEX(Inputs!$B$11:$D$11,1,MATCH(A587,Inputs!$B$6:$D$6,0)),IF(=INDEX(Roster!$B$6:$B$108,MATCH(D587,Roster!$A$6:$A$108,0))="Assistant Principal",INDEX(Inputs!$B$12:$D$12,1,MATCH(A587,Inputs!$B$6:$D$6,0)),0))))</x:f>
        <x:v>0</x:v>
      </x:c>
      <x:c r="L587" s="20" t="n">
        <x:f>IF(INDEX(Roster!$D$6:$D$108,MATCH(D587,Roster!$A$6:$A$108,0))&gt;=25,INDEX(Inputs!$B$19:$D$19,1,MATCH(A587,Inputs!$B$6:$D$6,0)),IF(INDEX(Roster!$D$6:$D$108,MATCH(D587,Roster!$A$6:$A$108,0))&gt;=20,INDEX(Inputs!$B$18:$D$18,1,MATCH(A587,Inputs!$B$6:$D$6,0)),IF(INDEX(Roster!$D$6:$D$108,MATCH(D587,Roster!$A$6:$A$108,0))&gt;=15,INDEX(Inputs!$B$17:$D$17,1,MATCH(A587,Inputs!$B$6:$D$6,0)),IF(INDEX(Roster!$D$6:$D$108,MATCH(D587,Roster!$A$6:$A$108,0))&gt;=10,INDEX(Inputs!$B$16:$D$16,1,MATCH(A587,Inputs!$B$6:$D$6,0)),IF(INDEX(Roster!$D$6:$D$108,MATCH(D587,Roster!$A$6:$A$108,0))&gt;=5,INDEX(Inputs!$B$15:$D$15,1,MATCH(A587,Inputs!$B$6:$D$6,0)),0)))))</x:f>
        <x:v>50</x:v>
      </x:c>
      <x:c r="M587" s="20" t="n">
        <x:f>G587*I587</x:f>
        <x:v>31135</x:v>
      </x:c>
      <x:c r="N587" s="20" t="n">
        <x:f>G587*J587</x:f>
        <x:v>260</x:v>
      </x:c>
      <x:c r="O587" s="20" t="n">
        <x:f>G587*K587</x:f>
        <x:v>0</x:v>
      </x:c>
      <x:c r="P587" s="20" t="n">
        <x:f>G587*L587</x:f>
        <x:v>650</x:v>
      </x:c>
      <x:c r="Q587" s="20" t="n">
        <x:f>H587*INDEX(Inputs!$B$13:$D$13,1,MATCH(A587,Inputs!$B$6:$D$6,0))</x:f>
        <x:v>390</x:v>
      </x:c>
      <x:c r="R587" s="20" t="n">
        <x:f>SUM(M587:Q587)</x:f>
        <x:v>32435</x:v>
      </x:c>
      <x:c r="S587" s="20" t="n">
        <x:f>IF(AND(A586=A587,D586=D587),S586+R587,R587)</x:f>
        <x:v>64870</x:v>
      </x:c>
      <x:c r="T587" s="20" t="n">
        <x:f>MIN(S587,INDEX(Inputs!$B$20:$D$20,1,MATCH(A587,Inputs!$B$6:$D$6,0)))*INDEX(Inputs!$B$22:$D$22,1,MATCH(A587,Inputs!$B$6:$D$6,0))+MAX(MIN(S587,INDEX(Inputs!$B$21:$D$21,1,MATCH(A587,Inputs!$B$6:$D$6,0)))-INDEX(Inputs!$B$20:$D$20,1,MATCH(A587,Inputs!$B$6:$D$6,0)),0)*INDEX(Inputs!$B$23:$D$23,1,MATCH(A587,Inputs!$B$6:$D$6,0))+MAX(S587-INDEX(Inputs!$B$21:$D$21,1,MATCH(A587,Inputs!$B$6:$D$6,0)),0)*INDEX(Inputs!$B$24:$D$24,1,MATCH(A587,Inputs!$B$6:$D$6,0))</x:f>
        <x:v>5452.555</x:v>
      </x:c>
      <x:c r="U587" s="20" t="n">
        <x:f>IF(AND(A586=A587,D586=D587),T586,0)</x:f>
        <x:v>2971.2775</x:v>
      </x:c>
      <x:c r="V587" s="20" t="n">
        <x:f>T587-U587</x:f>
        <x:v>2481.2775</x:v>
      </x:c>
      <x:c r="W587" s="20" t="n">
        <x:f>R587+V587</x:f>
        <x:v>34916.2775</x:v>
      </x:c>
      <x:c r="X587" s="14" t="str">
        <x:f>IF(ABS(W587-SUM(M587:Q587)-V587)&lt;0.01,"OK","Check")</x:f>
        <x:v>OK</x:v>
      </x:c>
    </x:row>
    <x:row r="588">
      <x:c r="A588" s="14" t="n">
        <x:v>2027</x:v>
      </x:c>
      <x:c r="B588" s="14" t="str">
        <x:v>Q3</x:v>
      </x:c>
      <x:c r="C588" s="14" t="n">
        <x:v>3</x:v>
      </x:c>
      <x:c r="D588" s="14" t="n">
        <x:v>43</x:v>
      </x:c>
      <x:c r="E588" s="14" t="str">
        <x:f>INDEX(Roster!$B$6:$B$108,MATCH(D588,Roster!$A$6:$A$108,0))</x:f>
      </x:c>
      <x:c r="F588" s="14" t="str">
        <x:f>INDEX(Roster!$F$6:$F$108,MATCH(D588,Roster!$A$6:$A$108,0))</x:f>
        <x:v>No</x:v>
      </x:c>
      <x:c r="G588" s="14" t="n">
        <x:f>INDEX(Inputs!$B$7:$D$7,1,MATCH(A588,Inputs!$B$6:$D$6,0))</x:f>
        <x:v>13</x:v>
      </x:c>
      <x:c r="H588" s="14" t="n">
        <x:f>MIN(=INDEX(Inputs!$B$7:$D$7,1,MATCH(A588,Inputs!$B$6:$D$6,0)),MAX(0,INDEX(Inputs!$B$14:$D$14,1,MATCH(A588,Inputs!$B$6:$D$6,0))-(C588-1)*=INDEX(Inputs!$B$7:$D$7,1,MATCH(A588,Inputs!$B$6:$D$6,0))))</x:f>
        <x:v>13</x:v>
      </x:c>
      <x:c r="I588" s="20" t="n">
        <x:f>INDEX(Inputs!$B$8:$D$8,1,MATCH(A588,Inputs!$B$6:$D$6,0))</x:f>
        <x:v>2395</x:v>
      </x:c>
      <x:c r="J588" s="20" t="n">
        <x:f>INDEX(Roster!$C$6:$C$108,MATCH(D588,Roster!$A$6:$A$108,0))*(1+INDEX(Inputs!$B$9:$D$9,1,MATCH(A588,Inputs!$B$6:$D$6,0)))</x:f>
        <x:v>20</x:v>
      </x:c>
      <x:c r="K588" s="20" t="n">
        <x:f>IF(=INDEX(Roster!$F$6:$F$108,MATCH(D588,Roster!$A$6:$A$108,0))="Yes",0,=INDEX(Inputs!$B$8:$D$8,1,MATCH(A588,Inputs!$B$6:$D$6,0))*IF(=INDEX(Roster!$B$6:$B$108,MATCH(D588,Roster!$A$6:$A$108,0))="Principal",INDEX(Inputs!$B$10:$D$10,1,MATCH(A588,Inputs!$B$6:$D$6,0)),IF(=INDEX(Roster!$B$6:$B$108,MATCH(D588,Roster!$A$6:$A$108,0))="Associate Principal",INDEX(Inputs!$B$11:$D$11,1,MATCH(A588,Inputs!$B$6:$D$6,0)),IF(=INDEX(Roster!$B$6:$B$108,MATCH(D588,Roster!$A$6:$A$108,0))="Assistant Principal",INDEX(Inputs!$B$12:$D$12,1,MATCH(A588,Inputs!$B$6:$D$6,0)),0))))</x:f>
        <x:v>0</x:v>
      </x:c>
      <x:c r="L588" s="20" t="n">
        <x:f>IF(INDEX(Roster!$D$6:$D$108,MATCH(D588,Roster!$A$6:$A$108,0))&gt;=25,INDEX(Inputs!$B$19:$D$19,1,MATCH(A588,Inputs!$B$6:$D$6,0)),IF(INDEX(Roster!$D$6:$D$108,MATCH(D588,Roster!$A$6:$A$108,0))&gt;=20,INDEX(Inputs!$B$18:$D$18,1,MATCH(A588,Inputs!$B$6:$D$6,0)),IF(INDEX(Roster!$D$6:$D$108,MATCH(D588,Roster!$A$6:$A$108,0))&gt;=15,INDEX(Inputs!$B$17:$D$17,1,MATCH(A588,Inputs!$B$6:$D$6,0)),IF(INDEX(Roster!$D$6:$D$108,MATCH(D588,Roster!$A$6:$A$108,0))&gt;=10,INDEX(Inputs!$B$16:$D$16,1,MATCH(A588,Inputs!$B$6:$D$6,0)),IF(INDEX(Roster!$D$6:$D$108,MATCH(D588,Roster!$A$6:$A$108,0))&gt;=5,INDEX(Inputs!$B$15:$D$15,1,MATCH(A588,Inputs!$B$6:$D$6,0)),0)))))</x:f>
        <x:v>50</x:v>
      </x:c>
      <x:c r="M588" s="20" t="n">
        <x:f>G588*I588</x:f>
        <x:v>31135</x:v>
      </x:c>
      <x:c r="N588" s="20" t="n">
        <x:f>G588*J588</x:f>
        <x:v>260</x:v>
      </x:c>
      <x:c r="O588" s="20" t="n">
        <x:f>G588*K588</x:f>
        <x:v>0</x:v>
      </x:c>
      <x:c r="P588" s="20" t="n">
        <x:f>G588*L588</x:f>
        <x:v>650</x:v>
      </x:c>
      <x:c r="Q588" s="20" t="n">
        <x:f>H588*INDEX(Inputs!$B$13:$D$13,1,MATCH(A588,Inputs!$B$6:$D$6,0))</x:f>
        <x:v>390</x:v>
      </x:c>
      <x:c r="R588" s="20" t="n">
        <x:f>SUM(M588:Q588)</x:f>
        <x:v>32435</x:v>
      </x:c>
      <x:c r="S588" s="20" t="n">
        <x:f>IF(AND(A587=A588,D587=D588),S587+R588,R588)</x:f>
        <x:v>97305</x:v>
      </x:c>
      <x:c r="T588" s="20" t="n">
        <x:f>MIN(S588,INDEX(Inputs!$B$20:$D$20,1,MATCH(A588,Inputs!$B$6:$D$6,0)))*INDEX(Inputs!$B$22:$D$22,1,MATCH(A588,Inputs!$B$6:$D$6,0))+MAX(MIN(S588,INDEX(Inputs!$B$21:$D$21,1,MATCH(A588,Inputs!$B$6:$D$6,0)))-INDEX(Inputs!$B$20:$D$20,1,MATCH(A588,Inputs!$B$6:$D$6,0)),0)*INDEX(Inputs!$B$23:$D$23,1,MATCH(A588,Inputs!$B$6:$D$6,0))+MAX(S588-INDEX(Inputs!$B$21:$D$21,1,MATCH(A588,Inputs!$B$6:$D$6,0)),0)*INDEX(Inputs!$B$24:$D$24,1,MATCH(A588,Inputs!$B$6:$D$6,0))</x:f>
        <x:v>7933.8324999999995</x:v>
      </x:c>
      <x:c r="U588" s="20" t="n">
        <x:f>IF(AND(A587=A588,D587=D588),T587,0)</x:f>
        <x:v>5452.555</x:v>
      </x:c>
      <x:c r="V588" s="20" t="n">
        <x:f>T588-U588</x:f>
        <x:v>2481.2774999999992</x:v>
      </x:c>
      <x:c r="W588" s="20" t="n">
        <x:f>R588+V588</x:f>
        <x:v>34916.2775</x:v>
      </x:c>
      <x:c r="X588" s="14" t="str">
        <x:f>IF(ABS(W588-SUM(M588:Q588)-V588)&lt;0.01,"OK","Check")</x:f>
        <x:v>OK</x:v>
      </x:c>
    </x:row>
    <x:row r="589">
      <x:c r="A589" s="14" t="n">
        <x:v>2027</x:v>
      </x:c>
      <x:c r="B589" s="14" t="str">
        <x:v>Q4</x:v>
      </x:c>
      <x:c r="C589" s="14" t="n">
        <x:v>4</x:v>
      </x:c>
      <x:c r="D589" s="14" t="n">
        <x:v>43</x:v>
      </x:c>
      <x:c r="E589" s="14" t="str">
        <x:f>INDEX(Roster!$B$6:$B$108,MATCH(D589,Roster!$A$6:$A$108,0))</x:f>
      </x:c>
      <x:c r="F589" s="14" t="str">
        <x:f>INDEX(Roster!$F$6:$F$108,MATCH(D589,Roster!$A$6:$A$108,0))</x:f>
        <x:v>No</x:v>
      </x:c>
      <x:c r="G589" s="14" t="n">
        <x:f>INDEX(Inputs!$B$7:$D$7,1,MATCH(A589,Inputs!$B$6:$D$6,0))</x:f>
        <x:v>13</x:v>
      </x:c>
      <x:c r="H589" s="14" t="n">
        <x:f>MIN(=INDEX(Inputs!$B$7:$D$7,1,MATCH(A589,Inputs!$B$6:$D$6,0)),MAX(0,INDEX(Inputs!$B$14:$D$14,1,MATCH(A589,Inputs!$B$6:$D$6,0))-(C589-1)*=INDEX(Inputs!$B$7:$D$7,1,MATCH(A589,Inputs!$B$6:$D$6,0))))</x:f>
        <x:v>0</x:v>
      </x:c>
      <x:c r="I589" s="20" t="n">
        <x:f>INDEX(Inputs!$B$8:$D$8,1,MATCH(A589,Inputs!$B$6:$D$6,0))</x:f>
        <x:v>2395</x:v>
      </x:c>
      <x:c r="J589" s="20" t="n">
        <x:f>INDEX(Roster!$C$6:$C$108,MATCH(D589,Roster!$A$6:$A$108,0))*(1+INDEX(Inputs!$B$9:$D$9,1,MATCH(A589,Inputs!$B$6:$D$6,0)))</x:f>
        <x:v>20</x:v>
      </x:c>
      <x:c r="K589" s="20" t="n">
        <x:f>IF(=INDEX(Roster!$F$6:$F$108,MATCH(D589,Roster!$A$6:$A$108,0))="Yes",0,=INDEX(Inputs!$B$8:$D$8,1,MATCH(A589,Inputs!$B$6:$D$6,0))*IF(=INDEX(Roster!$B$6:$B$108,MATCH(D589,Roster!$A$6:$A$108,0))="Principal",INDEX(Inputs!$B$10:$D$10,1,MATCH(A589,Inputs!$B$6:$D$6,0)),IF(=INDEX(Roster!$B$6:$B$108,MATCH(D589,Roster!$A$6:$A$108,0))="Associate Principal",INDEX(Inputs!$B$11:$D$11,1,MATCH(A589,Inputs!$B$6:$D$6,0)),IF(=INDEX(Roster!$B$6:$B$108,MATCH(D589,Roster!$A$6:$A$108,0))="Assistant Principal",INDEX(Inputs!$B$12:$D$12,1,MATCH(A589,Inputs!$B$6:$D$6,0)),0))))</x:f>
        <x:v>0</x:v>
      </x:c>
      <x:c r="L589" s="20" t="n">
        <x:f>IF(INDEX(Roster!$D$6:$D$108,MATCH(D589,Roster!$A$6:$A$108,0))&gt;=25,INDEX(Inputs!$B$19:$D$19,1,MATCH(A589,Inputs!$B$6:$D$6,0)),IF(INDEX(Roster!$D$6:$D$108,MATCH(D589,Roster!$A$6:$A$108,0))&gt;=20,INDEX(Inputs!$B$18:$D$18,1,MATCH(A589,Inputs!$B$6:$D$6,0)),IF(INDEX(Roster!$D$6:$D$108,MATCH(D589,Roster!$A$6:$A$108,0))&gt;=15,INDEX(Inputs!$B$17:$D$17,1,MATCH(A589,Inputs!$B$6:$D$6,0)),IF(INDEX(Roster!$D$6:$D$108,MATCH(D589,Roster!$A$6:$A$108,0))&gt;=10,INDEX(Inputs!$B$16:$D$16,1,MATCH(A589,Inputs!$B$6:$D$6,0)),IF(INDEX(Roster!$D$6:$D$108,MATCH(D589,Roster!$A$6:$A$108,0))&gt;=5,INDEX(Inputs!$B$15:$D$15,1,MATCH(A589,Inputs!$B$6:$D$6,0)),0)))))</x:f>
        <x:v>50</x:v>
      </x:c>
      <x:c r="M589" s="20" t="n">
        <x:f>G589*I589</x:f>
        <x:v>31135</x:v>
      </x:c>
      <x:c r="N589" s="20" t="n">
        <x:f>G589*J589</x:f>
        <x:v>260</x:v>
      </x:c>
      <x:c r="O589" s="20" t="n">
        <x:f>G589*K589</x:f>
        <x:v>0</x:v>
      </x:c>
      <x:c r="P589" s="20" t="n">
        <x:f>G589*L589</x:f>
        <x:v>650</x:v>
      </x:c>
      <x:c r="Q589" s="20" t="n">
        <x:f>H589*INDEX(Inputs!$B$13:$D$13,1,MATCH(A589,Inputs!$B$6:$D$6,0))</x:f>
        <x:v>0</x:v>
      </x:c>
      <x:c r="R589" s="20" t="n">
        <x:f>SUM(M589:Q589)</x:f>
        <x:v>32045</x:v>
      </x:c>
      <x:c r="S589" s="20" t="n">
        <x:f>IF(AND(A588=A589,D588=D589),S588+R589,R589)</x:f>
        <x:v>129350</x:v>
      </x:c>
      <x:c r="T589" s="20" t="n">
        <x:f>MIN(S589,INDEX(Inputs!$B$20:$D$20,1,MATCH(A589,Inputs!$B$6:$D$6,0)))*INDEX(Inputs!$B$22:$D$22,1,MATCH(A589,Inputs!$B$6:$D$6,0))+MAX(MIN(S589,INDEX(Inputs!$B$21:$D$21,1,MATCH(A589,Inputs!$B$6:$D$6,0)))-INDEX(Inputs!$B$20:$D$20,1,MATCH(A589,Inputs!$B$6:$D$6,0)),0)*INDEX(Inputs!$B$23:$D$23,1,MATCH(A589,Inputs!$B$6:$D$6,0))+MAX(S589-INDEX(Inputs!$B$21:$D$21,1,MATCH(A589,Inputs!$B$6:$D$6,0)),0)*INDEX(Inputs!$B$24:$D$24,1,MATCH(A589,Inputs!$B$6:$D$6,0))</x:f>
        <x:v>9789.517</x:v>
      </x:c>
      <x:c r="U589" s="20" t="n">
        <x:f>IF(AND(A588=A589,D588=D589),T588,0)</x:f>
        <x:v>7933.8324999999995</x:v>
      </x:c>
      <x:c r="V589" s="20" t="n">
        <x:f>T589-U589</x:f>
        <x:v>1855.6845000000003</x:v>
      </x:c>
      <x:c r="W589" s="20" t="n">
        <x:f>R589+V589</x:f>
        <x:v>33900.6845</x:v>
      </x:c>
      <x:c r="X589" s="14" t="str">
        <x:f>IF(ABS(W589-SUM(M589:Q589)-V589)&lt;0.01,"OK","Check")</x:f>
        <x:v>OK</x:v>
      </x:c>
    </x:row>
    <x:row r="590">
      <x:c r="A590" s="14" t="n">
        <x:v>2027</x:v>
      </x:c>
      <x:c r="B590" s="14" t="str">
        <x:v>Q1</x:v>
      </x:c>
      <x:c r="C590" s="14" t="n">
        <x:v>1</x:v>
      </x:c>
      <x:c r="D590" s="14" t="n">
        <x:v>44</x:v>
      </x:c>
      <x:c r="E590" s="14" t="str">
        <x:f>INDEX(Roster!$B$6:$B$108,MATCH(D590,Roster!$A$6:$A$108,0))</x:f>
      </x:c>
      <x:c r="F590" s="14" t="str">
        <x:f>INDEX(Roster!$F$6:$F$108,MATCH(D590,Roster!$A$6:$A$108,0))</x:f>
        <x:v>No</x:v>
      </x:c>
      <x:c r="G590" s="14" t="n">
        <x:f>INDEX(Inputs!$B$7:$D$7,1,MATCH(A590,Inputs!$B$6:$D$6,0))</x:f>
        <x:v>13</x:v>
      </x:c>
      <x:c r="H590" s="14" t="n">
        <x:f>MIN(=INDEX(Inputs!$B$7:$D$7,1,MATCH(A590,Inputs!$B$6:$D$6,0)),MAX(0,INDEX(Inputs!$B$14:$D$14,1,MATCH(A590,Inputs!$B$6:$D$6,0))-(C590-1)*=INDEX(Inputs!$B$7:$D$7,1,MATCH(A590,Inputs!$B$6:$D$6,0))))</x:f>
        <x:v>13</x:v>
      </x:c>
      <x:c r="I590" s="20" t="n">
        <x:f>INDEX(Inputs!$B$8:$D$8,1,MATCH(A590,Inputs!$B$6:$D$6,0))</x:f>
        <x:v>2395</x:v>
      </x:c>
      <x:c r="J590" s="20" t="n">
        <x:f>INDEX(Roster!$C$6:$C$108,MATCH(D590,Roster!$A$6:$A$108,0))*(1+INDEX(Inputs!$B$9:$D$9,1,MATCH(A590,Inputs!$B$6:$D$6,0)))</x:f>
        <x:v>35</x:v>
      </x:c>
      <x:c r="K590" s="20" t="n">
        <x:f>IF(=INDEX(Roster!$F$6:$F$108,MATCH(D590,Roster!$A$6:$A$108,0))="Yes",0,=INDEX(Inputs!$B$8:$D$8,1,MATCH(A590,Inputs!$B$6:$D$6,0))*IF(=INDEX(Roster!$B$6:$B$108,MATCH(D590,Roster!$A$6:$A$108,0))="Principal",INDEX(Inputs!$B$10:$D$10,1,MATCH(A590,Inputs!$B$6:$D$6,0)),IF(=INDEX(Roster!$B$6:$B$108,MATCH(D590,Roster!$A$6:$A$108,0))="Associate Principal",INDEX(Inputs!$B$11:$D$11,1,MATCH(A590,Inputs!$B$6:$D$6,0)),IF(=INDEX(Roster!$B$6:$B$108,MATCH(D590,Roster!$A$6:$A$108,0))="Assistant Principal",INDEX(Inputs!$B$12:$D$12,1,MATCH(A590,Inputs!$B$6:$D$6,0)),0))))</x:f>
        <x:v>0</x:v>
      </x:c>
      <x:c r="L590" s="20" t="n">
        <x:f>IF(INDEX(Roster!$D$6:$D$108,MATCH(D590,Roster!$A$6:$A$108,0))&gt;=25,INDEX(Inputs!$B$19:$D$19,1,MATCH(A590,Inputs!$B$6:$D$6,0)),IF(INDEX(Roster!$D$6:$D$108,MATCH(D590,Roster!$A$6:$A$108,0))&gt;=20,INDEX(Inputs!$B$18:$D$18,1,MATCH(A590,Inputs!$B$6:$D$6,0)),IF(INDEX(Roster!$D$6:$D$108,MATCH(D590,Roster!$A$6:$A$108,0))&gt;=15,INDEX(Inputs!$B$17:$D$17,1,MATCH(A590,Inputs!$B$6:$D$6,0)),IF(INDEX(Roster!$D$6:$D$108,MATCH(D590,Roster!$A$6:$A$108,0))&gt;=10,INDEX(Inputs!$B$16:$D$16,1,MATCH(A590,Inputs!$B$6:$D$6,0)),IF(INDEX(Roster!$D$6:$D$108,MATCH(D590,Roster!$A$6:$A$108,0))&gt;=5,INDEX(Inputs!$B$15:$D$15,1,MATCH(A590,Inputs!$B$6:$D$6,0)),0)))))</x:f>
        <x:v>70</x:v>
      </x:c>
      <x:c r="M590" s="20" t="n">
        <x:f>G590*I590</x:f>
        <x:v>31135</x:v>
      </x:c>
      <x:c r="N590" s="20" t="n">
        <x:f>G590*J590</x:f>
        <x:v>455</x:v>
      </x:c>
      <x:c r="O590" s="20" t="n">
        <x:f>G590*K590</x:f>
        <x:v>0</x:v>
      </x:c>
      <x:c r="P590" s="20" t="n">
        <x:f>G590*L590</x:f>
        <x:v>910</x:v>
      </x:c>
      <x:c r="Q590" s="20" t="n">
        <x:f>H590*INDEX(Inputs!$B$13:$D$13,1,MATCH(A590,Inputs!$B$6:$D$6,0))</x:f>
        <x:v>390</x:v>
      </x:c>
      <x:c r="R590" s="20" t="n">
        <x:f>SUM(M590:Q590)</x:f>
        <x:v>32890</x:v>
      </x:c>
      <x:c r="S590" s="20" t="n">
        <x:f>IF(AND(A589=A590,D589=D590),S589+R590,R590)</x:f>
        <x:v>32890</x:v>
      </x:c>
      <x:c r="T590" s="20" t="n">
        <x:f>MIN(S590,INDEX(Inputs!$B$20:$D$20,1,MATCH(A590,Inputs!$B$6:$D$6,0)))*INDEX(Inputs!$B$22:$D$22,1,MATCH(A590,Inputs!$B$6:$D$6,0))+MAX(MIN(S590,INDEX(Inputs!$B$21:$D$21,1,MATCH(A590,Inputs!$B$6:$D$6,0)))-INDEX(Inputs!$B$20:$D$20,1,MATCH(A590,Inputs!$B$6:$D$6,0)),0)*INDEX(Inputs!$B$23:$D$23,1,MATCH(A590,Inputs!$B$6:$D$6,0))+MAX(S590-INDEX(Inputs!$B$21:$D$21,1,MATCH(A590,Inputs!$B$6:$D$6,0)),0)*INDEX(Inputs!$B$24:$D$24,1,MATCH(A590,Inputs!$B$6:$D$6,0))</x:f>
        <x:v>3006.085</x:v>
      </x:c>
      <x:c r="U590" s="20" t="n">
        <x:f>IF(AND(A589=A590,D589=D590),T589,0)</x:f>
        <x:v>0</x:v>
      </x:c>
      <x:c r="V590" s="20" t="n">
        <x:f>T590-U590</x:f>
        <x:v>3006.085</x:v>
      </x:c>
      <x:c r="W590" s="20" t="n">
        <x:f>R590+V590</x:f>
        <x:v>35896.085</x:v>
      </x:c>
      <x:c r="X590" s="14" t="str">
        <x:f>IF(ABS(W590-SUM(M590:Q590)-V590)&lt;0.01,"OK","Check")</x:f>
        <x:v>OK</x:v>
      </x:c>
    </x:row>
    <x:row r="591">
      <x:c r="A591" s="14" t="n">
        <x:v>2027</x:v>
      </x:c>
      <x:c r="B591" s="14" t="str">
        <x:v>Q2</x:v>
      </x:c>
      <x:c r="C591" s="14" t="n">
        <x:v>2</x:v>
      </x:c>
      <x:c r="D591" s="14" t="n">
        <x:v>44</x:v>
      </x:c>
      <x:c r="E591" s="14" t="str">
        <x:f>INDEX(Roster!$B$6:$B$108,MATCH(D591,Roster!$A$6:$A$108,0))</x:f>
      </x:c>
      <x:c r="F591" s="14" t="str">
        <x:f>INDEX(Roster!$F$6:$F$108,MATCH(D591,Roster!$A$6:$A$108,0))</x:f>
        <x:v>No</x:v>
      </x:c>
      <x:c r="G591" s="14" t="n">
        <x:f>INDEX(Inputs!$B$7:$D$7,1,MATCH(A591,Inputs!$B$6:$D$6,0))</x:f>
        <x:v>13</x:v>
      </x:c>
      <x:c r="H591" s="14" t="n">
        <x:f>MIN(=INDEX(Inputs!$B$7:$D$7,1,MATCH(A591,Inputs!$B$6:$D$6,0)),MAX(0,INDEX(Inputs!$B$14:$D$14,1,MATCH(A591,Inputs!$B$6:$D$6,0))-(C591-1)*=INDEX(Inputs!$B$7:$D$7,1,MATCH(A591,Inputs!$B$6:$D$6,0))))</x:f>
        <x:v>13</x:v>
      </x:c>
      <x:c r="I591" s="20" t="n">
        <x:f>INDEX(Inputs!$B$8:$D$8,1,MATCH(A591,Inputs!$B$6:$D$6,0))</x:f>
        <x:v>2395</x:v>
      </x:c>
      <x:c r="J591" s="20" t="n">
        <x:f>INDEX(Roster!$C$6:$C$108,MATCH(D591,Roster!$A$6:$A$108,0))*(1+INDEX(Inputs!$B$9:$D$9,1,MATCH(A591,Inputs!$B$6:$D$6,0)))</x:f>
        <x:v>35</x:v>
      </x:c>
      <x:c r="K591" s="20" t="n">
        <x:f>IF(=INDEX(Roster!$F$6:$F$108,MATCH(D591,Roster!$A$6:$A$108,0))="Yes",0,=INDEX(Inputs!$B$8:$D$8,1,MATCH(A591,Inputs!$B$6:$D$6,0))*IF(=INDEX(Roster!$B$6:$B$108,MATCH(D591,Roster!$A$6:$A$108,0))="Principal",INDEX(Inputs!$B$10:$D$10,1,MATCH(A591,Inputs!$B$6:$D$6,0)),IF(=INDEX(Roster!$B$6:$B$108,MATCH(D591,Roster!$A$6:$A$108,0))="Associate Principal",INDEX(Inputs!$B$11:$D$11,1,MATCH(A591,Inputs!$B$6:$D$6,0)),IF(=INDEX(Roster!$B$6:$B$108,MATCH(D591,Roster!$A$6:$A$108,0))="Assistant Principal",INDEX(Inputs!$B$12:$D$12,1,MATCH(A591,Inputs!$B$6:$D$6,0)),0))))</x:f>
        <x:v>0</x:v>
      </x:c>
      <x:c r="L591" s="20" t="n">
        <x:f>IF(INDEX(Roster!$D$6:$D$108,MATCH(D591,Roster!$A$6:$A$108,0))&gt;=25,INDEX(Inputs!$B$19:$D$19,1,MATCH(A591,Inputs!$B$6:$D$6,0)),IF(INDEX(Roster!$D$6:$D$108,MATCH(D591,Roster!$A$6:$A$108,0))&gt;=20,INDEX(Inputs!$B$18:$D$18,1,MATCH(A591,Inputs!$B$6:$D$6,0)),IF(INDEX(Roster!$D$6:$D$108,MATCH(D591,Roster!$A$6:$A$108,0))&gt;=15,INDEX(Inputs!$B$17:$D$17,1,MATCH(A591,Inputs!$B$6:$D$6,0)),IF(INDEX(Roster!$D$6:$D$108,MATCH(D591,Roster!$A$6:$A$108,0))&gt;=10,INDEX(Inputs!$B$16:$D$16,1,MATCH(A591,Inputs!$B$6:$D$6,0)),IF(INDEX(Roster!$D$6:$D$108,MATCH(D591,Roster!$A$6:$A$108,0))&gt;=5,INDEX(Inputs!$B$15:$D$15,1,MATCH(A591,Inputs!$B$6:$D$6,0)),0)))))</x:f>
        <x:v>70</x:v>
      </x:c>
      <x:c r="M591" s="20" t="n">
        <x:f>G591*I591</x:f>
        <x:v>31135</x:v>
      </x:c>
      <x:c r="N591" s="20" t="n">
        <x:f>G591*J591</x:f>
        <x:v>455</x:v>
      </x:c>
      <x:c r="O591" s="20" t="n">
        <x:f>G591*K591</x:f>
        <x:v>0</x:v>
      </x:c>
      <x:c r="P591" s="20" t="n">
        <x:f>G591*L591</x:f>
        <x:v>910</x:v>
      </x:c>
      <x:c r="Q591" s="20" t="n">
        <x:f>H591*INDEX(Inputs!$B$13:$D$13,1,MATCH(A591,Inputs!$B$6:$D$6,0))</x:f>
        <x:v>390</x:v>
      </x:c>
      <x:c r="R591" s="20" t="n">
        <x:f>SUM(M591:Q591)</x:f>
        <x:v>32890</x:v>
      </x:c>
      <x:c r="S591" s="20" t="n">
        <x:f>IF(AND(A590=A591,D590=D591),S590+R591,R591)</x:f>
        <x:v>65780</x:v>
      </x:c>
      <x:c r="T591" s="20" t="n">
        <x:f>MIN(S591,INDEX(Inputs!$B$20:$D$20,1,MATCH(A591,Inputs!$B$6:$D$6,0)))*INDEX(Inputs!$B$22:$D$22,1,MATCH(A591,Inputs!$B$6:$D$6,0))+MAX(MIN(S591,INDEX(Inputs!$B$21:$D$21,1,MATCH(A591,Inputs!$B$6:$D$6,0)))-INDEX(Inputs!$B$20:$D$20,1,MATCH(A591,Inputs!$B$6:$D$6,0)),0)*INDEX(Inputs!$B$23:$D$23,1,MATCH(A591,Inputs!$B$6:$D$6,0))+MAX(S591-INDEX(Inputs!$B$21:$D$21,1,MATCH(A591,Inputs!$B$6:$D$6,0)),0)*INDEX(Inputs!$B$24:$D$24,1,MATCH(A591,Inputs!$B$6:$D$6,0))</x:f>
        <x:v>5522.17</x:v>
      </x:c>
      <x:c r="U591" s="20" t="n">
        <x:f>IF(AND(A590=A591,D590=D591),T590,0)</x:f>
        <x:v>3006.085</x:v>
      </x:c>
      <x:c r="V591" s="20" t="n">
        <x:f>T591-U591</x:f>
        <x:v>2516.085</x:v>
      </x:c>
      <x:c r="W591" s="20" t="n">
        <x:f>R591+V591</x:f>
        <x:v>35406.085</x:v>
      </x:c>
      <x:c r="X591" s="14" t="str">
        <x:f>IF(ABS(W591-SUM(M591:Q591)-V591)&lt;0.01,"OK","Check")</x:f>
        <x:v>OK</x:v>
      </x:c>
    </x:row>
    <x:row r="592">
      <x:c r="A592" s="14" t="n">
        <x:v>2027</x:v>
      </x:c>
      <x:c r="B592" s="14" t="str">
        <x:v>Q3</x:v>
      </x:c>
      <x:c r="C592" s="14" t="n">
        <x:v>3</x:v>
      </x:c>
      <x:c r="D592" s="14" t="n">
        <x:v>44</x:v>
      </x:c>
      <x:c r="E592" s="14" t="str">
        <x:f>INDEX(Roster!$B$6:$B$108,MATCH(D592,Roster!$A$6:$A$108,0))</x:f>
      </x:c>
      <x:c r="F592" s="14" t="str">
        <x:f>INDEX(Roster!$F$6:$F$108,MATCH(D592,Roster!$A$6:$A$108,0))</x:f>
        <x:v>No</x:v>
      </x:c>
      <x:c r="G592" s="14" t="n">
        <x:f>INDEX(Inputs!$B$7:$D$7,1,MATCH(A592,Inputs!$B$6:$D$6,0))</x:f>
        <x:v>13</x:v>
      </x:c>
      <x:c r="H592" s="14" t="n">
        <x:f>MIN(=INDEX(Inputs!$B$7:$D$7,1,MATCH(A592,Inputs!$B$6:$D$6,0)),MAX(0,INDEX(Inputs!$B$14:$D$14,1,MATCH(A592,Inputs!$B$6:$D$6,0))-(C592-1)*=INDEX(Inputs!$B$7:$D$7,1,MATCH(A592,Inputs!$B$6:$D$6,0))))</x:f>
        <x:v>13</x:v>
      </x:c>
      <x:c r="I592" s="20" t="n">
        <x:f>INDEX(Inputs!$B$8:$D$8,1,MATCH(A592,Inputs!$B$6:$D$6,0))</x:f>
        <x:v>2395</x:v>
      </x:c>
      <x:c r="J592" s="20" t="n">
        <x:f>INDEX(Roster!$C$6:$C$108,MATCH(D592,Roster!$A$6:$A$108,0))*(1+INDEX(Inputs!$B$9:$D$9,1,MATCH(A592,Inputs!$B$6:$D$6,0)))</x:f>
        <x:v>35</x:v>
      </x:c>
      <x:c r="K592" s="20" t="n">
        <x:f>IF(=INDEX(Roster!$F$6:$F$108,MATCH(D592,Roster!$A$6:$A$108,0))="Yes",0,=INDEX(Inputs!$B$8:$D$8,1,MATCH(A592,Inputs!$B$6:$D$6,0))*IF(=INDEX(Roster!$B$6:$B$108,MATCH(D592,Roster!$A$6:$A$108,0))="Principal",INDEX(Inputs!$B$10:$D$10,1,MATCH(A592,Inputs!$B$6:$D$6,0)),IF(=INDEX(Roster!$B$6:$B$108,MATCH(D592,Roster!$A$6:$A$108,0))="Associate Principal",INDEX(Inputs!$B$11:$D$11,1,MATCH(A592,Inputs!$B$6:$D$6,0)),IF(=INDEX(Roster!$B$6:$B$108,MATCH(D592,Roster!$A$6:$A$108,0))="Assistant Principal",INDEX(Inputs!$B$12:$D$12,1,MATCH(A592,Inputs!$B$6:$D$6,0)),0))))</x:f>
        <x:v>0</x:v>
      </x:c>
      <x:c r="L592" s="20" t="n">
        <x:f>IF(INDEX(Roster!$D$6:$D$108,MATCH(D592,Roster!$A$6:$A$108,0))&gt;=25,INDEX(Inputs!$B$19:$D$19,1,MATCH(A592,Inputs!$B$6:$D$6,0)),IF(INDEX(Roster!$D$6:$D$108,MATCH(D592,Roster!$A$6:$A$108,0))&gt;=20,INDEX(Inputs!$B$18:$D$18,1,MATCH(A592,Inputs!$B$6:$D$6,0)),IF(INDEX(Roster!$D$6:$D$108,MATCH(D592,Roster!$A$6:$A$108,0))&gt;=15,INDEX(Inputs!$B$17:$D$17,1,MATCH(A592,Inputs!$B$6:$D$6,0)),IF(INDEX(Roster!$D$6:$D$108,MATCH(D592,Roster!$A$6:$A$108,0))&gt;=10,INDEX(Inputs!$B$16:$D$16,1,MATCH(A592,Inputs!$B$6:$D$6,0)),IF(INDEX(Roster!$D$6:$D$108,MATCH(D592,Roster!$A$6:$A$108,0))&gt;=5,INDEX(Inputs!$B$15:$D$15,1,MATCH(A592,Inputs!$B$6:$D$6,0)),0)))))</x:f>
        <x:v>70</x:v>
      </x:c>
      <x:c r="M592" s="20" t="n">
        <x:f>G592*I592</x:f>
        <x:v>31135</x:v>
      </x:c>
      <x:c r="N592" s="20" t="n">
        <x:f>G592*J592</x:f>
        <x:v>455</x:v>
      </x:c>
      <x:c r="O592" s="20" t="n">
        <x:f>G592*K592</x:f>
        <x:v>0</x:v>
      </x:c>
      <x:c r="P592" s="20" t="n">
        <x:f>G592*L592</x:f>
        <x:v>910</x:v>
      </x:c>
      <x:c r="Q592" s="20" t="n">
        <x:f>H592*INDEX(Inputs!$B$13:$D$13,1,MATCH(A592,Inputs!$B$6:$D$6,0))</x:f>
        <x:v>390</x:v>
      </x:c>
      <x:c r="R592" s="20" t="n">
        <x:f>SUM(M592:Q592)</x:f>
        <x:v>32890</x:v>
      </x:c>
      <x:c r="S592" s="20" t="n">
        <x:f>IF(AND(A591=A592,D591=D592),S591+R592,R592)</x:f>
        <x:v>98670</x:v>
      </x:c>
      <x:c r="T592" s="20" t="n">
        <x:f>MIN(S592,INDEX(Inputs!$B$20:$D$20,1,MATCH(A592,Inputs!$B$6:$D$6,0)))*INDEX(Inputs!$B$22:$D$22,1,MATCH(A592,Inputs!$B$6:$D$6,0))+MAX(MIN(S592,INDEX(Inputs!$B$21:$D$21,1,MATCH(A592,Inputs!$B$6:$D$6,0)))-INDEX(Inputs!$B$20:$D$20,1,MATCH(A592,Inputs!$B$6:$D$6,0)),0)*INDEX(Inputs!$B$23:$D$23,1,MATCH(A592,Inputs!$B$6:$D$6,0))+MAX(S592-INDEX(Inputs!$B$21:$D$21,1,MATCH(A592,Inputs!$B$6:$D$6,0)),0)*INDEX(Inputs!$B$24:$D$24,1,MATCH(A592,Inputs!$B$6:$D$6,0))</x:f>
        <x:v>8038.255</x:v>
      </x:c>
      <x:c r="U592" s="20" t="n">
        <x:f>IF(AND(A591=A592,D591=D592),T591,0)</x:f>
        <x:v>5522.17</x:v>
      </x:c>
      <x:c r="V592" s="20" t="n">
        <x:f>T592-U592</x:f>
        <x:v>2516.085</x:v>
      </x:c>
      <x:c r="W592" s="20" t="n">
        <x:f>R592+V592</x:f>
        <x:v>35406.085</x:v>
      </x:c>
      <x:c r="X592" s="14" t="str">
        <x:f>IF(ABS(W592-SUM(M592:Q592)-V592)&lt;0.01,"OK","Check")</x:f>
        <x:v>OK</x:v>
      </x:c>
    </x:row>
    <x:row r="593">
      <x:c r="A593" s="14" t="n">
        <x:v>2027</x:v>
      </x:c>
      <x:c r="B593" s="14" t="str">
        <x:v>Q4</x:v>
      </x:c>
      <x:c r="C593" s="14" t="n">
        <x:v>4</x:v>
      </x:c>
      <x:c r="D593" s="14" t="n">
        <x:v>44</x:v>
      </x:c>
      <x:c r="E593" s="14" t="str">
        <x:f>INDEX(Roster!$B$6:$B$108,MATCH(D593,Roster!$A$6:$A$108,0))</x:f>
      </x:c>
      <x:c r="F593" s="14" t="str">
        <x:f>INDEX(Roster!$F$6:$F$108,MATCH(D593,Roster!$A$6:$A$108,0))</x:f>
        <x:v>No</x:v>
      </x:c>
      <x:c r="G593" s="14" t="n">
        <x:f>INDEX(Inputs!$B$7:$D$7,1,MATCH(A593,Inputs!$B$6:$D$6,0))</x:f>
        <x:v>13</x:v>
      </x:c>
      <x:c r="H593" s="14" t="n">
        <x:f>MIN(=INDEX(Inputs!$B$7:$D$7,1,MATCH(A593,Inputs!$B$6:$D$6,0)),MAX(0,INDEX(Inputs!$B$14:$D$14,1,MATCH(A593,Inputs!$B$6:$D$6,0))-(C593-1)*=INDEX(Inputs!$B$7:$D$7,1,MATCH(A593,Inputs!$B$6:$D$6,0))))</x:f>
        <x:v>0</x:v>
      </x:c>
      <x:c r="I593" s="20" t="n">
        <x:f>INDEX(Inputs!$B$8:$D$8,1,MATCH(A593,Inputs!$B$6:$D$6,0))</x:f>
        <x:v>2395</x:v>
      </x:c>
      <x:c r="J593" s="20" t="n">
        <x:f>INDEX(Roster!$C$6:$C$108,MATCH(D593,Roster!$A$6:$A$108,0))*(1+INDEX(Inputs!$B$9:$D$9,1,MATCH(A593,Inputs!$B$6:$D$6,0)))</x:f>
        <x:v>35</x:v>
      </x:c>
      <x:c r="K593" s="20" t="n">
        <x:f>IF(=INDEX(Roster!$F$6:$F$108,MATCH(D593,Roster!$A$6:$A$108,0))="Yes",0,=INDEX(Inputs!$B$8:$D$8,1,MATCH(A593,Inputs!$B$6:$D$6,0))*IF(=INDEX(Roster!$B$6:$B$108,MATCH(D593,Roster!$A$6:$A$108,0))="Principal",INDEX(Inputs!$B$10:$D$10,1,MATCH(A593,Inputs!$B$6:$D$6,0)),IF(=INDEX(Roster!$B$6:$B$108,MATCH(D593,Roster!$A$6:$A$108,0))="Associate Principal",INDEX(Inputs!$B$11:$D$11,1,MATCH(A593,Inputs!$B$6:$D$6,0)),IF(=INDEX(Roster!$B$6:$B$108,MATCH(D593,Roster!$A$6:$A$108,0))="Assistant Principal",INDEX(Inputs!$B$12:$D$12,1,MATCH(A593,Inputs!$B$6:$D$6,0)),0))))</x:f>
        <x:v>0</x:v>
      </x:c>
      <x:c r="L593" s="20" t="n">
        <x:f>IF(INDEX(Roster!$D$6:$D$108,MATCH(D593,Roster!$A$6:$A$108,0))&gt;=25,INDEX(Inputs!$B$19:$D$19,1,MATCH(A593,Inputs!$B$6:$D$6,0)),IF(INDEX(Roster!$D$6:$D$108,MATCH(D593,Roster!$A$6:$A$108,0))&gt;=20,INDEX(Inputs!$B$18:$D$18,1,MATCH(A593,Inputs!$B$6:$D$6,0)),IF(INDEX(Roster!$D$6:$D$108,MATCH(D593,Roster!$A$6:$A$108,0))&gt;=15,INDEX(Inputs!$B$17:$D$17,1,MATCH(A593,Inputs!$B$6:$D$6,0)),IF(INDEX(Roster!$D$6:$D$108,MATCH(D593,Roster!$A$6:$A$108,0))&gt;=10,INDEX(Inputs!$B$16:$D$16,1,MATCH(A593,Inputs!$B$6:$D$6,0)),IF(INDEX(Roster!$D$6:$D$108,MATCH(D593,Roster!$A$6:$A$108,0))&gt;=5,INDEX(Inputs!$B$15:$D$15,1,MATCH(A593,Inputs!$B$6:$D$6,0)),0)))))</x:f>
        <x:v>70</x:v>
      </x:c>
      <x:c r="M593" s="20" t="n">
        <x:f>G593*I593</x:f>
        <x:v>31135</x:v>
      </x:c>
      <x:c r="N593" s="20" t="n">
        <x:f>G593*J593</x:f>
        <x:v>455</x:v>
      </x:c>
      <x:c r="O593" s="20" t="n">
        <x:f>G593*K593</x:f>
        <x:v>0</x:v>
      </x:c>
      <x:c r="P593" s="20" t="n">
        <x:f>G593*L593</x:f>
        <x:v>910</x:v>
      </x:c>
      <x:c r="Q593" s="20" t="n">
        <x:f>H593*INDEX(Inputs!$B$13:$D$13,1,MATCH(A593,Inputs!$B$6:$D$6,0))</x:f>
        <x:v>0</x:v>
      </x:c>
      <x:c r="R593" s="20" t="n">
        <x:f>SUM(M593:Q593)</x:f>
        <x:v>32500</x:v>
      </x:c>
      <x:c r="S593" s="20" t="n">
        <x:f>IF(AND(A592=A593,D592=D593),S592+R593,R593)</x:f>
        <x:v>131170</x:v>
      </x:c>
      <x:c r="T593" s="20" t="n">
        <x:f>MIN(S593,INDEX(Inputs!$B$20:$D$20,1,MATCH(A593,Inputs!$B$6:$D$6,0)))*INDEX(Inputs!$B$22:$D$22,1,MATCH(A593,Inputs!$B$6:$D$6,0))+MAX(MIN(S593,INDEX(Inputs!$B$21:$D$21,1,MATCH(A593,Inputs!$B$6:$D$6,0)))-INDEX(Inputs!$B$20:$D$20,1,MATCH(A593,Inputs!$B$6:$D$6,0)),0)*INDEX(Inputs!$B$23:$D$23,1,MATCH(A593,Inputs!$B$6:$D$6,0))+MAX(S593-INDEX(Inputs!$B$21:$D$21,1,MATCH(A593,Inputs!$B$6:$D$6,0)),0)*INDEX(Inputs!$B$24:$D$24,1,MATCH(A593,Inputs!$B$6:$D$6,0))</x:f>
        <x:v>9815.907</x:v>
      </x:c>
      <x:c r="U593" s="20" t="n">
        <x:f>IF(AND(A592=A593,D592=D593),T592,0)</x:f>
        <x:v>8038.255</x:v>
      </x:c>
      <x:c r="V593" s="20" t="n">
        <x:f>T593-U593</x:f>
        <x:v>1777.6519999999991</x:v>
      </x:c>
      <x:c r="W593" s="20" t="n">
        <x:f>R593+V593</x:f>
        <x:v>34277.652</x:v>
      </x:c>
      <x:c r="X593" s="14" t="str">
        <x:f>IF(ABS(W593-SUM(M593:Q593)-V593)&lt;0.01,"OK","Check")</x:f>
        <x:v>OK</x:v>
      </x:c>
    </x:row>
    <x:row r="594">
      <x:c r="A594" s="14" t="n">
        <x:v>2027</x:v>
      </x:c>
      <x:c r="B594" s="14" t="str">
        <x:v>Q1</x:v>
      </x:c>
      <x:c r="C594" s="14" t="n">
        <x:v>1</x:v>
      </x:c>
      <x:c r="D594" s="14" t="n">
        <x:v>45</x:v>
      </x:c>
      <x:c r="E594" s="14" t="str">
        <x:f>INDEX(Roster!$B$6:$B$108,MATCH(D594,Roster!$A$6:$A$108,0))</x:f>
        <x:v>Principal</x:v>
      </x:c>
      <x:c r="F594" s="14" t="str">
        <x:f>INDEX(Roster!$F$6:$F$108,MATCH(D594,Roster!$A$6:$A$108,0))</x:f>
        <x:v>No</x:v>
      </x:c>
      <x:c r="G594" s="14" t="n">
        <x:f>INDEX(Inputs!$B$7:$D$7,1,MATCH(A594,Inputs!$B$6:$D$6,0))</x:f>
        <x:v>13</x:v>
      </x:c>
      <x:c r="H594" s="14" t="n">
        <x:f>MIN(=INDEX(Inputs!$B$7:$D$7,1,MATCH(A594,Inputs!$B$6:$D$6,0)),MAX(0,INDEX(Inputs!$B$14:$D$14,1,MATCH(A594,Inputs!$B$6:$D$6,0))-(C594-1)*=INDEX(Inputs!$B$7:$D$7,1,MATCH(A594,Inputs!$B$6:$D$6,0))))</x:f>
        <x:v>13</x:v>
      </x:c>
      <x:c r="I594" s="20" t="n">
        <x:f>INDEX(Inputs!$B$8:$D$8,1,MATCH(A594,Inputs!$B$6:$D$6,0))</x:f>
        <x:v>2395</x:v>
      </x:c>
      <x:c r="J594" s="20" t="n">
        <x:f>INDEX(Roster!$C$6:$C$108,MATCH(D594,Roster!$A$6:$A$108,0))*(1+INDEX(Inputs!$B$9:$D$9,1,MATCH(A594,Inputs!$B$6:$D$6,0)))</x:f>
        <x:v>1500</x:v>
      </x:c>
      <x:c r="K594" s="20" t="n">
        <x:f>IF(=INDEX(Roster!$F$6:$F$108,MATCH(D594,Roster!$A$6:$A$108,0))="Yes",0,=INDEX(Inputs!$B$8:$D$8,1,MATCH(A594,Inputs!$B$6:$D$6,0))*IF(=INDEX(Roster!$B$6:$B$108,MATCH(D594,Roster!$A$6:$A$108,0))="Principal",INDEX(Inputs!$B$10:$D$10,1,MATCH(A594,Inputs!$B$6:$D$6,0)),IF(=INDEX(Roster!$B$6:$B$108,MATCH(D594,Roster!$A$6:$A$108,0))="Associate Principal",INDEX(Inputs!$B$11:$D$11,1,MATCH(A594,Inputs!$B$6:$D$6,0)),IF(=INDEX(Roster!$B$6:$B$108,MATCH(D594,Roster!$A$6:$A$108,0))="Assistant Principal",INDEX(Inputs!$B$12:$D$12,1,MATCH(A594,Inputs!$B$6:$D$6,0)),0))))</x:f>
        <x:v>479</x:v>
      </x:c>
      <x:c r="L594" s="20" t="n">
        <x:f>IF(INDEX(Roster!$D$6:$D$108,MATCH(D594,Roster!$A$6:$A$108,0))&gt;=25,INDEX(Inputs!$B$19:$D$19,1,MATCH(A594,Inputs!$B$6:$D$6,0)),IF(INDEX(Roster!$D$6:$D$108,MATCH(D594,Roster!$A$6:$A$108,0))&gt;=20,INDEX(Inputs!$B$18:$D$18,1,MATCH(A594,Inputs!$B$6:$D$6,0)),IF(INDEX(Roster!$D$6:$D$108,MATCH(D594,Roster!$A$6:$A$108,0))&gt;=15,INDEX(Inputs!$B$17:$D$17,1,MATCH(A594,Inputs!$B$6:$D$6,0)),IF(INDEX(Roster!$D$6:$D$108,MATCH(D594,Roster!$A$6:$A$108,0))&gt;=10,INDEX(Inputs!$B$16:$D$16,1,MATCH(A594,Inputs!$B$6:$D$6,0)),IF(INDEX(Roster!$D$6:$D$108,MATCH(D594,Roster!$A$6:$A$108,0))&gt;=5,INDEX(Inputs!$B$15:$D$15,1,MATCH(A594,Inputs!$B$6:$D$6,0)),0)))))</x:f>
        <x:v>70</x:v>
      </x:c>
      <x:c r="M594" s="20" t="n">
        <x:f>G594*I594</x:f>
        <x:v>31135</x:v>
      </x:c>
      <x:c r="N594" s="20" t="n">
        <x:f>G594*J594</x:f>
        <x:v>19500</x:v>
      </x:c>
      <x:c r="O594" s="20" t="n">
        <x:f>G594*K594</x:f>
        <x:v>6227</x:v>
      </x:c>
      <x:c r="P594" s="20" t="n">
        <x:f>G594*L594</x:f>
        <x:v>910</x:v>
      </x:c>
      <x:c r="Q594" s="20" t="n">
        <x:f>H594*INDEX(Inputs!$B$13:$D$13,1,MATCH(A594,Inputs!$B$6:$D$6,0))</x:f>
        <x:v>390</x:v>
      </x:c>
      <x:c r="R594" s="20" t="n">
        <x:f>SUM(M594:Q594)</x:f>
        <x:v>58162</x:v>
      </x:c>
      <x:c r="S594" s="20" t="n">
        <x:f>IF(AND(A593=A594,D593=D594),S593+R594,R594)</x:f>
        <x:v>58162</x:v>
      </x:c>
      <x:c r="T594" s="20" t="n">
        <x:f>MIN(S594,INDEX(Inputs!$B$20:$D$20,1,MATCH(A594,Inputs!$B$6:$D$6,0)))*INDEX(Inputs!$B$22:$D$22,1,MATCH(A594,Inputs!$B$6:$D$6,0))+MAX(MIN(S594,INDEX(Inputs!$B$21:$D$21,1,MATCH(A594,Inputs!$B$6:$D$6,0)))-INDEX(Inputs!$B$20:$D$20,1,MATCH(A594,Inputs!$B$6:$D$6,0)),0)*INDEX(Inputs!$B$23:$D$23,1,MATCH(A594,Inputs!$B$6:$D$6,0))+MAX(S594-INDEX(Inputs!$B$21:$D$21,1,MATCH(A594,Inputs!$B$6:$D$6,0)),0)*INDEX(Inputs!$B$24:$D$24,1,MATCH(A594,Inputs!$B$6:$D$6,0))</x:f>
        <x:v>4939.393</x:v>
      </x:c>
      <x:c r="U594" s="20" t="n">
        <x:f>IF(AND(A593=A594,D593=D594),T593,0)</x:f>
        <x:v>0</x:v>
      </x:c>
      <x:c r="V594" s="20" t="n">
        <x:f>T594-U594</x:f>
        <x:v>4939.393</x:v>
      </x:c>
      <x:c r="W594" s="20" t="n">
        <x:f>R594+V594</x:f>
        <x:v>63101.393</x:v>
      </x:c>
      <x:c r="X594" s="14" t="str">
        <x:f>IF(ABS(W594-SUM(M594:Q594)-V594)&lt;0.01,"OK","Check")</x:f>
        <x:v>OK</x:v>
      </x:c>
    </x:row>
    <x:row r="595">
      <x:c r="A595" s="14" t="n">
        <x:v>2027</x:v>
      </x:c>
      <x:c r="B595" s="14" t="str">
        <x:v>Q2</x:v>
      </x:c>
      <x:c r="C595" s="14" t="n">
        <x:v>2</x:v>
      </x:c>
      <x:c r="D595" s="14" t="n">
        <x:v>45</x:v>
      </x:c>
      <x:c r="E595" s="14" t="str">
        <x:f>INDEX(Roster!$B$6:$B$108,MATCH(D595,Roster!$A$6:$A$108,0))</x:f>
        <x:v>Principal</x:v>
      </x:c>
      <x:c r="F595" s="14" t="str">
        <x:f>INDEX(Roster!$F$6:$F$108,MATCH(D595,Roster!$A$6:$A$108,0))</x:f>
        <x:v>No</x:v>
      </x:c>
      <x:c r="G595" s="14" t="n">
        <x:f>INDEX(Inputs!$B$7:$D$7,1,MATCH(A595,Inputs!$B$6:$D$6,0))</x:f>
        <x:v>13</x:v>
      </x:c>
      <x:c r="H595" s="14" t="n">
        <x:f>MIN(=INDEX(Inputs!$B$7:$D$7,1,MATCH(A595,Inputs!$B$6:$D$6,0)),MAX(0,INDEX(Inputs!$B$14:$D$14,1,MATCH(A595,Inputs!$B$6:$D$6,0))-(C595-1)*=INDEX(Inputs!$B$7:$D$7,1,MATCH(A595,Inputs!$B$6:$D$6,0))))</x:f>
        <x:v>13</x:v>
      </x:c>
      <x:c r="I595" s="20" t="n">
        <x:f>INDEX(Inputs!$B$8:$D$8,1,MATCH(A595,Inputs!$B$6:$D$6,0))</x:f>
        <x:v>2395</x:v>
      </x:c>
      <x:c r="J595" s="20" t="n">
        <x:f>INDEX(Roster!$C$6:$C$108,MATCH(D595,Roster!$A$6:$A$108,0))*(1+INDEX(Inputs!$B$9:$D$9,1,MATCH(A595,Inputs!$B$6:$D$6,0)))</x:f>
        <x:v>1500</x:v>
      </x:c>
      <x:c r="K595" s="20" t="n">
        <x:f>IF(=INDEX(Roster!$F$6:$F$108,MATCH(D595,Roster!$A$6:$A$108,0))="Yes",0,=INDEX(Inputs!$B$8:$D$8,1,MATCH(A595,Inputs!$B$6:$D$6,0))*IF(=INDEX(Roster!$B$6:$B$108,MATCH(D595,Roster!$A$6:$A$108,0))="Principal",INDEX(Inputs!$B$10:$D$10,1,MATCH(A595,Inputs!$B$6:$D$6,0)),IF(=INDEX(Roster!$B$6:$B$108,MATCH(D595,Roster!$A$6:$A$108,0))="Associate Principal",INDEX(Inputs!$B$11:$D$11,1,MATCH(A595,Inputs!$B$6:$D$6,0)),IF(=INDEX(Roster!$B$6:$B$108,MATCH(D595,Roster!$A$6:$A$108,0))="Assistant Principal",INDEX(Inputs!$B$12:$D$12,1,MATCH(A595,Inputs!$B$6:$D$6,0)),0))))</x:f>
        <x:v>479</x:v>
      </x:c>
      <x:c r="L595" s="20" t="n">
        <x:f>IF(INDEX(Roster!$D$6:$D$108,MATCH(D595,Roster!$A$6:$A$108,0))&gt;=25,INDEX(Inputs!$B$19:$D$19,1,MATCH(A595,Inputs!$B$6:$D$6,0)),IF(INDEX(Roster!$D$6:$D$108,MATCH(D595,Roster!$A$6:$A$108,0))&gt;=20,INDEX(Inputs!$B$18:$D$18,1,MATCH(A595,Inputs!$B$6:$D$6,0)),IF(INDEX(Roster!$D$6:$D$108,MATCH(D595,Roster!$A$6:$A$108,0))&gt;=15,INDEX(Inputs!$B$17:$D$17,1,MATCH(A595,Inputs!$B$6:$D$6,0)),IF(INDEX(Roster!$D$6:$D$108,MATCH(D595,Roster!$A$6:$A$108,0))&gt;=10,INDEX(Inputs!$B$16:$D$16,1,MATCH(A595,Inputs!$B$6:$D$6,0)),IF(INDEX(Roster!$D$6:$D$108,MATCH(D595,Roster!$A$6:$A$108,0))&gt;=5,INDEX(Inputs!$B$15:$D$15,1,MATCH(A595,Inputs!$B$6:$D$6,0)),0)))))</x:f>
        <x:v>70</x:v>
      </x:c>
      <x:c r="M595" s="20" t="n">
        <x:f>G595*I595</x:f>
        <x:v>31135</x:v>
      </x:c>
      <x:c r="N595" s="20" t="n">
        <x:f>G595*J595</x:f>
        <x:v>19500</x:v>
      </x:c>
      <x:c r="O595" s="20" t="n">
        <x:f>G595*K595</x:f>
        <x:v>6227</x:v>
      </x:c>
      <x:c r="P595" s="20" t="n">
        <x:f>G595*L595</x:f>
        <x:v>910</x:v>
      </x:c>
      <x:c r="Q595" s="20" t="n">
        <x:f>H595*INDEX(Inputs!$B$13:$D$13,1,MATCH(A595,Inputs!$B$6:$D$6,0))</x:f>
        <x:v>390</x:v>
      </x:c>
      <x:c r="R595" s="20" t="n">
        <x:f>SUM(M595:Q595)</x:f>
        <x:v>58162</x:v>
      </x:c>
      <x:c r="S595" s="20" t="n">
        <x:f>IF(AND(A594=A595,D594=D595),S594+R595,R595)</x:f>
        <x:v>116324</x:v>
      </x:c>
      <x:c r="T595" s="20" t="n">
        <x:f>MIN(S595,INDEX(Inputs!$B$20:$D$20,1,MATCH(A595,Inputs!$B$6:$D$6,0)))*INDEX(Inputs!$B$22:$D$22,1,MATCH(A595,Inputs!$B$6:$D$6,0))+MAX(MIN(S595,INDEX(Inputs!$B$21:$D$21,1,MATCH(A595,Inputs!$B$6:$D$6,0)))-INDEX(Inputs!$B$20:$D$20,1,MATCH(A595,Inputs!$B$6:$D$6,0)),0)*INDEX(Inputs!$B$23:$D$23,1,MATCH(A595,Inputs!$B$6:$D$6,0))+MAX(S595-INDEX(Inputs!$B$21:$D$21,1,MATCH(A595,Inputs!$B$6:$D$6,0)),0)*INDEX(Inputs!$B$24:$D$24,1,MATCH(A595,Inputs!$B$6:$D$6,0))</x:f>
        <x:v>9388.786</x:v>
      </x:c>
      <x:c r="U595" s="20" t="n">
        <x:f>IF(AND(A594=A595,D594=D595),T594,0)</x:f>
        <x:v>4939.393</x:v>
      </x:c>
      <x:c r="V595" s="20" t="n">
        <x:f>T595-U595</x:f>
        <x:v>4449.393</x:v>
      </x:c>
      <x:c r="W595" s="20" t="n">
        <x:f>R595+V595</x:f>
        <x:v>62611.393</x:v>
      </x:c>
      <x:c r="X595" s="14" t="str">
        <x:f>IF(ABS(W595-SUM(M595:Q595)-V595)&lt;0.01,"OK","Check")</x:f>
        <x:v>OK</x:v>
      </x:c>
    </x:row>
    <x:row r="596">
      <x:c r="A596" s="14" t="n">
        <x:v>2027</x:v>
      </x:c>
      <x:c r="B596" s="14" t="str">
        <x:v>Q3</x:v>
      </x:c>
      <x:c r="C596" s="14" t="n">
        <x:v>3</x:v>
      </x:c>
      <x:c r="D596" s="14" t="n">
        <x:v>45</x:v>
      </x:c>
      <x:c r="E596" s="14" t="str">
        <x:f>INDEX(Roster!$B$6:$B$108,MATCH(D596,Roster!$A$6:$A$108,0))</x:f>
        <x:v>Principal</x:v>
      </x:c>
      <x:c r="F596" s="14" t="str">
        <x:f>INDEX(Roster!$F$6:$F$108,MATCH(D596,Roster!$A$6:$A$108,0))</x:f>
        <x:v>No</x:v>
      </x:c>
      <x:c r="G596" s="14" t="n">
        <x:f>INDEX(Inputs!$B$7:$D$7,1,MATCH(A596,Inputs!$B$6:$D$6,0))</x:f>
        <x:v>13</x:v>
      </x:c>
      <x:c r="H596" s="14" t="n">
        <x:f>MIN(=INDEX(Inputs!$B$7:$D$7,1,MATCH(A596,Inputs!$B$6:$D$6,0)),MAX(0,INDEX(Inputs!$B$14:$D$14,1,MATCH(A596,Inputs!$B$6:$D$6,0))-(C596-1)*=INDEX(Inputs!$B$7:$D$7,1,MATCH(A596,Inputs!$B$6:$D$6,0))))</x:f>
        <x:v>13</x:v>
      </x:c>
      <x:c r="I596" s="20" t="n">
        <x:f>INDEX(Inputs!$B$8:$D$8,1,MATCH(A596,Inputs!$B$6:$D$6,0))</x:f>
        <x:v>2395</x:v>
      </x:c>
      <x:c r="J596" s="20" t="n">
        <x:f>INDEX(Roster!$C$6:$C$108,MATCH(D596,Roster!$A$6:$A$108,0))*(1+INDEX(Inputs!$B$9:$D$9,1,MATCH(A596,Inputs!$B$6:$D$6,0)))</x:f>
        <x:v>1500</x:v>
      </x:c>
      <x:c r="K596" s="20" t="n">
        <x:f>IF(=INDEX(Roster!$F$6:$F$108,MATCH(D596,Roster!$A$6:$A$108,0))="Yes",0,=INDEX(Inputs!$B$8:$D$8,1,MATCH(A596,Inputs!$B$6:$D$6,0))*IF(=INDEX(Roster!$B$6:$B$108,MATCH(D596,Roster!$A$6:$A$108,0))="Principal",INDEX(Inputs!$B$10:$D$10,1,MATCH(A596,Inputs!$B$6:$D$6,0)),IF(=INDEX(Roster!$B$6:$B$108,MATCH(D596,Roster!$A$6:$A$108,0))="Associate Principal",INDEX(Inputs!$B$11:$D$11,1,MATCH(A596,Inputs!$B$6:$D$6,0)),IF(=INDEX(Roster!$B$6:$B$108,MATCH(D596,Roster!$A$6:$A$108,0))="Assistant Principal",INDEX(Inputs!$B$12:$D$12,1,MATCH(A596,Inputs!$B$6:$D$6,0)),0))))</x:f>
        <x:v>479</x:v>
      </x:c>
      <x:c r="L596" s="20" t="n">
        <x:f>IF(INDEX(Roster!$D$6:$D$108,MATCH(D596,Roster!$A$6:$A$108,0))&gt;=25,INDEX(Inputs!$B$19:$D$19,1,MATCH(A596,Inputs!$B$6:$D$6,0)),IF(INDEX(Roster!$D$6:$D$108,MATCH(D596,Roster!$A$6:$A$108,0))&gt;=20,INDEX(Inputs!$B$18:$D$18,1,MATCH(A596,Inputs!$B$6:$D$6,0)),IF(INDEX(Roster!$D$6:$D$108,MATCH(D596,Roster!$A$6:$A$108,0))&gt;=15,INDEX(Inputs!$B$17:$D$17,1,MATCH(A596,Inputs!$B$6:$D$6,0)),IF(INDEX(Roster!$D$6:$D$108,MATCH(D596,Roster!$A$6:$A$108,0))&gt;=10,INDEX(Inputs!$B$16:$D$16,1,MATCH(A596,Inputs!$B$6:$D$6,0)),IF(INDEX(Roster!$D$6:$D$108,MATCH(D596,Roster!$A$6:$A$108,0))&gt;=5,INDEX(Inputs!$B$15:$D$15,1,MATCH(A596,Inputs!$B$6:$D$6,0)),0)))))</x:f>
        <x:v>70</x:v>
      </x:c>
      <x:c r="M596" s="20" t="n">
        <x:f>G596*I596</x:f>
        <x:v>31135</x:v>
      </x:c>
      <x:c r="N596" s="20" t="n">
        <x:f>G596*J596</x:f>
        <x:v>19500</x:v>
      </x:c>
      <x:c r="O596" s="20" t="n">
        <x:f>G596*K596</x:f>
        <x:v>6227</x:v>
      </x:c>
      <x:c r="P596" s="20" t="n">
        <x:f>G596*L596</x:f>
        <x:v>910</x:v>
      </x:c>
      <x:c r="Q596" s="20" t="n">
        <x:f>H596*INDEX(Inputs!$B$13:$D$13,1,MATCH(A596,Inputs!$B$6:$D$6,0))</x:f>
        <x:v>390</x:v>
      </x:c>
      <x:c r="R596" s="20" t="n">
        <x:f>SUM(M596:Q596)</x:f>
        <x:v>58162</x:v>
      </x:c>
      <x:c r="S596" s="20" t="n">
        <x:f>IF(AND(A595=A596,D595=D596),S595+R596,R596)</x:f>
        <x:v>174486</x:v>
      </x:c>
      <x:c r="T596" s="20" t="n">
        <x:f>MIN(S596,INDEX(Inputs!$B$20:$D$20,1,MATCH(A596,Inputs!$B$6:$D$6,0)))*INDEX(Inputs!$B$22:$D$22,1,MATCH(A596,Inputs!$B$6:$D$6,0))+MAX(MIN(S596,INDEX(Inputs!$B$21:$D$21,1,MATCH(A596,Inputs!$B$6:$D$6,0)))-INDEX(Inputs!$B$20:$D$20,1,MATCH(A596,Inputs!$B$6:$D$6,0)),0)*INDEX(Inputs!$B$23:$D$23,1,MATCH(A596,Inputs!$B$6:$D$6,0))+MAX(S596-INDEX(Inputs!$B$21:$D$21,1,MATCH(A596,Inputs!$B$6:$D$6,0)),0)*INDEX(Inputs!$B$24:$D$24,1,MATCH(A596,Inputs!$B$6:$D$6,0))</x:f>
        <x:v>10443.989</x:v>
      </x:c>
      <x:c r="U596" s="20" t="n">
        <x:f>IF(AND(A595=A596,D595=D596),T595,0)</x:f>
        <x:v>9388.786</x:v>
      </x:c>
      <x:c r="V596" s="20" t="n">
        <x:f>T596-U596</x:f>
        <x:v>1055.2029999999995</x:v>
      </x:c>
      <x:c r="W596" s="20" t="n">
        <x:f>R596+V596</x:f>
        <x:v>59217.203</x:v>
      </x:c>
      <x:c r="X596" s="14" t="str">
        <x:f>IF(ABS(W596-SUM(M596:Q596)-V596)&lt;0.01,"OK","Check")</x:f>
        <x:v>OK</x:v>
      </x:c>
    </x:row>
    <x:row r="597">
      <x:c r="A597" s="14" t="n">
        <x:v>2027</x:v>
      </x:c>
      <x:c r="B597" s="14" t="str">
        <x:v>Q4</x:v>
      </x:c>
      <x:c r="C597" s="14" t="n">
        <x:v>4</x:v>
      </x:c>
      <x:c r="D597" s="14" t="n">
        <x:v>45</x:v>
      </x:c>
      <x:c r="E597" s="14" t="str">
        <x:f>INDEX(Roster!$B$6:$B$108,MATCH(D597,Roster!$A$6:$A$108,0))</x:f>
        <x:v>Principal</x:v>
      </x:c>
      <x:c r="F597" s="14" t="str">
        <x:f>INDEX(Roster!$F$6:$F$108,MATCH(D597,Roster!$A$6:$A$108,0))</x:f>
        <x:v>No</x:v>
      </x:c>
      <x:c r="G597" s="14" t="n">
        <x:f>INDEX(Inputs!$B$7:$D$7,1,MATCH(A597,Inputs!$B$6:$D$6,0))</x:f>
        <x:v>13</x:v>
      </x:c>
      <x:c r="H597" s="14" t="n">
        <x:f>MIN(=INDEX(Inputs!$B$7:$D$7,1,MATCH(A597,Inputs!$B$6:$D$6,0)),MAX(0,INDEX(Inputs!$B$14:$D$14,1,MATCH(A597,Inputs!$B$6:$D$6,0))-(C597-1)*=INDEX(Inputs!$B$7:$D$7,1,MATCH(A597,Inputs!$B$6:$D$6,0))))</x:f>
        <x:v>0</x:v>
      </x:c>
      <x:c r="I597" s="20" t="n">
        <x:f>INDEX(Inputs!$B$8:$D$8,1,MATCH(A597,Inputs!$B$6:$D$6,0))</x:f>
        <x:v>2395</x:v>
      </x:c>
      <x:c r="J597" s="20" t="n">
        <x:f>INDEX(Roster!$C$6:$C$108,MATCH(D597,Roster!$A$6:$A$108,0))*(1+INDEX(Inputs!$B$9:$D$9,1,MATCH(A597,Inputs!$B$6:$D$6,0)))</x:f>
        <x:v>1500</x:v>
      </x:c>
      <x:c r="K597" s="20" t="n">
        <x:f>IF(=INDEX(Roster!$F$6:$F$108,MATCH(D597,Roster!$A$6:$A$108,0))="Yes",0,=INDEX(Inputs!$B$8:$D$8,1,MATCH(A597,Inputs!$B$6:$D$6,0))*IF(=INDEX(Roster!$B$6:$B$108,MATCH(D597,Roster!$A$6:$A$108,0))="Principal",INDEX(Inputs!$B$10:$D$10,1,MATCH(A597,Inputs!$B$6:$D$6,0)),IF(=INDEX(Roster!$B$6:$B$108,MATCH(D597,Roster!$A$6:$A$108,0))="Associate Principal",INDEX(Inputs!$B$11:$D$11,1,MATCH(A597,Inputs!$B$6:$D$6,0)),IF(=INDEX(Roster!$B$6:$B$108,MATCH(D597,Roster!$A$6:$A$108,0))="Assistant Principal",INDEX(Inputs!$B$12:$D$12,1,MATCH(A597,Inputs!$B$6:$D$6,0)),0))))</x:f>
        <x:v>479</x:v>
      </x:c>
      <x:c r="L597" s="20" t="n">
        <x:f>IF(INDEX(Roster!$D$6:$D$108,MATCH(D597,Roster!$A$6:$A$108,0))&gt;=25,INDEX(Inputs!$B$19:$D$19,1,MATCH(A597,Inputs!$B$6:$D$6,0)),IF(INDEX(Roster!$D$6:$D$108,MATCH(D597,Roster!$A$6:$A$108,0))&gt;=20,INDEX(Inputs!$B$18:$D$18,1,MATCH(A597,Inputs!$B$6:$D$6,0)),IF(INDEX(Roster!$D$6:$D$108,MATCH(D597,Roster!$A$6:$A$108,0))&gt;=15,INDEX(Inputs!$B$17:$D$17,1,MATCH(A597,Inputs!$B$6:$D$6,0)),IF(INDEX(Roster!$D$6:$D$108,MATCH(D597,Roster!$A$6:$A$108,0))&gt;=10,INDEX(Inputs!$B$16:$D$16,1,MATCH(A597,Inputs!$B$6:$D$6,0)),IF(INDEX(Roster!$D$6:$D$108,MATCH(D597,Roster!$A$6:$A$108,0))&gt;=5,INDEX(Inputs!$B$15:$D$15,1,MATCH(A597,Inputs!$B$6:$D$6,0)),0)))))</x:f>
        <x:v>70</x:v>
      </x:c>
      <x:c r="M597" s="20" t="n">
        <x:f>G597*I597</x:f>
        <x:v>31135</x:v>
      </x:c>
      <x:c r="N597" s="20" t="n">
        <x:f>G597*J597</x:f>
        <x:v>19500</x:v>
      </x:c>
      <x:c r="O597" s="20" t="n">
        <x:f>G597*K597</x:f>
        <x:v>6227</x:v>
      </x:c>
      <x:c r="P597" s="20" t="n">
        <x:f>G597*L597</x:f>
        <x:v>910</x:v>
      </x:c>
      <x:c r="Q597" s="20" t="n">
        <x:f>H597*INDEX(Inputs!$B$13:$D$13,1,MATCH(A597,Inputs!$B$6:$D$6,0))</x:f>
        <x:v>0</x:v>
      </x:c>
      <x:c r="R597" s="20" t="n">
        <x:f>SUM(M597:Q597)</x:f>
        <x:v>57772</x:v>
      </x:c>
      <x:c r="S597" s="20" t="n">
        <x:f>IF(AND(A596=A597,D596=D597),S596+R597,R597)</x:f>
        <x:v>232258</x:v>
      </x:c>
      <x:c r="T597" s="20" t="n">
        <x:f>MIN(S597,INDEX(Inputs!$B$20:$D$20,1,MATCH(A597,Inputs!$B$6:$D$6,0)))*INDEX(Inputs!$B$22:$D$22,1,MATCH(A597,Inputs!$B$6:$D$6,0))+MAX(MIN(S597,INDEX(Inputs!$B$21:$D$21,1,MATCH(A597,Inputs!$B$6:$D$6,0)))-INDEX(Inputs!$B$20:$D$20,1,MATCH(A597,Inputs!$B$6:$D$6,0)),0)*INDEX(Inputs!$B$23:$D$23,1,MATCH(A597,Inputs!$B$6:$D$6,0))+MAX(S597-INDEX(Inputs!$B$21:$D$21,1,MATCH(A597,Inputs!$B$6:$D$6,0)),0)*INDEX(Inputs!$B$24:$D$24,1,MATCH(A597,Inputs!$B$6:$D$6,0))</x:f>
        <x:v>11281.682999999999</x:v>
      </x:c>
      <x:c r="U597" s="20" t="n">
        <x:f>IF(AND(A596=A597,D596=D597),T596,0)</x:f>
        <x:v>10443.989</x:v>
      </x:c>
      <x:c r="V597" s="20" t="n">
        <x:f>T597-U597</x:f>
        <x:v>837.6939999999995</x:v>
      </x:c>
      <x:c r="W597" s="20" t="n">
        <x:f>R597+V597</x:f>
        <x:v>58609.694</x:v>
      </x:c>
      <x:c r="X597" s="14" t="str">
        <x:f>IF(ABS(W597-SUM(M597:Q597)-V597)&lt;0.01,"OK","Check")</x:f>
        <x:v>OK</x:v>
      </x:c>
    </x:row>
    <x:row r="598">
      <x:c r="A598" s="14" t="n">
        <x:v>2027</x:v>
      </x:c>
      <x:c r="B598" s="14" t="str">
        <x:v>Q1</x:v>
      </x:c>
      <x:c r="C598" s="14" t="n">
        <x:v>1</x:v>
      </x:c>
      <x:c r="D598" s="14" t="n">
        <x:v>46</x:v>
      </x:c>
      <x:c r="E598" s="14" t="str">
        <x:f>INDEX(Roster!$B$6:$B$108,MATCH(D598,Roster!$A$6:$A$108,0))</x:f>
      </x:c>
      <x:c r="F598" s="14" t="str">
        <x:f>INDEX(Roster!$F$6:$F$108,MATCH(D598,Roster!$A$6:$A$108,0))</x:f>
        <x:v>No</x:v>
      </x:c>
      <x:c r="G598" s="14" t="n">
        <x:f>INDEX(Inputs!$B$7:$D$7,1,MATCH(A598,Inputs!$B$6:$D$6,0))</x:f>
        <x:v>13</x:v>
      </x:c>
      <x:c r="H598" s="14" t="n">
        <x:f>MIN(=INDEX(Inputs!$B$7:$D$7,1,MATCH(A598,Inputs!$B$6:$D$6,0)),MAX(0,INDEX(Inputs!$B$14:$D$14,1,MATCH(A598,Inputs!$B$6:$D$6,0))-(C598-1)*=INDEX(Inputs!$B$7:$D$7,1,MATCH(A598,Inputs!$B$6:$D$6,0))))</x:f>
        <x:v>13</x:v>
      </x:c>
      <x:c r="I598" s="20" t="n">
        <x:f>INDEX(Inputs!$B$8:$D$8,1,MATCH(A598,Inputs!$B$6:$D$6,0))</x:f>
        <x:v>2395</x:v>
      </x:c>
      <x:c r="J598" s="20" t="n">
        <x:f>INDEX(Roster!$C$6:$C$108,MATCH(D598,Roster!$A$6:$A$108,0))*(1+INDEX(Inputs!$B$9:$D$9,1,MATCH(A598,Inputs!$B$6:$D$6,0)))</x:f>
        <x:v>20</x:v>
      </x:c>
      <x:c r="K598" s="20" t="n">
        <x:f>IF(=INDEX(Roster!$F$6:$F$108,MATCH(D598,Roster!$A$6:$A$108,0))="Yes",0,=INDEX(Inputs!$B$8:$D$8,1,MATCH(A598,Inputs!$B$6:$D$6,0))*IF(=INDEX(Roster!$B$6:$B$108,MATCH(D598,Roster!$A$6:$A$108,0))="Principal",INDEX(Inputs!$B$10:$D$10,1,MATCH(A598,Inputs!$B$6:$D$6,0)),IF(=INDEX(Roster!$B$6:$B$108,MATCH(D598,Roster!$A$6:$A$108,0))="Associate Principal",INDEX(Inputs!$B$11:$D$11,1,MATCH(A598,Inputs!$B$6:$D$6,0)),IF(=INDEX(Roster!$B$6:$B$108,MATCH(D598,Roster!$A$6:$A$108,0))="Assistant Principal",INDEX(Inputs!$B$12:$D$12,1,MATCH(A598,Inputs!$B$6:$D$6,0)),0))))</x:f>
        <x:v>0</x:v>
      </x:c>
      <x:c r="L598" s="20" t="n">
        <x:f>IF(INDEX(Roster!$D$6:$D$108,MATCH(D598,Roster!$A$6:$A$108,0))&gt;=25,INDEX(Inputs!$B$19:$D$19,1,MATCH(A598,Inputs!$B$6:$D$6,0)),IF(INDEX(Roster!$D$6:$D$108,MATCH(D598,Roster!$A$6:$A$108,0))&gt;=20,INDEX(Inputs!$B$18:$D$18,1,MATCH(A598,Inputs!$B$6:$D$6,0)),IF(INDEX(Roster!$D$6:$D$108,MATCH(D598,Roster!$A$6:$A$108,0))&gt;=15,INDEX(Inputs!$B$17:$D$17,1,MATCH(A598,Inputs!$B$6:$D$6,0)),IF(INDEX(Roster!$D$6:$D$108,MATCH(D598,Roster!$A$6:$A$108,0))&gt;=10,INDEX(Inputs!$B$16:$D$16,1,MATCH(A598,Inputs!$B$6:$D$6,0)),IF(INDEX(Roster!$D$6:$D$108,MATCH(D598,Roster!$A$6:$A$108,0))&gt;=5,INDEX(Inputs!$B$15:$D$15,1,MATCH(A598,Inputs!$B$6:$D$6,0)),0)))))</x:f>
        <x:v>0</x:v>
      </x:c>
      <x:c r="M598" s="20" t="n">
        <x:f>G598*I598</x:f>
        <x:v>31135</x:v>
      </x:c>
      <x:c r="N598" s="20" t="n">
        <x:f>G598*J598</x:f>
        <x:v>260</x:v>
      </x:c>
      <x:c r="O598" s="20" t="n">
        <x:f>G598*K598</x:f>
        <x:v>0</x:v>
      </x:c>
      <x:c r="P598" s="20" t="n">
        <x:f>G598*L598</x:f>
        <x:v>0</x:v>
      </x:c>
      <x:c r="Q598" s="20" t="n">
        <x:f>H598*INDEX(Inputs!$B$13:$D$13,1,MATCH(A598,Inputs!$B$6:$D$6,0))</x:f>
        <x:v>390</x:v>
      </x:c>
      <x:c r="R598" s="20" t="n">
        <x:f>SUM(M598:Q598)</x:f>
        <x:v>31785</x:v>
      </x:c>
      <x:c r="S598" s="20" t="n">
        <x:f>IF(AND(A597=A598,D597=D598),S597+R598,R598)</x:f>
        <x:v>31785</x:v>
      </x:c>
      <x:c r="T598" s="20" t="n">
        <x:f>MIN(S598,INDEX(Inputs!$B$20:$D$20,1,MATCH(A598,Inputs!$B$6:$D$6,0)))*INDEX(Inputs!$B$22:$D$22,1,MATCH(A598,Inputs!$B$6:$D$6,0))+MAX(MIN(S598,INDEX(Inputs!$B$21:$D$21,1,MATCH(A598,Inputs!$B$6:$D$6,0)))-INDEX(Inputs!$B$20:$D$20,1,MATCH(A598,Inputs!$B$6:$D$6,0)),0)*INDEX(Inputs!$B$23:$D$23,1,MATCH(A598,Inputs!$B$6:$D$6,0))+MAX(S598-INDEX(Inputs!$B$21:$D$21,1,MATCH(A598,Inputs!$B$6:$D$6,0)),0)*INDEX(Inputs!$B$24:$D$24,1,MATCH(A598,Inputs!$B$6:$D$6,0))</x:f>
        <x:v>2921.5525</x:v>
      </x:c>
      <x:c r="U598" s="20" t="n">
        <x:f>IF(AND(A597=A598,D597=D598),T597,0)</x:f>
        <x:v>0</x:v>
      </x:c>
      <x:c r="V598" s="20" t="n">
        <x:f>T598-U598</x:f>
        <x:v>2921.5525</x:v>
      </x:c>
      <x:c r="W598" s="20" t="n">
        <x:f>R598+V598</x:f>
        <x:v>34706.5525</x:v>
      </x:c>
      <x:c r="X598" s="14" t="str">
        <x:f>IF(ABS(W598-SUM(M598:Q598)-V598)&lt;0.01,"OK","Check")</x:f>
        <x:v>OK</x:v>
      </x:c>
    </x:row>
    <x:row r="599">
      <x:c r="A599" s="14" t="n">
        <x:v>2027</x:v>
      </x:c>
      <x:c r="B599" s="14" t="str">
        <x:v>Q2</x:v>
      </x:c>
      <x:c r="C599" s="14" t="n">
        <x:v>2</x:v>
      </x:c>
      <x:c r="D599" s="14" t="n">
        <x:v>46</x:v>
      </x:c>
      <x:c r="E599" s="14" t="str">
        <x:f>INDEX(Roster!$B$6:$B$108,MATCH(D599,Roster!$A$6:$A$108,0))</x:f>
      </x:c>
      <x:c r="F599" s="14" t="str">
        <x:f>INDEX(Roster!$F$6:$F$108,MATCH(D599,Roster!$A$6:$A$108,0))</x:f>
        <x:v>No</x:v>
      </x:c>
      <x:c r="G599" s="14" t="n">
        <x:f>INDEX(Inputs!$B$7:$D$7,1,MATCH(A599,Inputs!$B$6:$D$6,0))</x:f>
        <x:v>13</x:v>
      </x:c>
      <x:c r="H599" s="14" t="n">
        <x:f>MIN(=INDEX(Inputs!$B$7:$D$7,1,MATCH(A599,Inputs!$B$6:$D$6,0)),MAX(0,INDEX(Inputs!$B$14:$D$14,1,MATCH(A599,Inputs!$B$6:$D$6,0))-(C599-1)*=INDEX(Inputs!$B$7:$D$7,1,MATCH(A599,Inputs!$B$6:$D$6,0))))</x:f>
        <x:v>13</x:v>
      </x:c>
      <x:c r="I599" s="20" t="n">
        <x:f>INDEX(Inputs!$B$8:$D$8,1,MATCH(A599,Inputs!$B$6:$D$6,0))</x:f>
        <x:v>2395</x:v>
      </x:c>
      <x:c r="J599" s="20" t="n">
        <x:f>INDEX(Roster!$C$6:$C$108,MATCH(D599,Roster!$A$6:$A$108,0))*(1+INDEX(Inputs!$B$9:$D$9,1,MATCH(A599,Inputs!$B$6:$D$6,0)))</x:f>
        <x:v>20</x:v>
      </x:c>
      <x:c r="K599" s="20" t="n">
        <x:f>IF(=INDEX(Roster!$F$6:$F$108,MATCH(D599,Roster!$A$6:$A$108,0))="Yes",0,=INDEX(Inputs!$B$8:$D$8,1,MATCH(A599,Inputs!$B$6:$D$6,0))*IF(=INDEX(Roster!$B$6:$B$108,MATCH(D599,Roster!$A$6:$A$108,0))="Principal",INDEX(Inputs!$B$10:$D$10,1,MATCH(A599,Inputs!$B$6:$D$6,0)),IF(=INDEX(Roster!$B$6:$B$108,MATCH(D599,Roster!$A$6:$A$108,0))="Associate Principal",INDEX(Inputs!$B$11:$D$11,1,MATCH(A599,Inputs!$B$6:$D$6,0)),IF(=INDEX(Roster!$B$6:$B$108,MATCH(D599,Roster!$A$6:$A$108,0))="Assistant Principal",INDEX(Inputs!$B$12:$D$12,1,MATCH(A599,Inputs!$B$6:$D$6,0)),0))))</x:f>
        <x:v>0</x:v>
      </x:c>
      <x:c r="L599" s="20" t="n">
        <x:f>IF(INDEX(Roster!$D$6:$D$108,MATCH(D599,Roster!$A$6:$A$108,0))&gt;=25,INDEX(Inputs!$B$19:$D$19,1,MATCH(A599,Inputs!$B$6:$D$6,0)),IF(INDEX(Roster!$D$6:$D$108,MATCH(D599,Roster!$A$6:$A$108,0))&gt;=20,INDEX(Inputs!$B$18:$D$18,1,MATCH(A599,Inputs!$B$6:$D$6,0)),IF(INDEX(Roster!$D$6:$D$108,MATCH(D599,Roster!$A$6:$A$108,0))&gt;=15,INDEX(Inputs!$B$17:$D$17,1,MATCH(A599,Inputs!$B$6:$D$6,0)),IF(INDEX(Roster!$D$6:$D$108,MATCH(D599,Roster!$A$6:$A$108,0))&gt;=10,INDEX(Inputs!$B$16:$D$16,1,MATCH(A599,Inputs!$B$6:$D$6,0)),IF(INDEX(Roster!$D$6:$D$108,MATCH(D599,Roster!$A$6:$A$108,0))&gt;=5,INDEX(Inputs!$B$15:$D$15,1,MATCH(A599,Inputs!$B$6:$D$6,0)),0)))))</x:f>
        <x:v>0</x:v>
      </x:c>
      <x:c r="M599" s="20" t="n">
        <x:f>G599*I599</x:f>
        <x:v>31135</x:v>
      </x:c>
      <x:c r="N599" s="20" t="n">
        <x:f>G599*J599</x:f>
        <x:v>260</x:v>
      </x:c>
      <x:c r="O599" s="20" t="n">
        <x:f>G599*K599</x:f>
        <x:v>0</x:v>
      </x:c>
      <x:c r="P599" s="20" t="n">
        <x:f>G599*L599</x:f>
        <x:v>0</x:v>
      </x:c>
      <x:c r="Q599" s="20" t="n">
        <x:f>H599*INDEX(Inputs!$B$13:$D$13,1,MATCH(A599,Inputs!$B$6:$D$6,0))</x:f>
        <x:v>390</x:v>
      </x:c>
      <x:c r="R599" s="20" t="n">
        <x:f>SUM(M599:Q599)</x:f>
        <x:v>31785</x:v>
      </x:c>
      <x:c r="S599" s="20" t="n">
        <x:f>IF(AND(A598=A599,D598=D599),S598+R599,R599)</x:f>
        <x:v>63570</x:v>
      </x:c>
      <x:c r="T599" s="20" t="n">
        <x:f>MIN(S599,INDEX(Inputs!$B$20:$D$20,1,MATCH(A599,Inputs!$B$6:$D$6,0)))*INDEX(Inputs!$B$22:$D$22,1,MATCH(A599,Inputs!$B$6:$D$6,0))+MAX(MIN(S599,INDEX(Inputs!$B$21:$D$21,1,MATCH(A599,Inputs!$B$6:$D$6,0)))-INDEX(Inputs!$B$20:$D$20,1,MATCH(A599,Inputs!$B$6:$D$6,0)),0)*INDEX(Inputs!$B$23:$D$23,1,MATCH(A599,Inputs!$B$6:$D$6,0))+MAX(S599-INDEX(Inputs!$B$21:$D$21,1,MATCH(A599,Inputs!$B$6:$D$6,0)),0)*INDEX(Inputs!$B$24:$D$24,1,MATCH(A599,Inputs!$B$6:$D$6,0))</x:f>
        <x:v>5353.105</x:v>
      </x:c>
      <x:c r="U599" s="20" t="n">
        <x:f>IF(AND(A598=A599,D598=D599),T598,0)</x:f>
        <x:v>2921.5525</x:v>
      </x:c>
      <x:c r="V599" s="20" t="n">
        <x:f>T599-U599</x:f>
        <x:v>2431.5525</x:v>
      </x:c>
      <x:c r="W599" s="20" t="n">
        <x:f>R599+V599</x:f>
        <x:v>34216.5525</x:v>
      </x:c>
      <x:c r="X599" s="14" t="str">
        <x:f>IF(ABS(W599-SUM(M599:Q599)-V599)&lt;0.01,"OK","Check")</x:f>
        <x:v>OK</x:v>
      </x:c>
    </x:row>
    <x:row r="600">
      <x:c r="A600" s="14" t="n">
        <x:v>2027</x:v>
      </x:c>
      <x:c r="B600" s="14" t="str">
        <x:v>Q3</x:v>
      </x:c>
      <x:c r="C600" s="14" t="n">
        <x:v>3</x:v>
      </x:c>
      <x:c r="D600" s="14" t="n">
        <x:v>46</x:v>
      </x:c>
      <x:c r="E600" s="14" t="str">
        <x:f>INDEX(Roster!$B$6:$B$108,MATCH(D600,Roster!$A$6:$A$108,0))</x:f>
      </x:c>
      <x:c r="F600" s="14" t="str">
        <x:f>INDEX(Roster!$F$6:$F$108,MATCH(D600,Roster!$A$6:$A$108,0))</x:f>
        <x:v>No</x:v>
      </x:c>
      <x:c r="G600" s="14" t="n">
        <x:f>INDEX(Inputs!$B$7:$D$7,1,MATCH(A600,Inputs!$B$6:$D$6,0))</x:f>
        <x:v>13</x:v>
      </x:c>
      <x:c r="H600" s="14" t="n">
        <x:f>MIN(=INDEX(Inputs!$B$7:$D$7,1,MATCH(A600,Inputs!$B$6:$D$6,0)),MAX(0,INDEX(Inputs!$B$14:$D$14,1,MATCH(A600,Inputs!$B$6:$D$6,0))-(C600-1)*=INDEX(Inputs!$B$7:$D$7,1,MATCH(A600,Inputs!$B$6:$D$6,0))))</x:f>
        <x:v>13</x:v>
      </x:c>
      <x:c r="I600" s="20" t="n">
        <x:f>INDEX(Inputs!$B$8:$D$8,1,MATCH(A600,Inputs!$B$6:$D$6,0))</x:f>
        <x:v>2395</x:v>
      </x:c>
      <x:c r="J600" s="20" t="n">
        <x:f>INDEX(Roster!$C$6:$C$108,MATCH(D600,Roster!$A$6:$A$108,0))*(1+INDEX(Inputs!$B$9:$D$9,1,MATCH(A600,Inputs!$B$6:$D$6,0)))</x:f>
        <x:v>20</x:v>
      </x:c>
      <x:c r="K600" s="20" t="n">
        <x:f>IF(=INDEX(Roster!$F$6:$F$108,MATCH(D600,Roster!$A$6:$A$108,0))="Yes",0,=INDEX(Inputs!$B$8:$D$8,1,MATCH(A600,Inputs!$B$6:$D$6,0))*IF(=INDEX(Roster!$B$6:$B$108,MATCH(D600,Roster!$A$6:$A$108,0))="Principal",INDEX(Inputs!$B$10:$D$10,1,MATCH(A600,Inputs!$B$6:$D$6,0)),IF(=INDEX(Roster!$B$6:$B$108,MATCH(D600,Roster!$A$6:$A$108,0))="Associate Principal",INDEX(Inputs!$B$11:$D$11,1,MATCH(A600,Inputs!$B$6:$D$6,0)),IF(=INDEX(Roster!$B$6:$B$108,MATCH(D600,Roster!$A$6:$A$108,0))="Assistant Principal",INDEX(Inputs!$B$12:$D$12,1,MATCH(A600,Inputs!$B$6:$D$6,0)),0))))</x:f>
        <x:v>0</x:v>
      </x:c>
      <x:c r="L600" s="20" t="n">
        <x:f>IF(INDEX(Roster!$D$6:$D$108,MATCH(D600,Roster!$A$6:$A$108,0))&gt;=25,INDEX(Inputs!$B$19:$D$19,1,MATCH(A600,Inputs!$B$6:$D$6,0)),IF(INDEX(Roster!$D$6:$D$108,MATCH(D600,Roster!$A$6:$A$108,0))&gt;=20,INDEX(Inputs!$B$18:$D$18,1,MATCH(A600,Inputs!$B$6:$D$6,0)),IF(INDEX(Roster!$D$6:$D$108,MATCH(D600,Roster!$A$6:$A$108,0))&gt;=15,INDEX(Inputs!$B$17:$D$17,1,MATCH(A600,Inputs!$B$6:$D$6,0)),IF(INDEX(Roster!$D$6:$D$108,MATCH(D600,Roster!$A$6:$A$108,0))&gt;=10,INDEX(Inputs!$B$16:$D$16,1,MATCH(A600,Inputs!$B$6:$D$6,0)),IF(INDEX(Roster!$D$6:$D$108,MATCH(D600,Roster!$A$6:$A$108,0))&gt;=5,INDEX(Inputs!$B$15:$D$15,1,MATCH(A600,Inputs!$B$6:$D$6,0)),0)))))</x:f>
        <x:v>0</x:v>
      </x:c>
      <x:c r="M600" s="20" t="n">
        <x:f>G600*I600</x:f>
        <x:v>31135</x:v>
      </x:c>
      <x:c r="N600" s="20" t="n">
        <x:f>G600*J600</x:f>
        <x:v>260</x:v>
      </x:c>
      <x:c r="O600" s="20" t="n">
        <x:f>G600*K600</x:f>
        <x:v>0</x:v>
      </x:c>
      <x:c r="P600" s="20" t="n">
        <x:f>G600*L600</x:f>
        <x:v>0</x:v>
      </x:c>
      <x:c r="Q600" s="20" t="n">
        <x:f>H600*INDEX(Inputs!$B$13:$D$13,1,MATCH(A600,Inputs!$B$6:$D$6,0))</x:f>
        <x:v>390</x:v>
      </x:c>
      <x:c r="R600" s="20" t="n">
        <x:f>SUM(M600:Q600)</x:f>
        <x:v>31785</x:v>
      </x:c>
      <x:c r="S600" s="20" t="n">
        <x:f>IF(AND(A599=A600,D599=D600),S599+R600,R600)</x:f>
        <x:v>95355</x:v>
      </x:c>
      <x:c r="T600" s="20" t="n">
        <x:f>MIN(S600,INDEX(Inputs!$B$20:$D$20,1,MATCH(A600,Inputs!$B$6:$D$6,0)))*INDEX(Inputs!$B$22:$D$22,1,MATCH(A600,Inputs!$B$6:$D$6,0))+MAX(MIN(S600,INDEX(Inputs!$B$21:$D$21,1,MATCH(A600,Inputs!$B$6:$D$6,0)))-INDEX(Inputs!$B$20:$D$20,1,MATCH(A600,Inputs!$B$6:$D$6,0)),0)*INDEX(Inputs!$B$23:$D$23,1,MATCH(A600,Inputs!$B$6:$D$6,0))+MAX(S600-INDEX(Inputs!$B$21:$D$21,1,MATCH(A600,Inputs!$B$6:$D$6,0)),0)*INDEX(Inputs!$B$24:$D$24,1,MATCH(A600,Inputs!$B$6:$D$6,0))</x:f>
        <x:v>7784.6575</x:v>
      </x:c>
      <x:c r="U600" s="20" t="n">
        <x:f>IF(AND(A599=A600,D599=D600),T599,0)</x:f>
        <x:v>5353.105</x:v>
      </x:c>
      <x:c r="V600" s="20" t="n">
        <x:f>T600-U600</x:f>
        <x:v>2431.5525000000007</x:v>
      </x:c>
      <x:c r="W600" s="20" t="n">
        <x:f>R600+V600</x:f>
        <x:v>34216.5525</x:v>
      </x:c>
      <x:c r="X600" s="14" t="str">
        <x:f>IF(ABS(W600-SUM(M600:Q600)-V600)&lt;0.01,"OK","Check")</x:f>
        <x:v>OK</x:v>
      </x:c>
    </x:row>
    <x:row r="601">
      <x:c r="A601" s="14" t="n">
        <x:v>2027</x:v>
      </x:c>
      <x:c r="B601" s="14" t="str">
        <x:v>Q4</x:v>
      </x:c>
      <x:c r="C601" s="14" t="n">
        <x:v>4</x:v>
      </x:c>
      <x:c r="D601" s="14" t="n">
        <x:v>46</x:v>
      </x:c>
      <x:c r="E601" s="14" t="str">
        <x:f>INDEX(Roster!$B$6:$B$108,MATCH(D601,Roster!$A$6:$A$108,0))</x:f>
      </x:c>
      <x:c r="F601" s="14" t="str">
        <x:f>INDEX(Roster!$F$6:$F$108,MATCH(D601,Roster!$A$6:$A$108,0))</x:f>
        <x:v>No</x:v>
      </x:c>
      <x:c r="G601" s="14" t="n">
        <x:f>INDEX(Inputs!$B$7:$D$7,1,MATCH(A601,Inputs!$B$6:$D$6,0))</x:f>
        <x:v>13</x:v>
      </x:c>
      <x:c r="H601" s="14" t="n">
        <x:f>MIN(=INDEX(Inputs!$B$7:$D$7,1,MATCH(A601,Inputs!$B$6:$D$6,0)),MAX(0,INDEX(Inputs!$B$14:$D$14,1,MATCH(A601,Inputs!$B$6:$D$6,0))-(C601-1)*=INDEX(Inputs!$B$7:$D$7,1,MATCH(A601,Inputs!$B$6:$D$6,0))))</x:f>
        <x:v>0</x:v>
      </x:c>
      <x:c r="I601" s="20" t="n">
        <x:f>INDEX(Inputs!$B$8:$D$8,1,MATCH(A601,Inputs!$B$6:$D$6,0))</x:f>
        <x:v>2395</x:v>
      </x:c>
      <x:c r="J601" s="20" t="n">
        <x:f>INDEX(Roster!$C$6:$C$108,MATCH(D601,Roster!$A$6:$A$108,0))*(1+INDEX(Inputs!$B$9:$D$9,1,MATCH(A601,Inputs!$B$6:$D$6,0)))</x:f>
        <x:v>20</x:v>
      </x:c>
      <x:c r="K601" s="20" t="n">
        <x:f>IF(=INDEX(Roster!$F$6:$F$108,MATCH(D601,Roster!$A$6:$A$108,0))="Yes",0,=INDEX(Inputs!$B$8:$D$8,1,MATCH(A601,Inputs!$B$6:$D$6,0))*IF(=INDEX(Roster!$B$6:$B$108,MATCH(D601,Roster!$A$6:$A$108,0))="Principal",INDEX(Inputs!$B$10:$D$10,1,MATCH(A601,Inputs!$B$6:$D$6,0)),IF(=INDEX(Roster!$B$6:$B$108,MATCH(D601,Roster!$A$6:$A$108,0))="Associate Principal",INDEX(Inputs!$B$11:$D$11,1,MATCH(A601,Inputs!$B$6:$D$6,0)),IF(=INDEX(Roster!$B$6:$B$108,MATCH(D601,Roster!$A$6:$A$108,0))="Assistant Principal",INDEX(Inputs!$B$12:$D$12,1,MATCH(A601,Inputs!$B$6:$D$6,0)),0))))</x:f>
        <x:v>0</x:v>
      </x:c>
      <x:c r="L601" s="20" t="n">
        <x:f>IF(INDEX(Roster!$D$6:$D$108,MATCH(D601,Roster!$A$6:$A$108,0))&gt;=25,INDEX(Inputs!$B$19:$D$19,1,MATCH(A601,Inputs!$B$6:$D$6,0)),IF(INDEX(Roster!$D$6:$D$108,MATCH(D601,Roster!$A$6:$A$108,0))&gt;=20,INDEX(Inputs!$B$18:$D$18,1,MATCH(A601,Inputs!$B$6:$D$6,0)),IF(INDEX(Roster!$D$6:$D$108,MATCH(D601,Roster!$A$6:$A$108,0))&gt;=15,INDEX(Inputs!$B$17:$D$17,1,MATCH(A601,Inputs!$B$6:$D$6,0)),IF(INDEX(Roster!$D$6:$D$108,MATCH(D601,Roster!$A$6:$A$108,0))&gt;=10,INDEX(Inputs!$B$16:$D$16,1,MATCH(A601,Inputs!$B$6:$D$6,0)),IF(INDEX(Roster!$D$6:$D$108,MATCH(D601,Roster!$A$6:$A$108,0))&gt;=5,INDEX(Inputs!$B$15:$D$15,1,MATCH(A601,Inputs!$B$6:$D$6,0)),0)))))</x:f>
        <x:v>0</x:v>
      </x:c>
      <x:c r="M601" s="20" t="n">
        <x:f>G601*I601</x:f>
        <x:v>31135</x:v>
      </x:c>
      <x:c r="N601" s="20" t="n">
        <x:f>G601*J601</x:f>
        <x:v>260</x:v>
      </x:c>
      <x:c r="O601" s="20" t="n">
        <x:f>G601*K601</x:f>
        <x:v>0</x:v>
      </x:c>
      <x:c r="P601" s="20" t="n">
        <x:f>G601*L601</x:f>
        <x:v>0</x:v>
      </x:c>
      <x:c r="Q601" s="20" t="n">
        <x:f>H601*INDEX(Inputs!$B$13:$D$13,1,MATCH(A601,Inputs!$B$6:$D$6,0))</x:f>
        <x:v>0</x:v>
      </x:c>
      <x:c r="R601" s="20" t="n">
        <x:f>SUM(M601:Q601)</x:f>
        <x:v>31395</x:v>
      </x:c>
      <x:c r="S601" s="20" t="n">
        <x:f>IF(AND(A600=A601,D600=D601),S600+R601,R601)</x:f>
        <x:v>126750</x:v>
      </x:c>
      <x:c r="T601" s="20" t="n">
        <x:f>MIN(S601,INDEX(Inputs!$B$20:$D$20,1,MATCH(A601,Inputs!$B$6:$D$6,0)))*INDEX(Inputs!$B$22:$D$22,1,MATCH(A601,Inputs!$B$6:$D$6,0))+MAX(MIN(S601,INDEX(Inputs!$B$21:$D$21,1,MATCH(A601,Inputs!$B$6:$D$6,0)))-INDEX(Inputs!$B$20:$D$20,1,MATCH(A601,Inputs!$B$6:$D$6,0)),0)*INDEX(Inputs!$B$23:$D$23,1,MATCH(A601,Inputs!$B$6:$D$6,0))+MAX(S601-INDEX(Inputs!$B$21:$D$21,1,MATCH(A601,Inputs!$B$6:$D$6,0)),0)*INDEX(Inputs!$B$24:$D$24,1,MATCH(A601,Inputs!$B$6:$D$6,0))</x:f>
        <x:v>9751.817</x:v>
      </x:c>
      <x:c r="U601" s="20" t="n">
        <x:f>IF(AND(A600=A601,D600=D601),T600,0)</x:f>
        <x:v>7784.6575</x:v>
      </x:c>
      <x:c r="V601" s="20" t="n">
        <x:f>T601-U601</x:f>
        <x:v>1967.1594999999988</x:v>
      </x:c>
      <x:c r="W601" s="20" t="n">
        <x:f>R601+V601</x:f>
        <x:v>33362.1595</x:v>
      </x:c>
      <x:c r="X601" s="14" t="str">
        <x:f>IF(ABS(W601-SUM(M601:Q601)-V601)&lt;0.01,"OK","Check")</x:f>
        <x:v>OK</x:v>
      </x:c>
    </x:row>
    <x:row r="602">
      <x:c r="A602" s="14" t="n">
        <x:v>2027</x:v>
      </x:c>
      <x:c r="B602" s="14" t="str">
        <x:v>Q1</x:v>
      </x:c>
      <x:c r="C602" s="14" t="n">
        <x:v>1</x:v>
      </x:c>
      <x:c r="D602" s="14" t="n">
        <x:v>47</x:v>
      </x:c>
      <x:c r="E602" s="14" t="str">
        <x:f>INDEX(Roster!$B$6:$B$108,MATCH(D602,Roster!$A$6:$A$108,0))</x:f>
        <x:v>Assistant Principal</x:v>
      </x:c>
      <x:c r="F602" s="14" t="str">
        <x:f>INDEX(Roster!$F$6:$F$108,MATCH(D602,Roster!$A$6:$A$108,0))</x:f>
        <x:v>No</x:v>
      </x:c>
      <x:c r="G602" s="14" t="n">
        <x:f>INDEX(Inputs!$B$7:$D$7,1,MATCH(A602,Inputs!$B$6:$D$6,0))</x:f>
        <x:v>13</x:v>
      </x:c>
      <x:c r="H602" s="14" t="n">
        <x:f>MIN(=INDEX(Inputs!$B$7:$D$7,1,MATCH(A602,Inputs!$B$6:$D$6,0)),MAX(0,INDEX(Inputs!$B$14:$D$14,1,MATCH(A602,Inputs!$B$6:$D$6,0))-(C602-1)*=INDEX(Inputs!$B$7:$D$7,1,MATCH(A602,Inputs!$B$6:$D$6,0))))</x:f>
        <x:v>13</x:v>
      </x:c>
      <x:c r="I602" s="20" t="n">
        <x:f>INDEX(Inputs!$B$8:$D$8,1,MATCH(A602,Inputs!$B$6:$D$6,0))</x:f>
        <x:v>2395</x:v>
      </x:c>
      <x:c r="J602" s="20" t="n">
        <x:f>INDEX(Roster!$C$6:$C$108,MATCH(D602,Roster!$A$6:$A$108,0))*(1+INDEX(Inputs!$B$9:$D$9,1,MATCH(A602,Inputs!$B$6:$D$6,0)))</x:f>
        <x:v>0</x:v>
      </x:c>
      <x:c r="K602" s="20" t="n">
        <x:f>IF(=INDEX(Roster!$F$6:$F$108,MATCH(D602,Roster!$A$6:$A$108,0))="Yes",0,=INDEX(Inputs!$B$8:$D$8,1,MATCH(A602,Inputs!$B$6:$D$6,0))*IF(=INDEX(Roster!$B$6:$B$108,MATCH(D602,Roster!$A$6:$A$108,0))="Principal",INDEX(Inputs!$B$10:$D$10,1,MATCH(A602,Inputs!$B$6:$D$6,0)),IF(=INDEX(Roster!$B$6:$B$108,MATCH(D602,Roster!$A$6:$A$108,0))="Associate Principal",INDEX(Inputs!$B$11:$D$11,1,MATCH(A602,Inputs!$B$6:$D$6,0)),IF(=INDEX(Roster!$B$6:$B$108,MATCH(D602,Roster!$A$6:$A$108,0))="Assistant Principal",INDEX(Inputs!$B$12:$D$12,1,MATCH(A602,Inputs!$B$6:$D$6,0)),0))))</x:f>
        <x:v>239.5</x:v>
      </x:c>
      <x:c r="L602" s="20" t="n">
        <x:f>IF(INDEX(Roster!$D$6:$D$108,MATCH(D602,Roster!$A$6:$A$108,0))&gt;=25,INDEX(Inputs!$B$19:$D$19,1,MATCH(A602,Inputs!$B$6:$D$6,0)),IF(INDEX(Roster!$D$6:$D$108,MATCH(D602,Roster!$A$6:$A$108,0))&gt;=20,INDEX(Inputs!$B$18:$D$18,1,MATCH(A602,Inputs!$B$6:$D$6,0)),IF(INDEX(Roster!$D$6:$D$108,MATCH(D602,Roster!$A$6:$A$108,0))&gt;=15,INDEX(Inputs!$B$17:$D$17,1,MATCH(A602,Inputs!$B$6:$D$6,0)),IF(INDEX(Roster!$D$6:$D$108,MATCH(D602,Roster!$A$6:$A$108,0))&gt;=10,INDEX(Inputs!$B$16:$D$16,1,MATCH(A602,Inputs!$B$6:$D$6,0)),IF(INDEX(Roster!$D$6:$D$108,MATCH(D602,Roster!$A$6:$A$108,0))&gt;=5,INDEX(Inputs!$B$15:$D$15,1,MATCH(A602,Inputs!$B$6:$D$6,0)),0)))))</x:f>
        <x:v>50</x:v>
      </x:c>
      <x:c r="M602" s="20" t="n">
        <x:f>G602*I602</x:f>
        <x:v>31135</x:v>
      </x:c>
      <x:c r="N602" s="20" t="n">
        <x:f>G602*J602</x:f>
        <x:v>0</x:v>
      </x:c>
      <x:c r="O602" s="20" t="n">
        <x:f>G602*K602</x:f>
        <x:v>3113.5</x:v>
      </x:c>
      <x:c r="P602" s="20" t="n">
        <x:f>G602*L602</x:f>
        <x:v>650</x:v>
      </x:c>
      <x:c r="Q602" s="20" t="n">
        <x:f>H602*INDEX(Inputs!$B$13:$D$13,1,MATCH(A602,Inputs!$B$6:$D$6,0))</x:f>
        <x:v>390</x:v>
      </x:c>
      <x:c r="R602" s="20" t="n">
        <x:f>SUM(M602:Q602)</x:f>
        <x:v>35288.5</x:v>
      </x:c>
      <x:c r="S602" s="20" t="n">
        <x:f>IF(AND(A601=A602,D601=D602),S601+R602,R602)</x:f>
        <x:v>35288.5</x:v>
      </x:c>
      <x:c r="T602" s="20" t="n">
        <x:f>MIN(S602,INDEX(Inputs!$B$20:$D$20,1,MATCH(A602,Inputs!$B$6:$D$6,0)))*INDEX(Inputs!$B$22:$D$22,1,MATCH(A602,Inputs!$B$6:$D$6,0))+MAX(MIN(S602,INDEX(Inputs!$B$21:$D$21,1,MATCH(A602,Inputs!$B$6:$D$6,0)))-INDEX(Inputs!$B$20:$D$20,1,MATCH(A602,Inputs!$B$6:$D$6,0)),0)*INDEX(Inputs!$B$23:$D$23,1,MATCH(A602,Inputs!$B$6:$D$6,0))+MAX(S602-INDEX(Inputs!$B$21:$D$21,1,MATCH(A602,Inputs!$B$6:$D$6,0)),0)*INDEX(Inputs!$B$24:$D$24,1,MATCH(A602,Inputs!$B$6:$D$6,0))</x:f>
        <x:v>3189.5702499999998</x:v>
      </x:c>
      <x:c r="U602" s="20" t="n">
        <x:f>IF(AND(A601=A602,D601=D602),T601,0)</x:f>
        <x:v>0</x:v>
      </x:c>
      <x:c r="V602" s="20" t="n">
        <x:f>T602-U602</x:f>
        <x:v>3189.5702499999998</x:v>
      </x:c>
      <x:c r="W602" s="20" t="n">
        <x:f>R602+V602</x:f>
        <x:v>38478.07025</x:v>
      </x:c>
      <x:c r="X602" s="14" t="str">
        <x:f>IF(ABS(W602-SUM(M602:Q602)-V602)&lt;0.01,"OK","Check")</x:f>
        <x:v>OK</x:v>
      </x:c>
    </x:row>
    <x:row r="603">
      <x:c r="A603" s="14" t="n">
        <x:v>2027</x:v>
      </x:c>
      <x:c r="B603" s="14" t="str">
        <x:v>Q2</x:v>
      </x:c>
      <x:c r="C603" s="14" t="n">
        <x:v>2</x:v>
      </x:c>
      <x:c r="D603" s="14" t="n">
        <x:v>47</x:v>
      </x:c>
      <x:c r="E603" s="14" t="str">
        <x:f>INDEX(Roster!$B$6:$B$108,MATCH(D603,Roster!$A$6:$A$108,0))</x:f>
        <x:v>Assistant Principal</x:v>
      </x:c>
      <x:c r="F603" s="14" t="str">
        <x:f>INDEX(Roster!$F$6:$F$108,MATCH(D603,Roster!$A$6:$A$108,0))</x:f>
        <x:v>No</x:v>
      </x:c>
      <x:c r="G603" s="14" t="n">
        <x:f>INDEX(Inputs!$B$7:$D$7,1,MATCH(A603,Inputs!$B$6:$D$6,0))</x:f>
        <x:v>13</x:v>
      </x:c>
      <x:c r="H603" s="14" t="n">
        <x:f>MIN(=INDEX(Inputs!$B$7:$D$7,1,MATCH(A603,Inputs!$B$6:$D$6,0)),MAX(0,INDEX(Inputs!$B$14:$D$14,1,MATCH(A603,Inputs!$B$6:$D$6,0))-(C603-1)*=INDEX(Inputs!$B$7:$D$7,1,MATCH(A603,Inputs!$B$6:$D$6,0))))</x:f>
        <x:v>13</x:v>
      </x:c>
      <x:c r="I603" s="20" t="n">
        <x:f>INDEX(Inputs!$B$8:$D$8,1,MATCH(A603,Inputs!$B$6:$D$6,0))</x:f>
        <x:v>2395</x:v>
      </x:c>
      <x:c r="J603" s="20" t="n">
        <x:f>INDEX(Roster!$C$6:$C$108,MATCH(D603,Roster!$A$6:$A$108,0))*(1+INDEX(Inputs!$B$9:$D$9,1,MATCH(A603,Inputs!$B$6:$D$6,0)))</x:f>
        <x:v>0</x:v>
      </x:c>
      <x:c r="K603" s="20" t="n">
        <x:f>IF(=INDEX(Roster!$F$6:$F$108,MATCH(D603,Roster!$A$6:$A$108,0))="Yes",0,=INDEX(Inputs!$B$8:$D$8,1,MATCH(A603,Inputs!$B$6:$D$6,0))*IF(=INDEX(Roster!$B$6:$B$108,MATCH(D603,Roster!$A$6:$A$108,0))="Principal",INDEX(Inputs!$B$10:$D$10,1,MATCH(A603,Inputs!$B$6:$D$6,0)),IF(=INDEX(Roster!$B$6:$B$108,MATCH(D603,Roster!$A$6:$A$108,0))="Associate Principal",INDEX(Inputs!$B$11:$D$11,1,MATCH(A603,Inputs!$B$6:$D$6,0)),IF(=INDEX(Roster!$B$6:$B$108,MATCH(D603,Roster!$A$6:$A$108,0))="Assistant Principal",INDEX(Inputs!$B$12:$D$12,1,MATCH(A603,Inputs!$B$6:$D$6,0)),0))))</x:f>
        <x:v>239.5</x:v>
      </x:c>
      <x:c r="L603" s="20" t="n">
        <x:f>IF(INDEX(Roster!$D$6:$D$108,MATCH(D603,Roster!$A$6:$A$108,0))&gt;=25,INDEX(Inputs!$B$19:$D$19,1,MATCH(A603,Inputs!$B$6:$D$6,0)),IF(INDEX(Roster!$D$6:$D$108,MATCH(D603,Roster!$A$6:$A$108,0))&gt;=20,INDEX(Inputs!$B$18:$D$18,1,MATCH(A603,Inputs!$B$6:$D$6,0)),IF(INDEX(Roster!$D$6:$D$108,MATCH(D603,Roster!$A$6:$A$108,0))&gt;=15,INDEX(Inputs!$B$17:$D$17,1,MATCH(A603,Inputs!$B$6:$D$6,0)),IF(INDEX(Roster!$D$6:$D$108,MATCH(D603,Roster!$A$6:$A$108,0))&gt;=10,INDEX(Inputs!$B$16:$D$16,1,MATCH(A603,Inputs!$B$6:$D$6,0)),IF(INDEX(Roster!$D$6:$D$108,MATCH(D603,Roster!$A$6:$A$108,0))&gt;=5,INDEX(Inputs!$B$15:$D$15,1,MATCH(A603,Inputs!$B$6:$D$6,0)),0)))))</x:f>
        <x:v>50</x:v>
      </x:c>
      <x:c r="M603" s="20" t="n">
        <x:f>G603*I603</x:f>
        <x:v>31135</x:v>
      </x:c>
      <x:c r="N603" s="20" t="n">
        <x:f>G603*J603</x:f>
        <x:v>0</x:v>
      </x:c>
      <x:c r="O603" s="20" t="n">
        <x:f>G603*K603</x:f>
        <x:v>3113.5</x:v>
      </x:c>
      <x:c r="P603" s="20" t="n">
        <x:f>G603*L603</x:f>
        <x:v>650</x:v>
      </x:c>
      <x:c r="Q603" s="20" t="n">
        <x:f>H603*INDEX(Inputs!$B$13:$D$13,1,MATCH(A603,Inputs!$B$6:$D$6,0))</x:f>
        <x:v>390</x:v>
      </x:c>
      <x:c r="R603" s="20" t="n">
        <x:f>SUM(M603:Q603)</x:f>
        <x:v>35288.5</x:v>
      </x:c>
      <x:c r="S603" s="20" t="n">
        <x:f>IF(AND(A602=A603,D602=D603),S602+R603,R603)</x:f>
        <x:v>70577</x:v>
      </x:c>
      <x:c r="T603" s="20" t="n">
        <x:f>MIN(S603,INDEX(Inputs!$B$20:$D$20,1,MATCH(A603,Inputs!$B$6:$D$6,0)))*INDEX(Inputs!$B$22:$D$22,1,MATCH(A603,Inputs!$B$6:$D$6,0))+MAX(MIN(S603,INDEX(Inputs!$B$21:$D$21,1,MATCH(A603,Inputs!$B$6:$D$6,0)))-INDEX(Inputs!$B$20:$D$20,1,MATCH(A603,Inputs!$B$6:$D$6,0)),0)*INDEX(Inputs!$B$23:$D$23,1,MATCH(A603,Inputs!$B$6:$D$6,0))+MAX(S603-INDEX(Inputs!$B$21:$D$21,1,MATCH(A603,Inputs!$B$6:$D$6,0)),0)*INDEX(Inputs!$B$24:$D$24,1,MATCH(A603,Inputs!$B$6:$D$6,0))</x:f>
        <x:v>5889.1404999999995</x:v>
      </x:c>
      <x:c r="U603" s="20" t="n">
        <x:f>IF(AND(A602=A603,D602=D603),T602,0)</x:f>
        <x:v>3189.5702499999998</x:v>
      </x:c>
      <x:c r="V603" s="20" t="n">
        <x:f>T603-U603</x:f>
        <x:v>2699.5702499999998</x:v>
      </x:c>
      <x:c r="W603" s="20" t="n">
        <x:f>R603+V603</x:f>
        <x:v>37988.07025</x:v>
      </x:c>
      <x:c r="X603" s="14" t="str">
        <x:f>IF(ABS(W603-SUM(M603:Q603)-V603)&lt;0.01,"OK","Check")</x:f>
        <x:v>OK</x:v>
      </x:c>
    </x:row>
    <x:row r="604">
      <x:c r="A604" s="14" t="n">
        <x:v>2027</x:v>
      </x:c>
      <x:c r="B604" s="14" t="str">
        <x:v>Q3</x:v>
      </x:c>
      <x:c r="C604" s="14" t="n">
        <x:v>3</x:v>
      </x:c>
      <x:c r="D604" s="14" t="n">
        <x:v>47</x:v>
      </x:c>
      <x:c r="E604" s="14" t="str">
        <x:f>INDEX(Roster!$B$6:$B$108,MATCH(D604,Roster!$A$6:$A$108,0))</x:f>
        <x:v>Assistant Principal</x:v>
      </x:c>
      <x:c r="F604" s="14" t="str">
        <x:f>INDEX(Roster!$F$6:$F$108,MATCH(D604,Roster!$A$6:$A$108,0))</x:f>
        <x:v>No</x:v>
      </x:c>
      <x:c r="G604" s="14" t="n">
        <x:f>INDEX(Inputs!$B$7:$D$7,1,MATCH(A604,Inputs!$B$6:$D$6,0))</x:f>
        <x:v>13</x:v>
      </x:c>
      <x:c r="H604" s="14" t="n">
        <x:f>MIN(=INDEX(Inputs!$B$7:$D$7,1,MATCH(A604,Inputs!$B$6:$D$6,0)),MAX(0,INDEX(Inputs!$B$14:$D$14,1,MATCH(A604,Inputs!$B$6:$D$6,0))-(C604-1)*=INDEX(Inputs!$B$7:$D$7,1,MATCH(A604,Inputs!$B$6:$D$6,0))))</x:f>
        <x:v>13</x:v>
      </x:c>
      <x:c r="I604" s="20" t="n">
        <x:f>INDEX(Inputs!$B$8:$D$8,1,MATCH(A604,Inputs!$B$6:$D$6,0))</x:f>
        <x:v>2395</x:v>
      </x:c>
      <x:c r="J604" s="20" t="n">
        <x:f>INDEX(Roster!$C$6:$C$108,MATCH(D604,Roster!$A$6:$A$108,0))*(1+INDEX(Inputs!$B$9:$D$9,1,MATCH(A604,Inputs!$B$6:$D$6,0)))</x:f>
        <x:v>0</x:v>
      </x:c>
      <x:c r="K604" s="20" t="n">
        <x:f>IF(=INDEX(Roster!$F$6:$F$108,MATCH(D604,Roster!$A$6:$A$108,0))="Yes",0,=INDEX(Inputs!$B$8:$D$8,1,MATCH(A604,Inputs!$B$6:$D$6,0))*IF(=INDEX(Roster!$B$6:$B$108,MATCH(D604,Roster!$A$6:$A$108,0))="Principal",INDEX(Inputs!$B$10:$D$10,1,MATCH(A604,Inputs!$B$6:$D$6,0)),IF(=INDEX(Roster!$B$6:$B$108,MATCH(D604,Roster!$A$6:$A$108,0))="Associate Principal",INDEX(Inputs!$B$11:$D$11,1,MATCH(A604,Inputs!$B$6:$D$6,0)),IF(=INDEX(Roster!$B$6:$B$108,MATCH(D604,Roster!$A$6:$A$108,0))="Assistant Principal",INDEX(Inputs!$B$12:$D$12,1,MATCH(A604,Inputs!$B$6:$D$6,0)),0))))</x:f>
        <x:v>239.5</x:v>
      </x:c>
      <x:c r="L604" s="20" t="n">
        <x:f>IF(INDEX(Roster!$D$6:$D$108,MATCH(D604,Roster!$A$6:$A$108,0))&gt;=25,INDEX(Inputs!$B$19:$D$19,1,MATCH(A604,Inputs!$B$6:$D$6,0)),IF(INDEX(Roster!$D$6:$D$108,MATCH(D604,Roster!$A$6:$A$108,0))&gt;=20,INDEX(Inputs!$B$18:$D$18,1,MATCH(A604,Inputs!$B$6:$D$6,0)),IF(INDEX(Roster!$D$6:$D$108,MATCH(D604,Roster!$A$6:$A$108,0))&gt;=15,INDEX(Inputs!$B$17:$D$17,1,MATCH(A604,Inputs!$B$6:$D$6,0)),IF(INDEX(Roster!$D$6:$D$108,MATCH(D604,Roster!$A$6:$A$108,0))&gt;=10,INDEX(Inputs!$B$16:$D$16,1,MATCH(A604,Inputs!$B$6:$D$6,0)),IF(INDEX(Roster!$D$6:$D$108,MATCH(D604,Roster!$A$6:$A$108,0))&gt;=5,INDEX(Inputs!$B$15:$D$15,1,MATCH(A604,Inputs!$B$6:$D$6,0)),0)))))</x:f>
        <x:v>50</x:v>
      </x:c>
      <x:c r="M604" s="20" t="n">
        <x:f>G604*I604</x:f>
        <x:v>31135</x:v>
      </x:c>
      <x:c r="N604" s="20" t="n">
        <x:f>G604*J604</x:f>
        <x:v>0</x:v>
      </x:c>
      <x:c r="O604" s="20" t="n">
        <x:f>G604*K604</x:f>
        <x:v>3113.5</x:v>
      </x:c>
      <x:c r="P604" s="20" t="n">
        <x:f>G604*L604</x:f>
        <x:v>650</x:v>
      </x:c>
      <x:c r="Q604" s="20" t="n">
        <x:f>H604*INDEX(Inputs!$B$13:$D$13,1,MATCH(A604,Inputs!$B$6:$D$6,0))</x:f>
        <x:v>390</x:v>
      </x:c>
      <x:c r="R604" s="20" t="n">
        <x:f>SUM(M604:Q604)</x:f>
        <x:v>35288.5</x:v>
      </x:c>
      <x:c r="S604" s="20" t="n">
        <x:f>IF(AND(A603=A604,D603=D604),S603+R604,R604)</x:f>
        <x:v>105865.5</x:v>
      </x:c>
      <x:c r="T604" s="20" t="n">
        <x:f>MIN(S604,INDEX(Inputs!$B$20:$D$20,1,MATCH(A604,Inputs!$B$6:$D$6,0)))*INDEX(Inputs!$B$22:$D$22,1,MATCH(A604,Inputs!$B$6:$D$6,0))+MAX(MIN(S604,INDEX(Inputs!$B$21:$D$21,1,MATCH(A604,Inputs!$B$6:$D$6,0)))-INDEX(Inputs!$B$20:$D$20,1,MATCH(A604,Inputs!$B$6:$D$6,0)),0)*INDEX(Inputs!$B$23:$D$23,1,MATCH(A604,Inputs!$B$6:$D$6,0))+MAX(S604-INDEX(Inputs!$B$21:$D$21,1,MATCH(A604,Inputs!$B$6:$D$6,0)),0)*INDEX(Inputs!$B$24:$D$24,1,MATCH(A604,Inputs!$B$6:$D$6,0))</x:f>
        <x:v>8588.71075</x:v>
      </x:c>
      <x:c r="U604" s="20" t="n">
        <x:f>IF(AND(A603=A604,D603=D604),T603,0)</x:f>
        <x:v>5889.1404999999995</x:v>
      </x:c>
      <x:c r="V604" s="20" t="n">
        <x:f>T604-U604</x:f>
        <x:v>2699.5702500000007</x:v>
      </x:c>
      <x:c r="W604" s="20" t="n">
        <x:f>R604+V604</x:f>
        <x:v>37988.070250000004</x:v>
      </x:c>
      <x:c r="X604" s="14" t="str">
        <x:f>IF(ABS(W604-SUM(M604:Q604)-V604)&lt;0.01,"OK","Check")</x:f>
        <x:v>OK</x:v>
      </x:c>
    </x:row>
    <x:row r="605">
      <x:c r="A605" s="14" t="n">
        <x:v>2027</x:v>
      </x:c>
      <x:c r="B605" s="14" t="str">
        <x:v>Q4</x:v>
      </x:c>
      <x:c r="C605" s="14" t="n">
        <x:v>4</x:v>
      </x:c>
      <x:c r="D605" s="14" t="n">
        <x:v>47</x:v>
      </x:c>
      <x:c r="E605" s="14" t="str">
        <x:f>INDEX(Roster!$B$6:$B$108,MATCH(D605,Roster!$A$6:$A$108,0))</x:f>
        <x:v>Assistant Principal</x:v>
      </x:c>
      <x:c r="F605" s="14" t="str">
        <x:f>INDEX(Roster!$F$6:$F$108,MATCH(D605,Roster!$A$6:$A$108,0))</x:f>
        <x:v>No</x:v>
      </x:c>
      <x:c r="G605" s="14" t="n">
        <x:f>INDEX(Inputs!$B$7:$D$7,1,MATCH(A605,Inputs!$B$6:$D$6,0))</x:f>
        <x:v>13</x:v>
      </x:c>
      <x:c r="H605" s="14" t="n">
        <x:f>MIN(=INDEX(Inputs!$B$7:$D$7,1,MATCH(A605,Inputs!$B$6:$D$6,0)),MAX(0,INDEX(Inputs!$B$14:$D$14,1,MATCH(A605,Inputs!$B$6:$D$6,0))-(C605-1)*=INDEX(Inputs!$B$7:$D$7,1,MATCH(A605,Inputs!$B$6:$D$6,0))))</x:f>
        <x:v>0</x:v>
      </x:c>
      <x:c r="I605" s="20" t="n">
        <x:f>INDEX(Inputs!$B$8:$D$8,1,MATCH(A605,Inputs!$B$6:$D$6,0))</x:f>
        <x:v>2395</x:v>
      </x:c>
      <x:c r="J605" s="20" t="n">
        <x:f>INDEX(Roster!$C$6:$C$108,MATCH(D605,Roster!$A$6:$A$108,0))*(1+INDEX(Inputs!$B$9:$D$9,1,MATCH(A605,Inputs!$B$6:$D$6,0)))</x:f>
        <x:v>0</x:v>
      </x:c>
      <x:c r="K605" s="20" t="n">
        <x:f>IF(=INDEX(Roster!$F$6:$F$108,MATCH(D605,Roster!$A$6:$A$108,0))="Yes",0,=INDEX(Inputs!$B$8:$D$8,1,MATCH(A605,Inputs!$B$6:$D$6,0))*IF(=INDEX(Roster!$B$6:$B$108,MATCH(D605,Roster!$A$6:$A$108,0))="Principal",INDEX(Inputs!$B$10:$D$10,1,MATCH(A605,Inputs!$B$6:$D$6,0)),IF(=INDEX(Roster!$B$6:$B$108,MATCH(D605,Roster!$A$6:$A$108,0))="Associate Principal",INDEX(Inputs!$B$11:$D$11,1,MATCH(A605,Inputs!$B$6:$D$6,0)),IF(=INDEX(Roster!$B$6:$B$108,MATCH(D605,Roster!$A$6:$A$108,0))="Assistant Principal",INDEX(Inputs!$B$12:$D$12,1,MATCH(A605,Inputs!$B$6:$D$6,0)),0))))</x:f>
        <x:v>239.5</x:v>
      </x:c>
      <x:c r="L605" s="20" t="n">
        <x:f>IF(INDEX(Roster!$D$6:$D$108,MATCH(D605,Roster!$A$6:$A$108,0))&gt;=25,INDEX(Inputs!$B$19:$D$19,1,MATCH(A605,Inputs!$B$6:$D$6,0)),IF(INDEX(Roster!$D$6:$D$108,MATCH(D605,Roster!$A$6:$A$108,0))&gt;=20,INDEX(Inputs!$B$18:$D$18,1,MATCH(A605,Inputs!$B$6:$D$6,0)),IF(INDEX(Roster!$D$6:$D$108,MATCH(D605,Roster!$A$6:$A$108,0))&gt;=15,INDEX(Inputs!$B$17:$D$17,1,MATCH(A605,Inputs!$B$6:$D$6,0)),IF(INDEX(Roster!$D$6:$D$108,MATCH(D605,Roster!$A$6:$A$108,0))&gt;=10,INDEX(Inputs!$B$16:$D$16,1,MATCH(A605,Inputs!$B$6:$D$6,0)),IF(INDEX(Roster!$D$6:$D$108,MATCH(D605,Roster!$A$6:$A$108,0))&gt;=5,INDEX(Inputs!$B$15:$D$15,1,MATCH(A605,Inputs!$B$6:$D$6,0)),0)))))</x:f>
        <x:v>50</x:v>
      </x:c>
      <x:c r="M605" s="20" t="n">
        <x:f>G605*I605</x:f>
        <x:v>31135</x:v>
      </x:c>
      <x:c r="N605" s="20" t="n">
        <x:f>G605*J605</x:f>
        <x:v>0</x:v>
      </x:c>
      <x:c r="O605" s="20" t="n">
        <x:f>G605*K605</x:f>
        <x:v>3113.5</x:v>
      </x:c>
      <x:c r="P605" s="20" t="n">
        <x:f>G605*L605</x:f>
        <x:v>650</x:v>
      </x:c>
      <x:c r="Q605" s="20" t="n">
        <x:f>H605*INDEX(Inputs!$B$13:$D$13,1,MATCH(A605,Inputs!$B$6:$D$6,0))</x:f>
        <x:v>0</x:v>
      </x:c>
      <x:c r="R605" s="20" t="n">
        <x:f>SUM(M605:Q605)</x:f>
        <x:v>34898.5</x:v>
      </x:c>
      <x:c r="S605" s="20" t="n">
        <x:f>IF(AND(A604=A605,D604=D605),S604+R605,R605)</x:f>
        <x:v>140764</x:v>
      </x:c>
      <x:c r="T605" s="20" t="n">
        <x:f>MIN(S605,INDEX(Inputs!$B$20:$D$20,1,MATCH(A605,Inputs!$B$6:$D$6,0)))*INDEX(Inputs!$B$22:$D$22,1,MATCH(A605,Inputs!$B$6:$D$6,0))+MAX(MIN(S605,INDEX(Inputs!$B$21:$D$21,1,MATCH(A605,Inputs!$B$6:$D$6,0)))-INDEX(Inputs!$B$20:$D$20,1,MATCH(A605,Inputs!$B$6:$D$6,0)),0)*INDEX(Inputs!$B$23:$D$23,1,MATCH(A605,Inputs!$B$6:$D$6,0))+MAX(S605-INDEX(Inputs!$B$21:$D$21,1,MATCH(A605,Inputs!$B$6:$D$6,0)),0)*INDEX(Inputs!$B$24:$D$24,1,MATCH(A605,Inputs!$B$6:$D$6,0))</x:f>
        <x:v>9955.02</x:v>
      </x:c>
      <x:c r="U605" s="20" t="n">
        <x:f>IF(AND(A604=A605,D604=D605),T604,0)</x:f>
        <x:v>8588.71075</x:v>
      </x:c>
      <x:c r="V605" s="20" t="n">
        <x:f>T605-U605</x:f>
        <x:v>1366.3092500000002</x:v>
      </x:c>
      <x:c r="W605" s="20" t="n">
        <x:f>R605+V605</x:f>
        <x:v>36264.80925</x:v>
      </x:c>
      <x:c r="X605" s="14" t="str">
        <x:f>IF(ABS(W605-SUM(M605:Q605)-V605)&lt;0.01,"OK","Check")</x:f>
        <x:v>OK</x:v>
      </x:c>
    </x:row>
    <x:row r="606">
      <x:c r="A606" s="14" t="n">
        <x:v>2027</x:v>
      </x:c>
      <x:c r="B606" s="14" t="str">
        <x:v>Q1</x:v>
      </x:c>
      <x:c r="C606" s="14" t="n">
        <x:v>1</x:v>
      </x:c>
      <x:c r="D606" s="14" t="n">
        <x:v>48</x:v>
      </x:c>
      <x:c r="E606" s="14" t="str">
        <x:f>INDEX(Roster!$B$6:$B$108,MATCH(D606,Roster!$A$6:$A$108,0))</x:f>
        <x:v>Principal</x:v>
      </x:c>
      <x:c r="F606" s="14" t="str">
        <x:f>INDEX(Roster!$F$6:$F$108,MATCH(D606,Roster!$A$6:$A$108,0))</x:f>
        <x:v>No</x:v>
      </x:c>
      <x:c r="G606" s="14" t="n">
        <x:f>INDEX(Inputs!$B$7:$D$7,1,MATCH(A606,Inputs!$B$6:$D$6,0))</x:f>
        <x:v>13</x:v>
      </x:c>
      <x:c r="H606" s="14" t="n">
        <x:f>MIN(=INDEX(Inputs!$B$7:$D$7,1,MATCH(A606,Inputs!$B$6:$D$6,0)),MAX(0,INDEX(Inputs!$B$14:$D$14,1,MATCH(A606,Inputs!$B$6:$D$6,0))-(C606-1)*=INDEX(Inputs!$B$7:$D$7,1,MATCH(A606,Inputs!$B$6:$D$6,0))))</x:f>
        <x:v>13</x:v>
      </x:c>
      <x:c r="I606" s="20" t="n">
        <x:f>INDEX(Inputs!$B$8:$D$8,1,MATCH(A606,Inputs!$B$6:$D$6,0))</x:f>
        <x:v>2395</x:v>
      </x:c>
      <x:c r="J606" s="20" t="n">
        <x:f>INDEX(Roster!$C$6:$C$108,MATCH(D606,Roster!$A$6:$A$108,0))*(1+INDEX(Inputs!$B$9:$D$9,1,MATCH(A606,Inputs!$B$6:$D$6,0)))</x:f>
        <x:v>0</x:v>
      </x:c>
      <x:c r="K606" s="20" t="n">
        <x:f>IF(=INDEX(Roster!$F$6:$F$108,MATCH(D606,Roster!$A$6:$A$108,0))="Yes",0,=INDEX(Inputs!$B$8:$D$8,1,MATCH(A606,Inputs!$B$6:$D$6,0))*IF(=INDEX(Roster!$B$6:$B$108,MATCH(D606,Roster!$A$6:$A$108,0))="Principal",INDEX(Inputs!$B$10:$D$10,1,MATCH(A606,Inputs!$B$6:$D$6,0)),IF(=INDEX(Roster!$B$6:$B$108,MATCH(D606,Roster!$A$6:$A$108,0))="Associate Principal",INDEX(Inputs!$B$11:$D$11,1,MATCH(A606,Inputs!$B$6:$D$6,0)),IF(=INDEX(Roster!$B$6:$B$108,MATCH(D606,Roster!$A$6:$A$108,0))="Assistant Principal",INDEX(Inputs!$B$12:$D$12,1,MATCH(A606,Inputs!$B$6:$D$6,0)),0))))</x:f>
        <x:v>479</x:v>
      </x:c>
      <x:c r="L606" s="20" t="n">
        <x:f>IF(INDEX(Roster!$D$6:$D$108,MATCH(D606,Roster!$A$6:$A$108,0))&gt;=25,INDEX(Inputs!$B$19:$D$19,1,MATCH(A606,Inputs!$B$6:$D$6,0)),IF(INDEX(Roster!$D$6:$D$108,MATCH(D606,Roster!$A$6:$A$108,0))&gt;=20,INDEX(Inputs!$B$18:$D$18,1,MATCH(A606,Inputs!$B$6:$D$6,0)),IF(INDEX(Roster!$D$6:$D$108,MATCH(D606,Roster!$A$6:$A$108,0))&gt;=15,INDEX(Inputs!$B$17:$D$17,1,MATCH(A606,Inputs!$B$6:$D$6,0)),IF(INDEX(Roster!$D$6:$D$108,MATCH(D606,Roster!$A$6:$A$108,0))&gt;=10,INDEX(Inputs!$B$16:$D$16,1,MATCH(A606,Inputs!$B$6:$D$6,0)),IF(INDEX(Roster!$D$6:$D$108,MATCH(D606,Roster!$A$6:$A$108,0))&gt;=5,INDEX(Inputs!$B$15:$D$15,1,MATCH(A606,Inputs!$B$6:$D$6,0)),0)))))</x:f>
        <x:v>90</x:v>
      </x:c>
      <x:c r="M606" s="20" t="n">
        <x:f>G606*I606</x:f>
        <x:v>31135</x:v>
      </x:c>
      <x:c r="N606" s="20" t="n">
        <x:f>G606*J606</x:f>
        <x:v>0</x:v>
      </x:c>
      <x:c r="O606" s="20" t="n">
        <x:f>G606*K606</x:f>
        <x:v>6227</x:v>
      </x:c>
      <x:c r="P606" s="20" t="n">
        <x:f>G606*L606</x:f>
        <x:v>1170</x:v>
      </x:c>
      <x:c r="Q606" s="20" t="n">
        <x:f>H606*INDEX(Inputs!$B$13:$D$13,1,MATCH(A606,Inputs!$B$6:$D$6,0))</x:f>
        <x:v>390</x:v>
      </x:c>
      <x:c r="R606" s="20" t="n">
        <x:f>SUM(M606:Q606)</x:f>
        <x:v>38922</x:v>
      </x:c>
      <x:c r="S606" s="20" t="n">
        <x:f>IF(AND(A605=A606,D605=D606),S605+R606,R606)</x:f>
        <x:v>38922</x:v>
      </x:c>
      <x:c r="T606" s="20" t="n">
        <x:f>MIN(S606,INDEX(Inputs!$B$20:$D$20,1,MATCH(A606,Inputs!$B$6:$D$6,0)))*INDEX(Inputs!$B$22:$D$22,1,MATCH(A606,Inputs!$B$6:$D$6,0))+MAX(MIN(S606,INDEX(Inputs!$B$21:$D$21,1,MATCH(A606,Inputs!$B$6:$D$6,0)))-INDEX(Inputs!$B$20:$D$20,1,MATCH(A606,Inputs!$B$6:$D$6,0)),0)*INDEX(Inputs!$B$23:$D$23,1,MATCH(A606,Inputs!$B$6:$D$6,0))+MAX(S606-INDEX(Inputs!$B$21:$D$21,1,MATCH(A606,Inputs!$B$6:$D$6,0)),0)*INDEX(Inputs!$B$24:$D$24,1,MATCH(A606,Inputs!$B$6:$D$6,0))</x:f>
        <x:v>3467.533</x:v>
      </x:c>
      <x:c r="U606" s="20" t="n">
        <x:f>IF(AND(A605=A606,D605=D606),T605,0)</x:f>
        <x:v>0</x:v>
      </x:c>
      <x:c r="V606" s="20" t="n">
        <x:f>T606-U606</x:f>
        <x:v>3467.533</x:v>
      </x:c>
      <x:c r="W606" s="20" t="n">
        <x:f>R606+V606</x:f>
        <x:v>42389.533</x:v>
      </x:c>
      <x:c r="X606" s="14" t="str">
        <x:f>IF(ABS(W606-SUM(M606:Q606)-V606)&lt;0.01,"OK","Check")</x:f>
        <x:v>OK</x:v>
      </x:c>
    </x:row>
    <x:row r="607">
      <x:c r="A607" s="14" t="n">
        <x:v>2027</x:v>
      </x:c>
      <x:c r="B607" s="14" t="str">
        <x:v>Q2</x:v>
      </x:c>
      <x:c r="C607" s="14" t="n">
        <x:v>2</x:v>
      </x:c>
      <x:c r="D607" s="14" t="n">
        <x:v>48</x:v>
      </x:c>
      <x:c r="E607" s="14" t="str">
        <x:f>INDEX(Roster!$B$6:$B$108,MATCH(D607,Roster!$A$6:$A$108,0))</x:f>
        <x:v>Principal</x:v>
      </x:c>
      <x:c r="F607" s="14" t="str">
        <x:f>INDEX(Roster!$F$6:$F$108,MATCH(D607,Roster!$A$6:$A$108,0))</x:f>
        <x:v>No</x:v>
      </x:c>
      <x:c r="G607" s="14" t="n">
        <x:f>INDEX(Inputs!$B$7:$D$7,1,MATCH(A607,Inputs!$B$6:$D$6,0))</x:f>
        <x:v>13</x:v>
      </x:c>
      <x:c r="H607" s="14" t="n">
        <x:f>MIN(=INDEX(Inputs!$B$7:$D$7,1,MATCH(A607,Inputs!$B$6:$D$6,0)),MAX(0,INDEX(Inputs!$B$14:$D$14,1,MATCH(A607,Inputs!$B$6:$D$6,0))-(C607-1)*=INDEX(Inputs!$B$7:$D$7,1,MATCH(A607,Inputs!$B$6:$D$6,0))))</x:f>
        <x:v>13</x:v>
      </x:c>
      <x:c r="I607" s="20" t="n">
        <x:f>INDEX(Inputs!$B$8:$D$8,1,MATCH(A607,Inputs!$B$6:$D$6,0))</x:f>
        <x:v>2395</x:v>
      </x:c>
      <x:c r="J607" s="20" t="n">
        <x:f>INDEX(Roster!$C$6:$C$108,MATCH(D607,Roster!$A$6:$A$108,0))*(1+INDEX(Inputs!$B$9:$D$9,1,MATCH(A607,Inputs!$B$6:$D$6,0)))</x:f>
        <x:v>0</x:v>
      </x:c>
      <x:c r="K607" s="20" t="n">
        <x:f>IF(=INDEX(Roster!$F$6:$F$108,MATCH(D607,Roster!$A$6:$A$108,0))="Yes",0,=INDEX(Inputs!$B$8:$D$8,1,MATCH(A607,Inputs!$B$6:$D$6,0))*IF(=INDEX(Roster!$B$6:$B$108,MATCH(D607,Roster!$A$6:$A$108,0))="Principal",INDEX(Inputs!$B$10:$D$10,1,MATCH(A607,Inputs!$B$6:$D$6,0)),IF(=INDEX(Roster!$B$6:$B$108,MATCH(D607,Roster!$A$6:$A$108,0))="Associate Principal",INDEX(Inputs!$B$11:$D$11,1,MATCH(A607,Inputs!$B$6:$D$6,0)),IF(=INDEX(Roster!$B$6:$B$108,MATCH(D607,Roster!$A$6:$A$108,0))="Assistant Principal",INDEX(Inputs!$B$12:$D$12,1,MATCH(A607,Inputs!$B$6:$D$6,0)),0))))</x:f>
        <x:v>479</x:v>
      </x:c>
      <x:c r="L607" s="20" t="n">
        <x:f>IF(INDEX(Roster!$D$6:$D$108,MATCH(D607,Roster!$A$6:$A$108,0))&gt;=25,INDEX(Inputs!$B$19:$D$19,1,MATCH(A607,Inputs!$B$6:$D$6,0)),IF(INDEX(Roster!$D$6:$D$108,MATCH(D607,Roster!$A$6:$A$108,0))&gt;=20,INDEX(Inputs!$B$18:$D$18,1,MATCH(A607,Inputs!$B$6:$D$6,0)),IF(INDEX(Roster!$D$6:$D$108,MATCH(D607,Roster!$A$6:$A$108,0))&gt;=15,INDEX(Inputs!$B$17:$D$17,1,MATCH(A607,Inputs!$B$6:$D$6,0)),IF(INDEX(Roster!$D$6:$D$108,MATCH(D607,Roster!$A$6:$A$108,0))&gt;=10,INDEX(Inputs!$B$16:$D$16,1,MATCH(A607,Inputs!$B$6:$D$6,0)),IF(INDEX(Roster!$D$6:$D$108,MATCH(D607,Roster!$A$6:$A$108,0))&gt;=5,INDEX(Inputs!$B$15:$D$15,1,MATCH(A607,Inputs!$B$6:$D$6,0)),0)))))</x:f>
        <x:v>90</x:v>
      </x:c>
      <x:c r="M607" s="20" t="n">
        <x:f>G607*I607</x:f>
        <x:v>31135</x:v>
      </x:c>
      <x:c r="N607" s="20" t="n">
        <x:f>G607*J607</x:f>
        <x:v>0</x:v>
      </x:c>
      <x:c r="O607" s="20" t="n">
        <x:f>G607*K607</x:f>
        <x:v>6227</x:v>
      </x:c>
      <x:c r="P607" s="20" t="n">
        <x:f>G607*L607</x:f>
        <x:v>1170</x:v>
      </x:c>
      <x:c r="Q607" s="20" t="n">
        <x:f>H607*INDEX(Inputs!$B$13:$D$13,1,MATCH(A607,Inputs!$B$6:$D$6,0))</x:f>
        <x:v>390</x:v>
      </x:c>
      <x:c r="R607" s="20" t="n">
        <x:f>SUM(M607:Q607)</x:f>
        <x:v>38922</x:v>
      </x:c>
      <x:c r="S607" s="20" t="n">
        <x:f>IF(AND(A606=A607,D606=D607),S606+R607,R607)</x:f>
        <x:v>77844</x:v>
      </x:c>
      <x:c r="T607" s="20" t="n">
        <x:f>MIN(S607,INDEX(Inputs!$B$20:$D$20,1,MATCH(A607,Inputs!$B$6:$D$6,0)))*INDEX(Inputs!$B$22:$D$22,1,MATCH(A607,Inputs!$B$6:$D$6,0))+MAX(MIN(S607,INDEX(Inputs!$B$21:$D$21,1,MATCH(A607,Inputs!$B$6:$D$6,0)))-INDEX(Inputs!$B$20:$D$20,1,MATCH(A607,Inputs!$B$6:$D$6,0)),0)*INDEX(Inputs!$B$23:$D$23,1,MATCH(A607,Inputs!$B$6:$D$6,0))+MAX(S607-INDEX(Inputs!$B$21:$D$21,1,MATCH(A607,Inputs!$B$6:$D$6,0)),0)*INDEX(Inputs!$B$24:$D$24,1,MATCH(A607,Inputs!$B$6:$D$6,0))</x:f>
        <x:v>6445.066</x:v>
      </x:c>
      <x:c r="U607" s="20" t="n">
        <x:f>IF(AND(A606=A607,D606=D607),T606,0)</x:f>
        <x:v>3467.533</x:v>
      </x:c>
      <x:c r="V607" s="20" t="n">
        <x:f>T607-U607</x:f>
        <x:v>2977.533</x:v>
      </x:c>
      <x:c r="W607" s="20" t="n">
        <x:f>R607+V607</x:f>
        <x:v>41899.533</x:v>
      </x:c>
      <x:c r="X607" s="14" t="str">
        <x:f>IF(ABS(W607-SUM(M607:Q607)-V607)&lt;0.01,"OK","Check")</x:f>
        <x:v>OK</x:v>
      </x:c>
    </x:row>
    <x:row r="608">
      <x:c r="A608" s="14" t="n">
        <x:v>2027</x:v>
      </x:c>
      <x:c r="B608" s="14" t="str">
        <x:v>Q3</x:v>
      </x:c>
      <x:c r="C608" s="14" t="n">
        <x:v>3</x:v>
      </x:c>
      <x:c r="D608" s="14" t="n">
        <x:v>48</x:v>
      </x:c>
      <x:c r="E608" s="14" t="str">
        <x:f>INDEX(Roster!$B$6:$B$108,MATCH(D608,Roster!$A$6:$A$108,0))</x:f>
        <x:v>Principal</x:v>
      </x:c>
      <x:c r="F608" s="14" t="str">
        <x:f>INDEX(Roster!$F$6:$F$108,MATCH(D608,Roster!$A$6:$A$108,0))</x:f>
        <x:v>No</x:v>
      </x:c>
      <x:c r="G608" s="14" t="n">
        <x:f>INDEX(Inputs!$B$7:$D$7,1,MATCH(A608,Inputs!$B$6:$D$6,0))</x:f>
        <x:v>13</x:v>
      </x:c>
      <x:c r="H608" s="14" t="n">
        <x:f>MIN(=INDEX(Inputs!$B$7:$D$7,1,MATCH(A608,Inputs!$B$6:$D$6,0)),MAX(0,INDEX(Inputs!$B$14:$D$14,1,MATCH(A608,Inputs!$B$6:$D$6,0))-(C608-1)*=INDEX(Inputs!$B$7:$D$7,1,MATCH(A608,Inputs!$B$6:$D$6,0))))</x:f>
        <x:v>13</x:v>
      </x:c>
      <x:c r="I608" s="20" t="n">
        <x:f>INDEX(Inputs!$B$8:$D$8,1,MATCH(A608,Inputs!$B$6:$D$6,0))</x:f>
        <x:v>2395</x:v>
      </x:c>
      <x:c r="J608" s="20" t="n">
        <x:f>INDEX(Roster!$C$6:$C$108,MATCH(D608,Roster!$A$6:$A$108,0))*(1+INDEX(Inputs!$B$9:$D$9,1,MATCH(A608,Inputs!$B$6:$D$6,0)))</x:f>
        <x:v>0</x:v>
      </x:c>
      <x:c r="K608" s="20" t="n">
        <x:f>IF(=INDEX(Roster!$F$6:$F$108,MATCH(D608,Roster!$A$6:$A$108,0))="Yes",0,=INDEX(Inputs!$B$8:$D$8,1,MATCH(A608,Inputs!$B$6:$D$6,0))*IF(=INDEX(Roster!$B$6:$B$108,MATCH(D608,Roster!$A$6:$A$108,0))="Principal",INDEX(Inputs!$B$10:$D$10,1,MATCH(A608,Inputs!$B$6:$D$6,0)),IF(=INDEX(Roster!$B$6:$B$108,MATCH(D608,Roster!$A$6:$A$108,0))="Associate Principal",INDEX(Inputs!$B$11:$D$11,1,MATCH(A608,Inputs!$B$6:$D$6,0)),IF(=INDEX(Roster!$B$6:$B$108,MATCH(D608,Roster!$A$6:$A$108,0))="Assistant Principal",INDEX(Inputs!$B$12:$D$12,1,MATCH(A608,Inputs!$B$6:$D$6,0)),0))))</x:f>
        <x:v>479</x:v>
      </x:c>
      <x:c r="L608" s="20" t="n">
        <x:f>IF(INDEX(Roster!$D$6:$D$108,MATCH(D608,Roster!$A$6:$A$108,0))&gt;=25,INDEX(Inputs!$B$19:$D$19,1,MATCH(A608,Inputs!$B$6:$D$6,0)),IF(INDEX(Roster!$D$6:$D$108,MATCH(D608,Roster!$A$6:$A$108,0))&gt;=20,INDEX(Inputs!$B$18:$D$18,1,MATCH(A608,Inputs!$B$6:$D$6,0)),IF(INDEX(Roster!$D$6:$D$108,MATCH(D608,Roster!$A$6:$A$108,0))&gt;=15,INDEX(Inputs!$B$17:$D$17,1,MATCH(A608,Inputs!$B$6:$D$6,0)),IF(INDEX(Roster!$D$6:$D$108,MATCH(D608,Roster!$A$6:$A$108,0))&gt;=10,INDEX(Inputs!$B$16:$D$16,1,MATCH(A608,Inputs!$B$6:$D$6,0)),IF(INDEX(Roster!$D$6:$D$108,MATCH(D608,Roster!$A$6:$A$108,0))&gt;=5,INDEX(Inputs!$B$15:$D$15,1,MATCH(A608,Inputs!$B$6:$D$6,0)),0)))))</x:f>
        <x:v>90</x:v>
      </x:c>
      <x:c r="M608" s="20" t="n">
        <x:f>G608*I608</x:f>
        <x:v>31135</x:v>
      </x:c>
      <x:c r="N608" s="20" t="n">
        <x:f>G608*J608</x:f>
        <x:v>0</x:v>
      </x:c>
      <x:c r="O608" s="20" t="n">
        <x:f>G608*K608</x:f>
        <x:v>6227</x:v>
      </x:c>
      <x:c r="P608" s="20" t="n">
        <x:f>G608*L608</x:f>
        <x:v>1170</x:v>
      </x:c>
      <x:c r="Q608" s="20" t="n">
        <x:f>H608*INDEX(Inputs!$B$13:$D$13,1,MATCH(A608,Inputs!$B$6:$D$6,0))</x:f>
        <x:v>390</x:v>
      </x:c>
      <x:c r="R608" s="20" t="n">
        <x:f>SUM(M608:Q608)</x:f>
        <x:v>38922</x:v>
      </x:c>
      <x:c r="S608" s="20" t="n">
        <x:f>IF(AND(A607=A608,D607=D608),S607+R608,R608)</x:f>
        <x:v>116766</x:v>
      </x:c>
      <x:c r="T608" s="20" t="n">
        <x:f>MIN(S608,INDEX(Inputs!$B$20:$D$20,1,MATCH(A608,Inputs!$B$6:$D$6,0)))*INDEX(Inputs!$B$22:$D$22,1,MATCH(A608,Inputs!$B$6:$D$6,0))+MAX(MIN(S608,INDEX(Inputs!$B$21:$D$21,1,MATCH(A608,Inputs!$B$6:$D$6,0)))-INDEX(Inputs!$B$20:$D$20,1,MATCH(A608,Inputs!$B$6:$D$6,0)),0)*INDEX(Inputs!$B$23:$D$23,1,MATCH(A608,Inputs!$B$6:$D$6,0))+MAX(S608-INDEX(Inputs!$B$21:$D$21,1,MATCH(A608,Inputs!$B$6:$D$6,0)),0)*INDEX(Inputs!$B$24:$D$24,1,MATCH(A608,Inputs!$B$6:$D$6,0))</x:f>
        <x:v>9422.599</x:v>
      </x:c>
      <x:c r="U608" s="20" t="n">
        <x:f>IF(AND(A607=A608,D607=D608),T607,0)</x:f>
        <x:v>6445.066</x:v>
      </x:c>
      <x:c r="V608" s="20" t="n">
        <x:f>T608-U608</x:f>
        <x:v>2977.5330000000004</x:v>
      </x:c>
      <x:c r="W608" s="20" t="n">
        <x:f>R608+V608</x:f>
        <x:v>41899.533</x:v>
      </x:c>
      <x:c r="X608" s="14" t="str">
        <x:f>IF(ABS(W608-SUM(M608:Q608)-V608)&lt;0.01,"OK","Check")</x:f>
        <x:v>OK</x:v>
      </x:c>
    </x:row>
    <x:row r="609">
      <x:c r="A609" s="14" t="n">
        <x:v>2027</x:v>
      </x:c>
      <x:c r="B609" s="14" t="str">
        <x:v>Q4</x:v>
      </x:c>
      <x:c r="C609" s="14" t="n">
        <x:v>4</x:v>
      </x:c>
      <x:c r="D609" s="14" t="n">
        <x:v>48</x:v>
      </x:c>
      <x:c r="E609" s="14" t="str">
        <x:f>INDEX(Roster!$B$6:$B$108,MATCH(D609,Roster!$A$6:$A$108,0))</x:f>
        <x:v>Principal</x:v>
      </x:c>
      <x:c r="F609" s="14" t="str">
        <x:f>INDEX(Roster!$F$6:$F$108,MATCH(D609,Roster!$A$6:$A$108,0))</x:f>
        <x:v>No</x:v>
      </x:c>
      <x:c r="G609" s="14" t="n">
        <x:f>INDEX(Inputs!$B$7:$D$7,1,MATCH(A609,Inputs!$B$6:$D$6,0))</x:f>
        <x:v>13</x:v>
      </x:c>
      <x:c r="H609" s="14" t="n">
        <x:f>MIN(=INDEX(Inputs!$B$7:$D$7,1,MATCH(A609,Inputs!$B$6:$D$6,0)),MAX(0,INDEX(Inputs!$B$14:$D$14,1,MATCH(A609,Inputs!$B$6:$D$6,0))-(C609-1)*=INDEX(Inputs!$B$7:$D$7,1,MATCH(A609,Inputs!$B$6:$D$6,0))))</x:f>
        <x:v>0</x:v>
      </x:c>
      <x:c r="I609" s="20" t="n">
        <x:f>INDEX(Inputs!$B$8:$D$8,1,MATCH(A609,Inputs!$B$6:$D$6,0))</x:f>
        <x:v>2395</x:v>
      </x:c>
      <x:c r="J609" s="20" t="n">
        <x:f>INDEX(Roster!$C$6:$C$108,MATCH(D609,Roster!$A$6:$A$108,0))*(1+INDEX(Inputs!$B$9:$D$9,1,MATCH(A609,Inputs!$B$6:$D$6,0)))</x:f>
        <x:v>0</x:v>
      </x:c>
      <x:c r="K609" s="20" t="n">
        <x:f>IF(=INDEX(Roster!$F$6:$F$108,MATCH(D609,Roster!$A$6:$A$108,0))="Yes",0,=INDEX(Inputs!$B$8:$D$8,1,MATCH(A609,Inputs!$B$6:$D$6,0))*IF(=INDEX(Roster!$B$6:$B$108,MATCH(D609,Roster!$A$6:$A$108,0))="Principal",INDEX(Inputs!$B$10:$D$10,1,MATCH(A609,Inputs!$B$6:$D$6,0)),IF(=INDEX(Roster!$B$6:$B$108,MATCH(D609,Roster!$A$6:$A$108,0))="Associate Principal",INDEX(Inputs!$B$11:$D$11,1,MATCH(A609,Inputs!$B$6:$D$6,0)),IF(=INDEX(Roster!$B$6:$B$108,MATCH(D609,Roster!$A$6:$A$108,0))="Assistant Principal",INDEX(Inputs!$B$12:$D$12,1,MATCH(A609,Inputs!$B$6:$D$6,0)),0))))</x:f>
        <x:v>479</x:v>
      </x:c>
      <x:c r="L609" s="20" t="n">
        <x:f>IF(INDEX(Roster!$D$6:$D$108,MATCH(D609,Roster!$A$6:$A$108,0))&gt;=25,INDEX(Inputs!$B$19:$D$19,1,MATCH(A609,Inputs!$B$6:$D$6,0)),IF(INDEX(Roster!$D$6:$D$108,MATCH(D609,Roster!$A$6:$A$108,0))&gt;=20,INDEX(Inputs!$B$18:$D$18,1,MATCH(A609,Inputs!$B$6:$D$6,0)),IF(INDEX(Roster!$D$6:$D$108,MATCH(D609,Roster!$A$6:$A$108,0))&gt;=15,INDEX(Inputs!$B$17:$D$17,1,MATCH(A609,Inputs!$B$6:$D$6,0)),IF(INDEX(Roster!$D$6:$D$108,MATCH(D609,Roster!$A$6:$A$108,0))&gt;=10,INDEX(Inputs!$B$16:$D$16,1,MATCH(A609,Inputs!$B$6:$D$6,0)),IF(INDEX(Roster!$D$6:$D$108,MATCH(D609,Roster!$A$6:$A$108,0))&gt;=5,INDEX(Inputs!$B$15:$D$15,1,MATCH(A609,Inputs!$B$6:$D$6,0)),0)))))</x:f>
        <x:v>90</x:v>
      </x:c>
      <x:c r="M609" s="20" t="n">
        <x:f>G609*I609</x:f>
        <x:v>31135</x:v>
      </x:c>
      <x:c r="N609" s="20" t="n">
        <x:f>G609*J609</x:f>
        <x:v>0</x:v>
      </x:c>
      <x:c r="O609" s="20" t="n">
        <x:f>G609*K609</x:f>
        <x:v>6227</x:v>
      </x:c>
      <x:c r="P609" s="20" t="n">
        <x:f>G609*L609</x:f>
        <x:v>1170</x:v>
      </x:c>
      <x:c r="Q609" s="20" t="n">
        <x:f>H609*INDEX(Inputs!$B$13:$D$13,1,MATCH(A609,Inputs!$B$6:$D$6,0))</x:f>
        <x:v>0</x:v>
      </x:c>
      <x:c r="R609" s="20" t="n">
        <x:f>SUM(M609:Q609)</x:f>
        <x:v>38532</x:v>
      </x:c>
      <x:c r="S609" s="20" t="n">
        <x:f>IF(AND(A608=A609,D608=D609),S608+R609,R609)</x:f>
        <x:v>155298</x:v>
      </x:c>
      <x:c r="T609" s="20" t="n">
        <x:f>MIN(S609,INDEX(Inputs!$B$20:$D$20,1,MATCH(A609,Inputs!$B$6:$D$6,0)))*INDEX(Inputs!$B$22:$D$22,1,MATCH(A609,Inputs!$B$6:$D$6,0))+MAX(MIN(S609,INDEX(Inputs!$B$21:$D$21,1,MATCH(A609,Inputs!$B$6:$D$6,0)))-INDEX(Inputs!$B$20:$D$20,1,MATCH(A609,Inputs!$B$6:$D$6,0)),0)*INDEX(Inputs!$B$23:$D$23,1,MATCH(A609,Inputs!$B$6:$D$6,0))+MAX(S609-INDEX(Inputs!$B$21:$D$21,1,MATCH(A609,Inputs!$B$6:$D$6,0)),0)*INDEX(Inputs!$B$24:$D$24,1,MATCH(A609,Inputs!$B$6:$D$6,0))</x:f>
        <x:v>10165.762999999999</x:v>
      </x:c>
      <x:c r="U609" s="20" t="n">
        <x:f>IF(AND(A608=A609,D608=D609),T608,0)</x:f>
        <x:v>9422.599</x:v>
      </x:c>
      <x:c r="V609" s="20" t="n">
        <x:f>T609-U609</x:f>
        <x:v>743.1639999999989</x:v>
      </x:c>
      <x:c r="W609" s="20" t="n">
        <x:f>R609+V609</x:f>
        <x:v>39275.164</x:v>
      </x:c>
      <x:c r="X609" s="14" t="str">
        <x:f>IF(ABS(W609-SUM(M609:Q609)-V609)&lt;0.01,"OK","Check")</x:f>
        <x:v>OK</x:v>
      </x:c>
    </x:row>
    <x:row r="610">
      <x:c r="A610" s="14" t="n">
        <x:v>2027</x:v>
      </x:c>
      <x:c r="B610" s="14" t="str">
        <x:v>Q1</x:v>
      </x:c>
      <x:c r="C610" s="14" t="n">
        <x:v>1</x:v>
      </x:c>
      <x:c r="D610" s="14" t="n">
        <x:v>49</x:v>
      </x:c>
      <x:c r="E610" s="14" t="str">
        <x:f>INDEX(Roster!$B$6:$B$108,MATCH(D610,Roster!$A$6:$A$108,0))</x:f>
      </x:c>
      <x:c r="F610" s="14" t="str">
        <x:f>INDEX(Roster!$F$6:$F$108,MATCH(D610,Roster!$A$6:$A$108,0))</x:f>
        <x:v>No</x:v>
      </x:c>
      <x:c r="G610" s="14" t="n">
        <x:f>INDEX(Inputs!$B$7:$D$7,1,MATCH(A610,Inputs!$B$6:$D$6,0))</x:f>
        <x:v>13</x:v>
      </x:c>
      <x:c r="H610" s="14" t="n">
        <x:f>MIN(=INDEX(Inputs!$B$7:$D$7,1,MATCH(A610,Inputs!$B$6:$D$6,0)),MAX(0,INDEX(Inputs!$B$14:$D$14,1,MATCH(A610,Inputs!$B$6:$D$6,0))-(C610-1)*=INDEX(Inputs!$B$7:$D$7,1,MATCH(A610,Inputs!$B$6:$D$6,0))))</x:f>
        <x:v>13</x:v>
      </x:c>
      <x:c r="I610" s="20" t="n">
        <x:f>INDEX(Inputs!$B$8:$D$8,1,MATCH(A610,Inputs!$B$6:$D$6,0))</x:f>
        <x:v>2395</x:v>
      </x:c>
      <x:c r="J610" s="20" t="n">
        <x:f>INDEX(Roster!$C$6:$C$108,MATCH(D610,Roster!$A$6:$A$108,0))*(1+INDEX(Inputs!$B$9:$D$9,1,MATCH(A610,Inputs!$B$6:$D$6,0)))</x:f>
        <x:v>30</x:v>
      </x:c>
      <x:c r="K610" s="20" t="n">
        <x:f>IF(=INDEX(Roster!$F$6:$F$108,MATCH(D610,Roster!$A$6:$A$108,0))="Yes",0,=INDEX(Inputs!$B$8:$D$8,1,MATCH(A610,Inputs!$B$6:$D$6,0))*IF(=INDEX(Roster!$B$6:$B$108,MATCH(D610,Roster!$A$6:$A$108,0))="Principal",INDEX(Inputs!$B$10:$D$10,1,MATCH(A610,Inputs!$B$6:$D$6,0)),IF(=INDEX(Roster!$B$6:$B$108,MATCH(D610,Roster!$A$6:$A$108,0))="Associate Principal",INDEX(Inputs!$B$11:$D$11,1,MATCH(A610,Inputs!$B$6:$D$6,0)),IF(=INDEX(Roster!$B$6:$B$108,MATCH(D610,Roster!$A$6:$A$108,0))="Assistant Principal",INDEX(Inputs!$B$12:$D$12,1,MATCH(A610,Inputs!$B$6:$D$6,0)),0))))</x:f>
        <x:v>0</x:v>
      </x:c>
      <x:c r="L610" s="20" t="n">
        <x:f>IF(INDEX(Roster!$D$6:$D$108,MATCH(D610,Roster!$A$6:$A$108,0))&gt;=25,INDEX(Inputs!$B$19:$D$19,1,MATCH(A610,Inputs!$B$6:$D$6,0)),IF(INDEX(Roster!$D$6:$D$108,MATCH(D610,Roster!$A$6:$A$108,0))&gt;=20,INDEX(Inputs!$B$18:$D$18,1,MATCH(A610,Inputs!$B$6:$D$6,0)),IF(INDEX(Roster!$D$6:$D$108,MATCH(D610,Roster!$A$6:$A$108,0))&gt;=15,INDEX(Inputs!$B$17:$D$17,1,MATCH(A610,Inputs!$B$6:$D$6,0)),IF(INDEX(Roster!$D$6:$D$108,MATCH(D610,Roster!$A$6:$A$108,0))&gt;=10,INDEX(Inputs!$B$16:$D$16,1,MATCH(A610,Inputs!$B$6:$D$6,0)),IF(INDEX(Roster!$D$6:$D$108,MATCH(D610,Roster!$A$6:$A$108,0))&gt;=5,INDEX(Inputs!$B$15:$D$15,1,MATCH(A610,Inputs!$B$6:$D$6,0)),0)))))</x:f>
        <x:v>50</x:v>
      </x:c>
      <x:c r="M610" s="20" t="n">
        <x:f>G610*I610</x:f>
        <x:v>31135</x:v>
      </x:c>
      <x:c r="N610" s="20" t="n">
        <x:f>G610*J610</x:f>
        <x:v>390</x:v>
      </x:c>
      <x:c r="O610" s="20" t="n">
        <x:f>G610*K610</x:f>
        <x:v>0</x:v>
      </x:c>
      <x:c r="P610" s="20" t="n">
        <x:f>G610*L610</x:f>
        <x:v>650</x:v>
      </x:c>
      <x:c r="Q610" s="20" t="n">
        <x:f>H610*INDEX(Inputs!$B$13:$D$13,1,MATCH(A610,Inputs!$B$6:$D$6,0))</x:f>
        <x:v>390</x:v>
      </x:c>
      <x:c r="R610" s="20" t="n">
        <x:f>SUM(M610:Q610)</x:f>
        <x:v>32565</x:v>
      </x:c>
      <x:c r="S610" s="20" t="n">
        <x:f>IF(AND(A609=A610,D609=D610),S609+R610,R610)</x:f>
        <x:v>32565</x:v>
      </x:c>
      <x:c r="T610" s="20" t="n">
        <x:f>MIN(S610,INDEX(Inputs!$B$20:$D$20,1,MATCH(A610,Inputs!$B$6:$D$6,0)))*INDEX(Inputs!$B$22:$D$22,1,MATCH(A610,Inputs!$B$6:$D$6,0))+MAX(MIN(S610,INDEX(Inputs!$B$21:$D$21,1,MATCH(A610,Inputs!$B$6:$D$6,0)))-INDEX(Inputs!$B$20:$D$20,1,MATCH(A610,Inputs!$B$6:$D$6,0)),0)*INDEX(Inputs!$B$23:$D$23,1,MATCH(A610,Inputs!$B$6:$D$6,0))+MAX(S610-INDEX(Inputs!$B$21:$D$21,1,MATCH(A610,Inputs!$B$6:$D$6,0)),0)*INDEX(Inputs!$B$24:$D$24,1,MATCH(A610,Inputs!$B$6:$D$6,0))</x:f>
        <x:v>2981.2225</x:v>
      </x:c>
      <x:c r="U610" s="20" t="n">
        <x:f>IF(AND(A609=A610,D609=D610),T609,0)</x:f>
        <x:v>0</x:v>
      </x:c>
      <x:c r="V610" s="20" t="n">
        <x:f>T610-U610</x:f>
        <x:v>2981.2225</x:v>
      </x:c>
      <x:c r="W610" s="20" t="n">
        <x:f>R610+V610</x:f>
        <x:v>35546.2225</x:v>
      </x:c>
      <x:c r="X610" s="14" t="str">
        <x:f>IF(ABS(W610-SUM(M610:Q610)-V610)&lt;0.01,"OK","Check")</x:f>
        <x:v>OK</x:v>
      </x:c>
    </x:row>
    <x:row r="611">
      <x:c r="A611" s="14" t="n">
        <x:v>2027</x:v>
      </x:c>
      <x:c r="B611" s="14" t="str">
        <x:v>Q2</x:v>
      </x:c>
      <x:c r="C611" s="14" t="n">
        <x:v>2</x:v>
      </x:c>
      <x:c r="D611" s="14" t="n">
        <x:v>49</x:v>
      </x:c>
      <x:c r="E611" s="14" t="str">
        <x:f>INDEX(Roster!$B$6:$B$108,MATCH(D611,Roster!$A$6:$A$108,0))</x:f>
      </x:c>
      <x:c r="F611" s="14" t="str">
        <x:f>INDEX(Roster!$F$6:$F$108,MATCH(D611,Roster!$A$6:$A$108,0))</x:f>
        <x:v>No</x:v>
      </x:c>
      <x:c r="G611" s="14" t="n">
        <x:f>INDEX(Inputs!$B$7:$D$7,1,MATCH(A611,Inputs!$B$6:$D$6,0))</x:f>
        <x:v>13</x:v>
      </x:c>
      <x:c r="H611" s="14" t="n">
        <x:f>MIN(=INDEX(Inputs!$B$7:$D$7,1,MATCH(A611,Inputs!$B$6:$D$6,0)),MAX(0,INDEX(Inputs!$B$14:$D$14,1,MATCH(A611,Inputs!$B$6:$D$6,0))-(C611-1)*=INDEX(Inputs!$B$7:$D$7,1,MATCH(A611,Inputs!$B$6:$D$6,0))))</x:f>
        <x:v>13</x:v>
      </x:c>
      <x:c r="I611" s="20" t="n">
        <x:f>INDEX(Inputs!$B$8:$D$8,1,MATCH(A611,Inputs!$B$6:$D$6,0))</x:f>
        <x:v>2395</x:v>
      </x:c>
      <x:c r="J611" s="20" t="n">
        <x:f>INDEX(Roster!$C$6:$C$108,MATCH(D611,Roster!$A$6:$A$108,0))*(1+INDEX(Inputs!$B$9:$D$9,1,MATCH(A611,Inputs!$B$6:$D$6,0)))</x:f>
        <x:v>30</x:v>
      </x:c>
      <x:c r="K611" s="20" t="n">
        <x:f>IF(=INDEX(Roster!$F$6:$F$108,MATCH(D611,Roster!$A$6:$A$108,0))="Yes",0,=INDEX(Inputs!$B$8:$D$8,1,MATCH(A611,Inputs!$B$6:$D$6,0))*IF(=INDEX(Roster!$B$6:$B$108,MATCH(D611,Roster!$A$6:$A$108,0))="Principal",INDEX(Inputs!$B$10:$D$10,1,MATCH(A611,Inputs!$B$6:$D$6,0)),IF(=INDEX(Roster!$B$6:$B$108,MATCH(D611,Roster!$A$6:$A$108,0))="Associate Principal",INDEX(Inputs!$B$11:$D$11,1,MATCH(A611,Inputs!$B$6:$D$6,0)),IF(=INDEX(Roster!$B$6:$B$108,MATCH(D611,Roster!$A$6:$A$108,0))="Assistant Principal",INDEX(Inputs!$B$12:$D$12,1,MATCH(A611,Inputs!$B$6:$D$6,0)),0))))</x:f>
        <x:v>0</x:v>
      </x:c>
      <x:c r="L611" s="20" t="n">
        <x:f>IF(INDEX(Roster!$D$6:$D$108,MATCH(D611,Roster!$A$6:$A$108,0))&gt;=25,INDEX(Inputs!$B$19:$D$19,1,MATCH(A611,Inputs!$B$6:$D$6,0)),IF(INDEX(Roster!$D$6:$D$108,MATCH(D611,Roster!$A$6:$A$108,0))&gt;=20,INDEX(Inputs!$B$18:$D$18,1,MATCH(A611,Inputs!$B$6:$D$6,0)),IF(INDEX(Roster!$D$6:$D$108,MATCH(D611,Roster!$A$6:$A$108,0))&gt;=15,INDEX(Inputs!$B$17:$D$17,1,MATCH(A611,Inputs!$B$6:$D$6,0)),IF(INDEX(Roster!$D$6:$D$108,MATCH(D611,Roster!$A$6:$A$108,0))&gt;=10,INDEX(Inputs!$B$16:$D$16,1,MATCH(A611,Inputs!$B$6:$D$6,0)),IF(INDEX(Roster!$D$6:$D$108,MATCH(D611,Roster!$A$6:$A$108,0))&gt;=5,INDEX(Inputs!$B$15:$D$15,1,MATCH(A611,Inputs!$B$6:$D$6,0)),0)))))</x:f>
        <x:v>50</x:v>
      </x:c>
      <x:c r="M611" s="20" t="n">
        <x:f>G611*I611</x:f>
        <x:v>31135</x:v>
      </x:c>
      <x:c r="N611" s="20" t="n">
        <x:f>G611*J611</x:f>
        <x:v>390</x:v>
      </x:c>
      <x:c r="O611" s="20" t="n">
        <x:f>G611*K611</x:f>
        <x:v>0</x:v>
      </x:c>
      <x:c r="P611" s="20" t="n">
        <x:f>G611*L611</x:f>
        <x:v>650</x:v>
      </x:c>
      <x:c r="Q611" s="20" t="n">
        <x:f>H611*INDEX(Inputs!$B$13:$D$13,1,MATCH(A611,Inputs!$B$6:$D$6,0))</x:f>
        <x:v>390</x:v>
      </x:c>
      <x:c r="R611" s="20" t="n">
        <x:f>SUM(M611:Q611)</x:f>
        <x:v>32565</x:v>
      </x:c>
      <x:c r="S611" s="20" t="n">
        <x:f>IF(AND(A610=A611,D610=D611),S610+R611,R611)</x:f>
        <x:v>65130</x:v>
      </x:c>
      <x:c r="T611" s="20" t="n">
        <x:f>MIN(S611,INDEX(Inputs!$B$20:$D$20,1,MATCH(A611,Inputs!$B$6:$D$6,0)))*INDEX(Inputs!$B$22:$D$22,1,MATCH(A611,Inputs!$B$6:$D$6,0))+MAX(MIN(S611,INDEX(Inputs!$B$21:$D$21,1,MATCH(A611,Inputs!$B$6:$D$6,0)))-INDEX(Inputs!$B$20:$D$20,1,MATCH(A611,Inputs!$B$6:$D$6,0)),0)*INDEX(Inputs!$B$23:$D$23,1,MATCH(A611,Inputs!$B$6:$D$6,0))+MAX(S611-INDEX(Inputs!$B$21:$D$21,1,MATCH(A611,Inputs!$B$6:$D$6,0)),0)*INDEX(Inputs!$B$24:$D$24,1,MATCH(A611,Inputs!$B$6:$D$6,0))</x:f>
        <x:v>5472.445</x:v>
      </x:c>
      <x:c r="U611" s="20" t="n">
        <x:f>IF(AND(A610=A611,D610=D611),T610,0)</x:f>
        <x:v>2981.2225</x:v>
      </x:c>
      <x:c r="V611" s="20" t="n">
        <x:f>T611-U611</x:f>
        <x:v>2491.2225</x:v>
      </x:c>
      <x:c r="W611" s="20" t="n">
        <x:f>R611+V611</x:f>
        <x:v>35056.2225</x:v>
      </x:c>
      <x:c r="X611" s="14" t="str">
        <x:f>IF(ABS(W611-SUM(M611:Q611)-V611)&lt;0.01,"OK","Check")</x:f>
        <x:v>OK</x:v>
      </x:c>
    </x:row>
    <x:row r="612">
      <x:c r="A612" s="14" t="n">
        <x:v>2027</x:v>
      </x:c>
      <x:c r="B612" s="14" t="str">
        <x:v>Q3</x:v>
      </x:c>
      <x:c r="C612" s="14" t="n">
        <x:v>3</x:v>
      </x:c>
      <x:c r="D612" s="14" t="n">
        <x:v>49</x:v>
      </x:c>
      <x:c r="E612" s="14" t="str">
        <x:f>INDEX(Roster!$B$6:$B$108,MATCH(D612,Roster!$A$6:$A$108,0))</x:f>
      </x:c>
      <x:c r="F612" s="14" t="str">
        <x:f>INDEX(Roster!$F$6:$F$108,MATCH(D612,Roster!$A$6:$A$108,0))</x:f>
        <x:v>No</x:v>
      </x:c>
      <x:c r="G612" s="14" t="n">
        <x:f>INDEX(Inputs!$B$7:$D$7,1,MATCH(A612,Inputs!$B$6:$D$6,0))</x:f>
        <x:v>13</x:v>
      </x:c>
      <x:c r="H612" s="14" t="n">
        <x:f>MIN(=INDEX(Inputs!$B$7:$D$7,1,MATCH(A612,Inputs!$B$6:$D$6,0)),MAX(0,INDEX(Inputs!$B$14:$D$14,1,MATCH(A612,Inputs!$B$6:$D$6,0))-(C612-1)*=INDEX(Inputs!$B$7:$D$7,1,MATCH(A612,Inputs!$B$6:$D$6,0))))</x:f>
        <x:v>13</x:v>
      </x:c>
      <x:c r="I612" s="20" t="n">
        <x:f>INDEX(Inputs!$B$8:$D$8,1,MATCH(A612,Inputs!$B$6:$D$6,0))</x:f>
        <x:v>2395</x:v>
      </x:c>
      <x:c r="J612" s="20" t="n">
        <x:f>INDEX(Roster!$C$6:$C$108,MATCH(D612,Roster!$A$6:$A$108,0))*(1+INDEX(Inputs!$B$9:$D$9,1,MATCH(A612,Inputs!$B$6:$D$6,0)))</x:f>
        <x:v>30</x:v>
      </x:c>
      <x:c r="K612" s="20" t="n">
        <x:f>IF(=INDEX(Roster!$F$6:$F$108,MATCH(D612,Roster!$A$6:$A$108,0))="Yes",0,=INDEX(Inputs!$B$8:$D$8,1,MATCH(A612,Inputs!$B$6:$D$6,0))*IF(=INDEX(Roster!$B$6:$B$108,MATCH(D612,Roster!$A$6:$A$108,0))="Principal",INDEX(Inputs!$B$10:$D$10,1,MATCH(A612,Inputs!$B$6:$D$6,0)),IF(=INDEX(Roster!$B$6:$B$108,MATCH(D612,Roster!$A$6:$A$108,0))="Associate Principal",INDEX(Inputs!$B$11:$D$11,1,MATCH(A612,Inputs!$B$6:$D$6,0)),IF(=INDEX(Roster!$B$6:$B$108,MATCH(D612,Roster!$A$6:$A$108,0))="Assistant Principal",INDEX(Inputs!$B$12:$D$12,1,MATCH(A612,Inputs!$B$6:$D$6,0)),0))))</x:f>
        <x:v>0</x:v>
      </x:c>
      <x:c r="L612" s="20" t="n">
        <x:f>IF(INDEX(Roster!$D$6:$D$108,MATCH(D612,Roster!$A$6:$A$108,0))&gt;=25,INDEX(Inputs!$B$19:$D$19,1,MATCH(A612,Inputs!$B$6:$D$6,0)),IF(INDEX(Roster!$D$6:$D$108,MATCH(D612,Roster!$A$6:$A$108,0))&gt;=20,INDEX(Inputs!$B$18:$D$18,1,MATCH(A612,Inputs!$B$6:$D$6,0)),IF(INDEX(Roster!$D$6:$D$108,MATCH(D612,Roster!$A$6:$A$108,0))&gt;=15,INDEX(Inputs!$B$17:$D$17,1,MATCH(A612,Inputs!$B$6:$D$6,0)),IF(INDEX(Roster!$D$6:$D$108,MATCH(D612,Roster!$A$6:$A$108,0))&gt;=10,INDEX(Inputs!$B$16:$D$16,1,MATCH(A612,Inputs!$B$6:$D$6,0)),IF(INDEX(Roster!$D$6:$D$108,MATCH(D612,Roster!$A$6:$A$108,0))&gt;=5,INDEX(Inputs!$B$15:$D$15,1,MATCH(A612,Inputs!$B$6:$D$6,0)),0)))))</x:f>
        <x:v>50</x:v>
      </x:c>
      <x:c r="M612" s="20" t="n">
        <x:f>G612*I612</x:f>
        <x:v>31135</x:v>
      </x:c>
      <x:c r="N612" s="20" t="n">
        <x:f>G612*J612</x:f>
        <x:v>390</x:v>
      </x:c>
      <x:c r="O612" s="20" t="n">
        <x:f>G612*K612</x:f>
        <x:v>0</x:v>
      </x:c>
      <x:c r="P612" s="20" t="n">
        <x:f>G612*L612</x:f>
        <x:v>650</x:v>
      </x:c>
      <x:c r="Q612" s="20" t="n">
        <x:f>H612*INDEX(Inputs!$B$13:$D$13,1,MATCH(A612,Inputs!$B$6:$D$6,0))</x:f>
        <x:v>390</x:v>
      </x:c>
      <x:c r="R612" s="20" t="n">
        <x:f>SUM(M612:Q612)</x:f>
        <x:v>32565</x:v>
      </x:c>
      <x:c r="S612" s="20" t="n">
        <x:f>IF(AND(A611=A612,D611=D612),S611+R612,R612)</x:f>
        <x:v>97695</x:v>
      </x:c>
      <x:c r="T612" s="20" t="n">
        <x:f>MIN(S612,INDEX(Inputs!$B$20:$D$20,1,MATCH(A612,Inputs!$B$6:$D$6,0)))*INDEX(Inputs!$B$22:$D$22,1,MATCH(A612,Inputs!$B$6:$D$6,0))+MAX(MIN(S612,INDEX(Inputs!$B$21:$D$21,1,MATCH(A612,Inputs!$B$6:$D$6,0)))-INDEX(Inputs!$B$20:$D$20,1,MATCH(A612,Inputs!$B$6:$D$6,0)),0)*INDEX(Inputs!$B$23:$D$23,1,MATCH(A612,Inputs!$B$6:$D$6,0))+MAX(S612-INDEX(Inputs!$B$21:$D$21,1,MATCH(A612,Inputs!$B$6:$D$6,0)),0)*INDEX(Inputs!$B$24:$D$24,1,MATCH(A612,Inputs!$B$6:$D$6,0))</x:f>
        <x:v>7963.6675</x:v>
      </x:c>
      <x:c r="U612" s="20" t="n">
        <x:f>IF(AND(A611=A612,D611=D612),T611,0)</x:f>
        <x:v>5472.445</x:v>
      </x:c>
      <x:c r="V612" s="20" t="n">
        <x:f>T612-U612</x:f>
        <x:v>2491.2225</x:v>
      </x:c>
      <x:c r="W612" s="20" t="n">
        <x:f>R612+V612</x:f>
        <x:v>35056.2225</x:v>
      </x:c>
      <x:c r="X612" s="14" t="str">
        <x:f>IF(ABS(W612-SUM(M612:Q612)-V612)&lt;0.01,"OK","Check")</x:f>
        <x:v>OK</x:v>
      </x:c>
    </x:row>
    <x:row r="613">
      <x:c r="A613" s="14" t="n">
        <x:v>2027</x:v>
      </x:c>
      <x:c r="B613" s="14" t="str">
        <x:v>Q4</x:v>
      </x:c>
      <x:c r="C613" s="14" t="n">
        <x:v>4</x:v>
      </x:c>
      <x:c r="D613" s="14" t="n">
        <x:v>49</x:v>
      </x:c>
      <x:c r="E613" s="14" t="str">
        <x:f>INDEX(Roster!$B$6:$B$108,MATCH(D613,Roster!$A$6:$A$108,0))</x:f>
      </x:c>
      <x:c r="F613" s="14" t="str">
        <x:f>INDEX(Roster!$F$6:$F$108,MATCH(D613,Roster!$A$6:$A$108,0))</x:f>
        <x:v>No</x:v>
      </x:c>
      <x:c r="G613" s="14" t="n">
        <x:f>INDEX(Inputs!$B$7:$D$7,1,MATCH(A613,Inputs!$B$6:$D$6,0))</x:f>
        <x:v>13</x:v>
      </x:c>
      <x:c r="H613" s="14" t="n">
        <x:f>MIN(=INDEX(Inputs!$B$7:$D$7,1,MATCH(A613,Inputs!$B$6:$D$6,0)),MAX(0,INDEX(Inputs!$B$14:$D$14,1,MATCH(A613,Inputs!$B$6:$D$6,0))-(C613-1)*=INDEX(Inputs!$B$7:$D$7,1,MATCH(A613,Inputs!$B$6:$D$6,0))))</x:f>
        <x:v>0</x:v>
      </x:c>
      <x:c r="I613" s="20" t="n">
        <x:f>INDEX(Inputs!$B$8:$D$8,1,MATCH(A613,Inputs!$B$6:$D$6,0))</x:f>
        <x:v>2395</x:v>
      </x:c>
      <x:c r="J613" s="20" t="n">
        <x:f>INDEX(Roster!$C$6:$C$108,MATCH(D613,Roster!$A$6:$A$108,0))*(1+INDEX(Inputs!$B$9:$D$9,1,MATCH(A613,Inputs!$B$6:$D$6,0)))</x:f>
        <x:v>30</x:v>
      </x:c>
      <x:c r="K613" s="20" t="n">
        <x:f>IF(=INDEX(Roster!$F$6:$F$108,MATCH(D613,Roster!$A$6:$A$108,0))="Yes",0,=INDEX(Inputs!$B$8:$D$8,1,MATCH(A613,Inputs!$B$6:$D$6,0))*IF(=INDEX(Roster!$B$6:$B$108,MATCH(D613,Roster!$A$6:$A$108,0))="Principal",INDEX(Inputs!$B$10:$D$10,1,MATCH(A613,Inputs!$B$6:$D$6,0)),IF(=INDEX(Roster!$B$6:$B$108,MATCH(D613,Roster!$A$6:$A$108,0))="Associate Principal",INDEX(Inputs!$B$11:$D$11,1,MATCH(A613,Inputs!$B$6:$D$6,0)),IF(=INDEX(Roster!$B$6:$B$108,MATCH(D613,Roster!$A$6:$A$108,0))="Assistant Principal",INDEX(Inputs!$B$12:$D$12,1,MATCH(A613,Inputs!$B$6:$D$6,0)),0))))</x:f>
        <x:v>0</x:v>
      </x:c>
      <x:c r="L613" s="20" t="n">
        <x:f>IF(INDEX(Roster!$D$6:$D$108,MATCH(D613,Roster!$A$6:$A$108,0))&gt;=25,INDEX(Inputs!$B$19:$D$19,1,MATCH(A613,Inputs!$B$6:$D$6,0)),IF(INDEX(Roster!$D$6:$D$108,MATCH(D613,Roster!$A$6:$A$108,0))&gt;=20,INDEX(Inputs!$B$18:$D$18,1,MATCH(A613,Inputs!$B$6:$D$6,0)),IF(INDEX(Roster!$D$6:$D$108,MATCH(D613,Roster!$A$6:$A$108,0))&gt;=15,INDEX(Inputs!$B$17:$D$17,1,MATCH(A613,Inputs!$B$6:$D$6,0)),IF(INDEX(Roster!$D$6:$D$108,MATCH(D613,Roster!$A$6:$A$108,0))&gt;=10,INDEX(Inputs!$B$16:$D$16,1,MATCH(A613,Inputs!$B$6:$D$6,0)),IF(INDEX(Roster!$D$6:$D$108,MATCH(D613,Roster!$A$6:$A$108,0))&gt;=5,INDEX(Inputs!$B$15:$D$15,1,MATCH(A613,Inputs!$B$6:$D$6,0)),0)))))</x:f>
        <x:v>50</x:v>
      </x:c>
      <x:c r="M613" s="20" t="n">
        <x:f>G613*I613</x:f>
        <x:v>31135</x:v>
      </x:c>
      <x:c r="N613" s="20" t="n">
        <x:f>G613*J613</x:f>
        <x:v>390</x:v>
      </x:c>
      <x:c r="O613" s="20" t="n">
        <x:f>G613*K613</x:f>
        <x:v>0</x:v>
      </x:c>
      <x:c r="P613" s="20" t="n">
        <x:f>G613*L613</x:f>
        <x:v>650</x:v>
      </x:c>
      <x:c r="Q613" s="20" t="n">
        <x:f>H613*INDEX(Inputs!$B$13:$D$13,1,MATCH(A613,Inputs!$B$6:$D$6,0))</x:f>
        <x:v>0</x:v>
      </x:c>
      <x:c r="R613" s="20" t="n">
        <x:f>SUM(M613:Q613)</x:f>
        <x:v>32175</x:v>
      </x:c>
      <x:c r="S613" s="20" t="n">
        <x:f>IF(AND(A612=A613,D612=D613),S612+R613,R613)</x:f>
        <x:v>129870</x:v>
      </x:c>
      <x:c r="T613" s="20" t="n">
        <x:f>MIN(S613,INDEX(Inputs!$B$20:$D$20,1,MATCH(A613,Inputs!$B$6:$D$6,0)))*INDEX(Inputs!$B$22:$D$22,1,MATCH(A613,Inputs!$B$6:$D$6,0))+MAX(MIN(S613,INDEX(Inputs!$B$21:$D$21,1,MATCH(A613,Inputs!$B$6:$D$6,0)))-INDEX(Inputs!$B$20:$D$20,1,MATCH(A613,Inputs!$B$6:$D$6,0)),0)*INDEX(Inputs!$B$23:$D$23,1,MATCH(A613,Inputs!$B$6:$D$6,0))+MAX(S613-INDEX(Inputs!$B$21:$D$21,1,MATCH(A613,Inputs!$B$6:$D$6,0)),0)*INDEX(Inputs!$B$24:$D$24,1,MATCH(A613,Inputs!$B$6:$D$6,0))</x:f>
        <x:v>9797.057</x:v>
      </x:c>
      <x:c r="U613" s="20" t="n">
        <x:f>IF(AND(A612=A613,D612=D613),T612,0)</x:f>
        <x:v>7963.6675</x:v>
      </x:c>
      <x:c r="V613" s="20" t="n">
        <x:f>T613-U613</x:f>
        <x:v>1833.3895000000011</x:v>
      </x:c>
      <x:c r="W613" s="20" t="n">
        <x:f>R613+V613</x:f>
        <x:v>34008.389500000005</x:v>
      </x:c>
      <x:c r="X613" s="14" t="str">
        <x:f>IF(ABS(W613-SUM(M613:Q613)-V613)&lt;0.01,"OK","Check")</x:f>
        <x:v>OK</x:v>
      </x:c>
    </x:row>
    <x:row r="614">
      <x:c r="A614" s="14" t="n">
        <x:v>2027</x:v>
      </x:c>
      <x:c r="B614" s="14" t="str">
        <x:v>Q1</x:v>
      </x:c>
      <x:c r="C614" s="14" t="n">
        <x:v>1</x:v>
      </x:c>
      <x:c r="D614" s="14" t="n">
        <x:v>50</x:v>
      </x:c>
      <x:c r="E614" s="14" t="str">
        <x:f>INDEX(Roster!$B$6:$B$108,MATCH(D614,Roster!$A$6:$A$108,0))</x:f>
      </x:c>
      <x:c r="F614" s="14" t="str">
        <x:f>INDEX(Roster!$F$6:$F$108,MATCH(D614,Roster!$A$6:$A$108,0))</x:f>
        <x:v>No</x:v>
      </x:c>
      <x:c r="G614" s="14" t="n">
        <x:f>INDEX(Inputs!$B$7:$D$7,1,MATCH(A614,Inputs!$B$6:$D$6,0))</x:f>
        <x:v>13</x:v>
      </x:c>
      <x:c r="H614" s="14" t="n">
        <x:f>MIN(=INDEX(Inputs!$B$7:$D$7,1,MATCH(A614,Inputs!$B$6:$D$6,0)),MAX(0,INDEX(Inputs!$B$14:$D$14,1,MATCH(A614,Inputs!$B$6:$D$6,0))-(C614-1)*=INDEX(Inputs!$B$7:$D$7,1,MATCH(A614,Inputs!$B$6:$D$6,0))))</x:f>
        <x:v>13</x:v>
      </x:c>
      <x:c r="I614" s="20" t="n">
        <x:f>INDEX(Inputs!$B$8:$D$8,1,MATCH(A614,Inputs!$B$6:$D$6,0))</x:f>
        <x:v>2395</x:v>
      </x:c>
      <x:c r="J614" s="20" t="n">
        <x:f>INDEX(Roster!$C$6:$C$108,MATCH(D614,Roster!$A$6:$A$108,0))*(1+INDEX(Inputs!$B$9:$D$9,1,MATCH(A614,Inputs!$B$6:$D$6,0)))</x:f>
        <x:v>20</x:v>
      </x:c>
      <x:c r="K614" s="20" t="n">
        <x:f>IF(=INDEX(Roster!$F$6:$F$108,MATCH(D614,Roster!$A$6:$A$108,0))="Yes",0,=INDEX(Inputs!$B$8:$D$8,1,MATCH(A614,Inputs!$B$6:$D$6,0))*IF(=INDEX(Roster!$B$6:$B$108,MATCH(D614,Roster!$A$6:$A$108,0))="Principal",INDEX(Inputs!$B$10:$D$10,1,MATCH(A614,Inputs!$B$6:$D$6,0)),IF(=INDEX(Roster!$B$6:$B$108,MATCH(D614,Roster!$A$6:$A$108,0))="Associate Principal",INDEX(Inputs!$B$11:$D$11,1,MATCH(A614,Inputs!$B$6:$D$6,0)),IF(=INDEX(Roster!$B$6:$B$108,MATCH(D614,Roster!$A$6:$A$108,0))="Assistant Principal",INDEX(Inputs!$B$12:$D$12,1,MATCH(A614,Inputs!$B$6:$D$6,0)),0))))</x:f>
        <x:v>0</x:v>
      </x:c>
      <x:c r="L614" s="20" t="n">
        <x:f>IF(INDEX(Roster!$D$6:$D$108,MATCH(D614,Roster!$A$6:$A$108,0))&gt;=25,INDEX(Inputs!$B$19:$D$19,1,MATCH(A614,Inputs!$B$6:$D$6,0)),IF(INDEX(Roster!$D$6:$D$108,MATCH(D614,Roster!$A$6:$A$108,0))&gt;=20,INDEX(Inputs!$B$18:$D$18,1,MATCH(A614,Inputs!$B$6:$D$6,0)),IF(INDEX(Roster!$D$6:$D$108,MATCH(D614,Roster!$A$6:$A$108,0))&gt;=15,INDEX(Inputs!$B$17:$D$17,1,MATCH(A614,Inputs!$B$6:$D$6,0)),IF(INDEX(Roster!$D$6:$D$108,MATCH(D614,Roster!$A$6:$A$108,0))&gt;=10,INDEX(Inputs!$B$16:$D$16,1,MATCH(A614,Inputs!$B$6:$D$6,0)),IF(INDEX(Roster!$D$6:$D$108,MATCH(D614,Roster!$A$6:$A$108,0))&gt;=5,INDEX(Inputs!$B$15:$D$15,1,MATCH(A614,Inputs!$B$6:$D$6,0)),0)))))</x:f>
        <x:v>90</x:v>
      </x:c>
      <x:c r="M614" s="20" t="n">
        <x:f>G614*I614</x:f>
        <x:v>31135</x:v>
      </x:c>
      <x:c r="N614" s="20" t="n">
        <x:f>G614*J614</x:f>
        <x:v>260</x:v>
      </x:c>
      <x:c r="O614" s="20" t="n">
        <x:f>G614*K614</x:f>
        <x:v>0</x:v>
      </x:c>
      <x:c r="P614" s="20" t="n">
        <x:f>G614*L614</x:f>
        <x:v>1170</x:v>
      </x:c>
      <x:c r="Q614" s="20" t="n">
        <x:f>H614*INDEX(Inputs!$B$13:$D$13,1,MATCH(A614,Inputs!$B$6:$D$6,0))</x:f>
        <x:v>390</x:v>
      </x:c>
      <x:c r="R614" s="20" t="n">
        <x:f>SUM(M614:Q614)</x:f>
        <x:v>32955</x:v>
      </x:c>
      <x:c r="S614" s="20" t="n">
        <x:f>IF(AND(A613=A614,D613=D614),S613+R614,R614)</x:f>
        <x:v>32955</x:v>
      </x:c>
      <x:c r="T614" s="20" t="n">
        <x:f>MIN(S614,INDEX(Inputs!$B$20:$D$20,1,MATCH(A614,Inputs!$B$6:$D$6,0)))*INDEX(Inputs!$B$22:$D$22,1,MATCH(A614,Inputs!$B$6:$D$6,0))+MAX(MIN(S614,INDEX(Inputs!$B$21:$D$21,1,MATCH(A614,Inputs!$B$6:$D$6,0)))-INDEX(Inputs!$B$20:$D$20,1,MATCH(A614,Inputs!$B$6:$D$6,0)),0)*INDEX(Inputs!$B$23:$D$23,1,MATCH(A614,Inputs!$B$6:$D$6,0))+MAX(S614-INDEX(Inputs!$B$21:$D$21,1,MATCH(A614,Inputs!$B$6:$D$6,0)),0)*INDEX(Inputs!$B$24:$D$24,1,MATCH(A614,Inputs!$B$6:$D$6,0))</x:f>
        <x:v>3011.0575</x:v>
      </x:c>
      <x:c r="U614" s="20" t="n">
        <x:f>IF(AND(A613=A614,D613=D614),T613,0)</x:f>
        <x:v>0</x:v>
      </x:c>
      <x:c r="V614" s="20" t="n">
        <x:f>T614-U614</x:f>
        <x:v>3011.0575</x:v>
      </x:c>
      <x:c r="W614" s="20" t="n">
        <x:f>R614+V614</x:f>
        <x:v>35966.0575</x:v>
      </x:c>
      <x:c r="X614" s="14" t="str">
        <x:f>IF(ABS(W614-SUM(M614:Q614)-V614)&lt;0.01,"OK","Check")</x:f>
        <x:v>OK</x:v>
      </x:c>
    </x:row>
    <x:row r="615">
      <x:c r="A615" s="14" t="n">
        <x:v>2027</x:v>
      </x:c>
      <x:c r="B615" s="14" t="str">
        <x:v>Q2</x:v>
      </x:c>
      <x:c r="C615" s="14" t="n">
        <x:v>2</x:v>
      </x:c>
      <x:c r="D615" s="14" t="n">
        <x:v>50</x:v>
      </x:c>
      <x:c r="E615" s="14" t="str">
        <x:f>INDEX(Roster!$B$6:$B$108,MATCH(D615,Roster!$A$6:$A$108,0))</x:f>
      </x:c>
      <x:c r="F615" s="14" t="str">
        <x:f>INDEX(Roster!$F$6:$F$108,MATCH(D615,Roster!$A$6:$A$108,0))</x:f>
        <x:v>No</x:v>
      </x:c>
      <x:c r="G615" s="14" t="n">
        <x:f>INDEX(Inputs!$B$7:$D$7,1,MATCH(A615,Inputs!$B$6:$D$6,0))</x:f>
        <x:v>13</x:v>
      </x:c>
      <x:c r="H615" s="14" t="n">
        <x:f>MIN(=INDEX(Inputs!$B$7:$D$7,1,MATCH(A615,Inputs!$B$6:$D$6,0)),MAX(0,INDEX(Inputs!$B$14:$D$14,1,MATCH(A615,Inputs!$B$6:$D$6,0))-(C615-1)*=INDEX(Inputs!$B$7:$D$7,1,MATCH(A615,Inputs!$B$6:$D$6,0))))</x:f>
        <x:v>13</x:v>
      </x:c>
      <x:c r="I615" s="20" t="n">
        <x:f>INDEX(Inputs!$B$8:$D$8,1,MATCH(A615,Inputs!$B$6:$D$6,0))</x:f>
        <x:v>2395</x:v>
      </x:c>
      <x:c r="J615" s="20" t="n">
        <x:f>INDEX(Roster!$C$6:$C$108,MATCH(D615,Roster!$A$6:$A$108,0))*(1+INDEX(Inputs!$B$9:$D$9,1,MATCH(A615,Inputs!$B$6:$D$6,0)))</x:f>
        <x:v>20</x:v>
      </x:c>
      <x:c r="K615" s="20" t="n">
        <x:f>IF(=INDEX(Roster!$F$6:$F$108,MATCH(D615,Roster!$A$6:$A$108,0))="Yes",0,=INDEX(Inputs!$B$8:$D$8,1,MATCH(A615,Inputs!$B$6:$D$6,0))*IF(=INDEX(Roster!$B$6:$B$108,MATCH(D615,Roster!$A$6:$A$108,0))="Principal",INDEX(Inputs!$B$10:$D$10,1,MATCH(A615,Inputs!$B$6:$D$6,0)),IF(=INDEX(Roster!$B$6:$B$108,MATCH(D615,Roster!$A$6:$A$108,0))="Associate Principal",INDEX(Inputs!$B$11:$D$11,1,MATCH(A615,Inputs!$B$6:$D$6,0)),IF(=INDEX(Roster!$B$6:$B$108,MATCH(D615,Roster!$A$6:$A$108,0))="Assistant Principal",INDEX(Inputs!$B$12:$D$12,1,MATCH(A615,Inputs!$B$6:$D$6,0)),0))))</x:f>
        <x:v>0</x:v>
      </x:c>
      <x:c r="L615" s="20" t="n">
        <x:f>IF(INDEX(Roster!$D$6:$D$108,MATCH(D615,Roster!$A$6:$A$108,0))&gt;=25,INDEX(Inputs!$B$19:$D$19,1,MATCH(A615,Inputs!$B$6:$D$6,0)),IF(INDEX(Roster!$D$6:$D$108,MATCH(D615,Roster!$A$6:$A$108,0))&gt;=20,INDEX(Inputs!$B$18:$D$18,1,MATCH(A615,Inputs!$B$6:$D$6,0)),IF(INDEX(Roster!$D$6:$D$108,MATCH(D615,Roster!$A$6:$A$108,0))&gt;=15,INDEX(Inputs!$B$17:$D$17,1,MATCH(A615,Inputs!$B$6:$D$6,0)),IF(INDEX(Roster!$D$6:$D$108,MATCH(D615,Roster!$A$6:$A$108,0))&gt;=10,INDEX(Inputs!$B$16:$D$16,1,MATCH(A615,Inputs!$B$6:$D$6,0)),IF(INDEX(Roster!$D$6:$D$108,MATCH(D615,Roster!$A$6:$A$108,0))&gt;=5,INDEX(Inputs!$B$15:$D$15,1,MATCH(A615,Inputs!$B$6:$D$6,0)),0)))))</x:f>
        <x:v>90</x:v>
      </x:c>
      <x:c r="M615" s="20" t="n">
        <x:f>G615*I615</x:f>
        <x:v>31135</x:v>
      </x:c>
      <x:c r="N615" s="20" t="n">
        <x:f>G615*J615</x:f>
        <x:v>260</x:v>
      </x:c>
      <x:c r="O615" s="20" t="n">
        <x:f>G615*K615</x:f>
        <x:v>0</x:v>
      </x:c>
      <x:c r="P615" s="20" t="n">
        <x:f>G615*L615</x:f>
        <x:v>1170</x:v>
      </x:c>
      <x:c r="Q615" s="20" t="n">
        <x:f>H615*INDEX(Inputs!$B$13:$D$13,1,MATCH(A615,Inputs!$B$6:$D$6,0))</x:f>
        <x:v>390</x:v>
      </x:c>
      <x:c r="R615" s="20" t="n">
        <x:f>SUM(M615:Q615)</x:f>
        <x:v>32955</x:v>
      </x:c>
      <x:c r="S615" s="20" t="n">
        <x:f>IF(AND(A614=A615,D614=D615),S614+R615,R615)</x:f>
        <x:v>65910</x:v>
      </x:c>
      <x:c r="T615" s="20" t="n">
        <x:f>MIN(S615,INDEX(Inputs!$B$20:$D$20,1,MATCH(A615,Inputs!$B$6:$D$6,0)))*INDEX(Inputs!$B$22:$D$22,1,MATCH(A615,Inputs!$B$6:$D$6,0))+MAX(MIN(S615,INDEX(Inputs!$B$21:$D$21,1,MATCH(A615,Inputs!$B$6:$D$6,0)))-INDEX(Inputs!$B$20:$D$20,1,MATCH(A615,Inputs!$B$6:$D$6,0)),0)*INDEX(Inputs!$B$23:$D$23,1,MATCH(A615,Inputs!$B$6:$D$6,0))+MAX(S615-INDEX(Inputs!$B$21:$D$21,1,MATCH(A615,Inputs!$B$6:$D$6,0)),0)*INDEX(Inputs!$B$24:$D$24,1,MATCH(A615,Inputs!$B$6:$D$6,0))</x:f>
        <x:v>5532.115</x:v>
      </x:c>
      <x:c r="U615" s="20" t="n">
        <x:f>IF(AND(A614=A615,D614=D615),T614,0)</x:f>
        <x:v>3011.0575</x:v>
      </x:c>
      <x:c r="V615" s="20" t="n">
        <x:f>T615-U615</x:f>
        <x:v>2521.0575</x:v>
      </x:c>
      <x:c r="W615" s="20" t="n">
        <x:f>R615+V615</x:f>
        <x:v>35476.0575</x:v>
      </x:c>
      <x:c r="X615" s="14" t="str">
        <x:f>IF(ABS(W615-SUM(M615:Q615)-V615)&lt;0.01,"OK","Check")</x:f>
        <x:v>OK</x:v>
      </x:c>
    </x:row>
    <x:row r="616">
      <x:c r="A616" s="14" t="n">
        <x:v>2027</x:v>
      </x:c>
      <x:c r="B616" s="14" t="str">
        <x:v>Q3</x:v>
      </x:c>
      <x:c r="C616" s="14" t="n">
        <x:v>3</x:v>
      </x:c>
      <x:c r="D616" s="14" t="n">
        <x:v>50</x:v>
      </x:c>
      <x:c r="E616" s="14" t="str">
        <x:f>INDEX(Roster!$B$6:$B$108,MATCH(D616,Roster!$A$6:$A$108,0))</x:f>
      </x:c>
      <x:c r="F616" s="14" t="str">
        <x:f>INDEX(Roster!$F$6:$F$108,MATCH(D616,Roster!$A$6:$A$108,0))</x:f>
        <x:v>No</x:v>
      </x:c>
      <x:c r="G616" s="14" t="n">
        <x:f>INDEX(Inputs!$B$7:$D$7,1,MATCH(A616,Inputs!$B$6:$D$6,0))</x:f>
        <x:v>13</x:v>
      </x:c>
      <x:c r="H616" s="14" t="n">
        <x:f>MIN(=INDEX(Inputs!$B$7:$D$7,1,MATCH(A616,Inputs!$B$6:$D$6,0)),MAX(0,INDEX(Inputs!$B$14:$D$14,1,MATCH(A616,Inputs!$B$6:$D$6,0))-(C616-1)*=INDEX(Inputs!$B$7:$D$7,1,MATCH(A616,Inputs!$B$6:$D$6,0))))</x:f>
        <x:v>13</x:v>
      </x:c>
      <x:c r="I616" s="20" t="n">
        <x:f>INDEX(Inputs!$B$8:$D$8,1,MATCH(A616,Inputs!$B$6:$D$6,0))</x:f>
        <x:v>2395</x:v>
      </x:c>
      <x:c r="J616" s="20" t="n">
        <x:f>INDEX(Roster!$C$6:$C$108,MATCH(D616,Roster!$A$6:$A$108,0))*(1+INDEX(Inputs!$B$9:$D$9,1,MATCH(A616,Inputs!$B$6:$D$6,0)))</x:f>
        <x:v>20</x:v>
      </x:c>
      <x:c r="K616" s="20" t="n">
        <x:f>IF(=INDEX(Roster!$F$6:$F$108,MATCH(D616,Roster!$A$6:$A$108,0))="Yes",0,=INDEX(Inputs!$B$8:$D$8,1,MATCH(A616,Inputs!$B$6:$D$6,0))*IF(=INDEX(Roster!$B$6:$B$108,MATCH(D616,Roster!$A$6:$A$108,0))="Principal",INDEX(Inputs!$B$10:$D$10,1,MATCH(A616,Inputs!$B$6:$D$6,0)),IF(=INDEX(Roster!$B$6:$B$108,MATCH(D616,Roster!$A$6:$A$108,0))="Associate Principal",INDEX(Inputs!$B$11:$D$11,1,MATCH(A616,Inputs!$B$6:$D$6,0)),IF(=INDEX(Roster!$B$6:$B$108,MATCH(D616,Roster!$A$6:$A$108,0))="Assistant Principal",INDEX(Inputs!$B$12:$D$12,1,MATCH(A616,Inputs!$B$6:$D$6,0)),0))))</x:f>
        <x:v>0</x:v>
      </x:c>
      <x:c r="L616" s="20" t="n">
        <x:f>IF(INDEX(Roster!$D$6:$D$108,MATCH(D616,Roster!$A$6:$A$108,0))&gt;=25,INDEX(Inputs!$B$19:$D$19,1,MATCH(A616,Inputs!$B$6:$D$6,0)),IF(INDEX(Roster!$D$6:$D$108,MATCH(D616,Roster!$A$6:$A$108,0))&gt;=20,INDEX(Inputs!$B$18:$D$18,1,MATCH(A616,Inputs!$B$6:$D$6,0)),IF(INDEX(Roster!$D$6:$D$108,MATCH(D616,Roster!$A$6:$A$108,0))&gt;=15,INDEX(Inputs!$B$17:$D$17,1,MATCH(A616,Inputs!$B$6:$D$6,0)),IF(INDEX(Roster!$D$6:$D$108,MATCH(D616,Roster!$A$6:$A$108,0))&gt;=10,INDEX(Inputs!$B$16:$D$16,1,MATCH(A616,Inputs!$B$6:$D$6,0)),IF(INDEX(Roster!$D$6:$D$108,MATCH(D616,Roster!$A$6:$A$108,0))&gt;=5,INDEX(Inputs!$B$15:$D$15,1,MATCH(A616,Inputs!$B$6:$D$6,0)),0)))))</x:f>
        <x:v>90</x:v>
      </x:c>
      <x:c r="M616" s="20" t="n">
        <x:f>G616*I616</x:f>
        <x:v>31135</x:v>
      </x:c>
      <x:c r="N616" s="20" t="n">
        <x:f>G616*J616</x:f>
        <x:v>260</x:v>
      </x:c>
      <x:c r="O616" s="20" t="n">
        <x:f>G616*K616</x:f>
        <x:v>0</x:v>
      </x:c>
      <x:c r="P616" s="20" t="n">
        <x:f>G616*L616</x:f>
        <x:v>1170</x:v>
      </x:c>
      <x:c r="Q616" s="20" t="n">
        <x:f>H616*INDEX(Inputs!$B$13:$D$13,1,MATCH(A616,Inputs!$B$6:$D$6,0))</x:f>
        <x:v>390</x:v>
      </x:c>
      <x:c r="R616" s="20" t="n">
        <x:f>SUM(M616:Q616)</x:f>
        <x:v>32955</x:v>
      </x:c>
      <x:c r="S616" s="20" t="n">
        <x:f>IF(AND(A615=A616,D615=D616),S615+R616,R616)</x:f>
        <x:v>98865</x:v>
      </x:c>
      <x:c r="T616" s="20" t="n">
        <x:f>MIN(S616,INDEX(Inputs!$B$20:$D$20,1,MATCH(A616,Inputs!$B$6:$D$6,0)))*INDEX(Inputs!$B$22:$D$22,1,MATCH(A616,Inputs!$B$6:$D$6,0))+MAX(MIN(S616,INDEX(Inputs!$B$21:$D$21,1,MATCH(A616,Inputs!$B$6:$D$6,0)))-INDEX(Inputs!$B$20:$D$20,1,MATCH(A616,Inputs!$B$6:$D$6,0)),0)*INDEX(Inputs!$B$23:$D$23,1,MATCH(A616,Inputs!$B$6:$D$6,0))+MAX(S616-INDEX(Inputs!$B$21:$D$21,1,MATCH(A616,Inputs!$B$6:$D$6,0)),0)*INDEX(Inputs!$B$24:$D$24,1,MATCH(A616,Inputs!$B$6:$D$6,0))</x:f>
        <x:v>8053.1725</x:v>
      </x:c>
      <x:c r="U616" s="20" t="n">
        <x:f>IF(AND(A615=A616,D615=D616),T615,0)</x:f>
        <x:v>5532.115</x:v>
      </x:c>
      <x:c r="V616" s="20" t="n">
        <x:f>T616-U616</x:f>
        <x:v>2521.0575</x:v>
      </x:c>
      <x:c r="W616" s="20" t="n">
        <x:f>R616+V616</x:f>
        <x:v>35476.0575</x:v>
      </x:c>
      <x:c r="X616" s="14" t="str">
        <x:f>IF(ABS(W616-SUM(M616:Q616)-V616)&lt;0.01,"OK","Check")</x:f>
        <x:v>OK</x:v>
      </x:c>
    </x:row>
    <x:row r="617">
      <x:c r="A617" s="14" t="n">
        <x:v>2027</x:v>
      </x:c>
      <x:c r="B617" s="14" t="str">
        <x:v>Q4</x:v>
      </x:c>
      <x:c r="C617" s="14" t="n">
        <x:v>4</x:v>
      </x:c>
      <x:c r="D617" s="14" t="n">
        <x:v>50</x:v>
      </x:c>
      <x:c r="E617" s="14" t="str">
        <x:f>INDEX(Roster!$B$6:$B$108,MATCH(D617,Roster!$A$6:$A$108,0))</x:f>
      </x:c>
      <x:c r="F617" s="14" t="str">
        <x:f>INDEX(Roster!$F$6:$F$108,MATCH(D617,Roster!$A$6:$A$108,0))</x:f>
        <x:v>No</x:v>
      </x:c>
      <x:c r="G617" s="14" t="n">
        <x:f>INDEX(Inputs!$B$7:$D$7,1,MATCH(A617,Inputs!$B$6:$D$6,0))</x:f>
        <x:v>13</x:v>
      </x:c>
      <x:c r="H617" s="14" t="n">
        <x:f>MIN(=INDEX(Inputs!$B$7:$D$7,1,MATCH(A617,Inputs!$B$6:$D$6,0)),MAX(0,INDEX(Inputs!$B$14:$D$14,1,MATCH(A617,Inputs!$B$6:$D$6,0))-(C617-1)*=INDEX(Inputs!$B$7:$D$7,1,MATCH(A617,Inputs!$B$6:$D$6,0))))</x:f>
        <x:v>0</x:v>
      </x:c>
      <x:c r="I617" s="20" t="n">
        <x:f>INDEX(Inputs!$B$8:$D$8,1,MATCH(A617,Inputs!$B$6:$D$6,0))</x:f>
        <x:v>2395</x:v>
      </x:c>
      <x:c r="J617" s="20" t="n">
        <x:f>INDEX(Roster!$C$6:$C$108,MATCH(D617,Roster!$A$6:$A$108,0))*(1+INDEX(Inputs!$B$9:$D$9,1,MATCH(A617,Inputs!$B$6:$D$6,0)))</x:f>
        <x:v>20</x:v>
      </x:c>
      <x:c r="K617" s="20" t="n">
        <x:f>IF(=INDEX(Roster!$F$6:$F$108,MATCH(D617,Roster!$A$6:$A$108,0))="Yes",0,=INDEX(Inputs!$B$8:$D$8,1,MATCH(A617,Inputs!$B$6:$D$6,0))*IF(=INDEX(Roster!$B$6:$B$108,MATCH(D617,Roster!$A$6:$A$108,0))="Principal",INDEX(Inputs!$B$10:$D$10,1,MATCH(A617,Inputs!$B$6:$D$6,0)),IF(=INDEX(Roster!$B$6:$B$108,MATCH(D617,Roster!$A$6:$A$108,0))="Associate Principal",INDEX(Inputs!$B$11:$D$11,1,MATCH(A617,Inputs!$B$6:$D$6,0)),IF(=INDEX(Roster!$B$6:$B$108,MATCH(D617,Roster!$A$6:$A$108,0))="Assistant Principal",INDEX(Inputs!$B$12:$D$12,1,MATCH(A617,Inputs!$B$6:$D$6,0)),0))))</x:f>
        <x:v>0</x:v>
      </x:c>
      <x:c r="L617" s="20" t="n">
        <x:f>IF(INDEX(Roster!$D$6:$D$108,MATCH(D617,Roster!$A$6:$A$108,0))&gt;=25,INDEX(Inputs!$B$19:$D$19,1,MATCH(A617,Inputs!$B$6:$D$6,0)),IF(INDEX(Roster!$D$6:$D$108,MATCH(D617,Roster!$A$6:$A$108,0))&gt;=20,INDEX(Inputs!$B$18:$D$18,1,MATCH(A617,Inputs!$B$6:$D$6,0)),IF(INDEX(Roster!$D$6:$D$108,MATCH(D617,Roster!$A$6:$A$108,0))&gt;=15,INDEX(Inputs!$B$17:$D$17,1,MATCH(A617,Inputs!$B$6:$D$6,0)),IF(INDEX(Roster!$D$6:$D$108,MATCH(D617,Roster!$A$6:$A$108,0))&gt;=10,INDEX(Inputs!$B$16:$D$16,1,MATCH(A617,Inputs!$B$6:$D$6,0)),IF(INDEX(Roster!$D$6:$D$108,MATCH(D617,Roster!$A$6:$A$108,0))&gt;=5,INDEX(Inputs!$B$15:$D$15,1,MATCH(A617,Inputs!$B$6:$D$6,0)),0)))))</x:f>
        <x:v>90</x:v>
      </x:c>
      <x:c r="M617" s="20" t="n">
        <x:f>G617*I617</x:f>
        <x:v>31135</x:v>
      </x:c>
      <x:c r="N617" s="20" t="n">
        <x:f>G617*J617</x:f>
        <x:v>260</x:v>
      </x:c>
      <x:c r="O617" s="20" t="n">
        <x:f>G617*K617</x:f>
        <x:v>0</x:v>
      </x:c>
      <x:c r="P617" s="20" t="n">
        <x:f>G617*L617</x:f>
        <x:v>1170</x:v>
      </x:c>
      <x:c r="Q617" s="20" t="n">
        <x:f>H617*INDEX(Inputs!$B$13:$D$13,1,MATCH(A617,Inputs!$B$6:$D$6,0))</x:f>
        <x:v>0</x:v>
      </x:c>
      <x:c r="R617" s="20" t="n">
        <x:f>SUM(M617:Q617)</x:f>
        <x:v>32565</x:v>
      </x:c>
      <x:c r="S617" s="20" t="n">
        <x:f>IF(AND(A616=A617,D616=D617),S616+R617,R617)</x:f>
        <x:v>131430</x:v>
      </x:c>
      <x:c r="T617" s="20" t="n">
        <x:f>MIN(S617,INDEX(Inputs!$B$20:$D$20,1,MATCH(A617,Inputs!$B$6:$D$6,0)))*INDEX(Inputs!$B$22:$D$22,1,MATCH(A617,Inputs!$B$6:$D$6,0))+MAX(MIN(S617,INDEX(Inputs!$B$21:$D$21,1,MATCH(A617,Inputs!$B$6:$D$6,0)))-INDEX(Inputs!$B$20:$D$20,1,MATCH(A617,Inputs!$B$6:$D$6,0)),0)*INDEX(Inputs!$B$23:$D$23,1,MATCH(A617,Inputs!$B$6:$D$6,0))+MAX(S617-INDEX(Inputs!$B$21:$D$21,1,MATCH(A617,Inputs!$B$6:$D$6,0)),0)*INDEX(Inputs!$B$24:$D$24,1,MATCH(A617,Inputs!$B$6:$D$6,0))</x:f>
        <x:v>9819.677</x:v>
      </x:c>
      <x:c r="U617" s="20" t="n">
        <x:f>IF(AND(A616=A617,D616=D617),T616,0)</x:f>
        <x:v>8053.1725</x:v>
      </x:c>
      <x:c r="V617" s="20" t="n">
        <x:f>T617-U617</x:f>
        <x:v>1766.5045</x:v>
      </x:c>
      <x:c r="W617" s="20" t="n">
        <x:f>R617+V617</x:f>
        <x:v>34331.5045</x:v>
      </x:c>
      <x:c r="X617" s="14" t="str">
        <x:f>IF(ABS(W617-SUM(M617:Q617)-V617)&lt;0.01,"OK","Check")</x:f>
        <x:v>OK</x:v>
      </x:c>
    </x:row>
    <x:row r="618">
      <x:c r="A618" s="14" t="n">
        <x:v>2027</x:v>
      </x:c>
      <x:c r="B618" s="14" t="str">
        <x:v>Q1</x:v>
      </x:c>
      <x:c r="C618" s="14" t="n">
        <x:v>1</x:v>
      </x:c>
      <x:c r="D618" s="14" t="n">
        <x:v>51</x:v>
      </x:c>
      <x:c r="E618" s="14" t="str">
        <x:f>INDEX(Roster!$B$6:$B$108,MATCH(D618,Roster!$A$6:$A$108,0))</x:f>
      </x:c>
      <x:c r="F618" s="14" t="str">
        <x:f>INDEX(Roster!$F$6:$F$108,MATCH(D618,Roster!$A$6:$A$108,0))</x:f>
        <x:v>No</x:v>
      </x:c>
      <x:c r="G618" s="14" t="n">
        <x:f>INDEX(Inputs!$B$7:$D$7,1,MATCH(A618,Inputs!$B$6:$D$6,0))</x:f>
        <x:v>13</x:v>
      </x:c>
      <x:c r="H618" s="14" t="n">
        <x:f>MIN(=INDEX(Inputs!$B$7:$D$7,1,MATCH(A618,Inputs!$B$6:$D$6,0)),MAX(0,INDEX(Inputs!$B$14:$D$14,1,MATCH(A618,Inputs!$B$6:$D$6,0))-(C618-1)*=INDEX(Inputs!$B$7:$D$7,1,MATCH(A618,Inputs!$B$6:$D$6,0))))</x:f>
        <x:v>13</x:v>
      </x:c>
      <x:c r="I618" s="20" t="n">
        <x:f>INDEX(Inputs!$B$8:$D$8,1,MATCH(A618,Inputs!$B$6:$D$6,0))</x:f>
        <x:v>2395</x:v>
      </x:c>
      <x:c r="J618" s="20" t="n">
        <x:f>INDEX(Roster!$C$6:$C$108,MATCH(D618,Roster!$A$6:$A$108,0))*(1+INDEX(Inputs!$B$9:$D$9,1,MATCH(A618,Inputs!$B$6:$D$6,0)))</x:f>
        <x:v>40</x:v>
      </x:c>
      <x:c r="K618" s="20" t="n">
        <x:f>IF(=INDEX(Roster!$F$6:$F$108,MATCH(D618,Roster!$A$6:$A$108,0))="Yes",0,=INDEX(Inputs!$B$8:$D$8,1,MATCH(A618,Inputs!$B$6:$D$6,0))*IF(=INDEX(Roster!$B$6:$B$108,MATCH(D618,Roster!$A$6:$A$108,0))="Principal",INDEX(Inputs!$B$10:$D$10,1,MATCH(A618,Inputs!$B$6:$D$6,0)),IF(=INDEX(Roster!$B$6:$B$108,MATCH(D618,Roster!$A$6:$A$108,0))="Associate Principal",INDEX(Inputs!$B$11:$D$11,1,MATCH(A618,Inputs!$B$6:$D$6,0)),IF(=INDEX(Roster!$B$6:$B$108,MATCH(D618,Roster!$A$6:$A$108,0))="Assistant Principal",INDEX(Inputs!$B$12:$D$12,1,MATCH(A618,Inputs!$B$6:$D$6,0)),0))))</x:f>
        <x:v>0</x:v>
      </x:c>
      <x:c r="L618" s="20" t="n">
        <x:f>IF(INDEX(Roster!$D$6:$D$108,MATCH(D618,Roster!$A$6:$A$108,0))&gt;=25,INDEX(Inputs!$B$19:$D$19,1,MATCH(A618,Inputs!$B$6:$D$6,0)),IF(INDEX(Roster!$D$6:$D$108,MATCH(D618,Roster!$A$6:$A$108,0))&gt;=20,INDEX(Inputs!$B$18:$D$18,1,MATCH(A618,Inputs!$B$6:$D$6,0)),IF(INDEX(Roster!$D$6:$D$108,MATCH(D618,Roster!$A$6:$A$108,0))&gt;=15,INDEX(Inputs!$B$17:$D$17,1,MATCH(A618,Inputs!$B$6:$D$6,0)),IF(INDEX(Roster!$D$6:$D$108,MATCH(D618,Roster!$A$6:$A$108,0))&gt;=10,INDEX(Inputs!$B$16:$D$16,1,MATCH(A618,Inputs!$B$6:$D$6,0)),IF(INDEX(Roster!$D$6:$D$108,MATCH(D618,Roster!$A$6:$A$108,0))&gt;=5,INDEX(Inputs!$B$15:$D$15,1,MATCH(A618,Inputs!$B$6:$D$6,0)),0)))))</x:f>
        <x:v>70</x:v>
      </x:c>
      <x:c r="M618" s="20" t="n">
        <x:f>G618*I618</x:f>
        <x:v>31135</x:v>
      </x:c>
      <x:c r="N618" s="20" t="n">
        <x:f>G618*J618</x:f>
        <x:v>520</x:v>
      </x:c>
      <x:c r="O618" s="20" t="n">
        <x:f>G618*K618</x:f>
        <x:v>0</x:v>
      </x:c>
      <x:c r="P618" s="20" t="n">
        <x:f>G618*L618</x:f>
        <x:v>910</x:v>
      </x:c>
      <x:c r="Q618" s="20" t="n">
        <x:f>H618*INDEX(Inputs!$B$13:$D$13,1,MATCH(A618,Inputs!$B$6:$D$6,0))</x:f>
        <x:v>390</x:v>
      </x:c>
      <x:c r="R618" s="20" t="n">
        <x:f>SUM(M618:Q618)</x:f>
        <x:v>32955</x:v>
      </x:c>
      <x:c r="S618" s="20" t="n">
        <x:f>IF(AND(A617=A618,D617=D618),S617+R618,R618)</x:f>
        <x:v>32955</x:v>
      </x:c>
      <x:c r="T618" s="20" t="n">
        <x:f>MIN(S618,INDEX(Inputs!$B$20:$D$20,1,MATCH(A618,Inputs!$B$6:$D$6,0)))*INDEX(Inputs!$B$22:$D$22,1,MATCH(A618,Inputs!$B$6:$D$6,0))+MAX(MIN(S618,INDEX(Inputs!$B$21:$D$21,1,MATCH(A618,Inputs!$B$6:$D$6,0)))-INDEX(Inputs!$B$20:$D$20,1,MATCH(A618,Inputs!$B$6:$D$6,0)),0)*INDEX(Inputs!$B$23:$D$23,1,MATCH(A618,Inputs!$B$6:$D$6,0))+MAX(S618-INDEX(Inputs!$B$21:$D$21,1,MATCH(A618,Inputs!$B$6:$D$6,0)),0)*INDEX(Inputs!$B$24:$D$24,1,MATCH(A618,Inputs!$B$6:$D$6,0))</x:f>
        <x:v>3011.0575</x:v>
      </x:c>
      <x:c r="U618" s="20" t="n">
        <x:f>IF(AND(A617=A618,D617=D618),T617,0)</x:f>
        <x:v>0</x:v>
      </x:c>
      <x:c r="V618" s="20" t="n">
        <x:f>T618-U618</x:f>
        <x:v>3011.0575</x:v>
      </x:c>
      <x:c r="W618" s="20" t="n">
        <x:f>R618+V618</x:f>
        <x:v>35966.0575</x:v>
      </x:c>
      <x:c r="X618" s="14" t="str">
        <x:f>IF(ABS(W618-SUM(M618:Q618)-V618)&lt;0.01,"OK","Check")</x:f>
        <x:v>OK</x:v>
      </x:c>
    </x:row>
    <x:row r="619">
      <x:c r="A619" s="14" t="n">
        <x:v>2027</x:v>
      </x:c>
      <x:c r="B619" s="14" t="str">
        <x:v>Q2</x:v>
      </x:c>
      <x:c r="C619" s="14" t="n">
        <x:v>2</x:v>
      </x:c>
      <x:c r="D619" s="14" t="n">
        <x:v>51</x:v>
      </x:c>
      <x:c r="E619" s="14" t="str">
        <x:f>INDEX(Roster!$B$6:$B$108,MATCH(D619,Roster!$A$6:$A$108,0))</x:f>
      </x:c>
      <x:c r="F619" s="14" t="str">
        <x:f>INDEX(Roster!$F$6:$F$108,MATCH(D619,Roster!$A$6:$A$108,0))</x:f>
        <x:v>No</x:v>
      </x:c>
      <x:c r="G619" s="14" t="n">
        <x:f>INDEX(Inputs!$B$7:$D$7,1,MATCH(A619,Inputs!$B$6:$D$6,0))</x:f>
        <x:v>13</x:v>
      </x:c>
      <x:c r="H619" s="14" t="n">
        <x:f>MIN(=INDEX(Inputs!$B$7:$D$7,1,MATCH(A619,Inputs!$B$6:$D$6,0)),MAX(0,INDEX(Inputs!$B$14:$D$14,1,MATCH(A619,Inputs!$B$6:$D$6,0))-(C619-1)*=INDEX(Inputs!$B$7:$D$7,1,MATCH(A619,Inputs!$B$6:$D$6,0))))</x:f>
        <x:v>13</x:v>
      </x:c>
      <x:c r="I619" s="20" t="n">
        <x:f>INDEX(Inputs!$B$8:$D$8,1,MATCH(A619,Inputs!$B$6:$D$6,0))</x:f>
        <x:v>2395</x:v>
      </x:c>
      <x:c r="J619" s="20" t="n">
        <x:f>INDEX(Roster!$C$6:$C$108,MATCH(D619,Roster!$A$6:$A$108,0))*(1+INDEX(Inputs!$B$9:$D$9,1,MATCH(A619,Inputs!$B$6:$D$6,0)))</x:f>
        <x:v>40</x:v>
      </x:c>
      <x:c r="K619" s="20" t="n">
        <x:f>IF(=INDEX(Roster!$F$6:$F$108,MATCH(D619,Roster!$A$6:$A$108,0))="Yes",0,=INDEX(Inputs!$B$8:$D$8,1,MATCH(A619,Inputs!$B$6:$D$6,0))*IF(=INDEX(Roster!$B$6:$B$108,MATCH(D619,Roster!$A$6:$A$108,0))="Principal",INDEX(Inputs!$B$10:$D$10,1,MATCH(A619,Inputs!$B$6:$D$6,0)),IF(=INDEX(Roster!$B$6:$B$108,MATCH(D619,Roster!$A$6:$A$108,0))="Associate Principal",INDEX(Inputs!$B$11:$D$11,1,MATCH(A619,Inputs!$B$6:$D$6,0)),IF(=INDEX(Roster!$B$6:$B$108,MATCH(D619,Roster!$A$6:$A$108,0))="Assistant Principal",INDEX(Inputs!$B$12:$D$12,1,MATCH(A619,Inputs!$B$6:$D$6,0)),0))))</x:f>
        <x:v>0</x:v>
      </x:c>
      <x:c r="L619" s="20" t="n">
        <x:f>IF(INDEX(Roster!$D$6:$D$108,MATCH(D619,Roster!$A$6:$A$108,0))&gt;=25,INDEX(Inputs!$B$19:$D$19,1,MATCH(A619,Inputs!$B$6:$D$6,0)),IF(INDEX(Roster!$D$6:$D$108,MATCH(D619,Roster!$A$6:$A$108,0))&gt;=20,INDEX(Inputs!$B$18:$D$18,1,MATCH(A619,Inputs!$B$6:$D$6,0)),IF(INDEX(Roster!$D$6:$D$108,MATCH(D619,Roster!$A$6:$A$108,0))&gt;=15,INDEX(Inputs!$B$17:$D$17,1,MATCH(A619,Inputs!$B$6:$D$6,0)),IF(INDEX(Roster!$D$6:$D$108,MATCH(D619,Roster!$A$6:$A$108,0))&gt;=10,INDEX(Inputs!$B$16:$D$16,1,MATCH(A619,Inputs!$B$6:$D$6,0)),IF(INDEX(Roster!$D$6:$D$108,MATCH(D619,Roster!$A$6:$A$108,0))&gt;=5,INDEX(Inputs!$B$15:$D$15,1,MATCH(A619,Inputs!$B$6:$D$6,0)),0)))))</x:f>
        <x:v>70</x:v>
      </x:c>
      <x:c r="M619" s="20" t="n">
        <x:f>G619*I619</x:f>
        <x:v>31135</x:v>
      </x:c>
      <x:c r="N619" s="20" t="n">
        <x:f>G619*J619</x:f>
        <x:v>520</x:v>
      </x:c>
      <x:c r="O619" s="20" t="n">
        <x:f>G619*K619</x:f>
        <x:v>0</x:v>
      </x:c>
      <x:c r="P619" s="20" t="n">
        <x:f>G619*L619</x:f>
        <x:v>910</x:v>
      </x:c>
      <x:c r="Q619" s="20" t="n">
        <x:f>H619*INDEX(Inputs!$B$13:$D$13,1,MATCH(A619,Inputs!$B$6:$D$6,0))</x:f>
        <x:v>390</x:v>
      </x:c>
      <x:c r="R619" s="20" t="n">
        <x:f>SUM(M619:Q619)</x:f>
        <x:v>32955</x:v>
      </x:c>
      <x:c r="S619" s="20" t="n">
        <x:f>IF(AND(A618=A619,D618=D619),S618+R619,R619)</x:f>
        <x:v>65910</x:v>
      </x:c>
      <x:c r="T619" s="20" t="n">
        <x:f>MIN(S619,INDEX(Inputs!$B$20:$D$20,1,MATCH(A619,Inputs!$B$6:$D$6,0)))*INDEX(Inputs!$B$22:$D$22,1,MATCH(A619,Inputs!$B$6:$D$6,0))+MAX(MIN(S619,INDEX(Inputs!$B$21:$D$21,1,MATCH(A619,Inputs!$B$6:$D$6,0)))-INDEX(Inputs!$B$20:$D$20,1,MATCH(A619,Inputs!$B$6:$D$6,0)),0)*INDEX(Inputs!$B$23:$D$23,1,MATCH(A619,Inputs!$B$6:$D$6,0))+MAX(S619-INDEX(Inputs!$B$21:$D$21,1,MATCH(A619,Inputs!$B$6:$D$6,0)),0)*INDEX(Inputs!$B$24:$D$24,1,MATCH(A619,Inputs!$B$6:$D$6,0))</x:f>
        <x:v>5532.115</x:v>
      </x:c>
      <x:c r="U619" s="20" t="n">
        <x:f>IF(AND(A618=A619,D618=D619),T618,0)</x:f>
        <x:v>3011.0575</x:v>
      </x:c>
      <x:c r="V619" s="20" t="n">
        <x:f>T619-U619</x:f>
        <x:v>2521.0575</x:v>
      </x:c>
      <x:c r="W619" s="20" t="n">
        <x:f>R619+V619</x:f>
        <x:v>35476.0575</x:v>
      </x:c>
      <x:c r="X619" s="14" t="str">
        <x:f>IF(ABS(W619-SUM(M619:Q619)-V619)&lt;0.01,"OK","Check")</x:f>
        <x:v>OK</x:v>
      </x:c>
    </x:row>
    <x:row r="620">
      <x:c r="A620" s="14" t="n">
        <x:v>2027</x:v>
      </x:c>
      <x:c r="B620" s="14" t="str">
        <x:v>Q3</x:v>
      </x:c>
      <x:c r="C620" s="14" t="n">
        <x:v>3</x:v>
      </x:c>
      <x:c r="D620" s="14" t="n">
        <x:v>51</x:v>
      </x:c>
      <x:c r="E620" s="14" t="str">
        <x:f>INDEX(Roster!$B$6:$B$108,MATCH(D620,Roster!$A$6:$A$108,0))</x:f>
      </x:c>
      <x:c r="F620" s="14" t="str">
        <x:f>INDEX(Roster!$F$6:$F$108,MATCH(D620,Roster!$A$6:$A$108,0))</x:f>
        <x:v>No</x:v>
      </x:c>
      <x:c r="G620" s="14" t="n">
        <x:f>INDEX(Inputs!$B$7:$D$7,1,MATCH(A620,Inputs!$B$6:$D$6,0))</x:f>
        <x:v>13</x:v>
      </x:c>
      <x:c r="H620" s="14" t="n">
        <x:f>MIN(=INDEX(Inputs!$B$7:$D$7,1,MATCH(A620,Inputs!$B$6:$D$6,0)),MAX(0,INDEX(Inputs!$B$14:$D$14,1,MATCH(A620,Inputs!$B$6:$D$6,0))-(C620-1)*=INDEX(Inputs!$B$7:$D$7,1,MATCH(A620,Inputs!$B$6:$D$6,0))))</x:f>
        <x:v>13</x:v>
      </x:c>
      <x:c r="I620" s="20" t="n">
        <x:f>INDEX(Inputs!$B$8:$D$8,1,MATCH(A620,Inputs!$B$6:$D$6,0))</x:f>
        <x:v>2395</x:v>
      </x:c>
      <x:c r="J620" s="20" t="n">
        <x:f>INDEX(Roster!$C$6:$C$108,MATCH(D620,Roster!$A$6:$A$108,0))*(1+INDEX(Inputs!$B$9:$D$9,1,MATCH(A620,Inputs!$B$6:$D$6,0)))</x:f>
        <x:v>40</x:v>
      </x:c>
      <x:c r="K620" s="20" t="n">
        <x:f>IF(=INDEX(Roster!$F$6:$F$108,MATCH(D620,Roster!$A$6:$A$108,0))="Yes",0,=INDEX(Inputs!$B$8:$D$8,1,MATCH(A620,Inputs!$B$6:$D$6,0))*IF(=INDEX(Roster!$B$6:$B$108,MATCH(D620,Roster!$A$6:$A$108,0))="Principal",INDEX(Inputs!$B$10:$D$10,1,MATCH(A620,Inputs!$B$6:$D$6,0)),IF(=INDEX(Roster!$B$6:$B$108,MATCH(D620,Roster!$A$6:$A$108,0))="Associate Principal",INDEX(Inputs!$B$11:$D$11,1,MATCH(A620,Inputs!$B$6:$D$6,0)),IF(=INDEX(Roster!$B$6:$B$108,MATCH(D620,Roster!$A$6:$A$108,0))="Assistant Principal",INDEX(Inputs!$B$12:$D$12,1,MATCH(A620,Inputs!$B$6:$D$6,0)),0))))</x:f>
        <x:v>0</x:v>
      </x:c>
      <x:c r="L620" s="20" t="n">
        <x:f>IF(INDEX(Roster!$D$6:$D$108,MATCH(D620,Roster!$A$6:$A$108,0))&gt;=25,INDEX(Inputs!$B$19:$D$19,1,MATCH(A620,Inputs!$B$6:$D$6,0)),IF(INDEX(Roster!$D$6:$D$108,MATCH(D620,Roster!$A$6:$A$108,0))&gt;=20,INDEX(Inputs!$B$18:$D$18,1,MATCH(A620,Inputs!$B$6:$D$6,0)),IF(INDEX(Roster!$D$6:$D$108,MATCH(D620,Roster!$A$6:$A$108,0))&gt;=15,INDEX(Inputs!$B$17:$D$17,1,MATCH(A620,Inputs!$B$6:$D$6,0)),IF(INDEX(Roster!$D$6:$D$108,MATCH(D620,Roster!$A$6:$A$108,0))&gt;=10,INDEX(Inputs!$B$16:$D$16,1,MATCH(A620,Inputs!$B$6:$D$6,0)),IF(INDEX(Roster!$D$6:$D$108,MATCH(D620,Roster!$A$6:$A$108,0))&gt;=5,INDEX(Inputs!$B$15:$D$15,1,MATCH(A620,Inputs!$B$6:$D$6,0)),0)))))</x:f>
        <x:v>70</x:v>
      </x:c>
      <x:c r="M620" s="20" t="n">
        <x:f>G620*I620</x:f>
        <x:v>31135</x:v>
      </x:c>
      <x:c r="N620" s="20" t="n">
        <x:f>G620*J620</x:f>
        <x:v>520</x:v>
      </x:c>
      <x:c r="O620" s="20" t="n">
        <x:f>G620*K620</x:f>
        <x:v>0</x:v>
      </x:c>
      <x:c r="P620" s="20" t="n">
        <x:f>G620*L620</x:f>
        <x:v>910</x:v>
      </x:c>
      <x:c r="Q620" s="20" t="n">
        <x:f>H620*INDEX(Inputs!$B$13:$D$13,1,MATCH(A620,Inputs!$B$6:$D$6,0))</x:f>
        <x:v>390</x:v>
      </x:c>
      <x:c r="R620" s="20" t="n">
        <x:f>SUM(M620:Q620)</x:f>
        <x:v>32955</x:v>
      </x:c>
      <x:c r="S620" s="20" t="n">
        <x:f>IF(AND(A619=A620,D619=D620),S619+R620,R620)</x:f>
        <x:v>98865</x:v>
      </x:c>
      <x:c r="T620" s="20" t="n">
        <x:f>MIN(S620,INDEX(Inputs!$B$20:$D$20,1,MATCH(A620,Inputs!$B$6:$D$6,0)))*INDEX(Inputs!$B$22:$D$22,1,MATCH(A620,Inputs!$B$6:$D$6,0))+MAX(MIN(S620,INDEX(Inputs!$B$21:$D$21,1,MATCH(A620,Inputs!$B$6:$D$6,0)))-INDEX(Inputs!$B$20:$D$20,1,MATCH(A620,Inputs!$B$6:$D$6,0)),0)*INDEX(Inputs!$B$23:$D$23,1,MATCH(A620,Inputs!$B$6:$D$6,0))+MAX(S620-INDEX(Inputs!$B$21:$D$21,1,MATCH(A620,Inputs!$B$6:$D$6,0)),0)*INDEX(Inputs!$B$24:$D$24,1,MATCH(A620,Inputs!$B$6:$D$6,0))</x:f>
        <x:v>8053.1725</x:v>
      </x:c>
      <x:c r="U620" s="20" t="n">
        <x:f>IF(AND(A619=A620,D619=D620),T619,0)</x:f>
        <x:v>5532.115</x:v>
      </x:c>
      <x:c r="V620" s="20" t="n">
        <x:f>T620-U620</x:f>
        <x:v>2521.0575</x:v>
      </x:c>
      <x:c r="W620" s="20" t="n">
        <x:f>R620+V620</x:f>
        <x:v>35476.0575</x:v>
      </x:c>
      <x:c r="X620" s="14" t="str">
        <x:f>IF(ABS(W620-SUM(M620:Q620)-V620)&lt;0.01,"OK","Check")</x:f>
        <x:v>OK</x:v>
      </x:c>
    </x:row>
    <x:row r="621">
      <x:c r="A621" s="14" t="n">
        <x:v>2027</x:v>
      </x:c>
      <x:c r="B621" s="14" t="str">
        <x:v>Q4</x:v>
      </x:c>
      <x:c r="C621" s="14" t="n">
        <x:v>4</x:v>
      </x:c>
      <x:c r="D621" s="14" t="n">
        <x:v>51</x:v>
      </x:c>
      <x:c r="E621" s="14" t="str">
        <x:f>INDEX(Roster!$B$6:$B$108,MATCH(D621,Roster!$A$6:$A$108,0))</x:f>
      </x:c>
      <x:c r="F621" s="14" t="str">
        <x:f>INDEX(Roster!$F$6:$F$108,MATCH(D621,Roster!$A$6:$A$108,0))</x:f>
        <x:v>No</x:v>
      </x:c>
      <x:c r="G621" s="14" t="n">
        <x:f>INDEX(Inputs!$B$7:$D$7,1,MATCH(A621,Inputs!$B$6:$D$6,0))</x:f>
        <x:v>13</x:v>
      </x:c>
      <x:c r="H621" s="14" t="n">
        <x:f>MIN(=INDEX(Inputs!$B$7:$D$7,1,MATCH(A621,Inputs!$B$6:$D$6,0)),MAX(0,INDEX(Inputs!$B$14:$D$14,1,MATCH(A621,Inputs!$B$6:$D$6,0))-(C621-1)*=INDEX(Inputs!$B$7:$D$7,1,MATCH(A621,Inputs!$B$6:$D$6,0))))</x:f>
        <x:v>0</x:v>
      </x:c>
      <x:c r="I621" s="20" t="n">
        <x:f>INDEX(Inputs!$B$8:$D$8,1,MATCH(A621,Inputs!$B$6:$D$6,0))</x:f>
        <x:v>2395</x:v>
      </x:c>
      <x:c r="J621" s="20" t="n">
        <x:f>INDEX(Roster!$C$6:$C$108,MATCH(D621,Roster!$A$6:$A$108,0))*(1+INDEX(Inputs!$B$9:$D$9,1,MATCH(A621,Inputs!$B$6:$D$6,0)))</x:f>
        <x:v>40</x:v>
      </x:c>
      <x:c r="K621" s="20" t="n">
        <x:f>IF(=INDEX(Roster!$F$6:$F$108,MATCH(D621,Roster!$A$6:$A$108,0))="Yes",0,=INDEX(Inputs!$B$8:$D$8,1,MATCH(A621,Inputs!$B$6:$D$6,0))*IF(=INDEX(Roster!$B$6:$B$108,MATCH(D621,Roster!$A$6:$A$108,0))="Principal",INDEX(Inputs!$B$10:$D$10,1,MATCH(A621,Inputs!$B$6:$D$6,0)),IF(=INDEX(Roster!$B$6:$B$108,MATCH(D621,Roster!$A$6:$A$108,0))="Associate Principal",INDEX(Inputs!$B$11:$D$11,1,MATCH(A621,Inputs!$B$6:$D$6,0)),IF(=INDEX(Roster!$B$6:$B$108,MATCH(D621,Roster!$A$6:$A$108,0))="Assistant Principal",INDEX(Inputs!$B$12:$D$12,1,MATCH(A621,Inputs!$B$6:$D$6,0)),0))))</x:f>
        <x:v>0</x:v>
      </x:c>
      <x:c r="L621" s="20" t="n">
        <x:f>IF(INDEX(Roster!$D$6:$D$108,MATCH(D621,Roster!$A$6:$A$108,0))&gt;=25,INDEX(Inputs!$B$19:$D$19,1,MATCH(A621,Inputs!$B$6:$D$6,0)),IF(INDEX(Roster!$D$6:$D$108,MATCH(D621,Roster!$A$6:$A$108,0))&gt;=20,INDEX(Inputs!$B$18:$D$18,1,MATCH(A621,Inputs!$B$6:$D$6,0)),IF(INDEX(Roster!$D$6:$D$108,MATCH(D621,Roster!$A$6:$A$108,0))&gt;=15,INDEX(Inputs!$B$17:$D$17,1,MATCH(A621,Inputs!$B$6:$D$6,0)),IF(INDEX(Roster!$D$6:$D$108,MATCH(D621,Roster!$A$6:$A$108,0))&gt;=10,INDEX(Inputs!$B$16:$D$16,1,MATCH(A621,Inputs!$B$6:$D$6,0)),IF(INDEX(Roster!$D$6:$D$108,MATCH(D621,Roster!$A$6:$A$108,0))&gt;=5,INDEX(Inputs!$B$15:$D$15,1,MATCH(A621,Inputs!$B$6:$D$6,0)),0)))))</x:f>
        <x:v>70</x:v>
      </x:c>
      <x:c r="M621" s="20" t="n">
        <x:f>G621*I621</x:f>
        <x:v>31135</x:v>
      </x:c>
      <x:c r="N621" s="20" t="n">
        <x:f>G621*J621</x:f>
        <x:v>520</x:v>
      </x:c>
      <x:c r="O621" s="20" t="n">
        <x:f>G621*K621</x:f>
        <x:v>0</x:v>
      </x:c>
      <x:c r="P621" s="20" t="n">
        <x:f>G621*L621</x:f>
        <x:v>910</x:v>
      </x:c>
      <x:c r="Q621" s="20" t="n">
        <x:f>H621*INDEX(Inputs!$B$13:$D$13,1,MATCH(A621,Inputs!$B$6:$D$6,0))</x:f>
        <x:v>0</x:v>
      </x:c>
      <x:c r="R621" s="20" t="n">
        <x:f>SUM(M621:Q621)</x:f>
        <x:v>32565</x:v>
      </x:c>
      <x:c r="S621" s="20" t="n">
        <x:f>IF(AND(A620=A621,D620=D621),S620+R621,R621)</x:f>
        <x:v>131430</x:v>
      </x:c>
      <x:c r="T621" s="20" t="n">
        <x:f>MIN(S621,INDEX(Inputs!$B$20:$D$20,1,MATCH(A621,Inputs!$B$6:$D$6,0)))*INDEX(Inputs!$B$22:$D$22,1,MATCH(A621,Inputs!$B$6:$D$6,0))+MAX(MIN(S621,INDEX(Inputs!$B$21:$D$21,1,MATCH(A621,Inputs!$B$6:$D$6,0)))-INDEX(Inputs!$B$20:$D$20,1,MATCH(A621,Inputs!$B$6:$D$6,0)),0)*INDEX(Inputs!$B$23:$D$23,1,MATCH(A621,Inputs!$B$6:$D$6,0))+MAX(S621-INDEX(Inputs!$B$21:$D$21,1,MATCH(A621,Inputs!$B$6:$D$6,0)),0)*INDEX(Inputs!$B$24:$D$24,1,MATCH(A621,Inputs!$B$6:$D$6,0))</x:f>
        <x:v>9819.677</x:v>
      </x:c>
      <x:c r="U621" s="20" t="n">
        <x:f>IF(AND(A620=A621,D620=D621),T620,0)</x:f>
        <x:v>8053.1725</x:v>
      </x:c>
      <x:c r="V621" s="20" t="n">
        <x:f>T621-U621</x:f>
        <x:v>1766.5045</x:v>
      </x:c>
      <x:c r="W621" s="20" t="n">
        <x:f>R621+V621</x:f>
        <x:v>34331.5045</x:v>
      </x:c>
      <x:c r="X621" s="14" t="str">
        <x:f>IF(ABS(W621-SUM(M621:Q621)-V621)&lt;0.01,"OK","Check")</x:f>
        <x:v>OK</x:v>
      </x:c>
    </x:row>
    <x:row r="622">
      <x:c r="A622" s="14" t="n">
        <x:v>2027</x:v>
      </x:c>
      <x:c r="B622" s="14" t="str">
        <x:v>Q1</x:v>
      </x:c>
      <x:c r="C622" s="14" t="n">
        <x:v>1</x:v>
      </x:c>
      <x:c r="D622" s="14" t="n">
        <x:v>52</x:v>
      </x:c>
      <x:c r="E622" s="14" t="str">
        <x:f>INDEX(Roster!$B$6:$B$108,MATCH(D622,Roster!$A$6:$A$108,0))</x:f>
      </x:c>
      <x:c r="F622" s="14" t="str">
        <x:f>INDEX(Roster!$F$6:$F$108,MATCH(D622,Roster!$A$6:$A$108,0))</x:f>
        <x:v>No</x:v>
      </x:c>
      <x:c r="G622" s="14" t="n">
        <x:f>INDEX(Inputs!$B$7:$D$7,1,MATCH(A622,Inputs!$B$6:$D$6,0))</x:f>
        <x:v>13</x:v>
      </x:c>
      <x:c r="H622" s="14" t="n">
        <x:f>MIN(=INDEX(Inputs!$B$7:$D$7,1,MATCH(A622,Inputs!$B$6:$D$6,0)),MAX(0,INDEX(Inputs!$B$14:$D$14,1,MATCH(A622,Inputs!$B$6:$D$6,0))-(C622-1)*=INDEX(Inputs!$B$7:$D$7,1,MATCH(A622,Inputs!$B$6:$D$6,0))))</x:f>
        <x:v>13</x:v>
      </x:c>
      <x:c r="I622" s="20" t="n">
        <x:f>INDEX(Inputs!$B$8:$D$8,1,MATCH(A622,Inputs!$B$6:$D$6,0))</x:f>
        <x:v>2395</x:v>
      </x:c>
      <x:c r="J622" s="20" t="n">
        <x:f>INDEX(Roster!$C$6:$C$108,MATCH(D622,Roster!$A$6:$A$108,0))*(1+INDEX(Inputs!$B$9:$D$9,1,MATCH(A622,Inputs!$B$6:$D$6,0)))</x:f>
        <x:v>90</x:v>
      </x:c>
      <x:c r="K622" s="20" t="n">
        <x:f>IF(=INDEX(Roster!$F$6:$F$108,MATCH(D622,Roster!$A$6:$A$108,0))="Yes",0,=INDEX(Inputs!$B$8:$D$8,1,MATCH(A622,Inputs!$B$6:$D$6,0))*IF(=INDEX(Roster!$B$6:$B$108,MATCH(D622,Roster!$A$6:$A$108,0))="Principal",INDEX(Inputs!$B$10:$D$10,1,MATCH(A622,Inputs!$B$6:$D$6,0)),IF(=INDEX(Roster!$B$6:$B$108,MATCH(D622,Roster!$A$6:$A$108,0))="Associate Principal",INDEX(Inputs!$B$11:$D$11,1,MATCH(A622,Inputs!$B$6:$D$6,0)),IF(=INDEX(Roster!$B$6:$B$108,MATCH(D622,Roster!$A$6:$A$108,0))="Assistant Principal",INDEX(Inputs!$B$12:$D$12,1,MATCH(A622,Inputs!$B$6:$D$6,0)),0))))</x:f>
        <x:v>0</x:v>
      </x:c>
      <x:c r="L622" s="20" t="n">
        <x:f>IF(INDEX(Roster!$D$6:$D$108,MATCH(D622,Roster!$A$6:$A$108,0))&gt;=25,INDEX(Inputs!$B$19:$D$19,1,MATCH(A622,Inputs!$B$6:$D$6,0)),IF(INDEX(Roster!$D$6:$D$108,MATCH(D622,Roster!$A$6:$A$108,0))&gt;=20,INDEX(Inputs!$B$18:$D$18,1,MATCH(A622,Inputs!$B$6:$D$6,0)),IF(INDEX(Roster!$D$6:$D$108,MATCH(D622,Roster!$A$6:$A$108,0))&gt;=15,INDEX(Inputs!$B$17:$D$17,1,MATCH(A622,Inputs!$B$6:$D$6,0)),IF(INDEX(Roster!$D$6:$D$108,MATCH(D622,Roster!$A$6:$A$108,0))&gt;=10,INDEX(Inputs!$B$16:$D$16,1,MATCH(A622,Inputs!$B$6:$D$6,0)),IF(INDEX(Roster!$D$6:$D$108,MATCH(D622,Roster!$A$6:$A$108,0))&gt;=5,INDEX(Inputs!$B$15:$D$15,1,MATCH(A622,Inputs!$B$6:$D$6,0)),0)))))</x:f>
        <x:v>70</x:v>
      </x:c>
      <x:c r="M622" s="20" t="n">
        <x:f>G622*I622</x:f>
        <x:v>31135</x:v>
      </x:c>
      <x:c r="N622" s="20" t="n">
        <x:f>G622*J622</x:f>
        <x:v>1170</x:v>
      </x:c>
      <x:c r="O622" s="20" t="n">
        <x:f>G622*K622</x:f>
        <x:v>0</x:v>
      </x:c>
      <x:c r="P622" s="20" t="n">
        <x:f>G622*L622</x:f>
        <x:v>910</x:v>
      </x:c>
      <x:c r="Q622" s="20" t="n">
        <x:f>H622*INDEX(Inputs!$B$13:$D$13,1,MATCH(A622,Inputs!$B$6:$D$6,0))</x:f>
        <x:v>390</x:v>
      </x:c>
      <x:c r="R622" s="20" t="n">
        <x:f>SUM(M622:Q622)</x:f>
        <x:v>33605</x:v>
      </x:c>
      <x:c r="S622" s="20" t="n">
        <x:f>IF(AND(A621=A622,D621=D622),S621+R622,R622)</x:f>
        <x:v>33605</x:v>
      </x:c>
      <x:c r="T622" s="20" t="n">
        <x:f>MIN(S622,INDEX(Inputs!$B$20:$D$20,1,MATCH(A622,Inputs!$B$6:$D$6,0)))*INDEX(Inputs!$B$22:$D$22,1,MATCH(A622,Inputs!$B$6:$D$6,0))+MAX(MIN(S622,INDEX(Inputs!$B$21:$D$21,1,MATCH(A622,Inputs!$B$6:$D$6,0)))-INDEX(Inputs!$B$20:$D$20,1,MATCH(A622,Inputs!$B$6:$D$6,0)),0)*INDEX(Inputs!$B$23:$D$23,1,MATCH(A622,Inputs!$B$6:$D$6,0))+MAX(S622-INDEX(Inputs!$B$21:$D$21,1,MATCH(A622,Inputs!$B$6:$D$6,0)),0)*INDEX(Inputs!$B$24:$D$24,1,MATCH(A622,Inputs!$B$6:$D$6,0))</x:f>
        <x:v>3060.7825000000003</x:v>
      </x:c>
      <x:c r="U622" s="20" t="n">
        <x:f>IF(AND(A621=A622,D621=D622),T621,0)</x:f>
        <x:v>0</x:v>
      </x:c>
      <x:c r="V622" s="20" t="n">
        <x:f>T622-U622</x:f>
        <x:v>3060.7825000000003</x:v>
      </x:c>
      <x:c r="W622" s="20" t="n">
        <x:f>R622+V622</x:f>
        <x:v>36665.7825</x:v>
      </x:c>
      <x:c r="X622" s="14" t="str">
        <x:f>IF(ABS(W622-SUM(M622:Q622)-V622)&lt;0.01,"OK","Check")</x:f>
        <x:v>OK</x:v>
      </x:c>
    </x:row>
    <x:row r="623">
      <x:c r="A623" s="14" t="n">
        <x:v>2027</x:v>
      </x:c>
      <x:c r="B623" s="14" t="str">
        <x:v>Q2</x:v>
      </x:c>
      <x:c r="C623" s="14" t="n">
        <x:v>2</x:v>
      </x:c>
      <x:c r="D623" s="14" t="n">
        <x:v>52</x:v>
      </x:c>
      <x:c r="E623" s="14" t="str">
        <x:f>INDEX(Roster!$B$6:$B$108,MATCH(D623,Roster!$A$6:$A$108,0))</x:f>
      </x:c>
      <x:c r="F623" s="14" t="str">
        <x:f>INDEX(Roster!$F$6:$F$108,MATCH(D623,Roster!$A$6:$A$108,0))</x:f>
        <x:v>No</x:v>
      </x:c>
      <x:c r="G623" s="14" t="n">
        <x:f>INDEX(Inputs!$B$7:$D$7,1,MATCH(A623,Inputs!$B$6:$D$6,0))</x:f>
        <x:v>13</x:v>
      </x:c>
      <x:c r="H623" s="14" t="n">
        <x:f>MIN(=INDEX(Inputs!$B$7:$D$7,1,MATCH(A623,Inputs!$B$6:$D$6,0)),MAX(0,INDEX(Inputs!$B$14:$D$14,1,MATCH(A623,Inputs!$B$6:$D$6,0))-(C623-1)*=INDEX(Inputs!$B$7:$D$7,1,MATCH(A623,Inputs!$B$6:$D$6,0))))</x:f>
        <x:v>13</x:v>
      </x:c>
      <x:c r="I623" s="20" t="n">
        <x:f>INDEX(Inputs!$B$8:$D$8,1,MATCH(A623,Inputs!$B$6:$D$6,0))</x:f>
        <x:v>2395</x:v>
      </x:c>
      <x:c r="J623" s="20" t="n">
        <x:f>INDEX(Roster!$C$6:$C$108,MATCH(D623,Roster!$A$6:$A$108,0))*(1+INDEX(Inputs!$B$9:$D$9,1,MATCH(A623,Inputs!$B$6:$D$6,0)))</x:f>
        <x:v>90</x:v>
      </x:c>
      <x:c r="K623" s="20" t="n">
        <x:f>IF(=INDEX(Roster!$F$6:$F$108,MATCH(D623,Roster!$A$6:$A$108,0))="Yes",0,=INDEX(Inputs!$B$8:$D$8,1,MATCH(A623,Inputs!$B$6:$D$6,0))*IF(=INDEX(Roster!$B$6:$B$108,MATCH(D623,Roster!$A$6:$A$108,0))="Principal",INDEX(Inputs!$B$10:$D$10,1,MATCH(A623,Inputs!$B$6:$D$6,0)),IF(=INDEX(Roster!$B$6:$B$108,MATCH(D623,Roster!$A$6:$A$108,0))="Associate Principal",INDEX(Inputs!$B$11:$D$11,1,MATCH(A623,Inputs!$B$6:$D$6,0)),IF(=INDEX(Roster!$B$6:$B$108,MATCH(D623,Roster!$A$6:$A$108,0))="Assistant Principal",INDEX(Inputs!$B$12:$D$12,1,MATCH(A623,Inputs!$B$6:$D$6,0)),0))))</x:f>
        <x:v>0</x:v>
      </x:c>
      <x:c r="L623" s="20" t="n">
        <x:f>IF(INDEX(Roster!$D$6:$D$108,MATCH(D623,Roster!$A$6:$A$108,0))&gt;=25,INDEX(Inputs!$B$19:$D$19,1,MATCH(A623,Inputs!$B$6:$D$6,0)),IF(INDEX(Roster!$D$6:$D$108,MATCH(D623,Roster!$A$6:$A$108,0))&gt;=20,INDEX(Inputs!$B$18:$D$18,1,MATCH(A623,Inputs!$B$6:$D$6,0)),IF(INDEX(Roster!$D$6:$D$108,MATCH(D623,Roster!$A$6:$A$108,0))&gt;=15,INDEX(Inputs!$B$17:$D$17,1,MATCH(A623,Inputs!$B$6:$D$6,0)),IF(INDEX(Roster!$D$6:$D$108,MATCH(D623,Roster!$A$6:$A$108,0))&gt;=10,INDEX(Inputs!$B$16:$D$16,1,MATCH(A623,Inputs!$B$6:$D$6,0)),IF(INDEX(Roster!$D$6:$D$108,MATCH(D623,Roster!$A$6:$A$108,0))&gt;=5,INDEX(Inputs!$B$15:$D$15,1,MATCH(A623,Inputs!$B$6:$D$6,0)),0)))))</x:f>
        <x:v>70</x:v>
      </x:c>
      <x:c r="M623" s="20" t="n">
        <x:f>G623*I623</x:f>
        <x:v>31135</x:v>
      </x:c>
      <x:c r="N623" s="20" t="n">
        <x:f>G623*J623</x:f>
        <x:v>1170</x:v>
      </x:c>
      <x:c r="O623" s="20" t="n">
        <x:f>G623*K623</x:f>
        <x:v>0</x:v>
      </x:c>
      <x:c r="P623" s="20" t="n">
        <x:f>G623*L623</x:f>
        <x:v>910</x:v>
      </x:c>
      <x:c r="Q623" s="20" t="n">
        <x:f>H623*INDEX(Inputs!$B$13:$D$13,1,MATCH(A623,Inputs!$B$6:$D$6,0))</x:f>
        <x:v>390</x:v>
      </x:c>
      <x:c r="R623" s="20" t="n">
        <x:f>SUM(M623:Q623)</x:f>
        <x:v>33605</x:v>
      </x:c>
      <x:c r="S623" s="20" t="n">
        <x:f>IF(AND(A622=A623,D622=D623),S622+R623,R623)</x:f>
        <x:v>67210</x:v>
      </x:c>
      <x:c r="T623" s="20" t="n">
        <x:f>MIN(S623,INDEX(Inputs!$B$20:$D$20,1,MATCH(A623,Inputs!$B$6:$D$6,0)))*INDEX(Inputs!$B$22:$D$22,1,MATCH(A623,Inputs!$B$6:$D$6,0))+MAX(MIN(S623,INDEX(Inputs!$B$21:$D$21,1,MATCH(A623,Inputs!$B$6:$D$6,0)))-INDEX(Inputs!$B$20:$D$20,1,MATCH(A623,Inputs!$B$6:$D$6,0)),0)*INDEX(Inputs!$B$23:$D$23,1,MATCH(A623,Inputs!$B$6:$D$6,0))+MAX(S623-INDEX(Inputs!$B$21:$D$21,1,MATCH(A623,Inputs!$B$6:$D$6,0)),0)*INDEX(Inputs!$B$24:$D$24,1,MATCH(A623,Inputs!$B$6:$D$6,0))</x:f>
        <x:v>5631.565</x:v>
      </x:c>
      <x:c r="U623" s="20" t="n">
        <x:f>IF(AND(A622=A623,D622=D623),T622,0)</x:f>
        <x:v>3060.7825000000003</x:v>
      </x:c>
      <x:c r="V623" s="20" t="n">
        <x:f>T623-U623</x:f>
        <x:v>2570.7824999999993</x:v>
      </x:c>
      <x:c r="W623" s="20" t="n">
        <x:f>R623+V623</x:f>
        <x:v>36175.7825</x:v>
      </x:c>
      <x:c r="X623" s="14" t="str">
        <x:f>IF(ABS(W623-SUM(M623:Q623)-V623)&lt;0.01,"OK","Check")</x:f>
        <x:v>OK</x:v>
      </x:c>
    </x:row>
    <x:row r="624">
      <x:c r="A624" s="14" t="n">
        <x:v>2027</x:v>
      </x:c>
      <x:c r="B624" s="14" t="str">
        <x:v>Q3</x:v>
      </x:c>
      <x:c r="C624" s="14" t="n">
        <x:v>3</x:v>
      </x:c>
      <x:c r="D624" s="14" t="n">
        <x:v>52</x:v>
      </x:c>
      <x:c r="E624" s="14" t="str">
        <x:f>INDEX(Roster!$B$6:$B$108,MATCH(D624,Roster!$A$6:$A$108,0))</x:f>
      </x:c>
      <x:c r="F624" s="14" t="str">
        <x:f>INDEX(Roster!$F$6:$F$108,MATCH(D624,Roster!$A$6:$A$108,0))</x:f>
        <x:v>No</x:v>
      </x:c>
      <x:c r="G624" s="14" t="n">
        <x:f>INDEX(Inputs!$B$7:$D$7,1,MATCH(A624,Inputs!$B$6:$D$6,0))</x:f>
        <x:v>13</x:v>
      </x:c>
      <x:c r="H624" s="14" t="n">
        <x:f>MIN(=INDEX(Inputs!$B$7:$D$7,1,MATCH(A624,Inputs!$B$6:$D$6,0)),MAX(0,INDEX(Inputs!$B$14:$D$14,1,MATCH(A624,Inputs!$B$6:$D$6,0))-(C624-1)*=INDEX(Inputs!$B$7:$D$7,1,MATCH(A624,Inputs!$B$6:$D$6,0))))</x:f>
        <x:v>13</x:v>
      </x:c>
      <x:c r="I624" s="20" t="n">
        <x:f>INDEX(Inputs!$B$8:$D$8,1,MATCH(A624,Inputs!$B$6:$D$6,0))</x:f>
        <x:v>2395</x:v>
      </x:c>
      <x:c r="J624" s="20" t="n">
        <x:f>INDEX(Roster!$C$6:$C$108,MATCH(D624,Roster!$A$6:$A$108,0))*(1+INDEX(Inputs!$B$9:$D$9,1,MATCH(A624,Inputs!$B$6:$D$6,0)))</x:f>
        <x:v>90</x:v>
      </x:c>
      <x:c r="K624" s="20" t="n">
        <x:f>IF(=INDEX(Roster!$F$6:$F$108,MATCH(D624,Roster!$A$6:$A$108,0))="Yes",0,=INDEX(Inputs!$B$8:$D$8,1,MATCH(A624,Inputs!$B$6:$D$6,0))*IF(=INDEX(Roster!$B$6:$B$108,MATCH(D624,Roster!$A$6:$A$108,0))="Principal",INDEX(Inputs!$B$10:$D$10,1,MATCH(A624,Inputs!$B$6:$D$6,0)),IF(=INDEX(Roster!$B$6:$B$108,MATCH(D624,Roster!$A$6:$A$108,0))="Associate Principal",INDEX(Inputs!$B$11:$D$11,1,MATCH(A624,Inputs!$B$6:$D$6,0)),IF(=INDEX(Roster!$B$6:$B$108,MATCH(D624,Roster!$A$6:$A$108,0))="Assistant Principal",INDEX(Inputs!$B$12:$D$12,1,MATCH(A624,Inputs!$B$6:$D$6,0)),0))))</x:f>
        <x:v>0</x:v>
      </x:c>
      <x:c r="L624" s="20" t="n">
        <x:f>IF(INDEX(Roster!$D$6:$D$108,MATCH(D624,Roster!$A$6:$A$108,0))&gt;=25,INDEX(Inputs!$B$19:$D$19,1,MATCH(A624,Inputs!$B$6:$D$6,0)),IF(INDEX(Roster!$D$6:$D$108,MATCH(D624,Roster!$A$6:$A$108,0))&gt;=20,INDEX(Inputs!$B$18:$D$18,1,MATCH(A624,Inputs!$B$6:$D$6,0)),IF(INDEX(Roster!$D$6:$D$108,MATCH(D624,Roster!$A$6:$A$108,0))&gt;=15,INDEX(Inputs!$B$17:$D$17,1,MATCH(A624,Inputs!$B$6:$D$6,0)),IF(INDEX(Roster!$D$6:$D$108,MATCH(D624,Roster!$A$6:$A$108,0))&gt;=10,INDEX(Inputs!$B$16:$D$16,1,MATCH(A624,Inputs!$B$6:$D$6,0)),IF(INDEX(Roster!$D$6:$D$108,MATCH(D624,Roster!$A$6:$A$108,0))&gt;=5,INDEX(Inputs!$B$15:$D$15,1,MATCH(A624,Inputs!$B$6:$D$6,0)),0)))))</x:f>
        <x:v>70</x:v>
      </x:c>
      <x:c r="M624" s="20" t="n">
        <x:f>G624*I624</x:f>
        <x:v>31135</x:v>
      </x:c>
      <x:c r="N624" s="20" t="n">
        <x:f>G624*J624</x:f>
        <x:v>1170</x:v>
      </x:c>
      <x:c r="O624" s="20" t="n">
        <x:f>G624*K624</x:f>
        <x:v>0</x:v>
      </x:c>
      <x:c r="P624" s="20" t="n">
        <x:f>G624*L624</x:f>
        <x:v>910</x:v>
      </x:c>
      <x:c r="Q624" s="20" t="n">
        <x:f>H624*INDEX(Inputs!$B$13:$D$13,1,MATCH(A624,Inputs!$B$6:$D$6,0))</x:f>
        <x:v>390</x:v>
      </x:c>
      <x:c r="R624" s="20" t="n">
        <x:f>SUM(M624:Q624)</x:f>
        <x:v>33605</x:v>
      </x:c>
      <x:c r="S624" s="20" t="n">
        <x:f>IF(AND(A623=A624,D623=D624),S623+R624,R624)</x:f>
        <x:v>100815</x:v>
      </x:c>
      <x:c r="T624" s="20" t="n">
        <x:f>MIN(S624,INDEX(Inputs!$B$20:$D$20,1,MATCH(A624,Inputs!$B$6:$D$6,0)))*INDEX(Inputs!$B$22:$D$22,1,MATCH(A624,Inputs!$B$6:$D$6,0))+MAX(MIN(S624,INDEX(Inputs!$B$21:$D$21,1,MATCH(A624,Inputs!$B$6:$D$6,0)))-INDEX(Inputs!$B$20:$D$20,1,MATCH(A624,Inputs!$B$6:$D$6,0)),0)*INDEX(Inputs!$B$23:$D$23,1,MATCH(A624,Inputs!$B$6:$D$6,0))+MAX(S624-INDEX(Inputs!$B$21:$D$21,1,MATCH(A624,Inputs!$B$6:$D$6,0)),0)*INDEX(Inputs!$B$24:$D$24,1,MATCH(A624,Inputs!$B$6:$D$6,0))</x:f>
        <x:v>8202.3475</x:v>
      </x:c>
      <x:c r="U624" s="20" t="n">
        <x:f>IF(AND(A623=A624,D623=D624),T623,0)</x:f>
        <x:v>5631.565</x:v>
      </x:c>
      <x:c r="V624" s="20" t="n">
        <x:f>T624-U624</x:f>
        <x:v>2570.7825000000003</x:v>
      </x:c>
      <x:c r="W624" s="20" t="n">
        <x:f>R624+V624</x:f>
        <x:v>36175.7825</x:v>
      </x:c>
      <x:c r="X624" s="14" t="str">
        <x:f>IF(ABS(W624-SUM(M624:Q624)-V624)&lt;0.01,"OK","Check")</x:f>
        <x:v>OK</x:v>
      </x:c>
    </x:row>
    <x:row r="625">
      <x:c r="A625" s="14" t="n">
        <x:v>2027</x:v>
      </x:c>
      <x:c r="B625" s="14" t="str">
        <x:v>Q4</x:v>
      </x:c>
      <x:c r="C625" s="14" t="n">
        <x:v>4</x:v>
      </x:c>
      <x:c r="D625" s="14" t="n">
        <x:v>52</x:v>
      </x:c>
      <x:c r="E625" s="14" t="str">
        <x:f>INDEX(Roster!$B$6:$B$108,MATCH(D625,Roster!$A$6:$A$108,0))</x:f>
      </x:c>
      <x:c r="F625" s="14" t="str">
        <x:f>INDEX(Roster!$F$6:$F$108,MATCH(D625,Roster!$A$6:$A$108,0))</x:f>
        <x:v>No</x:v>
      </x:c>
      <x:c r="G625" s="14" t="n">
        <x:f>INDEX(Inputs!$B$7:$D$7,1,MATCH(A625,Inputs!$B$6:$D$6,0))</x:f>
        <x:v>13</x:v>
      </x:c>
      <x:c r="H625" s="14" t="n">
        <x:f>MIN(=INDEX(Inputs!$B$7:$D$7,1,MATCH(A625,Inputs!$B$6:$D$6,0)),MAX(0,INDEX(Inputs!$B$14:$D$14,1,MATCH(A625,Inputs!$B$6:$D$6,0))-(C625-1)*=INDEX(Inputs!$B$7:$D$7,1,MATCH(A625,Inputs!$B$6:$D$6,0))))</x:f>
        <x:v>0</x:v>
      </x:c>
      <x:c r="I625" s="20" t="n">
        <x:f>INDEX(Inputs!$B$8:$D$8,1,MATCH(A625,Inputs!$B$6:$D$6,0))</x:f>
        <x:v>2395</x:v>
      </x:c>
      <x:c r="J625" s="20" t="n">
        <x:f>INDEX(Roster!$C$6:$C$108,MATCH(D625,Roster!$A$6:$A$108,0))*(1+INDEX(Inputs!$B$9:$D$9,1,MATCH(A625,Inputs!$B$6:$D$6,0)))</x:f>
        <x:v>90</x:v>
      </x:c>
      <x:c r="K625" s="20" t="n">
        <x:f>IF(=INDEX(Roster!$F$6:$F$108,MATCH(D625,Roster!$A$6:$A$108,0))="Yes",0,=INDEX(Inputs!$B$8:$D$8,1,MATCH(A625,Inputs!$B$6:$D$6,0))*IF(=INDEX(Roster!$B$6:$B$108,MATCH(D625,Roster!$A$6:$A$108,0))="Principal",INDEX(Inputs!$B$10:$D$10,1,MATCH(A625,Inputs!$B$6:$D$6,0)),IF(=INDEX(Roster!$B$6:$B$108,MATCH(D625,Roster!$A$6:$A$108,0))="Associate Principal",INDEX(Inputs!$B$11:$D$11,1,MATCH(A625,Inputs!$B$6:$D$6,0)),IF(=INDEX(Roster!$B$6:$B$108,MATCH(D625,Roster!$A$6:$A$108,0))="Assistant Principal",INDEX(Inputs!$B$12:$D$12,1,MATCH(A625,Inputs!$B$6:$D$6,0)),0))))</x:f>
        <x:v>0</x:v>
      </x:c>
      <x:c r="L625" s="20" t="n">
        <x:f>IF(INDEX(Roster!$D$6:$D$108,MATCH(D625,Roster!$A$6:$A$108,0))&gt;=25,INDEX(Inputs!$B$19:$D$19,1,MATCH(A625,Inputs!$B$6:$D$6,0)),IF(INDEX(Roster!$D$6:$D$108,MATCH(D625,Roster!$A$6:$A$108,0))&gt;=20,INDEX(Inputs!$B$18:$D$18,1,MATCH(A625,Inputs!$B$6:$D$6,0)),IF(INDEX(Roster!$D$6:$D$108,MATCH(D625,Roster!$A$6:$A$108,0))&gt;=15,INDEX(Inputs!$B$17:$D$17,1,MATCH(A625,Inputs!$B$6:$D$6,0)),IF(INDEX(Roster!$D$6:$D$108,MATCH(D625,Roster!$A$6:$A$108,0))&gt;=10,INDEX(Inputs!$B$16:$D$16,1,MATCH(A625,Inputs!$B$6:$D$6,0)),IF(INDEX(Roster!$D$6:$D$108,MATCH(D625,Roster!$A$6:$A$108,0))&gt;=5,INDEX(Inputs!$B$15:$D$15,1,MATCH(A625,Inputs!$B$6:$D$6,0)),0)))))</x:f>
        <x:v>70</x:v>
      </x:c>
      <x:c r="M625" s="20" t="n">
        <x:f>G625*I625</x:f>
        <x:v>31135</x:v>
      </x:c>
      <x:c r="N625" s="20" t="n">
        <x:f>G625*J625</x:f>
        <x:v>1170</x:v>
      </x:c>
      <x:c r="O625" s="20" t="n">
        <x:f>G625*K625</x:f>
        <x:v>0</x:v>
      </x:c>
      <x:c r="P625" s="20" t="n">
        <x:f>G625*L625</x:f>
        <x:v>910</x:v>
      </x:c>
      <x:c r="Q625" s="20" t="n">
        <x:f>H625*INDEX(Inputs!$B$13:$D$13,1,MATCH(A625,Inputs!$B$6:$D$6,0))</x:f>
        <x:v>0</x:v>
      </x:c>
      <x:c r="R625" s="20" t="n">
        <x:f>SUM(M625:Q625)</x:f>
        <x:v>33215</x:v>
      </x:c>
      <x:c r="S625" s="20" t="n">
        <x:f>IF(AND(A624=A625,D624=D625),S624+R625,R625)</x:f>
        <x:v>134030</x:v>
      </x:c>
      <x:c r="T625" s="20" t="n">
        <x:f>MIN(S625,INDEX(Inputs!$B$20:$D$20,1,MATCH(A625,Inputs!$B$6:$D$6,0)))*INDEX(Inputs!$B$22:$D$22,1,MATCH(A625,Inputs!$B$6:$D$6,0))+MAX(MIN(S625,INDEX(Inputs!$B$21:$D$21,1,MATCH(A625,Inputs!$B$6:$D$6,0)))-INDEX(Inputs!$B$20:$D$20,1,MATCH(A625,Inputs!$B$6:$D$6,0)),0)*INDEX(Inputs!$B$23:$D$23,1,MATCH(A625,Inputs!$B$6:$D$6,0))+MAX(S625-INDEX(Inputs!$B$21:$D$21,1,MATCH(A625,Inputs!$B$6:$D$6,0)),0)*INDEX(Inputs!$B$24:$D$24,1,MATCH(A625,Inputs!$B$6:$D$6,0))</x:f>
        <x:v>9857.377</x:v>
      </x:c>
      <x:c r="U625" s="20" t="n">
        <x:f>IF(AND(A624=A625,D624=D625),T624,0)</x:f>
        <x:v>8202.3475</x:v>
      </x:c>
      <x:c r="V625" s="20" t="n">
        <x:f>T625-U625</x:f>
        <x:v>1655.0295000000006</x:v>
      </x:c>
      <x:c r="W625" s="20" t="n">
        <x:f>R625+V625</x:f>
        <x:v>34870.029500000004</x:v>
      </x:c>
      <x:c r="X625" s="14" t="str">
        <x:f>IF(ABS(W625-SUM(M625:Q625)-V625)&lt;0.01,"OK","Check")</x:f>
        <x:v>OK</x:v>
      </x:c>
    </x:row>
    <x:row r="626">
      <x:c r="A626" s="14" t="n">
        <x:v>2027</x:v>
      </x:c>
      <x:c r="B626" s="14" t="str">
        <x:v>Q1</x:v>
      </x:c>
      <x:c r="C626" s="14" t="n">
        <x:v>1</x:v>
      </x:c>
      <x:c r="D626" s="14" t="n">
        <x:v>53</x:v>
      </x:c>
      <x:c r="E626" s="14" t="str">
        <x:f>INDEX(Roster!$B$6:$B$108,MATCH(D626,Roster!$A$6:$A$108,0))</x:f>
      </x:c>
      <x:c r="F626" s="14" t="str">
        <x:f>INDEX(Roster!$F$6:$F$108,MATCH(D626,Roster!$A$6:$A$108,0))</x:f>
        <x:v>No</x:v>
      </x:c>
      <x:c r="G626" s="14" t="n">
        <x:f>INDEX(Inputs!$B$7:$D$7,1,MATCH(A626,Inputs!$B$6:$D$6,0))</x:f>
        <x:v>13</x:v>
      </x:c>
      <x:c r="H626" s="14" t="n">
        <x:f>MIN(=INDEX(Inputs!$B$7:$D$7,1,MATCH(A626,Inputs!$B$6:$D$6,0)),MAX(0,INDEX(Inputs!$B$14:$D$14,1,MATCH(A626,Inputs!$B$6:$D$6,0))-(C626-1)*=INDEX(Inputs!$B$7:$D$7,1,MATCH(A626,Inputs!$B$6:$D$6,0))))</x:f>
        <x:v>13</x:v>
      </x:c>
      <x:c r="I626" s="20" t="n">
        <x:f>INDEX(Inputs!$B$8:$D$8,1,MATCH(A626,Inputs!$B$6:$D$6,0))</x:f>
        <x:v>2395</x:v>
      </x:c>
      <x:c r="J626" s="20" t="n">
        <x:f>INDEX(Roster!$C$6:$C$108,MATCH(D626,Roster!$A$6:$A$108,0))*(1+INDEX(Inputs!$B$9:$D$9,1,MATCH(A626,Inputs!$B$6:$D$6,0)))</x:f>
        <x:v>60</x:v>
      </x:c>
      <x:c r="K626" s="20" t="n">
        <x:f>IF(=INDEX(Roster!$F$6:$F$108,MATCH(D626,Roster!$A$6:$A$108,0))="Yes",0,=INDEX(Inputs!$B$8:$D$8,1,MATCH(A626,Inputs!$B$6:$D$6,0))*IF(=INDEX(Roster!$B$6:$B$108,MATCH(D626,Roster!$A$6:$A$108,0))="Principal",INDEX(Inputs!$B$10:$D$10,1,MATCH(A626,Inputs!$B$6:$D$6,0)),IF(=INDEX(Roster!$B$6:$B$108,MATCH(D626,Roster!$A$6:$A$108,0))="Associate Principal",INDEX(Inputs!$B$11:$D$11,1,MATCH(A626,Inputs!$B$6:$D$6,0)),IF(=INDEX(Roster!$B$6:$B$108,MATCH(D626,Roster!$A$6:$A$108,0))="Assistant Principal",INDEX(Inputs!$B$12:$D$12,1,MATCH(A626,Inputs!$B$6:$D$6,0)),0))))</x:f>
        <x:v>0</x:v>
      </x:c>
      <x:c r="L626" s="20" t="n">
        <x:f>IF(INDEX(Roster!$D$6:$D$108,MATCH(D626,Roster!$A$6:$A$108,0))&gt;=25,INDEX(Inputs!$B$19:$D$19,1,MATCH(A626,Inputs!$B$6:$D$6,0)),IF(INDEX(Roster!$D$6:$D$108,MATCH(D626,Roster!$A$6:$A$108,0))&gt;=20,INDEX(Inputs!$B$18:$D$18,1,MATCH(A626,Inputs!$B$6:$D$6,0)),IF(INDEX(Roster!$D$6:$D$108,MATCH(D626,Roster!$A$6:$A$108,0))&gt;=15,INDEX(Inputs!$B$17:$D$17,1,MATCH(A626,Inputs!$B$6:$D$6,0)),IF(INDEX(Roster!$D$6:$D$108,MATCH(D626,Roster!$A$6:$A$108,0))&gt;=10,INDEX(Inputs!$B$16:$D$16,1,MATCH(A626,Inputs!$B$6:$D$6,0)),IF(INDEX(Roster!$D$6:$D$108,MATCH(D626,Roster!$A$6:$A$108,0))&gt;=5,INDEX(Inputs!$B$15:$D$15,1,MATCH(A626,Inputs!$B$6:$D$6,0)),0)))))</x:f>
        <x:v>80</x:v>
      </x:c>
      <x:c r="M626" s="20" t="n">
        <x:f>G626*I626</x:f>
        <x:v>31135</x:v>
      </x:c>
      <x:c r="N626" s="20" t="n">
        <x:f>G626*J626</x:f>
        <x:v>780</x:v>
      </x:c>
      <x:c r="O626" s="20" t="n">
        <x:f>G626*K626</x:f>
        <x:v>0</x:v>
      </x:c>
      <x:c r="P626" s="20" t="n">
        <x:f>G626*L626</x:f>
        <x:v>1040</x:v>
      </x:c>
      <x:c r="Q626" s="20" t="n">
        <x:f>H626*INDEX(Inputs!$B$13:$D$13,1,MATCH(A626,Inputs!$B$6:$D$6,0))</x:f>
        <x:v>390</x:v>
      </x:c>
      <x:c r="R626" s="20" t="n">
        <x:f>SUM(M626:Q626)</x:f>
        <x:v>33345</x:v>
      </x:c>
      <x:c r="S626" s="20" t="n">
        <x:f>IF(AND(A625=A626,D625=D626),S625+R626,R626)</x:f>
        <x:v>33345</x:v>
      </x:c>
      <x:c r="T626" s="20" t="n">
        <x:f>MIN(S626,INDEX(Inputs!$B$20:$D$20,1,MATCH(A626,Inputs!$B$6:$D$6,0)))*INDEX(Inputs!$B$22:$D$22,1,MATCH(A626,Inputs!$B$6:$D$6,0))+MAX(MIN(S626,INDEX(Inputs!$B$21:$D$21,1,MATCH(A626,Inputs!$B$6:$D$6,0)))-INDEX(Inputs!$B$20:$D$20,1,MATCH(A626,Inputs!$B$6:$D$6,0)),0)*INDEX(Inputs!$B$23:$D$23,1,MATCH(A626,Inputs!$B$6:$D$6,0))+MAX(S626-INDEX(Inputs!$B$21:$D$21,1,MATCH(A626,Inputs!$B$6:$D$6,0)),0)*INDEX(Inputs!$B$24:$D$24,1,MATCH(A626,Inputs!$B$6:$D$6,0))</x:f>
        <x:v>3040.8925</x:v>
      </x:c>
      <x:c r="U626" s="20" t="n">
        <x:f>IF(AND(A625=A626,D625=D626),T625,0)</x:f>
        <x:v>0</x:v>
      </x:c>
      <x:c r="V626" s="20" t="n">
        <x:f>T626-U626</x:f>
        <x:v>3040.8925</x:v>
      </x:c>
      <x:c r="W626" s="20" t="n">
        <x:f>R626+V626</x:f>
        <x:v>36385.8925</x:v>
      </x:c>
      <x:c r="X626" s="14" t="str">
        <x:f>IF(ABS(W626-SUM(M626:Q626)-V626)&lt;0.01,"OK","Check")</x:f>
        <x:v>OK</x:v>
      </x:c>
    </x:row>
    <x:row r="627">
      <x:c r="A627" s="14" t="n">
        <x:v>2027</x:v>
      </x:c>
      <x:c r="B627" s="14" t="str">
        <x:v>Q2</x:v>
      </x:c>
      <x:c r="C627" s="14" t="n">
        <x:v>2</x:v>
      </x:c>
      <x:c r="D627" s="14" t="n">
        <x:v>53</x:v>
      </x:c>
      <x:c r="E627" s="14" t="str">
        <x:f>INDEX(Roster!$B$6:$B$108,MATCH(D627,Roster!$A$6:$A$108,0))</x:f>
      </x:c>
      <x:c r="F627" s="14" t="str">
        <x:f>INDEX(Roster!$F$6:$F$108,MATCH(D627,Roster!$A$6:$A$108,0))</x:f>
        <x:v>No</x:v>
      </x:c>
      <x:c r="G627" s="14" t="n">
        <x:f>INDEX(Inputs!$B$7:$D$7,1,MATCH(A627,Inputs!$B$6:$D$6,0))</x:f>
        <x:v>13</x:v>
      </x:c>
      <x:c r="H627" s="14" t="n">
        <x:f>MIN(=INDEX(Inputs!$B$7:$D$7,1,MATCH(A627,Inputs!$B$6:$D$6,0)),MAX(0,INDEX(Inputs!$B$14:$D$14,1,MATCH(A627,Inputs!$B$6:$D$6,0))-(C627-1)*=INDEX(Inputs!$B$7:$D$7,1,MATCH(A627,Inputs!$B$6:$D$6,0))))</x:f>
        <x:v>13</x:v>
      </x:c>
      <x:c r="I627" s="20" t="n">
        <x:f>INDEX(Inputs!$B$8:$D$8,1,MATCH(A627,Inputs!$B$6:$D$6,0))</x:f>
        <x:v>2395</x:v>
      </x:c>
      <x:c r="J627" s="20" t="n">
        <x:f>INDEX(Roster!$C$6:$C$108,MATCH(D627,Roster!$A$6:$A$108,0))*(1+INDEX(Inputs!$B$9:$D$9,1,MATCH(A627,Inputs!$B$6:$D$6,0)))</x:f>
        <x:v>60</x:v>
      </x:c>
      <x:c r="K627" s="20" t="n">
        <x:f>IF(=INDEX(Roster!$F$6:$F$108,MATCH(D627,Roster!$A$6:$A$108,0))="Yes",0,=INDEX(Inputs!$B$8:$D$8,1,MATCH(A627,Inputs!$B$6:$D$6,0))*IF(=INDEX(Roster!$B$6:$B$108,MATCH(D627,Roster!$A$6:$A$108,0))="Principal",INDEX(Inputs!$B$10:$D$10,1,MATCH(A627,Inputs!$B$6:$D$6,0)),IF(=INDEX(Roster!$B$6:$B$108,MATCH(D627,Roster!$A$6:$A$108,0))="Associate Principal",INDEX(Inputs!$B$11:$D$11,1,MATCH(A627,Inputs!$B$6:$D$6,0)),IF(=INDEX(Roster!$B$6:$B$108,MATCH(D627,Roster!$A$6:$A$108,0))="Assistant Principal",INDEX(Inputs!$B$12:$D$12,1,MATCH(A627,Inputs!$B$6:$D$6,0)),0))))</x:f>
        <x:v>0</x:v>
      </x:c>
      <x:c r="L627" s="20" t="n">
        <x:f>IF(INDEX(Roster!$D$6:$D$108,MATCH(D627,Roster!$A$6:$A$108,0))&gt;=25,INDEX(Inputs!$B$19:$D$19,1,MATCH(A627,Inputs!$B$6:$D$6,0)),IF(INDEX(Roster!$D$6:$D$108,MATCH(D627,Roster!$A$6:$A$108,0))&gt;=20,INDEX(Inputs!$B$18:$D$18,1,MATCH(A627,Inputs!$B$6:$D$6,0)),IF(INDEX(Roster!$D$6:$D$108,MATCH(D627,Roster!$A$6:$A$108,0))&gt;=15,INDEX(Inputs!$B$17:$D$17,1,MATCH(A627,Inputs!$B$6:$D$6,0)),IF(INDEX(Roster!$D$6:$D$108,MATCH(D627,Roster!$A$6:$A$108,0))&gt;=10,INDEX(Inputs!$B$16:$D$16,1,MATCH(A627,Inputs!$B$6:$D$6,0)),IF(INDEX(Roster!$D$6:$D$108,MATCH(D627,Roster!$A$6:$A$108,0))&gt;=5,INDEX(Inputs!$B$15:$D$15,1,MATCH(A627,Inputs!$B$6:$D$6,0)),0)))))</x:f>
        <x:v>80</x:v>
      </x:c>
      <x:c r="M627" s="20" t="n">
        <x:f>G627*I627</x:f>
        <x:v>31135</x:v>
      </x:c>
      <x:c r="N627" s="20" t="n">
        <x:f>G627*J627</x:f>
        <x:v>780</x:v>
      </x:c>
      <x:c r="O627" s="20" t="n">
        <x:f>G627*K627</x:f>
        <x:v>0</x:v>
      </x:c>
      <x:c r="P627" s="20" t="n">
        <x:f>G627*L627</x:f>
        <x:v>1040</x:v>
      </x:c>
      <x:c r="Q627" s="20" t="n">
        <x:f>H627*INDEX(Inputs!$B$13:$D$13,1,MATCH(A627,Inputs!$B$6:$D$6,0))</x:f>
        <x:v>390</x:v>
      </x:c>
      <x:c r="R627" s="20" t="n">
        <x:f>SUM(M627:Q627)</x:f>
        <x:v>33345</x:v>
      </x:c>
      <x:c r="S627" s="20" t="n">
        <x:f>IF(AND(A626=A627,D626=D627),S626+R627,R627)</x:f>
        <x:v>66690</x:v>
      </x:c>
      <x:c r="T627" s="20" t="n">
        <x:f>MIN(S627,INDEX(Inputs!$B$20:$D$20,1,MATCH(A627,Inputs!$B$6:$D$6,0)))*INDEX(Inputs!$B$22:$D$22,1,MATCH(A627,Inputs!$B$6:$D$6,0))+MAX(MIN(S627,INDEX(Inputs!$B$21:$D$21,1,MATCH(A627,Inputs!$B$6:$D$6,0)))-INDEX(Inputs!$B$20:$D$20,1,MATCH(A627,Inputs!$B$6:$D$6,0)),0)*INDEX(Inputs!$B$23:$D$23,1,MATCH(A627,Inputs!$B$6:$D$6,0))+MAX(S627-INDEX(Inputs!$B$21:$D$21,1,MATCH(A627,Inputs!$B$6:$D$6,0)),0)*INDEX(Inputs!$B$24:$D$24,1,MATCH(A627,Inputs!$B$6:$D$6,0))</x:f>
        <x:v>5591.785</x:v>
      </x:c>
      <x:c r="U627" s="20" t="n">
        <x:f>IF(AND(A626=A627,D626=D627),T626,0)</x:f>
        <x:v>3040.8925</x:v>
      </x:c>
      <x:c r="V627" s="20" t="n">
        <x:f>T627-U627</x:f>
        <x:v>2550.8925</x:v>
      </x:c>
      <x:c r="W627" s="20" t="n">
        <x:f>R627+V627</x:f>
        <x:v>35895.8925</x:v>
      </x:c>
      <x:c r="X627" s="14" t="str">
        <x:f>IF(ABS(W627-SUM(M627:Q627)-V627)&lt;0.01,"OK","Check")</x:f>
        <x:v>OK</x:v>
      </x:c>
    </x:row>
    <x:row r="628">
      <x:c r="A628" s="14" t="n">
        <x:v>2027</x:v>
      </x:c>
      <x:c r="B628" s="14" t="str">
        <x:v>Q3</x:v>
      </x:c>
      <x:c r="C628" s="14" t="n">
        <x:v>3</x:v>
      </x:c>
      <x:c r="D628" s="14" t="n">
        <x:v>53</x:v>
      </x:c>
      <x:c r="E628" s="14" t="str">
        <x:f>INDEX(Roster!$B$6:$B$108,MATCH(D628,Roster!$A$6:$A$108,0))</x:f>
      </x:c>
      <x:c r="F628" s="14" t="str">
        <x:f>INDEX(Roster!$F$6:$F$108,MATCH(D628,Roster!$A$6:$A$108,0))</x:f>
        <x:v>No</x:v>
      </x:c>
      <x:c r="G628" s="14" t="n">
        <x:f>INDEX(Inputs!$B$7:$D$7,1,MATCH(A628,Inputs!$B$6:$D$6,0))</x:f>
        <x:v>13</x:v>
      </x:c>
      <x:c r="H628" s="14" t="n">
        <x:f>MIN(=INDEX(Inputs!$B$7:$D$7,1,MATCH(A628,Inputs!$B$6:$D$6,0)),MAX(0,INDEX(Inputs!$B$14:$D$14,1,MATCH(A628,Inputs!$B$6:$D$6,0))-(C628-1)*=INDEX(Inputs!$B$7:$D$7,1,MATCH(A628,Inputs!$B$6:$D$6,0))))</x:f>
        <x:v>13</x:v>
      </x:c>
      <x:c r="I628" s="20" t="n">
        <x:f>INDEX(Inputs!$B$8:$D$8,1,MATCH(A628,Inputs!$B$6:$D$6,0))</x:f>
        <x:v>2395</x:v>
      </x:c>
      <x:c r="J628" s="20" t="n">
        <x:f>INDEX(Roster!$C$6:$C$108,MATCH(D628,Roster!$A$6:$A$108,0))*(1+INDEX(Inputs!$B$9:$D$9,1,MATCH(A628,Inputs!$B$6:$D$6,0)))</x:f>
        <x:v>60</x:v>
      </x:c>
      <x:c r="K628" s="20" t="n">
        <x:f>IF(=INDEX(Roster!$F$6:$F$108,MATCH(D628,Roster!$A$6:$A$108,0))="Yes",0,=INDEX(Inputs!$B$8:$D$8,1,MATCH(A628,Inputs!$B$6:$D$6,0))*IF(=INDEX(Roster!$B$6:$B$108,MATCH(D628,Roster!$A$6:$A$108,0))="Principal",INDEX(Inputs!$B$10:$D$10,1,MATCH(A628,Inputs!$B$6:$D$6,0)),IF(=INDEX(Roster!$B$6:$B$108,MATCH(D628,Roster!$A$6:$A$108,0))="Associate Principal",INDEX(Inputs!$B$11:$D$11,1,MATCH(A628,Inputs!$B$6:$D$6,0)),IF(=INDEX(Roster!$B$6:$B$108,MATCH(D628,Roster!$A$6:$A$108,0))="Assistant Principal",INDEX(Inputs!$B$12:$D$12,1,MATCH(A628,Inputs!$B$6:$D$6,0)),0))))</x:f>
        <x:v>0</x:v>
      </x:c>
      <x:c r="L628" s="20" t="n">
        <x:f>IF(INDEX(Roster!$D$6:$D$108,MATCH(D628,Roster!$A$6:$A$108,0))&gt;=25,INDEX(Inputs!$B$19:$D$19,1,MATCH(A628,Inputs!$B$6:$D$6,0)),IF(INDEX(Roster!$D$6:$D$108,MATCH(D628,Roster!$A$6:$A$108,0))&gt;=20,INDEX(Inputs!$B$18:$D$18,1,MATCH(A628,Inputs!$B$6:$D$6,0)),IF(INDEX(Roster!$D$6:$D$108,MATCH(D628,Roster!$A$6:$A$108,0))&gt;=15,INDEX(Inputs!$B$17:$D$17,1,MATCH(A628,Inputs!$B$6:$D$6,0)),IF(INDEX(Roster!$D$6:$D$108,MATCH(D628,Roster!$A$6:$A$108,0))&gt;=10,INDEX(Inputs!$B$16:$D$16,1,MATCH(A628,Inputs!$B$6:$D$6,0)),IF(INDEX(Roster!$D$6:$D$108,MATCH(D628,Roster!$A$6:$A$108,0))&gt;=5,INDEX(Inputs!$B$15:$D$15,1,MATCH(A628,Inputs!$B$6:$D$6,0)),0)))))</x:f>
        <x:v>80</x:v>
      </x:c>
      <x:c r="M628" s="20" t="n">
        <x:f>G628*I628</x:f>
        <x:v>31135</x:v>
      </x:c>
      <x:c r="N628" s="20" t="n">
        <x:f>G628*J628</x:f>
        <x:v>780</x:v>
      </x:c>
      <x:c r="O628" s="20" t="n">
        <x:f>G628*K628</x:f>
        <x:v>0</x:v>
      </x:c>
      <x:c r="P628" s="20" t="n">
        <x:f>G628*L628</x:f>
        <x:v>1040</x:v>
      </x:c>
      <x:c r="Q628" s="20" t="n">
        <x:f>H628*INDEX(Inputs!$B$13:$D$13,1,MATCH(A628,Inputs!$B$6:$D$6,0))</x:f>
        <x:v>390</x:v>
      </x:c>
      <x:c r="R628" s="20" t="n">
        <x:f>SUM(M628:Q628)</x:f>
        <x:v>33345</x:v>
      </x:c>
      <x:c r="S628" s="20" t="n">
        <x:f>IF(AND(A627=A628,D627=D628),S627+R628,R628)</x:f>
        <x:v>100035</x:v>
      </x:c>
      <x:c r="T628" s="20" t="n">
        <x:f>MIN(S628,INDEX(Inputs!$B$20:$D$20,1,MATCH(A628,Inputs!$B$6:$D$6,0)))*INDEX(Inputs!$B$22:$D$22,1,MATCH(A628,Inputs!$B$6:$D$6,0))+MAX(MIN(S628,INDEX(Inputs!$B$21:$D$21,1,MATCH(A628,Inputs!$B$6:$D$6,0)))-INDEX(Inputs!$B$20:$D$20,1,MATCH(A628,Inputs!$B$6:$D$6,0)),0)*INDEX(Inputs!$B$23:$D$23,1,MATCH(A628,Inputs!$B$6:$D$6,0))+MAX(S628-INDEX(Inputs!$B$21:$D$21,1,MATCH(A628,Inputs!$B$6:$D$6,0)),0)*INDEX(Inputs!$B$24:$D$24,1,MATCH(A628,Inputs!$B$6:$D$6,0))</x:f>
        <x:v>8142.6775</x:v>
      </x:c>
      <x:c r="U628" s="20" t="n">
        <x:f>IF(AND(A627=A628,D627=D628),T627,0)</x:f>
        <x:v>5591.785</x:v>
      </x:c>
      <x:c r="V628" s="20" t="n">
        <x:f>T628-U628</x:f>
        <x:v>2550.8925</x:v>
      </x:c>
      <x:c r="W628" s="20" t="n">
        <x:f>R628+V628</x:f>
        <x:v>35895.8925</x:v>
      </x:c>
      <x:c r="X628" s="14" t="str">
        <x:f>IF(ABS(W628-SUM(M628:Q628)-V628)&lt;0.01,"OK","Check")</x:f>
        <x:v>OK</x:v>
      </x:c>
    </x:row>
    <x:row r="629">
      <x:c r="A629" s="14" t="n">
        <x:v>2027</x:v>
      </x:c>
      <x:c r="B629" s="14" t="str">
        <x:v>Q4</x:v>
      </x:c>
      <x:c r="C629" s="14" t="n">
        <x:v>4</x:v>
      </x:c>
      <x:c r="D629" s="14" t="n">
        <x:v>53</x:v>
      </x:c>
      <x:c r="E629" s="14" t="str">
        <x:f>INDEX(Roster!$B$6:$B$108,MATCH(D629,Roster!$A$6:$A$108,0))</x:f>
      </x:c>
      <x:c r="F629" s="14" t="str">
        <x:f>INDEX(Roster!$F$6:$F$108,MATCH(D629,Roster!$A$6:$A$108,0))</x:f>
        <x:v>No</x:v>
      </x:c>
      <x:c r="G629" s="14" t="n">
        <x:f>INDEX(Inputs!$B$7:$D$7,1,MATCH(A629,Inputs!$B$6:$D$6,0))</x:f>
        <x:v>13</x:v>
      </x:c>
      <x:c r="H629" s="14" t="n">
        <x:f>MIN(=INDEX(Inputs!$B$7:$D$7,1,MATCH(A629,Inputs!$B$6:$D$6,0)),MAX(0,INDEX(Inputs!$B$14:$D$14,1,MATCH(A629,Inputs!$B$6:$D$6,0))-(C629-1)*=INDEX(Inputs!$B$7:$D$7,1,MATCH(A629,Inputs!$B$6:$D$6,0))))</x:f>
        <x:v>0</x:v>
      </x:c>
      <x:c r="I629" s="20" t="n">
        <x:f>INDEX(Inputs!$B$8:$D$8,1,MATCH(A629,Inputs!$B$6:$D$6,0))</x:f>
        <x:v>2395</x:v>
      </x:c>
      <x:c r="J629" s="20" t="n">
        <x:f>INDEX(Roster!$C$6:$C$108,MATCH(D629,Roster!$A$6:$A$108,0))*(1+INDEX(Inputs!$B$9:$D$9,1,MATCH(A629,Inputs!$B$6:$D$6,0)))</x:f>
        <x:v>60</x:v>
      </x:c>
      <x:c r="K629" s="20" t="n">
        <x:f>IF(=INDEX(Roster!$F$6:$F$108,MATCH(D629,Roster!$A$6:$A$108,0))="Yes",0,=INDEX(Inputs!$B$8:$D$8,1,MATCH(A629,Inputs!$B$6:$D$6,0))*IF(=INDEX(Roster!$B$6:$B$108,MATCH(D629,Roster!$A$6:$A$108,0))="Principal",INDEX(Inputs!$B$10:$D$10,1,MATCH(A629,Inputs!$B$6:$D$6,0)),IF(=INDEX(Roster!$B$6:$B$108,MATCH(D629,Roster!$A$6:$A$108,0))="Associate Principal",INDEX(Inputs!$B$11:$D$11,1,MATCH(A629,Inputs!$B$6:$D$6,0)),IF(=INDEX(Roster!$B$6:$B$108,MATCH(D629,Roster!$A$6:$A$108,0))="Assistant Principal",INDEX(Inputs!$B$12:$D$12,1,MATCH(A629,Inputs!$B$6:$D$6,0)),0))))</x:f>
        <x:v>0</x:v>
      </x:c>
      <x:c r="L629" s="20" t="n">
        <x:f>IF(INDEX(Roster!$D$6:$D$108,MATCH(D629,Roster!$A$6:$A$108,0))&gt;=25,INDEX(Inputs!$B$19:$D$19,1,MATCH(A629,Inputs!$B$6:$D$6,0)),IF(INDEX(Roster!$D$6:$D$108,MATCH(D629,Roster!$A$6:$A$108,0))&gt;=20,INDEX(Inputs!$B$18:$D$18,1,MATCH(A629,Inputs!$B$6:$D$6,0)),IF(INDEX(Roster!$D$6:$D$108,MATCH(D629,Roster!$A$6:$A$108,0))&gt;=15,INDEX(Inputs!$B$17:$D$17,1,MATCH(A629,Inputs!$B$6:$D$6,0)),IF(INDEX(Roster!$D$6:$D$108,MATCH(D629,Roster!$A$6:$A$108,0))&gt;=10,INDEX(Inputs!$B$16:$D$16,1,MATCH(A629,Inputs!$B$6:$D$6,0)),IF(INDEX(Roster!$D$6:$D$108,MATCH(D629,Roster!$A$6:$A$108,0))&gt;=5,INDEX(Inputs!$B$15:$D$15,1,MATCH(A629,Inputs!$B$6:$D$6,0)),0)))))</x:f>
        <x:v>80</x:v>
      </x:c>
      <x:c r="M629" s="20" t="n">
        <x:f>G629*I629</x:f>
        <x:v>31135</x:v>
      </x:c>
      <x:c r="N629" s="20" t="n">
        <x:f>G629*J629</x:f>
        <x:v>780</x:v>
      </x:c>
      <x:c r="O629" s="20" t="n">
        <x:f>G629*K629</x:f>
        <x:v>0</x:v>
      </x:c>
      <x:c r="P629" s="20" t="n">
        <x:f>G629*L629</x:f>
        <x:v>1040</x:v>
      </x:c>
      <x:c r="Q629" s="20" t="n">
        <x:f>H629*INDEX(Inputs!$B$13:$D$13,1,MATCH(A629,Inputs!$B$6:$D$6,0))</x:f>
        <x:v>0</x:v>
      </x:c>
      <x:c r="R629" s="20" t="n">
        <x:f>SUM(M629:Q629)</x:f>
        <x:v>32955</x:v>
      </x:c>
      <x:c r="S629" s="20" t="n">
        <x:f>IF(AND(A628=A629,D628=D629),S628+R629,R629)</x:f>
        <x:v>132990</x:v>
      </x:c>
      <x:c r="T629" s="20" t="n">
        <x:f>MIN(S629,INDEX(Inputs!$B$20:$D$20,1,MATCH(A629,Inputs!$B$6:$D$6,0)))*INDEX(Inputs!$B$22:$D$22,1,MATCH(A629,Inputs!$B$6:$D$6,0))+MAX(MIN(S629,INDEX(Inputs!$B$21:$D$21,1,MATCH(A629,Inputs!$B$6:$D$6,0)))-INDEX(Inputs!$B$20:$D$20,1,MATCH(A629,Inputs!$B$6:$D$6,0)),0)*INDEX(Inputs!$B$23:$D$23,1,MATCH(A629,Inputs!$B$6:$D$6,0))+MAX(S629-INDEX(Inputs!$B$21:$D$21,1,MATCH(A629,Inputs!$B$6:$D$6,0)),0)*INDEX(Inputs!$B$24:$D$24,1,MATCH(A629,Inputs!$B$6:$D$6,0))</x:f>
        <x:v>9842.297</x:v>
      </x:c>
      <x:c r="U629" s="20" t="n">
        <x:f>IF(AND(A628=A629,D628=D629),T628,0)</x:f>
        <x:v>8142.6775</x:v>
      </x:c>
      <x:c r="V629" s="20" t="n">
        <x:f>T629-U629</x:f>
        <x:v>1699.6195000000007</x:v>
      </x:c>
      <x:c r="W629" s="20" t="n">
        <x:f>R629+V629</x:f>
        <x:v>34654.6195</x:v>
      </x:c>
      <x:c r="X629" s="14" t="str">
        <x:f>IF(ABS(W629-SUM(M629:Q629)-V629)&lt;0.01,"OK","Check")</x:f>
        <x:v>OK</x:v>
      </x:c>
    </x:row>
    <x:row r="630">
      <x:c r="A630" s="14" t="n">
        <x:v>2027</x:v>
      </x:c>
      <x:c r="B630" s="14" t="str">
        <x:v>Q1</x:v>
      </x:c>
      <x:c r="C630" s="14" t="n">
        <x:v>1</x:v>
      </x:c>
      <x:c r="D630" s="14" t="n">
        <x:v>54</x:v>
      </x:c>
      <x:c r="E630" s="14" t="str">
        <x:f>INDEX(Roster!$B$6:$B$108,MATCH(D630,Roster!$A$6:$A$108,0))</x:f>
      </x:c>
      <x:c r="F630" s="14" t="str">
        <x:f>INDEX(Roster!$F$6:$F$108,MATCH(D630,Roster!$A$6:$A$108,0))</x:f>
        <x:v>No</x:v>
      </x:c>
      <x:c r="G630" s="14" t="n">
        <x:f>INDEX(Inputs!$B$7:$D$7,1,MATCH(A630,Inputs!$B$6:$D$6,0))</x:f>
        <x:v>13</x:v>
      </x:c>
      <x:c r="H630" s="14" t="n">
        <x:f>MIN(=INDEX(Inputs!$B$7:$D$7,1,MATCH(A630,Inputs!$B$6:$D$6,0)),MAX(0,INDEX(Inputs!$B$14:$D$14,1,MATCH(A630,Inputs!$B$6:$D$6,0))-(C630-1)*=INDEX(Inputs!$B$7:$D$7,1,MATCH(A630,Inputs!$B$6:$D$6,0))))</x:f>
        <x:v>13</x:v>
      </x:c>
      <x:c r="I630" s="20" t="n">
        <x:f>INDEX(Inputs!$B$8:$D$8,1,MATCH(A630,Inputs!$B$6:$D$6,0))</x:f>
        <x:v>2395</x:v>
      </x:c>
      <x:c r="J630" s="20" t="n">
        <x:f>INDEX(Roster!$C$6:$C$108,MATCH(D630,Roster!$A$6:$A$108,0))*(1+INDEX(Inputs!$B$9:$D$9,1,MATCH(A630,Inputs!$B$6:$D$6,0)))</x:f>
        <x:v>35</x:v>
      </x:c>
      <x:c r="K630" s="20" t="n">
        <x:f>IF(=INDEX(Roster!$F$6:$F$108,MATCH(D630,Roster!$A$6:$A$108,0))="Yes",0,=INDEX(Inputs!$B$8:$D$8,1,MATCH(A630,Inputs!$B$6:$D$6,0))*IF(=INDEX(Roster!$B$6:$B$108,MATCH(D630,Roster!$A$6:$A$108,0))="Principal",INDEX(Inputs!$B$10:$D$10,1,MATCH(A630,Inputs!$B$6:$D$6,0)),IF(=INDEX(Roster!$B$6:$B$108,MATCH(D630,Roster!$A$6:$A$108,0))="Associate Principal",INDEX(Inputs!$B$11:$D$11,1,MATCH(A630,Inputs!$B$6:$D$6,0)),IF(=INDEX(Roster!$B$6:$B$108,MATCH(D630,Roster!$A$6:$A$108,0))="Assistant Principal",INDEX(Inputs!$B$12:$D$12,1,MATCH(A630,Inputs!$B$6:$D$6,0)),0))))</x:f>
        <x:v>0</x:v>
      </x:c>
      <x:c r="L630" s="20" t="n">
        <x:f>IF(INDEX(Roster!$D$6:$D$108,MATCH(D630,Roster!$A$6:$A$108,0))&gt;=25,INDEX(Inputs!$B$19:$D$19,1,MATCH(A630,Inputs!$B$6:$D$6,0)),IF(INDEX(Roster!$D$6:$D$108,MATCH(D630,Roster!$A$6:$A$108,0))&gt;=20,INDEX(Inputs!$B$18:$D$18,1,MATCH(A630,Inputs!$B$6:$D$6,0)),IF(INDEX(Roster!$D$6:$D$108,MATCH(D630,Roster!$A$6:$A$108,0))&gt;=15,INDEX(Inputs!$B$17:$D$17,1,MATCH(A630,Inputs!$B$6:$D$6,0)),IF(INDEX(Roster!$D$6:$D$108,MATCH(D630,Roster!$A$6:$A$108,0))&gt;=10,INDEX(Inputs!$B$16:$D$16,1,MATCH(A630,Inputs!$B$6:$D$6,0)),IF(INDEX(Roster!$D$6:$D$108,MATCH(D630,Roster!$A$6:$A$108,0))&gt;=5,INDEX(Inputs!$B$15:$D$15,1,MATCH(A630,Inputs!$B$6:$D$6,0)),0)))))</x:f>
        <x:v>80</x:v>
      </x:c>
      <x:c r="M630" s="20" t="n">
        <x:f>G630*I630</x:f>
        <x:v>31135</x:v>
      </x:c>
      <x:c r="N630" s="20" t="n">
        <x:f>G630*J630</x:f>
        <x:v>455</x:v>
      </x:c>
      <x:c r="O630" s="20" t="n">
        <x:f>G630*K630</x:f>
        <x:v>0</x:v>
      </x:c>
      <x:c r="P630" s="20" t="n">
        <x:f>G630*L630</x:f>
        <x:v>1040</x:v>
      </x:c>
      <x:c r="Q630" s="20" t="n">
        <x:f>H630*INDEX(Inputs!$B$13:$D$13,1,MATCH(A630,Inputs!$B$6:$D$6,0))</x:f>
        <x:v>390</x:v>
      </x:c>
      <x:c r="R630" s="20" t="n">
        <x:f>SUM(M630:Q630)</x:f>
        <x:v>33020</x:v>
      </x:c>
      <x:c r="S630" s="20" t="n">
        <x:f>IF(AND(A629=A630,D629=D630),S629+R630,R630)</x:f>
        <x:v>33020</x:v>
      </x:c>
      <x:c r="T630" s="20" t="n">
        <x:f>MIN(S630,INDEX(Inputs!$B$20:$D$20,1,MATCH(A630,Inputs!$B$6:$D$6,0)))*INDEX(Inputs!$B$22:$D$22,1,MATCH(A630,Inputs!$B$6:$D$6,0))+MAX(MIN(S630,INDEX(Inputs!$B$21:$D$21,1,MATCH(A630,Inputs!$B$6:$D$6,0)))-INDEX(Inputs!$B$20:$D$20,1,MATCH(A630,Inputs!$B$6:$D$6,0)),0)*INDEX(Inputs!$B$23:$D$23,1,MATCH(A630,Inputs!$B$6:$D$6,0))+MAX(S630-INDEX(Inputs!$B$21:$D$21,1,MATCH(A630,Inputs!$B$6:$D$6,0)),0)*INDEX(Inputs!$B$24:$D$24,1,MATCH(A630,Inputs!$B$6:$D$6,0))</x:f>
        <x:v>3016.0299999999997</x:v>
      </x:c>
      <x:c r="U630" s="20" t="n">
        <x:f>IF(AND(A629=A630,D629=D630),T629,0)</x:f>
        <x:v>0</x:v>
      </x:c>
      <x:c r="V630" s="20" t="n">
        <x:f>T630-U630</x:f>
        <x:v>3016.0299999999997</x:v>
      </x:c>
      <x:c r="W630" s="20" t="n">
        <x:f>R630+V630</x:f>
        <x:v>36036.03</x:v>
      </x:c>
      <x:c r="X630" s="14" t="str">
        <x:f>IF(ABS(W630-SUM(M630:Q630)-V630)&lt;0.01,"OK","Check")</x:f>
        <x:v>OK</x:v>
      </x:c>
    </x:row>
    <x:row r="631">
      <x:c r="A631" s="14" t="n">
        <x:v>2027</x:v>
      </x:c>
      <x:c r="B631" s="14" t="str">
        <x:v>Q2</x:v>
      </x:c>
      <x:c r="C631" s="14" t="n">
        <x:v>2</x:v>
      </x:c>
      <x:c r="D631" s="14" t="n">
        <x:v>54</x:v>
      </x:c>
      <x:c r="E631" s="14" t="str">
        <x:f>INDEX(Roster!$B$6:$B$108,MATCH(D631,Roster!$A$6:$A$108,0))</x:f>
      </x:c>
      <x:c r="F631" s="14" t="str">
        <x:f>INDEX(Roster!$F$6:$F$108,MATCH(D631,Roster!$A$6:$A$108,0))</x:f>
        <x:v>No</x:v>
      </x:c>
      <x:c r="G631" s="14" t="n">
        <x:f>INDEX(Inputs!$B$7:$D$7,1,MATCH(A631,Inputs!$B$6:$D$6,0))</x:f>
        <x:v>13</x:v>
      </x:c>
      <x:c r="H631" s="14" t="n">
        <x:f>MIN(=INDEX(Inputs!$B$7:$D$7,1,MATCH(A631,Inputs!$B$6:$D$6,0)),MAX(0,INDEX(Inputs!$B$14:$D$14,1,MATCH(A631,Inputs!$B$6:$D$6,0))-(C631-1)*=INDEX(Inputs!$B$7:$D$7,1,MATCH(A631,Inputs!$B$6:$D$6,0))))</x:f>
        <x:v>13</x:v>
      </x:c>
      <x:c r="I631" s="20" t="n">
        <x:f>INDEX(Inputs!$B$8:$D$8,1,MATCH(A631,Inputs!$B$6:$D$6,0))</x:f>
        <x:v>2395</x:v>
      </x:c>
      <x:c r="J631" s="20" t="n">
        <x:f>INDEX(Roster!$C$6:$C$108,MATCH(D631,Roster!$A$6:$A$108,0))*(1+INDEX(Inputs!$B$9:$D$9,1,MATCH(A631,Inputs!$B$6:$D$6,0)))</x:f>
        <x:v>35</x:v>
      </x:c>
      <x:c r="K631" s="20" t="n">
        <x:f>IF(=INDEX(Roster!$F$6:$F$108,MATCH(D631,Roster!$A$6:$A$108,0))="Yes",0,=INDEX(Inputs!$B$8:$D$8,1,MATCH(A631,Inputs!$B$6:$D$6,0))*IF(=INDEX(Roster!$B$6:$B$108,MATCH(D631,Roster!$A$6:$A$108,0))="Principal",INDEX(Inputs!$B$10:$D$10,1,MATCH(A631,Inputs!$B$6:$D$6,0)),IF(=INDEX(Roster!$B$6:$B$108,MATCH(D631,Roster!$A$6:$A$108,0))="Associate Principal",INDEX(Inputs!$B$11:$D$11,1,MATCH(A631,Inputs!$B$6:$D$6,0)),IF(=INDEX(Roster!$B$6:$B$108,MATCH(D631,Roster!$A$6:$A$108,0))="Assistant Principal",INDEX(Inputs!$B$12:$D$12,1,MATCH(A631,Inputs!$B$6:$D$6,0)),0))))</x:f>
        <x:v>0</x:v>
      </x:c>
      <x:c r="L631" s="20" t="n">
        <x:f>IF(INDEX(Roster!$D$6:$D$108,MATCH(D631,Roster!$A$6:$A$108,0))&gt;=25,INDEX(Inputs!$B$19:$D$19,1,MATCH(A631,Inputs!$B$6:$D$6,0)),IF(INDEX(Roster!$D$6:$D$108,MATCH(D631,Roster!$A$6:$A$108,0))&gt;=20,INDEX(Inputs!$B$18:$D$18,1,MATCH(A631,Inputs!$B$6:$D$6,0)),IF(INDEX(Roster!$D$6:$D$108,MATCH(D631,Roster!$A$6:$A$108,0))&gt;=15,INDEX(Inputs!$B$17:$D$17,1,MATCH(A631,Inputs!$B$6:$D$6,0)),IF(INDEX(Roster!$D$6:$D$108,MATCH(D631,Roster!$A$6:$A$108,0))&gt;=10,INDEX(Inputs!$B$16:$D$16,1,MATCH(A631,Inputs!$B$6:$D$6,0)),IF(INDEX(Roster!$D$6:$D$108,MATCH(D631,Roster!$A$6:$A$108,0))&gt;=5,INDEX(Inputs!$B$15:$D$15,1,MATCH(A631,Inputs!$B$6:$D$6,0)),0)))))</x:f>
        <x:v>80</x:v>
      </x:c>
      <x:c r="M631" s="20" t="n">
        <x:f>G631*I631</x:f>
        <x:v>31135</x:v>
      </x:c>
      <x:c r="N631" s="20" t="n">
        <x:f>G631*J631</x:f>
        <x:v>455</x:v>
      </x:c>
      <x:c r="O631" s="20" t="n">
        <x:f>G631*K631</x:f>
        <x:v>0</x:v>
      </x:c>
      <x:c r="P631" s="20" t="n">
        <x:f>G631*L631</x:f>
        <x:v>1040</x:v>
      </x:c>
      <x:c r="Q631" s="20" t="n">
        <x:f>H631*INDEX(Inputs!$B$13:$D$13,1,MATCH(A631,Inputs!$B$6:$D$6,0))</x:f>
        <x:v>390</x:v>
      </x:c>
      <x:c r="R631" s="20" t="n">
        <x:f>SUM(M631:Q631)</x:f>
        <x:v>33020</x:v>
      </x:c>
      <x:c r="S631" s="20" t="n">
        <x:f>IF(AND(A630=A631,D630=D631),S630+R631,R631)</x:f>
        <x:v>66040</x:v>
      </x:c>
      <x:c r="T631" s="20" t="n">
        <x:f>MIN(S631,INDEX(Inputs!$B$20:$D$20,1,MATCH(A631,Inputs!$B$6:$D$6,0)))*INDEX(Inputs!$B$22:$D$22,1,MATCH(A631,Inputs!$B$6:$D$6,0))+MAX(MIN(S631,INDEX(Inputs!$B$21:$D$21,1,MATCH(A631,Inputs!$B$6:$D$6,0)))-INDEX(Inputs!$B$20:$D$20,1,MATCH(A631,Inputs!$B$6:$D$6,0)),0)*INDEX(Inputs!$B$23:$D$23,1,MATCH(A631,Inputs!$B$6:$D$6,0))+MAX(S631-INDEX(Inputs!$B$21:$D$21,1,MATCH(A631,Inputs!$B$6:$D$6,0)),0)*INDEX(Inputs!$B$24:$D$24,1,MATCH(A631,Inputs!$B$6:$D$6,0))</x:f>
        <x:v>5542.0599999999995</x:v>
      </x:c>
      <x:c r="U631" s="20" t="n">
        <x:f>IF(AND(A630=A631,D630=D631),T630,0)</x:f>
        <x:v>3016.0299999999997</x:v>
      </x:c>
      <x:c r="V631" s="20" t="n">
        <x:f>T631-U631</x:f>
        <x:v>2526.0299999999997</x:v>
      </x:c>
      <x:c r="W631" s="20" t="n">
        <x:f>R631+V631</x:f>
        <x:v>35546.03</x:v>
      </x:c>
      <x:c r="X631" s="14" t="str">
        <x:f>IF(ABS(W631-SUM(M631:Q631)-V631)&lt;0.01,"OK","Check")</x:f>
        <x:v>OK</x:v>
      </x:c>
    </x:row>
    <x:row r="632">
      <x:c r="A632" s="14" t="n">
        <x:v>2027</x:v>
      </x:c>
      <x:c r="B632" s="14" t="str">
        <x:v>Q3</x:v>
      </x:c>
      <x:c r="C632" s="14" t="n">
        <x:v>3</x:v>
      </x:c>
      <x:c r="D632" s="14" t="n">
        <x:v>54</x:v>
      </x:c>
      <x:c r="E632" s="14" t="str">
        <x:f>INDEX(Roster!$B$6:$B$108,MATCH(D632,Roster!$A$6:$A$108,0))</x:f>
      </x:c>
      <x:c r="F632" s="14" t="str">
        <x:f>INDEX(Roster!$F$6:$F$108,MATCH(D632,Roster!$A$6:$A$108,0))</x:f>
        <x:v>No</x:v>
      </x:c>
      <x:c r="G632" s="14" t="n">
        <x:f>INDEX(Inputs!$B$7:$D$7,1,MATCH(A632,Inputs!$B$6:$D$6,0))</x:f>
        <x:v>13</x:v>
      </x:c>
      <x:c r="H632" s="14" t="n">
        <x:f>MIN(=INDEX(Inputs!$B$7:$D$7,1,MATCH(A632,Inputs!$B$6:$D$6,0)),MAX(0,INDEX(Inputs!$B$14:$D$14,1,MATCH(A632,Inputs!$B$6:$D$6,0))-(C632-1)*=INDEX(Inputs!$B$7:$D$7,1,MATCH(A632,Inputs!$B$6:$D$6,0))))</x:f>
        <x:v>13</x:v>
      </x:c>
      <x:c r="I632" s="20" t="n">
        <x:f>INDEX(Inputs!$B$8:$D$8,1,MATCH(A632,Inputs!$B$6:$D$6,0))</x:f>
        <x:v>2395</x:v>
      </x:c>
      <x:c r="J632" s="20" t="n">
        <x:f>INDEX(Roster!$C$6:$C$108,MATCH(D632,Roster!$A$6:$A$108,0))*(1+INDEX(Inputs!$B$9:$D$9,1,MATCH(A632,Inputs!$B$6:$D$6,0)))</x:f>
        <x:v>35</x:v>
      </x:c>
      <x:c r="K632" s="20" t="n">
        <x:f>IF(=INDEX(Roster!$F$6:$F$108,MATCH(D632,Roster!$A$6:$A$108,0))="Yes",0,=INDEX(Inputs!$B$8:$D$8,1,MATCH(A632,Inputs!$B$6:$D$6,0))*IF(=INDEX(Roster!$B$6:$B$108,MATCH(D632,Roster!$A$6:$A$108,0))="Principal",INDEX(Inputs!$B$10:$D$10,1,MATCH(A632,Inputs!$B$6:$D$6,0)),IF(=INDEX(Roster!$B$6:$B$108,MATCH(D632,Roster!$A$6:$A$108,0))="Associate Principal",INDEX(Inputs!$B$11:$D$11,1,MATCH(A632,Inputs!$B$6:$D$6,0)),IF(=INDEX(Roster!$B$6:$B$108,MATCH(D632,Roster!$A$6:$A$108,0))="Assistant Principal",INDEX(Inputs!$B$12:$D$12,1,MATCH(A632,Inputs!$B$6:$D$6,0)),0))))</x:f>
        <x:v>0</x:v>
      </x:c>
      <x:c r="L632" s="20" t="n">
        <x:f>IF(INDEX(Roster!$D$6:$D$108,MATCH(D632,Roster!$A$6:$A$108,0))&gt;=25,INDEX(Inputs!$B$19:$D$19,1,MATCH(A632,Inputs!$B$6:$D$6,0)),IF(INDEX(Roster!$D$6:$D$108,MATCH(D632,Roster!$A$6:$A$108,0))&gt;=20,INDEX(Inputs!$B$18:$D$18,1,MATCH(A632,Inputs!$B$6:$D$6,0)),IF(INDEX(Roster!$D$6:$D$108,MATCH(D632,Roster!$A$6:$A$108,0))&gt;=15,INDEX(Inputs!$B$17:$D$17,1,MATCH(A632,Inputs!$B$6:$D$6,0)),IF(INDEX(Roster!$D$6:$D$108,MATCH(D632,Roster!$A$6:$A$108,0))&gt;=10,INDEX(Inputs!$B$16:$D$16,1,MATCH(A632,Inputs!$B$6:$D$6,0)),IF(INDEX(Roster!$D$6:$D$108,MATCH(D632,Roster!$A$6:$A$108,0))&gt;=5,INDEX(Inputs!$B$15:$D$15,1,MATCH(A632,Inputs!$B$6:$D$6,0)),0)))))</x:f>
        <x:v>80</x:v>
      </x:c>
      <x:c r="M632" s="20" t="n">
        <x:f>G632*I632</x:f>
        <x:v>31135</x:v>
      </x:c>
      <x:c r="N632" s="20" t="n">
        <x:f>G632*J632</x:f>
        <x:v>455</x:v>
      </x:c>
      <x:c r="O632" s="20" t="n">
        <x:f>G632*K632</x:f>
        <x:v>0</x:v>
      </x:c>
      <x:c r="P632" s="20" t="n">
        <x:f>G632*L632</x:f>
        <x:v>1040</x:v>
      </x:c>
      <x:c r="Q632" s="20" t="n">
        <x:f>H632*INDEX(Inputs!$B$13:$D$13,1,MATCH(A632,Inputs!$B$6:$D$6,0))</x:f>
        <x:v>390</x:v>
      </x:c>
      <x:c r="R632" s="20" t="n">
        <x:f>SUM(M632:Q632)</x:f>
        <x:v>33020</x:v>
      </x:c>
      <x:c r="S632" s="20" t="n">
        <x:f>IF(AND(A631=A632,D631=D632),S631+R632,R632)</x:f>
        <x:v>99060</x:v>
      </x:c>
      <x:c r="T632" s="20" t="n">
        <x:f>MIN(S632,INDEX(Inputs!$B$20:$D$20,1,MATCH(A632,Inputs!$B$6:$D$6,0)))*INDEX(Inputs!$B$22:$D$22,1,MATCH(A632,Inputs!$B$6:$D$6,0))+MAX(MIN(S632,INDEX(Inputs!$B$21:$D$21,1,MATCH(A632,Inputs!$B$6:$D$6,0)))-INDEX(Inputs!$B$20:$D$20,1,MATCH(A632,Inputs!$B$6:$D$6,0)),0)*INDEX(Inputs!$B$23:$D$23,1,MATCH(A632,Inputs!$B$6:$D$6,0))+MAX(S632-INDEX(Inputs!$B$21:$D$21,1,MATCH(A632,Inputs!$B$6:$D$6,0)),0)*INDEX(Inputs!$B$24:$D$24,1,MATCH(A632,Inputs!$B$6:$D$6,0))</x:f>
        <x:v>8068.09</x:v>
      </x:c>
      <x:c r="U632" s="20" t="n">
        <x:f>IF(AND(A631=A632,D631=D632),T631,0)</x:f>
        <x:v>5542.0599999999995</x:v>
      </x:c>
      <x:c r="V632" s="20" t="n">
        <x:f>T632-U632</x:f>
        <x:v>2526.0300000000007</x:v>
      </x:c>
      <x:c r="W632" s="20" t="n">
        <x:f>R632+V632</x:f>
        <x:v>35546.03</x:v>
      </x:c>
      <x:c r="X632" s="14" t="str">
        <x:f>IF(ABS(W632-SUM(M632:Q632)-V632)&lt;0.01,"OK","Check")</x:f>
        <x:v>OK</x:v>
      </x:c>
    </x:row>
    <x:row r="633">
      <x:c r="A633" s="14" t="n">
        <x:v>2027</x:v>
      </x:c>
      <x:c r="B633" s="14" t="str">
        <x:v>Q4</x:v>
      </x:c>
      <x:c r="C633" s="14" t="n">
        <x:v>4</x:v>
      </x:c>
      <x:c r="D633" s="14" t="n">
        <x:v>54</x:v>
      </x:c>
      <x:c r="E633" s="14" t="str">
        <x:f>INDEX(Roster!$B$6:$B$108,MATCH(D633,Roster!$A$6:$A$108,0))</x:f>
      </x:c>
      <x:c r="F633" s="14" t="str">
        <x:f>INDEX(Roster!$F$6:$F$108,MATCH(D633,Roster!$A$6:$A$108,0))</x:f>
        <x:v>No</x:v>
      </x:c>
      <x:c r="G633" s="14" t="n">
        <x:f>INDEX(Inputs!$B$7:$D$7,1,MATCH(A633,Inputs!$B$6:$D$6,0))</x:f>
        <x:v>13</x:v>
      </x:c>
      <x:c r="H633" s="14" t="n">
        <x:f>MIN(=INDEX(Inputs!$B$7:$D$7,1,MATCH(A633,Inputs!$B$6:$D$6,0)),MAX(0,INDEX(Inputs!$B$14:$D$14,1,MATCH(A633,Inputs!$B$6:$D$6,0))-(C633-1)*=INDEX(Inputs!$B$7:$D$7,1,MATCH(A633,Inputs!$B$6:$D$6,0))))</x:f>
        <x:v>0</x:v>
      </x:c>
      <x:c r="I633" s="20" t="n">
        <x:f>INDEX(Inputs!$B$8:$D$8,1,MATCH(A633,Inputs!$B$6:$D$6,0))</x:f>
        <x:v>2395</x:v>
      </x:c>
      <x:c r="J633" s="20" t="n">
        <x:f>INDEX(Roster!$C$6:$C$108,MATCH(D633,Roster!$A$6:$A$108,0))*(1+INDEX(Inputs!$B$9:$D$9,1,MATCH(A633,Inputs!$B$6:$D$6,0)))</x:f>
        <x:v>35</x:v>
      </x:c>
      <x:c r="K633" s="20" t="n">
        <x:f>IF(=INDEX(Roster!$F$6:$F$108,MATCH(D633,Roster!$A$6:$A$108,0))="Yes",0,=INDEX(Inputs!$B$8:$D$8,1,MATCH(A633,Inputs!$B$6:$D$6,0))*IF(=INDEX(Roster!$B$6:$B$108,MATCH(D633,Roster!$A$6:$A$108,0))="Principal",INDEX(Inputs!$B$10:$D$10,1,MATCH(A633,Inputs!$B$6:$D$6,0)),IF(=INDEX(Roster!$B$6:$B$108,MATCH(D633,Roster!$A$6:$A$108,0))="Associate Principal",INDEX(Inputs!$B$11:$D$11,1,MATCH(A633,Inputs!$B$6:$D$6,0)),IF(=INDEX(Roster!$B$6:$B$108,MATCH(D633,Roster!$A$6:$A$108,0))="Assistant Principal",INDEX(Inputs!$B$12:$D$12,1,MATCH(A633,Inputs!$B$6:$D$6,0)),0))))</x:f>
        <x:v>0</x:v>
      </x:c>
      <x:c r="L633" s="20" t="n">
        <x:f>IF(INDEX(Roster!$D$6:$D$108,MATCH(D633,Roster!$A$6:$A$108,0))&gt;=25,INDEX(Inputs!$B$19:$D$19,1,MATCH(A633,Inputs!$B$6:$D$6,0)),IF(INDEX(Roster!$D$6:$D$108,MATCH(D633,Roster!$A$6:$A$108,0))&gt;=20,INDEX(Inputs!$B$18:$D$18,1,MATCH(A633,Inputs!$B$6:$D$6,0)),IF(INDEX(Roster!$D$6:$D$108,MATCH(D633,Roster!$A$6:$A$108,0))&gt;=15,INDEX(Inputs!$B$17:$D$17,1,MATCH(A633,Inputs!$B$6:$D$6,0)),IF(INDEX(Roster!$D$6:$D$108,MATCH(D633,Roster!$A$6:$A$108,0))&gt;=10,INDEX(Inputs!$B$16:$D$16,1,MATCH(A633,Inputs!$B$6:$D$6,0)),IF(INDEX(Roster!$D$6:$D$108,MATCH(D633,Roster!$A$6:$A$108,0))&gt;=5,INDEX(Inputs!$B$15:$D$15,1,MATCH(A633,Inputs!$B$6:$D$6,0)),0)))))</x:f>
        <x:v>80</x:v>
      </x:c>
      <x:c r="M633" s="20" t="n">
        <x:f>G633*I633</x:f>
        <x:v>31135</x:v>
      </x:c>
      <x:c r="N633" s="20" t="n">
        <x:f>G633*J633</x:f>
        <x:v>455</x:v>
      </x:c>
      <x:c r="O633" s="20" t="n">
        <x:f>G633*K633</x:f>
        <x:v>0</x:v>
      </x:c>
      <x:c r="P633" s="20" t="n">
        <x:f>G633*L633</x:f>
        <x:v>1040</x:v>
      </x:c>
      <x:c r="Q633" s="20" t="n">
        <x:f>H633*INDEX(Inputs!$B$13:$D$13,1,MATCH(A633,Inputs!$B$6:$D$6,0))</x:f>
        <x:v>0</x:v>
      </x:c>
      <x:c r="R633" s="20" t="n">
        <x:f>SUM(M633:Q633)</x:f>
        <x:v>32630</x:v>
      </x:c>
      <x:c r="S633" s="20" t="n">
        <x:f>IF(AND(A632=A633,D632=D633),S632+R633,R633)</x:f>
        <x:v>131690</x:v>
      </x:c>
      <x:c r="T633" s="20" t="n">
        <x:f>MIN(S633,INDEX(Inputs!$B$20:$D$20,1,MATCH(A633,Inputs!$B$6:$D$6,0)))*INDEX(Inputs!$B$22:$D$22,1,MATCH(A633,Inputs!$B$6:$D$6,0))+MAX(MIN(S633,INDEX(Inputs!$B$21:$D$21,1,MATCH(A633,Inputs!$B$6:$D$6,0)))-INDEX(Inputs!$B$20:$D$20,1,MATCH(A633,Inputs!$B$6:$D$6,0)),0)*INDEX(Inputs!$B$23:$D$23,1,MATCH(A633,Inputs!$B$6:$D$6,0))+MAX(S633-INDEX(Inputs!$B$21:$D$21,1,MATCH(A633,Inputs!$B$6:$D$6,0)),0)*INDEX(Inputs!$B$24:$D$24,1,MATCH(A633,Inputs!$B$6:$D$6,0))</x:f>
        <x:v>9823.447</x:v>
      </x:c>
      <x:c r="U633" s="20" t="n">
        <x:f>IF(AND(A632=A633,D632=D633),T632,0)</x:f>
        <x:v>8068.09</x:v>
      </x:c>
      <x:c r="V633" s="20" t="n">
        <x:f>T633-U633</x:f>
        <x:v>1755.357</x:v>
      </x:c>
      <x:c r="W633" s="20" t="n">
        <x:f>R633+V633</x:f>
        <x:v>34385.357</x:v>
      </x:c>
      <x:c r="X633" s="14" t="str">
        <x:f>IF(ABS(W633-SUM(M633:Q633)-V633)&lt;0.01,"OK","Check")</x:f>
        <x:v>OK</x:v>
      </x:c>
    </x:row>
    <x:row r="634">
      <x:c r="A634" s="14" t="n">
        <x:v>2027</x:v>
      </x:c>
      <x:c r="B634" s="14" t="str">
        <x:v>Q1</x:v>
      </x:c>
      <x:c r="C634" s="14" t="n">
        <x:v>1</x:v>
      </x:c>
      <x:c r="D634" s="14" t="n">
        <x:v>55</x:v>
      </x:c>
      <x:c r="E634" s="14" t="str">
        <x:f>INDEX(Roster!$B$6:$B$108,MATCH(D634,Roster!$A$6:$A$108,0))</x:f>
      </x:c>
      <x:c r="F634" s="14" t="str">
        <x:f>INDEX(Roster!$F$6:$F$108,MATCH(D634,Roster!$A$6:$A$108,0))</x:f>
        <x:v>No</x:v>
      </x:c>
      <x:c r="G634" s="14" t="n">
        <x:f>INDEX(Inputs!$B$7:$D$7,1,MATCH(A634,Inputs!$B$6:$D$6,0))</x:f>
        <x:v>13</x:v>
      </x:c>
      <x:c r="H634" s="14" t="n">
        <x:f>MIN(=INDEX(Inputs!$B$7:$D$7,1,MATCH(A634,Inputs!$B$6:$D$6,0)),MAX(0,INDEX(Inputs!$B$14:$D$14,1,MATCH(A634,Inputs!$B$6:$D$6,0))-(C634-1)*=INDEX(Inputs!$B$7:$D$7,1,MATCH(A634,Inputs!$B$6:$D$6,0))))</x:f>
        <x:v>13</x:v>
      </x:c>
      <x:c r="I634" s="20" t="n">
        <x:f>INDEX(Inputs!$B$8:$D$8,1,MATCH(A634,Inputs!$B$6:$D$6,0))</x:f>
        <x:v>2395</x:v>
      </x:c>
      <x:c r="J634" s="20" t="n">
        <x:f>INDEX(Roster!$C$6:$C$108,MATCH(D634,Roster!$A$6:$A$108,0))*(1+INDEX(Inputs!$B$9:$D$9,1,MATCH(A634,Inputs!$B$6:$D$6,0)))</x:f>
        <x:v>40</x:v>
      </x:c>
      <x:c r="K634" s="20" t="n">
        <x:f>IF(=INDEX(Roster!$F$6:$F$108,MATCH(D634,Roster!$A$6:$A$108,0))="Yes",0,=INDEX(Inputs!$B$8:$D$8,1,MATCH(A634,Inputs!$B$6:$D$6,0))*IF(=INDEX(Roster!$B$6:$B$108,MATCH(D634,Roster!$A$6:$A$108,0))="Principal",INDEX(Inputs!$B$10:$D$10,1,MATCH(A634,Inputs!$B$6:$D$6,0)),IF(=INDEX(Roster!$B$6:$B$108,MATCH(D634,Roster!$A$6:$A$108,0))="Associate Principal",INDEX(Inputs!$B$11:$D$11,1,MATCH(A634,Inputs!$B$6:$D$6,0)),IF(=INDEX(Roster!$B$6:$B$108,MATCH(D634,Roster!$A$6:$A$108,0))="Assistant Principal",INDEX(Inputs!$B$12:$D$12,1,MATCH(A634,Inputs!$B$6:$D$6,0)),0))))</x:f>
        <x:v>0</x:v>
      </x:c>
      <x:c r="L634" s="20" t="n">
        <x:f>IF(INDEX(Roster!$D$6:$D$108,MATCH(D634,Roster!$A$6:$A$108,0))&gt;=25,INDEX(Inputs!$B$19:$D$19,1,MATCH(A634,Inputs!$B$6:$D$6,0)),IF(INDEX(Roster!$D$6:$D$108,MATCH(D634,Roster!$A$6:$A$108,0))&gt;=20,INDEX(Inputs!$B$18:$D$18,1,MATCH(A634,Inputs!$B$6:$D$6,0)),IF(INDEX(Roster!$D$6:$D$108,MATCH(D634,Roster!$A$6:$A$108,0))&gt;=15,INDEX(Inputs!$B$17:$D$17,1,MATCH(A634,Inputs!$B$6:$D$6,0)),IF(INDEX(Roster!$D$6:$D$108,MATCH(D634,Roster!$A$6:$A$108,0))&gt;=10,INDEX(Inputs!$B$16:$D$16,1,MATCH(A634,Inputs!$B$6:$D$6,0)),IF(INDEX(Roster!$D$6:$D$108,MATCH(D634,Roster!$A$6:$A$108,0))&gt;=5,INDEX(Inputs!$B$15:$D$15,1,MATCH(A634,Inputs!$B$6:$D$6,0)),0)))))</x:f>
        <x:v>90</x:v>
      </x:c>
      <x:c r="M634" s="20" t="n">
        <x:f>G634*I634</x:f>
        <x:v>31135</x:v>
      </x:c>
      <x:c r="N634" s="20" t="n">
        <x:f>G634*J634</x:f>
        <x:v>520</x:v>
      </x:c>
      <x:c r="O634" s="20" t="n">
        <x:f>G634*K634</x:f>
        <x:v>0</x:v>
      </x:c>
      <x:c r="P634" s="20" t="n">
        <x:f>G634*L634</x:f>
        <x:v>1170</x:v>
      </x:c>
      <x:c r="Q634" s="20" t="n">
        <x:f>H634*INDEX(Inputs!$B$13:$D$13,1,MATCH(A634,Inputs!$B$6:$D$6,0))</x:f>
        <x:v>390</x:v>
      </x:c>
      <x:c r="R634" s="20" t="n">
        <x:f>SUM(M634:Q634)</x:f>
        <x:v>33215</x:v>
      </x:c>
      <x:c r="S634" s="20" t="n">
        <x:f>IF(AND(A633=A634,D633=D634),S633+R634,R634)</x:f>
        <x:v>33215</x:v>
      </x:c>
      <x:c r="T634" s="20" t="n">
        <x:f>MIN(S634,INDEX(Inputs!$B$20:$D$20,1,MATCH(A634,Inputs!$B$6:$D$6,0)))*INDEX(Inputs!$B$22:$D$22,1,MATCH(A634,Inputs!$B$6:$D$6,0))+MAX(MIN(S634,INDEX(Inputs!$B$21:$D$21,1,MATCH(A634,Inputs!$B$6:$D$6,0)))-INDEX(Inputs!$B$20:$D$20,1,MATCH(A634,Inputs!$B$6:$D$6,0)),0)*INDEX(Inputs!$B$23:$D$23,1,MATCH(A634,Inputs!$B$6:$D$6,0))+MAX(S634-INDEX(Inputs!$B$21:$D$21,1,MATCH(A634,Inputs!$B$6:$D$6,0)),0)*INDEX(Inputs!$B$24:$D$24,1,MATCH(A634,Inputs!$B$6:$D$6,0))</x:f>
        <x:v>3030.9475</x:v>
      </x:c>
      <x:c r="U634" s="20" t="n">
        <x:f>IF(AND(A633=A634,D633=D634),T633,0)</x:f>
        <x:v>0</x:v>
      </x:c>
      <x:c r="V634" s="20" t="n">
        <x:f>T634-U634</x:f>
        <x:v>3030.9475</x:v>
      </x:c>
      <x:c r="W634" s="20" t="n">
        <x:f>R634+V634</x:f>
        <x:v>36245.9475</x:v>
      </x:c>
      <x:c r="X634" s="14" t="str">
        <x:f>IF(ABS(W634-SUM(M634:Q634)-V634)&lt;0.01,"OK","Check")</x:f>
        <x:v>OK</x:v>
      </x:c>
    </x:row>
    <x:row r="635">
      <x:c r="A635" s="14" t="n">
        <x:v>2027</x:v>
      </x:c>
      <x:c r="B635" s="14" t="str">
        <x:v>Q2</x:v>
      </x:c>
      <x:c r="C635" s="14" t="n">
        <x:v>2</x:v>
      </x:c>
      <x:c r="D635" s="14" t="n">
        <x:v>55</x:v>
      </x:c>
      <x:c r="E635" s="14" t="str">
        <x:f>INDEX(Roster!$B$6:$B$108,MATCH(D635,Roster!$A$6:$A$108,0))</x:f>
      </x:c>
      <x:c r="F635" s="14" t="str">
        <x:f>INDEX(Roster!$F$6:$F$108,MATCH(D635,Roster!$A$6:$A$108,0))</x:f>
        <x:v>No</x:v>
      </x:c>
      <x:c r="G635" s="14" t="n">
        <x:f>INDEX(Inputs!$B$7:$D$7,1,MATCH(A635,Inputs!$B$6:$D$6,0))</x:f>
        <x:v>13</x:v>
      </x:c>
      <x:c r="H635" s="14" t="n">
        <x:f>MIN(=INDEX(Inputs!$B$7:$D$7,1,MATCH(A635,Inputs!$B$6:$D$6,0)),MAX(0,INDEX(Inputs!$B$14:$D$14,1,MATCH(A635,Inputs!$B$6:$D$6,0))-(C635-1)*=INDEX(Inputs!$B$7:$D$7,1,MATCH(A635,Inputs!$B$6:$D$6,0))))</x:f>
        <x:v>13</x:v>
      </x:c>
      <x:c r="I635" s="20" t="n">
        <x:f>INDEX(Inputs!$B$8:$D$8,1,MATCH(A635,Inputs!$B$6:$D$6,0))</x:f>
        <x:v>2395</x:v>
      </x:c>
      <x:c r="J635" s="20" t="n">
        <x:f>INDEX(Roster!$C$6:$C$108,MATCH(D635,Roster!$A$6:$A$108,0))*(1+INDEX(Inputs!$B$9:$D$9,1,MATCH(A635,Inputs!$B$6:$D$6,0)))</x:f>
        <x:v>40</x:v>
      </x:c>
      <x:c r="K635" s="20" t="n">
        <x:f>IF(=INDEX(Roster!$F$6:$F$108,MATCH(D635,Roster!$A$6:$A$108,0))="Yes",0,=INDEX(Inputs!$B$8:$D$8,1,MATCH(A635,Inputs!$B$6:$D$6,0))*IF(=INDEX(Roster!$B$6:$B$108,MATCH(D635,Roster!$A$6:$A$108,0))="Principal",INDEX(Inputs!$B$10:$D$10,1,MATCH(A635,Inputs!$B$6:$D$6,0)),IF(=INDEX(Roster!$B$6:$B$108,MATCH(D635,Roster!$A$6:$A$108,0))="Associate Principal",INDEX(Inputs!$B$11:$D$11,1,MATCH(A635,Inputs!$B$6:$D$6,0)),IF(=INDEX(Roster!$B$6:$B$108,MATCH(D635,Roster!$A$6:$A$108,0))="Assistant Principal",INDEX(Inputs!$B$12:$D$12,1,MATCH(A635,Inputs!$B$6:$D$6,0)),0))))</x:f>
        <x:v>0</x:v>
      </x:c>
      <x:c r="L635" s="20" t="n">
        <x:f>IF(INDEX(Roster!$D$6:$D$108,MATCH(D635,Roster!$A$6:$A$108,0))&gt;=25,INDEX(Inputs!$B$19:$D$19,1,MATCH(A635,Inputs!$B$6:$D$6,0)),IF(INDEX(Roster!$D$6:$D$108,MATCH(D635,Roster!$A$6:$A$108,0))&gt;=20,INDEX(Inputs!$B$18:$D$18,1,MATCH(A635,Inputs!$B$6:$D$6,0)),IF(INDEX(Roster!$D$6:$D$108,MATCH(D635,Roster!$A$6:$A$108,0))&gt;=15,INDEX(Inputs!$B$17:$D$17,1,MATCH(A635,Inputs!$B$6:$D$6,0)),IF(INDEX(Roster!$D$6:$D$108,MATCH(D635,Roster!$A$6:$A$108,0))&gt;=10,INDEX(Inputs!$B$16:$D$16,1,MATCH(A635,Inputs!$B$6:$D$6,0)),IF(INDEX(Roster!$D$6:$D$108,MATCH(D635,Roster!$A$6:$A$108,0))&gt;=5,INDEX(Inputs!$B$15:$D$15,1,MATCH(A635,Inputs!$B$6:$D$6,0)),0)))))</x:f>
        <x:v>90</x:v>
      </x:c>
      <x:c r="M635" s="20" t="n">
        <x:f>G635*I635</x:f>
        <x:v>31135</x:v>
      </x:c>
      <x:c r="N635" s="20" t="n">
        <x:f>G635*J635</x:f>
        <x:v>520</x:v>
      </x:c>
      <x:c r="O635" s="20" t="n">
        <x:f>G635*K635</x:f>
        <x:v>0</x:v>
      </x:c>
      <x:c r="P635" s="20" t="n">
        <x:f>G635*L635</x:f>
        <x:v>1170</x:v>
      </x:c>
      <x:c r="Q635" s="20" t="n">
        <x:f>H635*INDEX(Inputs!$B$13:$D$13,1,MATCH(A635,Inputs!$B$6:$D$6,0))</x:f>
        <x:v>390</x:v>
      </x:c>
      <x:c r="R635" s="20" t="n">
        <x:f>SUM(M635:Q635)</x:f>
        <x:v>33215</x:v>
      </x:c>
      <x:c r="S635" s="20" t="n">
        <x:f>IF(AND(A634=A635,D634=D635),S634+R635,R635)</x:f>
        <x:v>66430</x:v>
      </x:c>
      <x:c r="T635" s="20" t="n">
        <x:f>MIN(S635,INDEX(Inputs!$B$20:$D$20,1,MATCH(A635,Inputs!$B$6:$D$6,0)))*INDEX(Inputs!$B$22:$D$22,1,MATCH(A635,Inputs!$B$6:$D$6,0))+MAX(MIN(S635,INDEX(Inputs!$B$21:$D$21,1,MATCH(A635,Inputs!$B$6:$D$6,0)))-INDEX(Inputs!$B$20:$D$20,1,MATCH(A635,Inputs!$B$6:$D$6,0)),0)*INDEX(Inputs!$B$23:$D$23,1,MATCH(A635,Inputs!$B$6:$D$6,0))+MAX(S635-INDEX(Inputs!$B$21:$D$21,1,MATCH(A635,Inputs!$B$6:$D$6,0)),0)*INDEX(Inputs!$B$24:$D$24,1,MATCH(A635,Inputs!$B$6:$D$6,0))</x:f>
        <x:v>5571.8949999999995</x:v>
      </x:c>
      <x:c r="U635" s="20" t="n">
        <x:f>IF(AND(A634=A635,D634=D635),T634,0)</x:f>
        <x:v>3030.9475</x:v>
      </x:c>
      <x:c r="V635" s="20" t="n">
        <x:f>T635-U635</x:f>
        <x:v>2540.9474999999993</x:v>
      </x:c>
      <x:c r="W635" s="20" t="n">
        <x:f>R635+V635</x:f>
        <x:v>35755.9475</x:v>
      </x:c>
      <x:c r="X635" s="14" t="str">
        <x:f>IF(ABS(W635-SUM(M635:Q635)-V635)&lt;0.01,"OK","Check")</x:f>
        <x:v>OK</x:v>
      </x:c>
    </x:row>
    <x:row r="636">
      <x:c r="A636" s="14" t="n">
        <x:v>2027</x:v>
      </x:c>
      <x:c r="B636" s="14" t="str">
        <x:v>Q3</x:v>
      </x:c>
      <x:c r="C636" s="14" t="n">
        <x:v>3</x:v>
      </x:c>
      <x:c r="D636" s="14" t="n">
        <x:v>55</x:v>
      </x:c>
      <x:c r="E636" s="14" t="str">
        <x:f>INDEX(Roster!$B$6:$B$108,MATCH(D636,Roster!$A$6:$A$108,0))</x:f>
      </x:c>
      <x:c r="F636" s="14" t="str">
        <x:f>INDEX(Roster!$F$6:$F$108,MATCH(D636,Roster!$A$6:$A$108,0))</x:f>
        <x:v>No</x:v>
      </x:c>
      <x:c r="G636" s="14" t="n">
        <x:f>INDEX(Inputs!$B$7:$D$7,1,MATCH(A636,Inputs!$B$6:$D$6,0))</x:f>
        <x:v>13</x:v>
      </x:c>
      <x:c r="H636" s="14" t="n">
        <x:f>MIN(=INDEX(Inputs!$B$7:$D$7,1,MATCH(A636,Inputs!$B$6:$D$6,0)),MAX(0,INDEX(Inputs!$B$14:$D$14,1,MATCH(A636,Inputs!$B$6:$D$6,0))-(C636-1)*=INDEX(Inputs!$B$7:$D$7,1,MATCH(A636,Inputs!$B$6:$D$6,0))))</x:f>
        <x:v>13</x:v>
      </x:c>
      <x:c r="I636" s="20" t="n">
        <x:f>INDEX(Inputs!$B$8:$D$8,1,MATCH(A636,Inputs!$B$6:$D$6,0))</x:f>
        <x:v>2395</x:v>
      </x:c>
      <x:c r="J636" s="20" t="n">
        <x:f>INDEX(Roster!$C$6:$C$108,MATCH(D636,Roster!$A$6:$A$108,0))*(1+INDEX(Inputs!$B$9:$D$9,1,MATCH(A636,Inputs!$B$6:$D$6,0)))</x:f>
        <x:v>40</x:v>
      </x:c>
      <x:c r="K636" s="20" t="n">
        <x:f>IF(=INDEX(Roster!$F$6:$F$108,MATCH(D636,Roster!$A$6:$A$108,0))="Yes",0,=INDEX(Inputs!$B$8:$D$8,1,MATCH(A636,Inputs!$B$6:$D$6,0))*IF(=INDEX(Roster!$B$6:$B$108,MATCH(D636,Roster!$A$6:$A$108,0))="Principal",INDEX(Inputs!$B$10:$D$10,1,MATCH(A636,Inputs!$B$6:$D$6,0)),IF(=INDEX(Roster!$B$6:$B$108,MATCH(D636,Roster!$A$6:$A$108,0))="Associate Principal",INDEX(Inputs!$B$11:$D$11,1,MATCH(A636,Inputs!$B$6:$D$6,0)),IF(=INDEX(Roster!$B$6:$B$108,MATCH(D636,Roster!$A$6:$A$108,0))="Assistant Principal",INDEX(Inputs!$B$12:$D$12,1,MATCH(A636,Inputs!$B$6:$D$6,0)),0))))</x:f>
        <x:v>0</x:v>
      </x:c>
      <x:c r="L636" s="20" t="n">
        <x:f>IF(INDEX(Roster!$D$6:$D$108,MATCH(D636,Roster!$A$6:$A$108,0))&gt;=25,INDEX(Inputs!$B$19:$D$19,1,MATCH(A636,Inputs!$B$6:$D$6,0)),IF(INDEX(Roster!$D$6:$D$108,MATCH(D636,Roster!$A$6:$A$108,0))&gt;=20,INDEX(Inputs!$B$18:$D$18,1,MATCH(A636,Inputs!$B$6:$D$6,0)),IF(INDEX(Roster!$D$6:$D$108,MATCH(D636,Roster!$A$6:$A$108,0))&gt;=15,INDEX(Inputs!$B$17:$D$17,1,MATCH(A636,Inputs!$B$6:$D$6,0)),IF(INDEX(Roster!$D$6:$D$108,MATCH(D636,Roster!$A$6:$A$108,0))&gt;=10,INDEX(Inputs!$B$16:$D$16,1,MATCH(A636,Inputs!$B$6:$D$6,0)),IF(INDEX(Roster!$D$6:$D$108,MATCH(D636,Roster!$A$6:$A$108,0))&gt;=5,INDEX(Inputs!$B$15:$D$15,1,MATCH(A636,Inputs!$B$6:$D$6,0)),0)))))</x:f>
        <x:v>90</x:v>
      </x:c>
      <x:c r="M636" s="20" t="n">
        <x:f>G636*I636</x:f>
        <x:v>31135</x:v>
      </x:c>
      <x:c r="N636" s="20" t="n">
        <x:f>G636*J636</x:f>
        <x:v>520</x:v>
      </x:c>
      <x:c r="O636" s="20" t="n">
        <x:f>G636*K636</x:f>
        <x:v>0</x:v>
      </x:c>
      <x:c r="P636" s="20" t="n">
        <x:f>G636*L636</x:f>
        <x:v>1170</x:v>
      </x:c>
      <x:c r="Q636" s="20" t="n">
        <x:f>H636*INDEX(Inputs!$B$13:$D$13,1,MATCH(A636,Inputs!$B$6:$D$6,0))</x:f>
        <x:v>390</x:v>
      </x:c>
      <x:c r="R636" s="20" t="n">
        <x:f>SUM(M636:Q636)</x:f>
        <x:v>33215</x:v>
      </x:c>
      <x:c r="S636" s="20" t="n">
        <x:f>IF(AND(A635=A636,D635=D636),S635+R636,R636)</x:f>
        <x:v>99645</x:v>
      </x:c>
      <x:c r="T636" s="20" t="n">
        <x:f>MIN(S636,INDEX(Inputs!$B$20:$D$20,1,MATCH(A636,Inputs!$B$6:$D$6,0)))*INDEX(Inputs!$B$22:$D$22,1,MATCH(A636,Inputs!$B$6:$D$6,0))+MAX(MIN(S636,INDEX(Inputs!$B$21:$D$21,1,MATCH(A636,Inputs!$B$6:$D$6,0)))-INDEX(Inputs!$B$20:$D$20,1,MATCH(A636,Inputs!$B$6:$D$6,0)),0)*INDEX(Inputs!$B$23:$D$23,1,MATCH(A636,Inputs!$B$6:$D$6,0))+MAX(S636-INDEX(Inputs!$B$21:$D$21,1,MATCH(A636,Inputs!$B$6:$D$6,0)),0)*INDEX(Inputs!$B$24:$D$24,1,MATCH(A636,Inputs!$B$6:$D$6,0))</x:f>
        <x:v>8112.8425</x:v>
      </x:c>
      <x:c r="U636" s="20" t="n">
        <x:f>IF(AND(A635=A636,D635=D636),T635,0)</x:f>
        <x:v>5571.8949999999995</x:v>
      </x:c>
      <x:c r="V636" s="20" t="n">
        <x:f>T636-U636</x:f>
        <x:v>2540.9475</x:v>
      </x:c>
      <x:c r="W636" s="20" t="n">
        <x:f>R636+V636</x:f>
        <x:v>35755.9475</x:v>
      </x:c>
      <x:c r="X636" s="14" t="str">
        <x:f>IF(ABS(W636-SUM(M636:Q636)-V636)&lt;0.01,"OK","Check")</x:f>
        <x:v>OK</x:v>
      </x:c>
    </x:row>
    <x:row r="637">
      <x:c r="A637" s="14" t="n">
        <x:v>2027</x:v>
      </x:c>
      <x:c r="B637" s="14" t="str">
        <x:v>Q4</x:v>
      </x:c>
      <x:c r="C637" s="14" t="n">
        <x:v>4</x:v>
      </x:c>
      <x:c r="D637" s="14" t="n">
        <x:v>55</x:v>
      </x:c>
      <x:c r="E637" s="14" t="str">
        <x:f>INDEX(Roster!$B$6:$B$108,MATCH(D637,Roster!$A$6:$A$108,0))</x:f>
      </x:c>
      <x:c r="F637" s="14" t="str">
        <x:f>INDEX(Roster!$F$6:$F$108,MATCH(D637,Roster!$A$6:$A$108,0))</x:f>
        <x:v>No</x:v>
      </x:c>
      <x:c r="G637" s="14" t="n">
        <x:f>INDEX(Inputs!$B$7:$D$7,1,MATCH(A637,Inputs!$B$6:$D$6,0))</x:f>
        <x:v>13</x:v>
      </x:c>
      <x:c r="H637" s="14" t="n">
        <x:f>MIN(=INDEX(Inputs!$B$7:$D$7,1,MATCH(A637,Inputs!$B$6:$D$6,0)),MAX(0,INDEX(Inputs!$B$14:$D$14,1,MATCH(A637,Inputs!$B$6:$D$6,0))-(C637-1)*=INDEX(Inputs!$B$7:$D$7,1,MATCH(A637,Inputs!$B$6:$D$6,0))))</x:f>
        <x:v>0</x:v>
      </x:c>
      <x:c r="I637" s="20" t="n">
        <x:f>INDEX(Inputs!$B$8:$D$8,1,MATCH(A637,Inputs!$B$6:$D$6,0))</x:f>
        <x:v>2395</x:v>
      </x:c>
      <x:c r="J637" s="20" t="n">
        <x:f>INDEX(Roster!$C$6:$C$108,MATCH(D637,Roster!$A$6:$A$108,0))*(1+INDEX(Inputs!$B$9:$D$9,1,MATCH(A637,Inputs!$B$6:$D$6,0)))</x:f>
        <x:v>40</x:v>
      </x:c>
      <x:c r="K637" s="20" t="n">
        <x:f>IF(=INDEX(Roster!$F$6:$F$108,MATCH(D637,Roster!$A$6:$A$108,0))="Yes",0,=INDEX(Inputs!$B$8:$D$8,1,MATCH(A637,Inputs!$B$6:$D$6,0))*IF(=INDEX(Roster!$B$6:$B$108,MATCH(D637,Roster!$A$6:$A$108,0))="Principal",INDEX(Inputs!$B$10:$D$10,1,MATCH(A637,Inputs!$B$6:$D$6,0)),IF(=INDEX(Roster!$B$6:$B$108,MATCH(D637,Roster!$A$6:$A$108,0))="Associate Principal",INDEX(Inputs!$B$11:$D$11,1,MATCH(A637,Inputs!$B$6:$D$6,0)),IF(=INDEX(Roster!$B$6:$B$108,MATCH(D637,Roster!$A$6:$A$108,0))="Assistant Principal",INDEX(Inputs!$B$12:$D$12,1,MATCH(A637,Inputs!$B$6:$D$6,0)),0))))</x:f>
        <x:v>0</x:v>
      </x:c>
      <x:c r="L637" s="20" t="n">
        <x:f>IF(INDEX(Roster!$D$6:$D$108,MATCH(D637,Roster!$A$6:$A$108,0))&gt;=25,INDEX(Inputs!$B$19:$D$19,1,MATCH(A637,Inputs!$B$6:$D$6,0)),IF(INDEX(Roster!$D$6:$D$108,MATCH(D637,Roster!$A$6:$A$108,0))&gt;=20,INDEX(Inputs!$B$18:$D$18,1,MATCH(A637,Inputs!$B$6:$D$6,0)),IF(INDEX(Roster!$D$6:$D$108,MATCH(D637,Roster!$A$6:$A$108,0))&gt;=15,INDEX(Inputs!$B$17:$D$17,1,MATCH(A637,Inputs!$B$6:$D$6,0)),IF(INDEX(Roster!$D$6:$D$108,MATCH(D637,Roster!$A$6:$A$108,0))&gt;=10,INDEX(Inputs!$B$16:$D$16,1,MATCH(A637,Inputs!$B$6:$D$6,0)),IF(INDEX(Roster!$D$6:$D$108,MATCH(D637,Roster!$A$6:$A$108,0))&gt;=5,INDEX(Inputs!$B$15:$D$15,1,MATCH(A637,Inputs!$B$6:$D$6,0)),0)))))</x:f>
        <x:v>90</x:v>
      </x:c>
      <x:c r="M637" s="20" t="n">
        <x:f>G637*I637</x:f>
        <x:v>31135</x:v>
      </x:c>
      <x:c r="N637" s="20" t="n">
        <x:f>G637*J637</x:f>
        <x:v>520</x:v>
      </x:c>
      <x:c r="O637" s="20" t="n">
        <x:f>G637*K637</x:f>
        <x:v>0</x:v>
      </x:c>
      <x:c r="P637" s="20" t="n">
        <x:f>G637*L637</x:f>
        <x:v>1170</x:v>
      </x:c>
      <x:c r="Q637" s="20" t="n">
        <x:f>H637*INDEX(Inputs!$B$13:$D$13,1,MATCH(A637,Inputs!$B$6:$D$6,0))</x:f>
        <x:v>0</x:v>
      </x:c>
      <x:c r="R637" s="20" t="n">
        <x:f>SUM(M637:Q637)</x:f>
        <x:v>32825</x:v>
      </x:c>
      <x:c r="S637" s="20" t="n">
        <x:f>IF(AND(A636=A637,D636=D637),S636+R637,R637)</x:f>
        <x:v>132470</x:v>
      </x:c>
      <x:c r="T637" s="20" t="n">
        <x:f>MIN(S637,INDEX(Inputs!$B$20:$D$20,1,MATCH(A637,Inputs!$B$6:$D$6,0)))*INDEX(Inputs!$B$22:$D$22,1,MATCH(A637,Inputs!$B$6:$D$6,0))+MAX(MIN(S637,INDEX(Inputs!$B$21:$D$21,1,MATCH(A637,Inputs!$B$6:$D$6,0)))-INDEX(Inputs!$B$20:$D$20,1,MATCH(A637,Inputs!$B$6:$D$6,0)),0)*INDEX(Inputs!$B$23:$D$23,1,MATCH(A637,Inputs!$B$6:$D$6,0))+MAX(S637-INDEX(Inputs!$B$21:$D$21,1,MATCH(A637,Inputs!$B$6:$D$6,0)),0)*INDEX(Inputs!$B$24:$D$24,1,MATCH(A637,Inputs!$B$6:$D$6,0))</x:f>
        <x:v>9834.757</x:v>
      </x:c>
      <x:c r="U637" s="20" t="n">
        <x:f>IF(AND(A636=A637,D636=D637),T636,0)</x:f>
        <x:v>8112.8425</x:v>
      </x:c>
      <x:c r="V637" s="20" t="n">
        <x:f>T637-U637</x:f>
        <x:v>1721.9144999999999</x:v>
      </x:c>
      <x:c r="W637" s="20" t="n">
        <x:f>R637+V637</x:f>
        <x:v>34546.9145</x:v>
      </x:c>
      <x:c r="X637" s="14" t="str">
        <x:f>IF(ABS(W637-SUM(M637:Q637)-V637)&lt;0.01,"OK","Check")</x:f>
        <x:v>OK</x:v>
      </x:c>
    </x:row>
    <x:row r="638">
      <x:c r="A638" s="14" t="n">
        <x:v>2027</x:v>
      </x:c>
      <x:c r="B638" s="14" t="str">
        <x:v>Q1</x:v>
      </x:c>
      <x:c r="C638" s="14" t="n">
        <x:v>1</x:v>
      </x:c>
      <x:c r="D638" s="14" t="n">
        <x:v>56</x:v>
      </x:c>
      <x:c r="E638" s="14" t="str">
        <x:f>INDEX(Roster!$B$6:$B$108,MATCH(D638,Roster!$A$6:$A$108,0))</x:f>
        <x:v>Associate Principal</x:v>
      </x:c>
      <x:c r="F638" s="14" t="str">
        <x:f>INDEX(Roster!$F$6:$F$108,MATCH(D638,Roster!$A$6:$A$108,0))</x:f>
        <x:v>No</x:v>
      </x:c>
      <x:c r="G638" s="14" t="n">
        <x:f>INDEX(Inputs!$B$7:$D$7,1,MATCH(A638,Inputs!$B$6:$D$6,0))</x:f>
        <x:v>13</x:v>
      </x:c>
      <x:c r="H638" s="14" t="n">
        <x:f>MIN(=INDEX(Inputs!$B$7:$D$7,1,MATCH(A638,Inputs!$B$6:$D$6,0)),MAX(0,INDEX(Inputs!$B$14:$D$14,1,MATCH(A638,Inputs!$B$6:$D$6,0))-(C638-1)*=INDEX(Inputs!$B$7:$D$7,1,MATCH(A638,Inputs!$B$6:$D$6,0))))</x:f>
        <x:v>13</x:v>
      </x:c>
      <x:c r="I638" s="20" t="n">
        <x:f>INDEX(Inputs!$B$8:$D$8,1,MATCH(A638,Inputs!$B$6:$D$6,0))</x:f>
        <x:v>2395</x:v>
      </x:c>
      <x:c r="J638" s="20" t="n">
        <x:f>INDEX(Roster!$C$6:$C$108,MATCH(D638,Roster!$A$6:$A$108,0))*(1+INDEX(Inputs!$B$9:$D$9,1,MATCH(A638,Inputs!$B$6:$D$6,0)))</x:f>
        <x:v>400</x:v>
      </x:c>
      <x:c r="K638" s="20" t="n">
        <x:f>IF(=INDEX(Roster!$F$6:$F$108,MATCH(D638,Roster!$A$6:$A$108,0))="Yes",0,=INDEX(Inputs!$B$8:$D$8,1,MATCH(A638,Inputs!$B$6:$D$6,0))*IF(=INDEX(Roster!$B$6:$B$108,MATCH(D638,Roster!$A$6:$A$108,0))="Principal",INDEX(Inputs!$B$10:$D$10,1,MATCH(A638,Inputs!$B$6:$D$6,0)),IF(=INDEX(Roster!$B$6:$B$108,MATCH(D638,Roster!$A$6:$A$108,0))="Associate Principal",INDEX(Inputs!$B$11:$D$11,1,MATCH(A638,Inputs!$B$6:$D$6,0)),IF(=INDEX(Roster!$B$6:$B$108,MATCH(D638,Roster!$A$6:$A$108,0))="Assistant Principal",INDEX(Inputs!$B$12:$D$12,1,MATCH(A638,Inputs!$B$6:$D$6,0)),0))))</x:f>
        <x:v>239.5</x:v>
      </x:c>
      <x:c r="L638" s="20" t="n">
        <x:f>IF(INDEX(Roster!$D$6:$D$108,MATCH(D638,Roster!$A$6:$A$108,0))&gt;=25,INDEX(Inputs!$B$19:$D$19,1,MATCH(A638,Inputs!$B$6:$D$6,0)),IF(INDEX(Roster!$D$6:$D$108,MATCH(D638,Roster!$A$6:$A$108,0))&gt;=20,INDEX(Inputs!$B$18:$D$18,1,MATCH(A638,Inputs!$B$6:$D$6,0)),IF(INDEX(Roster!$D$6:$D$108,MATCH(D638,Roster!$A$6:$A$108,0))&gt;=15,INDEX(Inputs!$B$17:$D$17,1,MATCH(A638,Inputs!$B$6:$D$6,0)),IF(INDEX(Roster!$D$6:$D$108,MATCH(D638,Roster!$A$6:$A$108,0))&gt;=10,INDEX(Inputs!$B$16:$D$16,1,MATCH(A638,Inputs!$B$6:$D$6,0)),IF(INDEX(Roster!$D$6:$D$108,MATCH(D638,Roster!$A$6:$A$108,0))&gt;=5,INDEX(Inputs!$B$15:$D$15,1,MATCH(A638,Inputs!$B$6:$D$6,0)),0)))))</x:f>
        <x:v>80</x:v>
      </x:c>
      <x:c r="M638" s="20" t="n">
        <x:f>G638*I638</x:f>
        <x:v>31135</x:v>
      </x:c>
      <x:c r="N638" s="20" t="n">
        <x:f>G638*J638</x:f>
        <x:v>5200</x:v>
      </x:c>
      <x:c r="O638" s="20" t="n">
        <x:f>G638*K638</x:f>
        <x:v>3113.5</x:v>
      </x:c>
      <x:c r="P638" s="20" t="n">
        <x:f>G638*L638</x:f>
        <x:v>1040</x:v>
      </x:c>
      <x:c r="Q638" s="20" t="n">
        <x:f>H638*INDEX(Inputs!$B$13:$D$13,1,MATCH(A638,Inputs!$B$6:$D$6,0))</x:f>
        <x:v>390</x:v>
      </x:c>
      <x:c r="R638" s="20" t="n">
        <x:f>SUM(M638:Q638)</x:f>
        <x:v>40878.5</x:v>
      </x:c>
      <x:c r="S638" s="20" t="n">
        <x:f>IF(AND(A637=A638,D637=D638),S637+R638,R638)</x:f>
        <x:v>40878.5</x:v>
      </x:c>
      <x:c r="T638" s="20" t="n">
        <x:f>MIN(S638,INDEX(Inputs!$B$20:$D$20,1,MATCH(A638,Inputs!$B$6:$D$6,0)))*INDEX(Inputs!$B$22:$D$22,1,MATCH(A638,Inputs!$B$6:$D$6,0))+MAX(MIN(S638,INDEX(Inputs!$B$21:$D$21,1,MATCH(A638,Inputs!$B$6:$D$6,0)))-INDEX(Inputs!$B$20:$D$20,1,MATCH(A638,Inputs!$B$6:$D$6,0)),0)*INDEX(Inputs!$B$23:$D$23,1,MATCH(A638,Inputs!$B$6:$D$6,0))+MAX(S638-INDEX(Inputs!$B$21:$D$21,1,MATCH(A638,Inputs!$B$6:$D$6,0)),0)*INDEX(Inputs!$B$24:$D$24,1,MATCH(A638,Inputs!$B$6:$D$6,0))</x:f>
        <x:v>3617.20525</x:v>
      </x:c>
      <x:c r="U638" s="20" t="n">
        <x:f>IF(AND(A637=A638,D637=D638),T637,0)</x:f>
        <x:v>0</x:v>
      </x:c>
      <x:c r="V638" s="20" t="n">
        <x:f>T638-U638</x:f>
        <x:v>3617.20525</x:v>
      </x:c>
      <x:c r="W638" s="20" t="n">
        <x:f>R638+V638</x:f>
        <x:v>44495.70525</x:v>
      </x:c>
      <x:c r="X638" s="14" t="str">
        <x:f>IF(ABS(W638-SUM(M638:Q638)-V638)&lt;0.01,"OK","Check")</x:f>
        <x:v>OK</x:v>
      </x:c>
    </x:row>
    <x:row r="639">
      <x:c r="A639" s="14" t="n">
        <x:v>2027</x:v>
      </x:c>
      <x:c r="B639" s="14" t="str">
        <x:v>Q2</x:v>
      </x:c>
      <x:c r="C639" s="14" t="n">
        <x:v>2</x:v>
      </x:c>
      <x:c r="D639" s="14" t="n">
        <x:v>56</x:v>
      </x:c>
      <x:c r="E639" s="14" t="str">
        <x:f>INDEX(Roster!$B$6:$B$108,MATCH(D639,Roster!$A$6:$A$108,0))</x:f>
        <x:v>Associate Principal</x:v>
      </x:c>
      <x:c r="F639" s="14" t="str">
        <x:f>INDEX(Roster!$F$6:$F$108,MATCH(D639,Roster!$A$6:$A$108,0))</x:f>
        <x:v>No</x:v>
      </x:c>
      <x:c r="G639" s="14" t="n">
        <x:f>INDEX(Inputs!$B$7:$D$7,1,MATCH(A639,Inputs!$B$6:$D$6,0))</x:f>
        <x:v>13</x:v>
      </x:c>
      <x:c r="H639" s="14" t="n">
        <x:f>MIN(=INDEX(Inputs!$B$7:$D$7,1,MATCH(A639,Inputs!$B$6:$D$6,0)),MAX(0,INDEX(Inputs!$B$14:$D$14,1,MATCH(A639,Inputs!$B$6:$D$6,0))-(C639-1)*=INDEX(Inputs!$B$7:$D$7,1,MATCH(A639,Inputs!$B$6:$D$6,0))))</x:f>
        <x:v>13</x:v>
      </x:c>
      <x:c r="I639" s="20" t="n">
        <x:f>INDEX(Inputs!$B$8:$D$8,1,MATCH(A639,Inputs!$B$6:$D$6,0))</x:f>
        <x:v>2395</x:v>
      </x:c>
      <x:c r="J639" s="20" t="n">
        <x:f>INDEX(Roster!$C$6:$C$108,MATCH(D639,Roster!$A$6:$A$108,0))*(1+INDEX(Inputs!$B$9:$D$9,1,MATCH(A639,Inputs!$B$6:$D$6,0)))</x:f>
        <x:v>400</x:v>
      </x:c>
      <x:c r="K639" s="20" t="n">
        <x:f>IF(=INDEX(Roster!$F$6:$F$108,MATCH(D639,Roster!$A$6:$A$108,0))="Yes",0,=INDEX(Inputs!$B$8:$D$8,1,MATCH(A639,Inputs!$B$6:$D$6,0))*IF(=INDEX(Roster!$B$6:$B$108,MATCH(D639,Roster!$A$6:$A$108,0))="Principal",INDEX(Inputs!$B$10:$D$10,1,MATCH(A639,Inputs!$B$6:$D$6,0)),IF(=INDEX(Roster!$B$6:$B$108,MATCH(D639,Roster!$A$6:$A$108,0))="Associate Principal",INDEX(Inputs!$B$11:$D$11,1,MATCH(A639,Inputs!$B$6:$D$6,0)),IF(=INDEX(Roster!$B$6:$B$108,MATCH(D639,Roster!$A$6:$A$108,0))="Assistant Principal",INDEX(Inputs!$B$12:$D$12,1,MATCH(A639,Inputs!$B$6:$D$6,0)),0))))</x:f>
        <x:v>239.5</x:v>
      </x:c>
      <x:c r="L639" s="20" t="n">
        <x:f>IF(INDEX(Roster!$D$6:$D$108,MATCH(D639,Roster!$A$6:$A$108,0))&gt;=25,INDEX(Inputs!$B$19:$D$19,1,MATCH(A639,Inputs!$B$6:$D$6,0)),IF(INDEX(Roster!$D$6:$D$108,MATCH(D639,Roster!$A$6:$A$108,0))&gt;=20,INDEX(Inputs!$B$18:$D$18,1,MATCH(A639,Inputs!$B$6:$D$6,0)),IF(INDEX(Roster!$D$6:$D$108,MATCH(D639,Roster!$A$6:$A$108,0))&gt;=15,INDEX(Inputs!$B$17:$D$17,1,MATCH(A639,Inputs!$B$6:$D$6,0)),IF(INDEX(Roster!$D$6:$D$108,MATCH(D639,Roster!$A$6:$A$108,0))&gt;=10,INDEX(Inputs!$B$16:$D$16,1,MATCH(A639,Inputs!$B$6:$D$6,0)),IF(INDEX(Roster!$D$6:$D$108,MATCH(D639,Roster!$A$6:$A$108,0))&gt;=5,INDEX(Inputs!$B$15:$D$15,1,MATCH(A639,Inputs!$B$6:$D$6,0)),0)))))</x:f>
        <x:v>80</x:v>
      </x:c>
      <x:c r="M639" s="20" t="n">
        <x:f>G639*I639</x:f>
        <x:v>31135</x:v>
      </x:c>
      <x:c r="N639" s="20" t="n">
        <x:f>G639*J639</x:f>
        <x:v>5200</x:v>
      </x:c>
      <x:c r="O639" s="20" t="n">
        <x:f>G639*K639</x:f>
        <x:v>3113.5</x:v>
      </x:c>
      <x:c r="P639" s="20" t="n">
        <x:f>G639*L639</x:f>
        <x:v>1040</x:v>
      </x:c>
      <x:c r="Q639" s="20" t="n">
        <x:f>H639*INDEX(Inputs!$B$13:$D$13,1,MATCH(A639,Inputs!$B$6:$D$6,0))</x:f>
        <x:v>390</x:v>
      </x:c>
      <x:c r="R639" s="20" t="n">
        <x:f>SUM(M639:Q639)</x:f>
        <x:v>40878.5</x:v>
      </x:c>
      <x:c r="S639" s="20" t="n">
        <x:f>IF(AND(A638=A639,D638=D639),S638+R639,R639)</x:f>
        <x:v>81757</x:v>
      </x:c>
      <x:c r="T639" s="20" t="n">
        <x:f>MIN(S639,INDEX(Inputs!$B$20:$D$20,1,MATCH(A639,Inputs!$B$6:$D$6,0)))*INDEX(Inputs!$B$22:$D$22,1,MATCH(A639,Inputs!$B$6:$D$6,0))+MAX(MIN(S639,INDEX(Inputs!$B$21:$D$21,1,MATCH(A639,Inputs!$B$6:$D$6,0)))-INDEX(Inputs!$B$20:$D$20,1,MATCH(A639,Inputs!$B$6:$D$6,0)),0)*INDEX(Inputs!$B$23:$D$23,1,MATCH(A639,Inputs!$B$6:$D$6,0))+MAX(S639-INDEX(Inputs!$B$21:$D$21,1,MATCH(A639,Inputs!$B$6:$D$6,0)),0)*INDEX(Inputs!$B$24:$D$24,1,MATCH(A639,Inputs!$B$6:$D$6,0))</x:f>
        <x:v>6744.4105</x:v>
      </x:c>
      <x:c r="U639" s="20" t="n">
        <x:f>IF(AND(A638=A639,D638=D639),T638,0)</x:f>
        <x:v>3617.20525</x:v>
      </x:c>
      <x:c r="V639" s="20" t="n">
        <x:f>T639-U639</x:f>
        <x:v>3127.20525</x:v>
      </x:c>
      <x:c r="W639" s="20" t="n">
        <x:f>R639+V639</x:f>
        <x:v>44005.70525</x:v>
      </x:c>
      <x:c r="X639" s="14" t="str">
        <x:f>IF(ABS(W639-SUM(M639:Q639)-V639)&lt;0.01,"OK","Check")</x:f>
        <x:v>OK</x:v>
      </x:c>
    </x:row>
    <x:row r="640">
      <x:c r="A640" s="14" t="n">
        <x:v>2027</x:v>
      </x:c>
      <x:c r="B640" s="14" t="str">
        <x:v>Q3</x:v>
      </x:c>
      <x:c r="C640" s="14" t="n">
        <x:v>3</x:v>
      </x:c>
      <x:c r="D640" s="14" t="n">
        <x:v>56</x:v>
      </x:c>
      <x:c r="E640" s="14" t="str">
        <x:f>INDEX(Roster!$B$6:$B$108,MATCH(D640,Roster!$A$6:$A$108,0))</x:f>
        <x:v>Associate Principal</x:v>
      </x:c>
      <x:c r="F640" s="14" t="str">
        <x:f>INDEX(Roster!$F$6:$F$108,MATCH(D640,Roster!$A$6:$A$108,0))</x:f>
        <x:v>No</x:v>
      </x:c>
      <x:c r="G640" s="14" t="n">
        <x:f>INDEX(Inputs!$B$7:$D$7,1,MATCH(A640,Inputs!$B$6:$D$6,0))</x:f>
        <x:v>13</x:v>
      </x:c>
      <x:c r="H640" s="14" t="n">
        <x:f>MIN(=INDEX(Inputs!$B$7:$D$7,1,MATCH(A640,Inputs!$B$6:$D$6,0)),MAX(0,INDEX(Inputs!$B$14:$D$14,1,MATCH(A640,Inputs!$B$6:$D$6,0))-(C640-1)*=INDEX(Inputs!$B$7:$D$7,1,MATCH(A640,Inputs!$B$6:$D$6,0))))</x:f>
        <x:v>13</x:v>
      </x:c>
      <x:c r="I640" s="20" t="n">
        <x:f>INDEX(Inputs!$B$8:$D$8,1,MATCH(A640,Inputs!$B$6:$D$6,0))</x:f>
        <x:v>2395</x:v>
      </x:c>
      <x:c r="J640" s="20" t="n">
        <x:f>INDEX(Roster!$C$6:$C$108,MATCH(D640,Roster!$A$6:$A$108,0))*(1+INDEX(Inputs!$B$9:$D$9,1,MATCH(A640,Inputs!$B$6:$D$6,0)))</x:f>
        <x:v>400</x:v>
      </x:c>
      <x:c r="K640" s="20" t="n">
        <x:f>IF(=INDEX(Roster!$F$6:$F$108,MATCH(D640,Roster!$A$6:$A$108,0))="Yes",0,=INDEX(Inputs!$B$8:$D$8,1,MATCH(A640,Inputs!$B$6:$D$6,0))*IF(=INDEX(Roster!$B$6:$B$108,MATCH(D640,Roster!$A$6:$A$108,0))="Principal",INDEX(Inputs!$B$10:$D$10,1,MATCH(A640,Inputs!$B$6:$D$6,0)),IF(=INDEX(Roster!$B$6:$B$108,MATCH(D640,Roster!$A$6:$A$108,0))="Associate Principal",INDEX(Inputs!$B$11:$D$11,1,MATCH(A640,Inputs!$B$6:$D$6,0)),IF(=INDEX(Roster!$B$6:$B$108,MATCH(D640,Roster!$A$6:$A$108,0))="Assistant Principal",INDEX(Inputs!$B$12:$D$12,1,MATCH(A640,Inputs!$B$6:$D$6,0)),0))))</x:f>
        <x:v>239.5</x:v>
      </x:c>
      <x:c r="L640" s="20" t="n">
        <x:f>IF(INDEX(Roster!$D$6:$D$108,MATCH(D640,Roster!$A$6:$A$108,0))&gt;=25,INDEX(Inputs!$B$19:$D$19,1,MATCH(A640,Inputs!$B$6:$D$6,0)),IF(INDEX(Roster!$D$6:$D$108,MATCH(D640,Roster!$A$6:$A$108,0))&gt;=20,INDEX(Inputs!$B$18:$D$18,1,MATCH(A640,Inputs!$B$6:$D$6,0)),IF(INDEX(Roster!$D$6:$D$108,MATCH(D640,Roster!$A$6:$A$108,0))&gt;=15,INDEX(Inputs!$B$17:$D$17,1,MATCH(A640,Inputs!$B$6:$D$6,0)),IF(INDEX(Roster!$D$6:$D$108,MATCH(D640,Roster!$A$6:$A$108,0))&gt;=10,INDEX(Inputs!$B$16:$D$16,1,MATCH(A640,Inputs!$B$6:$D$6,0)),IF(INDEX(Roster!$D$6:$D$108,MATCH(D640,Roster!$A$6:$A$108,0))&gt;=5,INDEX(Inputs!$B$15:$D$15,1,MATCH(A640,Inputs!$B$6:$D$6,0)),0)))))</x:f>
        <x:v>80</x:v>
      </x:c>
      <x:c r="M640" s="20" t="n">
        <x:f>G640*I640</x:f>
        <x:v>31135</x:v>
      </x:c>
      <x:c r="N640" s="20" t="n">
        <x:f>G640*J640</x:f>
        <x:v>5200</x:v>
      </x:c>
      <x:c r="O640" s="20" t="n">
        <x:f>G640*K640</x:f>
        <x:v>3113.5</x:v>
      </x:c>
      <x:c r="P640" s="20" t="n">
        <x:f>G640*L640</x:f>
        <x:v>1040</x:v>
      </x:c>
      <x:c r="Q640" s="20" t="n">
        <x:f>H640*INDEX(Inputs!$B$13:$D$13,1,MATCH(A640,Inputs!$B$6:$D$6,0))</x:f>
        <x:v>390</x:v>
      </x:c>
      <x:c r="R640" s="20" t="n">
        <x:f>SUM(M640:Q640)</x:f>
        <x:v>40878.5</x:v>
      </x:c>
      <x:c r="S640" s="20" t="n">
        <x:f>IF(AND(A639=A640,D639=D640),S639+R640,R640)</x:f>
        <x:v>122635.5</x:v>
      </x:c>
      <x:c r="T640" s="20" t="n">
        <x:f>MIN(S640,INDEX(Inputs!$B$20:$D$20,1,MATCH(A640,Inputs!$B$6:$D$6,0)))*INDEX(Inputs!$B$22:$D$22,1,MATCH(A640,Inputs!$B$6:$D$6,0))+MAX(MIN(S640,INDEX(Inputs!$B$21:$D$21,1,MATCH(A640,Inputs!$B$6:$D$6,0)))-INDEX(Inputs!$B$20:$D$20,1,MATCH(A640,Inputs!$B$6:$D$6,0)),0)*INDEX(Inputs!$B$23:$D$23,1,MATCH(A640,Inputs!$B$6:$D$6,0))+MAX(S640-INDEX(Inputs!$B$21:$D$21,1,MATCH(A640,Inputs!$B$6:$D$6,0)),0)*INDEX(Inputs!$B$24:$D$24,1,MATCH(A640,Inputs!$B$6:$D$6,0))</x:f>
        <x:v>9692.15675</x:v>
      </x:c>
      <x:c r="U640" s="20" t="n">
        <x:f>IF(AND(A639=A640,D639=D640),T639,0)</x:f>
        <x:v>6744.4105</x:v>
      </x:c>
      <x:c r="V640" s="20" t="n">
        <x:f>T640-U640</x:f>
        <x:v>2947.74625</x:v>
      </x:c>
      <x:c r="W640" s="20" t="n">
        <x:f>R640+V640</x:f>
        <x:v>43826.24625</x:v>
      </x:c>
      <x:c r="X640" s="14" t="str">
        <x:f>IF(ABS(W640-SUM(M640:Q640)-V640)&lt;0.01,"OK","Check")</x:f>
        <x:v>OK</x:v>
      </x:c>
    </x:row>
    <x:row r="641">
      <x:c r="A641" s="14" t="n">
        <x:v>2027</x:v>
      </x:c>
      <x:c r="B641" s="14" t="str">
        <x:v>Q4</x:v>
      </x:c>
      <x:c r="C641" s="14" t="n">
        <x:v>4</x:v>
      </x:c>
      <x:c r="D641" s="14" t="n">
        <x:v>56</x:v>
      </x:c>
      <x:c r="E641" s="14" t="str">
        <x:f>INDEX(Roster!$B$6:$B$108,MATCH(D641,Roster!$A$6:$A$108,0))</x:f>
        <x:v>Associate Principal</x:v>
      </x:c>
      <x:c r="F641" s="14" t="str">
        <x:f>INDEX(Roster!$F$6:$F$108,MATCH(D641,Roster!$A$6:$A$108,0))</x:f>
        <x:v>No</x:v>
      </x:c>
      <x:c r="G641" s="14" t="n">
        <x:f>INDEX(Inputs!$B$7:$D$7,1,MATCH(A641,Inputs!$B$6:$D$6,0))</x:f>
        <x:v>13</x:v>
      </x:c>
      <x:c r="H641" s="14" t="n">
        <x:f>MIN(=INDEX(Inputs!$B$7:$D$7,1,MATCH(A641,Inputs!$B$6:$D$6,0)),MAX(0,INDEX(Inputs!$B$14:$D$14,1,MATCH(A641,Inputs!$B$6:$D$6,0))-(C641-1)*=INDEX(Inputs!$B$7:$D$7,1,MATCH(A641,Inputs!$B$6:$D$6,0))))</x:f>
        <x:v>0</x:v>
      </x:c>
      <x:c r="I641" s="20" t="n">
        <x:f>INDEX(Inputs!$B$8:$D$8,1,MATCH(A641,Inputs!$B$6:$D$6,0))</x:f>
        <x:v>2395</x:v>
      </x:c>
      <x:c r="J641" s="20" t="n">
        <x:f>INDEX(Roster!$C$6:$C$108,MATCH(D641,Roster!$A$6:$A$108,0))*(1+INDEX(Inputs!$B$9:$D$9,1,MATCH(A641,Inputs!$B$6:$D$6,0)))</x:f>
        <x:v>400</x:v>
      </x:c>
      <x:c r="K641" s="20" t="n">
        <x:f>IF(=INDEX(Roster!$F$6:$F$108,MATCH(D641,Roster!$A$6:$A$108,0))="Yes",0,=INDEX(Inputs!$B$8:$D$8,1,MATCH(A641,Inputs!$B$6:$D$6,0))*IF(=INDEX(Roster!$B$6:$B$108,MATCH(D641,Roster!$A$6:$A$108,0))="Principal",INDEX(Inputs!$B$10:$D$10,1,MATCH(A641,Inputs!$B$6:$D$6,0)),IF(=INDEX(Roster!$B$6:$B$108,MATCH(D641,Roster!$A$6:$A$108,0))="Associate Principal",INDEX(Inputs!$B$11:$D$11,1,MATCH(A641,Inputs!$B$6:$D$6,0)),IF(=INDEX(Roster!$B$6:$B$108,MATCH(D641,Roster!$A$6:$A$108,0))="Assistant Principal",INDEX(Inputs!$B$12:$D$12,1,MATCH(A641,Inputs!$B$6:$D$6,0)),0))))</x:f>
        <x:v>239.5</x:v>
      </x:c>
      <x:c r="L641" s="20" t="n">
        <x:f>IF(INDEX(Roster!$D$6:$D$108,MATCH(D641,Roster!$A$6:$A$108,0))&gt;=25,INDEX(Inputs!$B$19:$D$19,1,MATCH(A641,Inputs!$B$6:$D$6,0)),IF(INDEX(Roster!$D$6:$D$108,MATCH(D641,Roster!$A$6:$A$108,0))&gt;=20,INDEX(Inputs!$B$18:$D$18,1,MATCH(A641,Inputs!$B$6:$D$6,0)),IF(INDEX(Roster!$D$6:$D$108,MATCH(D641,Roster!$A$6:$A$108,0))&gt;=15,INDEX(Inputs!$B$17:$D$17,1,MATCH(A641,Inputs!$B$6:$D$6,0)),IF(INDEX(Roster!$D$6:$D$108,MATCH(D641,Roster!$A$6:$A$108,0))&gt;=10,INDEX(Inputs!$B$16:$D$16,1,MATCH(A641,Inputs!$B$6:$D$6,0)),IF(INDEX(Roster!$D$6:$D$108,MATCH(D641,Roster!$A$6:$A$108,0))&gt;=5,INDEX(Inputs!$B$15:$D$15,1,MATCH(A641,Inputs!$B$6:$D$6,0)),0)))))</x:f>
        <x:v>80</x:v>
      </x:c>
      <x:c r="M641" s="20" t="n">
        <x:f>G641*I641</x:f>
        <x:v>31135</x:v>
      </x:c>
      <x:c r="N641" s="20" t="n">
        <x:f>G641*J641</x:f>
        <x:v>5200</x:v>
      </x:c>
      <x:c r="O641" s="20" t="n">
        <x:f>G641*K641</x:f>
        <x:v>3113.5</x:v>
      </x:c>
      <x:c r="P641" s="20" t="n">
        <x:f>G641*L641</x:f>
        <x:v>1040</x:v>
      </x:c>
      <x:c r="Q641" s="20" t="n">
        <x:f>H641*INDEX(Inputs!$B$13:$D$13,1,MATCH(A641,Inputs!$B$6:$D$6,0))</x:f>
        <x:v>0</x:v>
      </x:c>
      <x:c r="R641" s="20" t="n">
        <x:f>SUM(M641:Q641)</x:f>
        <x:v>40488.5</x:v>
      </x:c>
      <x:c r="S641" s="20" t="n">
        <x:f>IF(AND(A640=A641,D640=D641),S640+R641,R641)</x:f>
        <x:v>163124</x:v>
      </x:c>
      <x:c r="T641" s="20" t="n">
        <x:f>MIN(S641,INDEX(Inputs!$B$20:$D$20,1,MATCH(A641,Inputs!$B$6:$D$6,0)))*INDEX(Inputs!$B$22:$D$22,1,MATCH(A641,Inputs!$B$6:$D$6,0))+MAX(MIN(S641,INDEX(Inputs!$B$21:$D$21,1,MATCH(A641,Inputs!$B$6:$D$6,0)))-INDEX(Inputs!$B$20:$D$20,1,MATCH(A641,Inputs!$B$6:$D$6,0)),0)*INDEX(Inputs!$B$23:$D$23,1,MATCH(A641,Inputs!$B$6:$D$6,0))+MAX(S641-INDEX(Inputs!$B$21:$D$21,1,MATCH(A641,Inputs!$B$6:$D$6,0)),0)*INDEX(Inputs!$B$24:$D$24,1,MATCH(A641,Inputs!$B$6:$D$6,0))</x:f>
        <x:v>10279.24</x:v>
      </x:c>
      <x:c r="U641" s="20" t="n">
        <x:f>IF(AND(A640=A641,D640=D641),T640,0)</x:f>
        <x:v>9692.15675</x:v>
      </x:c>
      <x:c r="V641" s="20" t="n">
        <x:f>T641-U641</x:f>
        <x:v>587.0832499999997</x:v>
      </x:c>
      <x:c r="W641" s="20" t="n">
        <x:f>R641+V641</x:f>
        <x:v>41075.583249999996</x:v>
      </x:c>
      <x:c r="X641" s="14" t="str">
        <x:f>IF(ABS(W641-SUM(M641:Q641)-V641)&lt;0.01,"OK","Check")</x:f>
        <x:v>OK</x:v>
      </x:c>
    </x:row>
    <x:row r="642">
      <x:c r="A642" s="14" t="n">
        <x:v>2027</x:v>
      </x:c>
      <x:c r="B642" s="14" t="str">
        <x:v>Q1</x:v>
      </x:c>
      <x:c r="C642" s="14" t="n">
        <x:v>1</x:v>
      </x:c>
      <x:c r="D642" s="14" t="n">
        <x:v>57</x:v>
      </x:c>
      <x:c r="E642" s="14" t="str">
        <x:f>INDEX(Roster!$B$6:$B$108,MATCH(D642,Roster!$A$6:$A$108,0))</x:f>
      </x:c>
      <x:c r="F642" s="14" t="str">
        <x:f>INDEX(Roster!$F$6:$F$108,MATCH(D642,Roster!$A$6:$A$108,0))</x:f>
        <x:v>No</x:v>
      </x:c>
      <x:c r="G642" s="14" t="n">
        <x:f>INDEX(Inputs!$B$7:$D$7,1,MATCH(A642,Inputs!$B$6:$D$6,0))</x:f>
        <x:v>13</x:v>
      </x:c>
      <x:c r="H642" s="14" t="n">
        <x:f>MIN(=INDEX(Inputs!$B$7:$D$7,1,MATCH(A642,Inputs!$B$6:$D$6,0)),MAX(0,INDEX(Inputs!$B$14:$D$14,1,MATCH(A642,Inputs!$B$6:$D$6,0))-(C642-1)*=INDEX(Inputs!$B$7:$D$7,1,MATCH(A642,Inputs!$B$6:$D$6,0))))</x:f>
        <x:v>13</x:v>
      </x:c>
      <x:c r="I642" s="20" t="n">
        <x:f>INDEX(Inputs!$B$8:$D$8,1,MATCH(A642,Inputs!$B$6:$D$6,0))</x:f>
        <x:v>2395</x:v>
      </x:c>
      <x:c r="J642" s="20" t="n">
        <x:f>INDEX(Roster!$C$6:$C$108,MATCH(D642,Roster!$A$6:$A$108,0))*(1+INDEX(Inputs!$B$9:$D$9,1,MATCH(A642,Inputs!$B$6:$D$6,0)))</x:f>
        <x:v>75</x:v>
      </x:c>
      <x:c r="K642" s="20" t="n">
        <x:f>IF(=INDEX(Roster!$F$6:$F$108,MATCH(D642,Roster!$A$6:$A$108,0))="Yes",0,=INDEX(Inputs!$B$8:$D$8,1,MATCH(A642,Inputs!$B$6:$D$6,0))*IF(=INDEX(Roster!$B$6:$B$108,MATCH(D642,Roster!$A$6:$A$108,0))="Principal",INDEX(Inputs!$B$10:$D$10,1,MATCH(A642,Inputs!$B$6:$D$6,0)),IF(=INDEX(Roster!$B$6:$B$108,MATCH(D642,Roster!$A$6:$A$108,0))="Associate Principal",INDEX(Inputs!$B$11:$D$11,1,MATCH(A642,Inputs!$B$6:$D$6,0)),IF(=INDEX(Roster!$B$6:$B$108,MATCH(D642,Roster!$A$6:$A$108,0))="Assistant Principal",INDEX(Inputs!$B$12:$D$12,1,MATCH(A642,Inputs!$B$6:$D$6,0)),0))))</x:f>
        <x:v>0</x:v>
      </x:c>
      <x:c r="L642" s="20" t="n">
        <x:f>IF(INDEX(Roster!$D$6:$D$108,MATCH(D642,Roster!$A$6:$A$108,0))&gt;=25,INDEX(Inputs!$B$19:$D$19,1,MATCH(A642,Inputs!$B$6:$D$6,0)),IF(INDEX(Roster!$D$6:$D$108,MATCH(D642,Roster!$A$6:$A$108,0))&gt;=20,INDEX(Inputs!$B$18:$D$18,1,MATCH(A642,Inputs!$B$6:$D$6,0)),IF(INDEX(Roster!$D$6:$D$108,MATCH(D642,Roster!$A$6:$A$108,0))&gt;=15,INDEX(Inputs!$B$17:$D$17,1,MATCH(A642,Inputs!$B$6:$D$6,0)),IF(INDEX(Roster!$D$6:$D$108,MATCH(D642,Roster!$A$6:$A$108,0))&gt;=10,INDEX(Inputs!$B$16:$D$16,1,MATCH(A642,Inputs!$B$6:$D$6,0)),IF(INDEX(Roster!$D$6:$D$108,MATCH(D642,Roster!$A$6:$A$108,0))&gt;=5,INDEX(Inputs!$B$15:$D$15,1,MATCH(A642,Inputs!$B$6:$D$6,0)),0)))))</x:f>
        <x:v>80</x:v>
      </x:c>
      <x:c r="M642" s="20" t="n">
        <x:f>G642*I642</x:f>
        <x:v>31135</x:v>
      </x:c>
      <x:c r="N642" s="20" t="n">
        <x:f>G642*J642</x:f>
        <x:v>975</x:v>
      </x:c>
      <x:c r="O642" s="20" t="n">
        <x:f>G642*K642</x:f>
        <x:v>0</x:v>
      </x:c>
      <x:c r="P642" s="20" t="n">
        <x:f>G642*L642</x:f>
        <x:v>1040</x:v>
      </x:c>
      <x:c r="Q642" s="20" t="n">
        <x:f>H642*INDEX(Inputs!$B$13:$D$13,1,MATCH(A642,Inputs!$B$6:$D$6,0))</x:f>
        <x:v>390</x:v>
      </x:c>
      <x:c r="R642" s="20" t="n">
        <x:f>SUM(M642:Q642)</x:f>
        <x:v>33540</x:v>
      </x:c>
      <x:c r="S642" s="20" t="n">
        <x:f>IF(AND(A641=A642,D641=D642),S641+R642,R642)</x:f>
        <x:v>33540</x:v>
      </x:c>
      <x:c r="T642" s="20" t="n">
        <x:f>MIN(S642,INDEX(Inputs!$B$20:$D$20,1,MATCH(A642,Inputs!$B$6:$D$6,0)))*INDEX(Inputs!$B$22:$D$22,1,MATCH(A642,Inputs!$B$6:$D$6,0))+MAX(MIN(S642,INDEX(Inputs!$B$21:$D$21,1,MATCH(A642,Inputs!$B$6:$D$6,0)))-INDEX(Inputs!$B$20:$D$20,1,MATCH(A642,Inputs!$B$6:$D$6,0)),0)*INDEX(Inputs!$B$23:$D$23,1,MATCH(A642,Inputs!$B$6:$D$6,0))+MAX(S642-INDEX(Inputs!$B$21:$D$21,1,MATCH(A642,Inputs!$B$6:$D$6,0)),0)*INDEX(Inputs!$B$24:$D$24,1,MATCH(A642,Inputs!$B$6:$D$6,0))</x:f>
        <x:v>3055.81</x:v>
      </x:c>
      <x:c r="U642" s="20" t="n">
        <x:f>IF(AND(A641=A642,D641=D642),T641,0)</x:f>
        <x:v>0</x:v>
      </x:c>
      <x:c r="V642" s="20" t="n">
        <x:f>T642-U642</x:f>
        <x:v>3055.81</x:v>
      </x:c>
      <x:c r="W642" s="20" t="n">
        <x:f>R642+V642</x:f>
        <x:v>36595.81</x:v>
      </x:c>
      <x:c r="X642" s="14" t="str">
        <x:f>IF(ABS(W642-SUM(M642:Q642)-V642)&lt;0.01,"OK","Check")</x:f>
        <x:v>OK</x:v>
      </x:c>
    </x:row>
    <x:row r="643">
      <x:c r="A643" s="14" t="n">
        <x:v>2027</x:v>
      </x:c>
      <x:c r="B643" s="14" t="str">
        <x:v>Q2</x:v>
      </x:c>
      <x:c r="C643" s="14" t="n">
        <x:v>2</x:v>
      </x:c>
      <x:c r="D643" s="14" t="n">
        <x:v>57</x:v>
      </x:c>
      <x:c r="E643" s="14" t="str">
        <x:f>INDEX(Roster!$B$6:$B$108,MATCH(D643,Roster!$A$6:$A$108,0))</x:f>
      </x:c>
      <x:c r="F643" s="14" t="str">
        <x:f>INDEX(Roster!$F$6:$F$108,MATCH(D643,Roster!$A$6:$A$108,0))</x:f>
        <x:v>No</x:v>
      </x:c>
      <x:c r="G643" s="14" t="n">
        <x:f>INDEX(Inputs!$B$7:$D$7,1,MATCH(A643,Inputs!$B$6:$D$6,0))</x:f>
        <x:v>13</x:v>
      </x:c>
      <x:c r="H643" s="14" t="n">
        <x:f>MIN(=INDEX(Inputs!$B$7:$D$7,1,MATCH(A643,Inputs!$B$6:$D$6,0)),MAX(0,INDEX(Inputs!$B$14:$D$14,1,MATCH(A643,Inputs!$B$6:$D$6,0))-(C643-1)*=INDEX(Inputs!$B$7:$D$7,1,MATCH(A643,Inputs!$B$6:$D$6,0))))</x:f>
        <x:v>13</x:v>
      </x:c>
      <x:c r="I643" s="20" t="n">
        <x:f>INDEX(Inputs!$B$8:$D$8,1,MATCH(A643,Inputs!$B$6:$D$6,0))</x:f>
        <x:v>2395</x:v>
      </x:c>
      <x:c r="J643" s="20" t="n">
        <x:f>INDEX(Roster!$C$6:$C$108,MATCH(D643,Roster!$A$6:$A$108,0))*(1+INDEX(Inputs!$B$9:$D$9,1,MATCH(A643,Inputs!$B$6:$D$6,0)))</x:f>
        <x:v>75</x:v>
      </x:c>
      <x:c r="K643" s="20" t="n">
        <x:f>IF(=INDEX(Roster!$F$6:$F$108,MATCH(D643,Roster!$A$6:$A$108,0))="Yes",0,=INDEX(Inputs!$B$8:$D$8,1,MATCH(A643,Inputs!$B$6:$D$6,0))*IF(=INDEX(Roster!$B$6:$B$108,MATCH(D643,Roster!$A$6:$A$108,0))="Principal",INDEX(Inputs!$B$10:$D$10,1,MATCH(A643,Inputs!$B$6:$D$6,0)),IF(=INDEX(Roster!$B$6:$B$108,MATCH(D643,Roster!$A$6:$A$108,0))="Associate Principal",INDEX(Inputs!$B$11:$D$11,1,MATCH(A643,Inputs!$B$6:$D$6,0)),IF(=INDEX(Roster!$B$6:$B$108,MATCH(D643,Roster!$A$6:$A$108,0))="Assistant Principal",INDEX(Inputs!$B$12:$D$12,1,MATCH(A643,Inputs!$B$6:$D$6,0)),0))))</x:f>
        <x:v>0</x:v>
      </x:c>
      <x:c r="L643" s="20" t="n">
        <x:f>IF(INDEX(Roster!$D$6:$D$108,MATCH(D643,Roster!$A$6:$A$108,0))&gt;=25,INDEX(Inputs!$B$19:$D$19,1,MATCH(A643,Inputs!$B$6:$D$6,0)),IF(INDEX(Roster!$D$6:$D$108,MATCH(D643,Roster!$A$6:$A$108,0))&gt;=20,INDEX(Inputs!$B$18:$D$18,1,MATCH(A643,Inputs!$B$6:$D$6,0)),IF(INDEX(Roster!$D$6:$D$108,MATCH(D643,Roster!$A$6:$A$108,0))&gt;=15,INDEX(Inputs!$B$17:$D$17,1,MATCH(A643,Inputs!$B$6:$D$6,0)),IF(INDEX(Roster!$D$6:$D$108,MATCH(D643,Roster!$A$6:$A$108,0))&gt;=10,INDEX(Inputs!$B$16:$D$16,1,MATCH(A643,Inputs!$B$6:$D$6,0)),IF(INDEX(Roster!$D$6:$D$108,MATCH(D643,Roster!$A$6:$A$108,0))&gt;=5,INDEX(Inputs!$B$15:$D$15,1,MATCH(A643,Inputs!$B$6:$D$6,0)),0)))))</x:f>
        <x:v>80</x:v>
      </x:c>
      <x:c r="M643" s="20" t="n">
        <x:f>G643*I643</x:f>
        <x:v>31135</x:v>
      </x:c>
      <x:c r="N643" s="20" t="n">
        <x:f>G643*J643</x:f>
        <x:v>975</x:v>
      </x:c>
      <x:c r="O643" s="20" t="n">
        <x:f>G643*K643</x:f>
        <x:v>0</x:v>
      </x:c>
      <x:c r="P643" s="20" t="n">
        <x:f>G643*L643</x:f>
        <x:v>1040</x:v>
      </x:c>
      <x:c r="Q643" s="20" t="n">
        <x:f>H643*INDEX(Inputs!$B$13:$D$13,1,MATCH(A643,Inputs!$B$6:$D$6,0))</x:f>
        <x:v>390</x:v>
      </x:c>
      <x:c r="R643" s="20" t="n">
        <x:f>SUM(M643:Q643)</x:f>
        <x:v>33540</x:v>
      </x:c>
      <x:c r="S643" s="20" t="n">
        <x:f>IF(AND(A642=A643,D642=D643),S642+R643,R643)</x:f>
        <x:v>67080</x:v>
      </x:c>
      <x:c r="T643" s="20" t="n">
        <x:f>MIN(S643,INDEX(Inputs!$B$20:$D$20,1,MATCH(A643,Inputs!$B$6:$D$6,0)))*INDEX(Inputs!$B$22:$D$22,1,MATCH(A643,Inputs!$B$6:$D$6,0))+MAX(MIN(S643,INDEX(Inputs!$B$21:$D$21,1,MATCH(A643,Inputs!$B$6:$D$6,0)))-INDEX(Inputs!$B$20:$D$20,1,MATCH(A643,Inputs!$B$6:$D$6,0)),0)*INDEX(Inputs!$B$23:$D$23,1,MATCH(A643,Inputs!$B$6:$D$6,0))+MAX(S643-INDEX(Inputs!$B$21:$D$21,1,MATCH(A643,Inputs!$B$6:$D$6,0)),0)*INDEX(Inputs!$B$24:$D$24,1,MATCH(A643,Inputs!$B$6:$D$6,0))</x:f>
        <x:v>5621.62</x:v>
      </x:c>
      <x:c r="U643" s="20" t="n">
        <x:f>IF(AND(A642=A643,D642=D643),T642,0)</x:f>
        <x:v>3055.81</x:v>
      </x:c>
      <x:c r="V643" s="20" t="n">
        <x:f>T643-U643</x:f>
        <x:v>2565.81</x:v>
      </x:c>
      <x:c r="W643" s="20" t="n">
        <x:f>R643+V643</x:f>
        <x:v>36105.81</x:v>
      </x:c>
      <x:c r="X643" s="14" t="str">
        <x:f>IF(ABS(W643-SUM(M643:Q643)-V643)&lt;0.01,"OK","Check")</x:f>
        <x:v>OK</x:v>
      </x:c>
    </x:row>
    <x:row r="644">
      <x:c r="A644" s="14" t="n">
        <x:v>2027</x:v>
      </x:c>
      <x:c r="B644" s="14" t="str">
        <x:v>Q3</x:v>
      </x:c>
      <x:c r="C644" s="14" t="n">
        <x:v>3</x:v>
      </x:c>
      <x:c r="D644" s="14" t="n">
        <x:v>57</x:v>
      </x:c>
      <x:c r="E644" s="14" t="str">
        <x:f>INDEX(Roster!$B$6:$B$108,MATCH(D644,Roster!$A$6:$A$108,0))</x:f>
      </x:c>
      <x:c r="F644" s="14" t="str">
        <x:f>INDEX(Roster!$F$6:$F$108,MATCH(D644,Roster!$A$6:$A$108,0))</x:f>
        <x:v>No</x:v>
      </x:c>
      <x:c r="G644" s="14" t="n">
        <x:f>INDEX(Inputs!$B$7:$D$7,1,MATCH(A644,Inputs!$B$6:$D$6,0))</x:f>
        <x:v>13</x:v>
      </x:c>
      <x:c r="H644" s="14" t="n">
        <x:f>MIN(=INDEX(Inputs!$B$7:$D$7,1,MATCH(A644,Inputs!$B$6:$D$6,0)),MAX(0,INDEX(Inputs!$B$14:$D$14,1,MATCH(A644,Inputs!$B$6:$D$6,0))-(C644-1)*=INDEX(Inputs!$B$7:$D$7,1,MATCH(A644,Inputs!$B$6:$D$6,0))))</x:f>
        <x:v>13</x:v>
      </x:c>
      <x:c r="I644" s="20" t="n">
        <x:f>INDEX(Inputs!$B$8:$D$8,1,MATCH(A644,Inputs!$B$6:$D$6,0))</x:f>
        <x:v>2395</x:v>
      </x:c>
      <x:c r="J644" s="20" t="n">
        <x:f>INDEX(Roster!$C$6:$C$108,MATCH(D644,Roster!$A$6:$A$108,0))*(1+INDEX(Inputs!$B$9:$D$9,1,MATCH(A644,Inputs!$B$6:$D$6,0)))</x:f>
        <x:v>75</x:v>
      </x:c>
      <x:c r="K644" s="20" t="n">
        <x:f>IF(=INDEX(Roster!$F$6:$F$108,MATCH(D644,Roster!$A$6:$A$108,0))="Yes",0,=INDEX(Inputs!$B$8:$D$8,1,MATCH(A644,Inputs!$B$6:$D$6,0))*IF(=INDEX(Roster!$B$6:$B$108,MATCH(D644,Roster!$A$6:$A$108,0))="Principal",INDEX(Inputs!$B$10:$D$10,1,MATCH(A644,Inputs!$B$6:$D$6,0)),IF(=INDEX(Roster!$B$6:$B$108,MATCH(D644,Roster!$A$6:$A$108,0))="Associate Principal",INDEX(Inputs!$B$11:$D$11,1,MATCH(A644,Inputs!$B$6:$D$6,0)),IF(=INDEX(Roster!$B$6:$B$108,MATCH(D644,Roster!$A$6:$A$108,0))="Assistant Principal",INDEX(Inputs!$B$12:$D$12,1,MATCH(A644,Inputs!$B$6:$D$6,0)),0))))</x:f>
        <x:v>0</x:v>
      </x:c>
      <x:c r="L644" s="20" t="n">
        <x:f>IF(INDEX(Roster!$D$6:$D$108,MATCH(D644,Roster!$A$6:$A$108,0))&gt;=25,INDEX(Inputs!$B$19:$D$19,1,MATCH(A644,Inputs!$B$6:$D$6,0)),IF(INDEX(Roster!$D$6:$D$108,MATCH(D644,Roster!$A$6:$A$108,0))&gt;=20,INDEX(Inputs!$B$18:$D$18,1,MATCH(A644,Inputs!$B$6:$D$6,0)),IF(INDEX(Roster!$D$6:$D$108,MATCH(D644,Roster!$A$6:$A$108,0))&gt;=15,INDEX(Inputs!$B$17:$D$17,1,MATCH(A644,Inputs!$B$6:$D$6,0)),IF(INDEX(Roster!$D$6:$D$108,MATCH(D644,Roster!$A$6:$A$108,0))&gt;=10,INDEX(Inputs!$B$16:$D$16,1,MATCH(A644,Inputs!$B$6:$D$6,0)),IF(INDEX(Roster!$D$6:$D$108,MATCH(D644,Roster!$A$6:$A$108,0))&gt;=5,INDEX(Inputs!$B$15:$D$15,1,MATCH(A644,Inputs!$B$6:$D$6,0)),0)))))</x:f>
        <x:v>80</x:v>
      </x:c>
      <x:c r="M644" s="20" t="n">
        <x:f>G644*I644</x:f>
        <x:v>31135</x:v>
      </x:c>
      <x:c r="N644" s="20" t="n">
        <x:f>G644*J644</x:f>
        <x:v>975</x:v>
      </x:c>
      <x:c r="O644" s="20" t="n">
        <x:f>G644*K644</x:f>
        <x:v>0</x:v>
      </x:c>
      <x:c r="P644" s="20" t="n">
        <x:f>G644*L644</x:f>
        <x:v>1040</x:v>
      </x:c>
      <x:c r="Q644" s="20" t="n">
        <x:f>H644*INDEX(Inputs!$B$13:$D$13,1,MATCH(A644,Inputs!$B$6:$D$6,0))</x:f>
        <x:v>390</x:v>
      </x:c>
      <x:c r="R644" s="20" t="n">
        <x:f>SUM(M644:Q644)</x:f>
        <x:v>33540</x:v>
      </x:c>
      <x:c r="S644" s="20" t="n">
        <x:f>IF(AND(A643=A644,D643=D644),S643+R644,R644)</x:f>
        <x:v>100620</x:v>
      </x:c>
      <x:c r="T644" s="20" t="n">
        <x:f>MIN(S644,INDEX(Inputs!$B$20:$D$20,1,MATCH(A644,Inputs!$B$6:$D$6,0)))*INDEX(Inputs!$B$22:$D$22,1,MATCH(A644,Inputs!$B$6:$D$6,0))+MAX(MIN(S644,INDEX(Inputs!$B$21:$D$21,1,MATCH(A644,Inputs!$B$6:$D$6,0)))-INDEX(Inputs!$B$20:$D$20,1,MATCH(A644,Inputs!$B$6:$D$6,0)),0)*INDEX(Inputs!$B$23:$D$23,1,MATCH(A644,Inputs!$B$6:$D$6,0))+MAX(S644-INDEX(Inputs!$B$21:$D$21,1,MATCH(A644,Inputs!$B$6:$D$6,0)),0)*INDEX(Inputs!$B$24:$D$24,1,MATCH(A644,Inputs!$B$6:$D$6,0))</x:f>
        <x:v>8187.43</x:v>
      </x:c>
      <x:c r="U644" s="20" t="n">
        <x:f>IF(AND(A643=A644,D643=D644),T643,0)</x:f>
        <x:v>5621.62</x:v>
      </x:c>
      <x:c r="V644" s="20" t="n">
        <x:f>T644-U644</x:f>
        <x:v>2565.8100000000004</x:v>
      </x:c>
      <x:c r="W644" s="20" t="n">
        <x:f>R644+V644</x:f>
        <x:v>36105.81</x:v>
      </x:c>
      <x:c r="X644" s="14" t="str">
        <x:f>IF(ABS(W644-SUM(M644:Q644)-V644)&lt;0.01,"OK","Check")</x:f>
        <x:v>OK</x:v>
      </x:c>
    </x:row>
    <x:row r="645">
      <x:c r="A645" s="14" t="n">
        <x:v>2027</x:v>
      </x:c>
      <x:c r="B645" s="14" t="str">
        <x:v>Q4</x:v>
      </x:c>
      <x:c r="C645" s="14" t="n">
        <x:v>4</x:v>
      </x:c>
      <x:c r="D645" s="14" t="n">
        <x:v>57</x:v>
      </x:c>
      <x:c r="E645" s="14" t="str">
        <x:f>INDEX(Roster!$B$6:$B$108,MATCH(D645,Roster!$A$6:$A$108,0))</x:f>
      </x:c>
      <x:c r="F645" s="14" t="str">
        <x:f>INDEX(Roster!$F$6:$F$108,MATCH(D645,Roster!$A$6:$A$108,0))</x:f>
        <x:v>No</x:v>
      </x:c>
      <x:c r="G645" s="14" t="n">
        <x:f>INDEX(Inputs!$B$7:$D$7,1,MATCH(A645,Inputs!$B$6:$D$6,0))</x:f>
        <x:v>13</x:v>
      </x:c>
      <x:c r="H645" s="14" t="n">
        <x:f>MIN(=INDEX(Inputs!$B$7:$D$7,1,MATCH(A645,Inputs!$B$6:$D$6,0)),MAX(0,INDEX(Inputs!$B$14:$D$14,1,MATCH(A645,Inputs!$B$6:$D$6,0))-(C645-1)*=INDEX(Inputs!$B$7:$D$7,1,MATCH(A645,Inputs!$B$6:$D$6,0))))</x:f>
        <x:v>0</x:v>
      </x:c>
      <x:c r="I645" s="20" t="n">
        <x:f>INDEX(Inputs!$B$8:$D$8,1,MATCH(A645,Inputs!$B$6:$D$6,0))</x:f>
        <x:v>2395</x:v>
      </x:c>
      <x:c r="J645" s="20" t="n">
        <x:f>INDEX(Roster!$C$6:$C$108,MATCH(D645,Roster!$A$6:$A$108,0))*(1+INDEX(Inputs!$B$9:$D$9,1,MATCH(A645,Inputs!$B$6:$D$6,0)))</x:f>
        <x:v>75</x:v>
      </x:c>
      <x:c r="K645" s="20" t="n">
        <x:f>IF(=INDEX(Roster!$F$6:$F$108,MATCH(D645,Roster!$A$6:$A$108,0))="Yes",0,=INDEX(Inputs!$B$8:$D$8,1,MATCH(A645,Inputs!$B$6:$D$6,0))*IF(=INDEX(Roster!$B$6:$B$108,MATCH(D645,Roster!$A$6:$A$108,0))="Principal",INDEX(Inputs!$B$10:$D$10,1,MATCH(A645,Inputs!$B$6:$D$6,0)),IF(=INDEX(Roster!$B$6:$B$108,MATCH(D645,Roster!$A$6:$A$108,0))="Associate Principal",INDEX(Inputs!$B$11:$D$11,1,MATCH(A645,Inputs!$B$6:$D$6,0)),IF(=INDEX(Roster!$B$6:$B$108,MATCH(D645,Roster!$A$6:$A$108,0))="Assistant Principal",INDEX(Inputs!$B$12:$D$12,1,MATCH(A645,Inputs!$B$6:$D$6,0)),0))))</x:f>
        <x:v>0</x:v>
      </x:c>
      <x:c r="L645" s="20" t="n">
        <x:f>IF(INDEX(Roster!$D$6:$D$108,MATCH(D645,Roster!$A$6:$A$108,0))&gt;=25,INDEX(Inputs!$B$19:$D$19,1,MATCH(A645,Inputs!$B$6:$D$6,0)),IF(INDEX(Roster!$D$6:$D$108,MATCH(D645,Roster!$A$6:$A$108,0))&gt;=20,INDEX(Inputs!$B$18:$D$18,1,MATCH(A645,Inputs!$B$6:$D$6,0)),IF(INDEX(Roster!$D$6:$D$108,MATCH(D645,Roster!$A$6:$A$108,0))&gt;=15,INDEX(Inputs!$B$17:$D$17,1,MATCH(A645,Inputs!$B$6:$D$6,0)),IF(INDEX(Roster!$D$6:$D$108,MATCH(D645,Roster!$A$6:$A$108,0))&gt;=10,INDEX(Inputs!$B$16:$D$16,1,MATCH(A645,Inputs!$B$6:$D$6,0)),IF(INDEX(Roster!$D$6:$D$108,MATCH(D645,Roster!$A$6:$A$108,0))&gt;=5,INDEX(Inputs!$B$15:$D$15,1,MATCH(A645,Inputs!$B$6:$D$6,0)),0)))))</x:f>
        <x:v>80</x:v>
      </x:c>
      <x:c r="M645" s="20" t="n">
        <x:f>G645*I645</x:f>
        <x:v>31135</x:v>
      </x:c>
      <x:c r="N645" s="20" t="n">
        <x:f>G645*J645</x:f>
        <x:v>975</x:v>
      </x:c>
      <x:c r="O645" s="20" t="n">
        <x:f>G645*K645</x:f>
        <x:v>0</x:v>
      </x:c>
      <x:c r="P645" s="20" t="n">
        <x:f>G645*L645</x:f>
        <x:v>1040</x:v>
      </x:c>
      <x:c r="Q645" s="20" t="n">
        <x:f>H645*INDEX(Inputs!$B$13:$D$13,1,MATCH(A645,Inputs!$B$6:$D$6,0))</x:f>
        <x:v>0</x:v>
      </x:c>
      <x:c r="R645" s="20" t="n">
        <x:f>SUM(M645:Q645)</x:f>
        <x:v>33150</x:v>
      </x:c>
      <x:c r="S645" s="20" t="n">
        <x:f>IF(AND(A644=A645,D644=D645),S644+R645,R645)</x:f>
        <x:v>133770</x:v>
      </x:c>
      <x:c r="T645" s="20" t="n">
        <x:f>MIN(S645,INDEX(Inputs!$B$20:$D$20,1,MATCH(A645,Inputs!$B$6:$D$6,0)))*INDEX(Inputs!$B$22:$D$22,1,MATCH(A645,Inputs!$B$6:$D$6,0))+MAX(MIN(S645,INDEX(Inputs!$B$21:$D$21,1,MATCH(A645,Inputs!$B$6:$D$6,0)))-INDEX(Inputs!$B$20:$D$20,1,MATCH(A645,Inputs!$B$6:$D$6,0)),0)*INDEX(Inputs!$B$23:$D$23,1,MATCH(A645,Inputs!$B$6:$D$6,0))+MAX(S645-INDEX(Inputs!$B$21:$D$21,1,MATCH(A645,Inputs!$B$6:$D$6,0)),0)*INDEX(Inputs!$B$24:$D$24,1,MATCH(A645,Inputs!$B$6:$D$6,0))</x:f>
        <x:v>9853.607</x:v>
      </x:c>
      <x:c r="U645" s="20" t="n">
        <x:f>IF(AND(A644=A645,D644=D645),T644,0)</x:f>
        <x:v>8187.43</x:v>
      </x:c>
      <x:c r="V645" s="20" t="n">
        <x:f>T645-U645</x:f>
        <x:v>1666.1769999999997</x:v>
      </x:c>
      <x:c r="W645" s="20" t="n">
        <x:f>R645+V645</x:f>
        <x:v>34816.176999999996</x:v>
      </x:c>
      <x:c r="X645" s="14" t="str">
        <x:f>IF(ABS(W645-SUM(M645:Q645)-V645)&lt;0.01,"OK","Check")</x:f>
        <x:v>OK</x:v>
      </x:c>
    </x:row>
    <x:row r="646">
      <x:c r="A646" s="14" t="n">
        <x:v>2027</x:v>
      </x:c>
      <x:c r="B646" s="14" t="str">
        <x:v>Q1</x:v>
      </x:c>
      <x:c r="C646" s="14" t="n">
        <x:v>1</x:v>
      </x:c>
      <x:c r="D646" s="14" t="n">
        <x:v>58</x:v>
      </x:c>
      <x:c r="E646" s="14" t="str">
        <x:f>INDEX(Roster!$B$6:$B$108,MATCH(D646,Roster!$A$6:$A$108,0))</x:f>
      </x:c>
      <x:c r="F646" s="14" t="str">
        <x:f>INDEX(Roster!$F$6:$F$108,MATCH(D646,Roster!$A$6:$A$108,0))</x:f>
        <x:v>No</x:v>
      </x:c>
      <x:c r="G646" s="14" t="n">
        <x:f>INDEX(Inputs!$B$7:$D$7,1,MATCH(A646,Inputs!$B$6:$D$6,0))</x:f>
        <x:v>13</x:v>
      </x:c>
      <x:c r="H646" s="14" t="n">
        <x:f>MIN(=INDEX(Inputs!$B$7:$D$7,1,MATCH(A646,Inputs!$B$6:$D$6,0)),MAX(0,INDEX(Inputs!$B$14:$D$14,1,MATCH(A646,Inputs!$B$6:$D$6,0))-(C646-1)*=INDEX(Inputs!$B$7:$D$7,1,MATCH(A646,Inputs!$B$6:$D$6,0))))</x:f>
        <x:v>13</x:v>
      </x:c>
      <x:c r="I646" s="20" t="n">
        <x:f>INDEX(Inputs!$B$8:$D$8,1,MATCH(A646,Inputs!$B$6:$D$6,0))</x:f>
        <x:v>2395</x:v>
      </x:c>
      <x:c r="J646" s="20" t="n">
        <x:f>INDEX(Roster!$C$6:$C$108,MATCH(D646,Roster!$A$6:$A$108,0))*(1+INDEX(Inputs!$B$9:$D$9,1,MATCH(A646,Inputs!$B$6:$D$6,0)))</x:f>
        <x:v>20</x:v>
      </x:c>
      <x:c r="K646" s="20" t="n">
        <x:f>IF(=INDEX(Roster!$F$6:$F$108,MATCH(D646,Roster!$A$6:$A$108,0))="Yes",0,=INDEX(Inputs!$B$8:$D$8,1,MATCH(A646,Inputs!$B$6:$D$6,0))*IF(=INDEX(Roster!$B$6:$B$108,MATCH(D646,Roster!$A$6:$A$108,0))="Principal",INDEX(Inputs!$B$10:$D$10,1,MATCH(A646,Inputs!$B$6:$D$6,0)),IF(=INDEX(Roster!$B$6:$B$108,MATCH(D646,Roster!$A$6:$A$108,0))="Associate Principal",INDEX(Inputs!$B$11:$D$11,1,MATCH(A646,Inputs!$B$6:$D$6,0)),IF(=INDEX(Roster!$B$6:$B$108,MATCH(D646,Roster!$A$6:$A$108,0))="Assistant Principal",INDEX(Inputs!$B$12:$D$12,1,MATCH(A646,Inputs!$B$6:$D$6,0)),0))))</x:f>
        <x:v>0</x:v>
      </x:c>
      <x:c r="L646" s="20" t="n">
        <x:f>IF(INDEX(Roster!$D$6:$D$108,MATCH(D646,Roster!$A$6:$A$108,0))&gt;=25,INDEX(Inputs!$B$19:$D$19,1,MATCH(A646,Inputs!$B$6:$D$6,0)),IF(INDEX(Roster!$D$6:$D$108,MATCH(D646,Roster!$A$6:$A$108,0))&gt;=20,INDEX(Inputs!$B$18:$D$18,1,MATCH(A646,Inputs!$B$6:$D$6,0)),IF(INDEX(Roster!$D$6:$D$108,MATCH(D646,Roster!$A$6:$A$108,0))&gt;=15,INDEX(Inputs!$B$17:$D$17,1,MATCH(A646,Inputs!$B$6:$D$6,0)),IF(INDEX(Roster!$D$6:$D$108,MATCH(D646,Roster!$A$6:$A$108,0))&gt;=10,INDEX(Inputs!$B$16:$D$16,1,MATCH(A646,Inputs!$B$6:$D$6,0)),IF(INDEX(Roster!$D$6:$D$108,MATCH(D646,Roster!$A$6:$A$108,0))&gt;=5,INDEX(Inputs!$B$15:$D$15,1,MATCH(A646,Inputs!$B$6:$D$6,0)),0)))))</x:f>
        <x:v>60</x:v>
      </x:c>
      <x:c r="M646" s="20" t="n">
        <x:f>G646*I646</x:f>
        <x:v>31135</x:v>
      </x:c>
      <x:c r="N646" s="20" t="n">
        <x:f>G646*J646</x:f>
        <x:v>260</x:v>
      </x:c>
      <x:c r="O646" s="20" t="n">
        <x:f>G646*K646</x:f>
        <x:v>0</x:v>
      </x:c>
      <x:c r="P646" s="20" t="n">
        <x:f>G646*L646</x:f>
        <x:v>780</x:v>
      </x:c>
      <x:c r="Q646" s="20" t="n">
        <x:f>H646*INDEX(Inputs!$B$13:$D$13,1,MATCH(A646,Inputs!$B$6:$D$6,0))</x:f>
        <x:v>390</x:v>
      </x:c>
      <x:c r="R646" s="20" t="n">
        <x:f>SUM(M646:Q646)</x:f>
        <x:v>32565</x:v>
      </x:c>
      <x:c r="S646" s="20" t="n">
        <x:f>IF(AND(A645=A646,D645=D646),S645+R646,R646)</x:f>
        <x:v>32565</x:v>
      </x:c>
      <x:c r="T646" s="20" t="n">
        <x:f>MIN(S646,INDEX(Inputs!$B$20:$D$20,1,MATCH(A646,Inputs!$B$6:$D$6,0)))*INDEX(Inputs!$B$22:$D$22,1,MATCH(A646,Inputs!$B$6:$D$6,0))+MAX(MIN(S646,INDEX(Inputs!$B$21:$D$21,1,MATCH(A646,Inputs!$B$6:$D$6,0)))-INDEX(Inputs!$B$20:$D$20,1,MATCH(A646,Inputs!$B$6:$D$6,0)),0)*INDEX(Inputs!$B$23:$D$23,1,MATCH(A646,Inputs!$B$6:$D$6,0))+MAX(S646-INDEX(Inputs!$B$21:$D$21,1,MATCH(A646,Inputs!$B$6:$D$6,0)),0)*INDEX(Inputs!$B$24:$D$24,1,MATCH(A646,Inputs!$B$6:$D$6,0))</x:f>
        <x:v>2981.2225</x:v>
      </x:c>
      <x:c r="U646" s="20" t="n">
        <x:f>IF(AND(A645=A646,D645=D646),T645,0)</x:f>
        <x:v>0</x:v>
      </x:c>
      <x:c r="V646" s="20" t="n">
        <x:f>T646-U646</x:f>
        <x:v>2981.2225</x:v>
      </x:c>
      <x:c r="W646" s="20" t="n">
        <x:f>R646+V646</x:f>
        <x:v>35546.2225</x:v>
      </x:c>
      <x:c r="X646" s="14" t="str">
        <x:f>IF(ABS(W646-SUM(M646:Q646)-V646)&lt;0.01,"OK","Check")</x:f>
        <x:v>OK</x:v>
      </x:c>
    </x:row>
    <x:row r="647">
      <x:c r="A647" s="14" t="n">
        <x:v>2027</x:v>
      </x:c>
      <x:c r="B647" s="14" t="str">
        <x:v>Q2</x:v>
      </x:c>
      <x:c r="C647" s="14" t="n">
        <x:v>2</x:v>
      </x:c>
      <x:c r="D647" s="14" t="n">
        <x:v>58</x:v>
      </x:c>
      <x:c r="E647" s="14" t="str">
        <x:f>INDEX(Roster!$B$6:$B$108,MATCH(D647,Roster!$A$6:$A$108,0))</x:f>
      </x:c>
      <x:c r="F647" s="14" t="str">
        <x:f>INDEX(Roster!$F$6:$F$108,MATCH(D647,Roster!$A$6:$A$108,0))</x:f>
        <x:v>No</x:v>
      </x:c>
      <x:c r="G647" s="14" t="n">
        <x:f>INDEX(Inputs!$B$7:$D$7,1,MATCH(A647,Inputs!$B$6:$D$6,0))</x:f>
        <x:v>13</x:v>
      </x:c>
      <x:c r="H647" s="14" t="n">
        <x:f>MIN(=INDEX(Inputs!$B$7:$D$7,1,MATCH(A647,Inputs!$B$6:$D$6,0)),MAX(0,INDEX(Inputs!$B$14:$D$14,1,MATCH(A647,Inputs!$B$6:$D$6,0))-(C647-1)*=INDEX(Inputs!$B$7:$D$7,1,MATCH(A647,Inputs!$B$6:$D$6,0))))</x:f>
        <x:v>13</x:v>
      </x:c>
      <x:c r="I647" s="20" t="n">
        <x:f>INDEX(Inputs!$B$8:$D$8,1,MATCH(A647,Inputs!$B$6:$D$6,0))</x:f>
        <x:v>2395</x:v>
      </x:c>
      <x:c r="J647" s="20" t="n">
        <x:f>INDEX(Roster!$C$6:$C$108,MATCH(D647,Roster!$A$6:$A$108,0))*(1+INDEX(Inputs!$B$9:$D$9,1,MATCH(A647,Inputs!$B$6:$D$6,0)))</x:f>
        <x:v>20</x:v>
      </x:c>
      <x:c r="K647" s="20" t="n">
        <x:f>IF(=INDEX(Roster!$F$6:$F$108,MATCH(D647,Roster!$A$6:$A$108,0))="Yes",0,=INDEX(Inputs!$B$8:$D$8,1,MATCH(A647,Inputs!$B$6:$D$6,0))*IF(=INDEX(Roster!$B$6:$B$108,MATCH(D647,Roster!$A$6:$A$108,0))="Principal",INDEX(Inputs!$B$10:$D$10,1,MATCH(A647,Inputs!$B$6:$D$6,0)),IF(=INDEX(Roster!$B$6:$B$108,MATCH(D647,Roster!$A$6:$A$108,0))="Associate Principal",INDEX(Inputs!$B$11:$D$11,1,MATCH(A647,Inputs!$B$6:$D$6,0)),IF(=INDEX(Roster!$B$6:$B$108,MATCH(D647,Roster!$A$6:$A$108,0))="Assistant Principal",INDEX(Inputs!$B$12:$D$12,1,MATCH(A647,Inputs!$B$6:$D$6,0)),0))))</x:f>
        <x:v>0</x:v>
      </x:c>
      <x:c r="L647" s="20" t="n">
        <x:f>IF(INDEX(Roster!$D$6:$D$108,MATCH(D647,Roster!$A$6:$A$108,0))&gt;=25,INDEX(Inputs!$B$19:$D$19,1,MATCH(A647,Inputs!$B$6:$D$6,0)),IF(INDEX(Roster!$D$6:$D$108,MATCH(D647,Roster!$A$6:$A$108,0))&gt;=20,INDEX(Inputs!$B$18:$D$18,1,MATCH(A647,Inputs!$B$6:$D$6,0)),IF(INDEX(Roster!$D$6:$D$108,MATCH(D647,Roster!$A$6:$A$108,0))&gt;=15,INDEX(Inputs!$B$17:$D$17,1,MATCH(A647,Inputs!$B$6:$D$6,0)),IF(INDEX(Roster!$D$6:$D$108,MATCH(D647,Roster!$A$6:$A$108,0))&gt;=10,INDEX(Inputs!$B$16:$D$16,1,MATCH(A647,Inputs!$B$6:$D$6,0)),IF(INDEX(Roster!$D$6:$D$108,MATCH(D647,Roster!$A$6:$A$108,0))&gt;=5,INDEX(Inputs!$B$15:$D$15,1,MATCH(A647,Inputs!$B$6:$D$6,0)),0)))))</x:f>
        <x:v>60</x:v>
      </x:c>
      <x:c r="M647" s="20" t="n">
        <x:f>G647*I647</x:f>
        <x:v>31135</x:v>
      </x:c>
      <x:c r="N647" s="20" t="n">
        <x:f>G647*J647</x:f>
        <x:v>260</x:v>
      </x:c>
      <x:c r="O647" s="20" t="n">
        <x:f>G647*K647</x:f>
        <x:v>0</x:v>
      </x:c>
      <x:c r="P647" s="20" t="n">
        <x:f>G647*L647</x:f>
        <x:v>780</x:v>
      </x:c>
      <x:c r="Q647" s="20" t="n">
        <x:f>H647*INDEX(Inputs!$B$13:$D$13,1,MATCH(A647,Inputs!$B$6:$D$6,0))</x:f>
        <x:v>390</x:v>
      </x:c>
      <x:c r="R647" s="20" t="n">
        <x:f>SUM(M647:Q647)</x:f>
        <x:v>32565</x:v>
      </x:c>
      <x:c r="S647" s="20" t="n">
        <x:f>IF(AND(A646=A647,D646=D647),S646+R647,R647)</x:f>
        <x:v>65130</x:v>
      </x:c>
      <x:c r="T647" s="20" t="n">
        <x:f>MIN(S647,INDEX(Inputs!$B$20:$D$20,1,MATCH(A647,Inputs!$B$6:$D$6,0)))*INDEX(Inputs!$B$22:$D$22,1,MATCH(A647,Inputs!$B$6:$D$6,0))+MAX(MIN(S647,INDEX(Inputs!$B$21:$D$21,1,MATCH(A647,Inputs!$B$6:$D$6,0)))-INDEX(Inputs!$B$20:$D$20,1,MATCH(A647,Inputs!$B$6:$D$6,0)),0)*INDEX(Inputs!$B$23:$D$23,1,MATCH(A647,Inputs!$B$6:$D$6,0))+MAX(S647-INDEX(Inputs!$B$21:$D$21,1,MATCH(A647,Inputs!$B$6:$D$6,0)),0)*INDEX(Inputs!$B$24:$D$24,1,MATCH(A647,Inputs!$B$6:$D$6,0))</x:f>
        <x:v>5472.445</x:v>
      </x:c>
      <x:c r="U647" s="20" t="n">
        <x:f>IF(AND(A646=A647,D646=D647),T646,0)</x:f>
        <x:v>2981.2225</x:v>
      </x:c>
      <x:c r="V647" s="20" t="n">
        <x:f>T647-U647</x:f>
        <x:v>2491.2225</x:v>
      </x:c>
      <x:c r="W647" s="20" t="n">
        <x:f>R647+V647</x:f>
        <x:v>35056.2225</x:v>
      </x:c>
      <x:c r="X647" s="14" t="str">
        <x:f>IF(ABS(W647-SUM(M647:Q647)-V647)&lt;0.01,"OK","Check")</x:f>
        <x:v>OK</x:v>
      </x:c>
    </x:row>
    <x:row r="648">
      <x:c r="A648" s="14" t="n">
        <x:v>2027</x:v>
      </x:c>
      <x:c r="B648" s="14" t="str">
        <x:v>Q3</x:v>
      </x:c>
      <x:c r="C648" s="14" t="n">
        <x:v>3</x:v>
      </x:c>
      <x:c r="D648" s="14" t="n">
        <x:v>58</x:v>
      </x:c>
      <x:c r="E648" s="14" t="str">
        <x:f>INDEX(Roster!$B$6:$B$108,MATCH(D648,Roster!$A$6:$A$108,0))</x:f>
      </x:c>
      <x:c r="F648" s="14" t="str">
        <x:f>INDEX(Roster!$F$6:$F$108,MATCH(D648,Roster!$A$6:$A$108,0))</x:f>
        <x:v>No</x:v>
      </x:c>
      <x:c r="G648" s="14" t="n">
        <x:f>INDEX(Inputs!$B$7:$D$7,1,MATCH(A648,Inputs!$B$6:$D$6,0))</x:f>
        <x:v>13</x:v>
      </x:c>
      <x:c r="H648" s="14" t="n">
        <x:f>MIN(=INDEX(Inputs!$B$7:$D$7,1,MATCH(A648,Inputs!$B$6:$D$6,0)),MAX(0,INDEX(Inputs!$B$14:$D$14,1,MATCH(A648,Inputs!$B$6:$D$6,0))-(C648-1)*=INDEX(Inputs!$B$7:$D$7,1,MATCH(A648,Inputs!$B$6:$D$6,0))))</x:f>
        <x:v>13</x:v>
      </x:c>
      <x:c r="I648" s="20" t="n">
        <x:f>INDEX(Inputs!$B$8:$D$8,1,MATCH(A648,Inputs!$B$6:$D$6,0))</x:f>
        <x:v>2395</x:v>
      </x:c>
      <x:c r="J648" s="20" t="n">
        <x:f>INDEX(Roster!$C$6:$C$108,MATCH(D648,Roster!$A$6:$A$108,0))*(1+INDEX(Inputs!$B$9:$D$9,1,MATCH(A648,Inputs!$B$6:$D$6,0)))</x:f>
        <x:v>20</x:v>
      </x:c>
      <x:c r="K648" s="20" t="n">
        <x:f>IF(=INDEX(Roster!$F$6:$F$108,MATCH(D648,Roster!$A$6:$A$108,0))="Yes",0,=INDEX(Inputs!$B$8:$D$8,1,MATCH(A648,Inputs!$B$6:$D$6,0))*IF(=INDEX(Roster!$B$6:$B$108,MATCH(D648,Roster!$A$6:$A$108,0))="Principal",INDEX(Inputs!$B$10:$D$10,1,MATCH(A648,Inputs!$B$6:$D$6,0)),IF(=INDEX(Roster!$B$6:$B$108,MATCH(D648,Roster!$A$6:$A$108,0))="Associate Principal",INDEX(Inputs!$B$11:$D$11,1,MATCH(A648,Inputs!$B$6:$D$6,0)),IF(=INDEX(Roster!$B$6:$B$108,MATCH(D648,Roster!$A$6:$A$108,0))="Assistant Principal",INDEX(Inputs!$B$12:$D$12,1,MATCH(A648,Inputs!$B$6:$D$6,0)),0))))</x:f>
        <x:v>0</x:v>
      </x:c>
      <x:c r="L648" s="20" t="n">
        <x:f>IF(INDEX(Roster!$D$6:$D$108,MATCH(D648,Roster!$A$6:$A$108,0))&gt;=25,INDEX(Inputs!$B$19:$D$19,1,MATCH(A648,Inputs!$B$6:$D$6,0)),IF(INDEX(Roster!$D$6:$D$108,MATCH(D648,Roster!$A$6:$A$108,0))&gt;=20,INDEX(Inputs!$B$18:$D$18,1,MATCH(A648,Inputs!$B$6:$D$6,0)),IF(INDEX(Roster!$D$6:$D$108,MATCH(D648,Roster!$A$6:$A$108,0))&gt;=15,INDEX(Inputs!$B$17:$D$17,1,MATCH(A648,Inputs!$B$6:$D$6,0)),IF(INDEX(Roster!$D$6:$D$108,MATCH(D648,Roster!$A$6:$A$108,0))&gt;=10,INDEX(Inputs!$B$16:$D$16,1,MATCH(A648,Inputs!$B$6:$D$6,0)),IF(INDEX(Roster!$D$6:$D$108,MATCH(D648,Roster!$A$6:$A$108,0))&gt;=5,INDEX(Inputs!$B$15:$D$15,1,MATCH(A648,Inputs!$B$6:$D$6,0)),0)))))</x:f>
        <x:v>60</x:v>
      </x:c>
      <x:c r="M648" s="20" t="n">
        <x:f>G648*I648</x:f>
        <x:v>31135</x:v>
      </x:c>
      <x:c r="N648" s="20" t="n">
        <x:f>G648*J648</x:f>
        <x:v>260</x:v>
      </x:c>
      <x:c r="O648" s="20" t="n">
        <x:f>G648*K648</x:f>
        <x:v>0</x:v>
      </x:c>
      <x:c r="P648" s="20" t="n">
        <x:f>G648*L648</x:f>
        <x:v>780</x:v>
      </x:c>
      <x:c r="Q648" s="20" t="n">
        <x:f>H648*INDEX(Inputs!$B$13:$D$13,1,MATCH(A648,Inputs!$B$6:$D$6,0))</x:f>
        <x:v>390</x:v>
      </x:c>
      <x:c r="R648" s="20" t="n">
        <x:f>SUM(M648:Q648)</x:f>
        <x:v>32565</x:v>
      </x:c>
      <x:c r="S648" s="20" t="n">
        <x:f>IF(AND(A647=A648,D647=D648),S647+R648,R648)</x:f>
        <x:v>97695</x:v>
      </x:c>
      <x:c r="T648" s="20" t="n">
        <x:f>MIN(S648,INDEX(Inputs!$B$20:$D$20,1,MATCH(A648,Inputs!$B$6:$D$6,0)))*INDEX(Inputs!$B$22:$D$22,1,MATCH(A648,Inputs!$B$6:$D$6,0))+MAX(MIN(S648,INDEX(Inputs!$B$21:$D$21,1,MATCH(A648,Inputs!$B$6:$D$6,0)))-INDEX(Inputs!$B$20:$D$20,1,MATCH(A648,Inputs!$B$6:$D$6,0)),0)*INDEX(Inputs!$B$23:$D$23,1,MATCH(A648,Inputs!$B$6:$D$6,0))+MAX(S648-INDEX(Inputs!$B$21:$D$21,1,MATCH(A648,Inputs!$B$6:$D$6,0)),0)*INDEX(Inputs!$B$24:$D$24,1,MATCH(A648,Inputs!$B$6:$D$6,0))</x:f>
        <x:v>7963.6675</x:v>
      </x:c>
      <x:c r="U648" s="20" t="n">
        <x:f>IF(AND(A647=A648,D647=D648),T647,0)</x:f>
        <x:v>5472.445</x:v>
      </x:c>
      <x:c r="V648" s="20" t="n">
        <x:f>T648-U648</x:f>
        <x:v>2491.2225</x:v>
      </x:c>
      <x:c r="W648" s="20" t="n">
        <x:f>R648+V648</x:f>
        <x:v>35056.2225</x:v>
      </x:c>
      <x:c r="X648" s="14" t="str">
        <x:f>IF(ABS(W648-SUM(M648:Q648)-V648)&lt;0.01,"OK","Check")</x:f>
        <x:v>OK</x:v>
      </x:c>
    </x:row>
    <x:row r="649">
      <x:c r="A649" s="14" t="n">
        <x:v>2027</x:v>
      </x:c>
      <x:c r="B649" s="14" t="str">
        <x:v>Q4</x:v>
      </x:c>
      <x:c r="C649" s="14" t="n">
        <x:v>4</x:v>
      </x:c>
      <x:c r="D649" s="14" t="n">
        <x:v>58</x:v>
      </x:c>
      <x:c r="E649" s="14" t="str">
        <x:f>INDEX(Roster!$B$6:$B$108,MATCH(D649,Roster!$A$6:$A$108,0))</x:f>
      </x:c>
      <x:c r="F649" s="14" t="str">
        <x:f>INDEX(Roster!$F$6:$F$108,MATCH(D649,Roster!$A$6:$A$108,0))</x:f>
        <x:v>No</x:v>
      </x:c>
      <x:c r="G649" s="14" t="n">
        <x:f>INDEX(Inputs!$B$7:$D$7,1,MATCH(A649,Inputs!$B$6:$D$6,0))</x:f>
        <x:v>13</x:v>
      </x:c>
      <x:c r="H649" s="14" t="n">
        <x:f>MIN(=INDEX(Inputs!$B$7:$D$7,1,MATCH(A649,Inputs!$B$6:$D$6,0)),MAX(0,INDEX(Inputs!$B$14:$D$14,1,MATCH(A649,Inputs!$B$6:$D$6,0))-(C649-1)*=INDEX(Inputs!$B$7:$D$7,1,MATCH(A649,Inputs!$B$6:$D$6,0))))</x:f>
        <x:v>0</x:v>
      </x:c>
      <x:c r="I649" s="20" t="n">
        <x:f>INDEX(Inputs!$B$8:$D$8,1,MATCH(A649,Inputs!$B$6:$D$6,0))</x:f>
        <x:v>2395</x:v>
      </x:c>
      <x:c r="J649" s="20" t="n">
        <x:f>INDEX(Roster!$C$6:$C$108,MATCH(D649,Roster!$A$6:$A$108,0))*(1+INDEX(Inputs!$B$9:$D$9,1,MATCH(A649,Inputs!$B$6:$D$6,0)))</x:f>
        <x:v>20</x:v>
      </x:c>
      <x:c r="K649" s="20" t="n">
        <x:f>IF(=INDEX(Roster!$F$6:$F$108,MATCH(D649,Roster!$A$6:$A$108,0))="Yes",0,=INDEX(Inputs!$B$8:$D$8,1,MATCH(A649,Inputs!$B$6:$D$6,0))*IF(=INDEX(Roster!$B$6:$B$108,MATCH(D649,Roster!$A$6:$A$108,0))="Principal",INDEX(Inputs!$B$10:$D$10,1,MATCH(A649,Inputs!$B$6:$D$6,0)),IF(=INDEX(Roster!$B$6:$B$108,MATCH(D649,Roster!$A$6:$A$108,0))="Associate Principal",INDEX(Inputs!$B$11:$D$11,1,MATCH(A649,Inputs!$B$6:$D$6,0)),IF(=INDEX(Roster!$B$6:$B$108,MATCH(D649,Roster!$A$6:$A$108,0))="Assistant Principal",INDEX(Inputs!$B$12:$D$12,1,MATCH(A649,Inputs!$B$6:$D$6,0)),0))))</x:f>
        <x:v>0</x:v>
      </x:c>
      <x:c r="L649" s="20" t="n">
        <x:f>IF(INDEX(Roster!$D$6:$D$108,MATCH(D649,Roster!$A$6:$A$108,0))&gt;=25,INDEX(Inputs!$B$19:$D$19,1,MATCH(A649,Inputs!$B$6:$D$6,0)),IF(INDEX(Roster!$D$6:$D$108,MATCH(D649,Roster!$A$6:$A$108,0))&gt;=20,INDEX(Inputs!$B$18:$D$18,1,MATCH(A649,Inputs!$B$6:$D$6,0)),IF(INDEX(Roster!$D$6:$D$108,MATCH(D649,Roster!$A$6:$A$108,0))&gt;=15,INDEX(Inputs!$B$17:$D$17,1,MATCH(A649,Inputs!$B$6:$D$6,0)),IF(INDEX(Roster!$D$6:$D$108,MATCH(D649,Roster!$A$6:$A$108,0))&gt;=10,INDEX(Inputs!$B$16:$D$16,1,MATCH(A649,Inputs!$B$6:$D$6,0)),IF(INDEX(Roster!$D$6:$D$108,MATCH(D649,Roster!$A$6:$A$108,0))&gt;=5,INDEX(Inputs!$B$15:$D$15,1,MATCH(A649,Inputs!$B$6:$D$6,0)),0)))))</x:f>
        <x:v>60</x:v>
      </x:c>
      <x:c r="M649" s="20" t="n">
        <x:f>G649*I649</x:f>
        <x:v>31135</x:v>
      </x:c>
      <x:c r="N649" s="20" t="n">
        <x:f>G649*J649</x:f>
        <x:v>260</x:v>
      </x:c>
      <x:c r="O649" s="20" t="n">
        <x:f>G649*K649</x:f>
        <x:v>0</x:v>
      </x:c>
      <x:c r="P649" s="20" t="n">
        <x:f>G649*L649</x:f>
        <x:v>780</x:v>
      </x:c>
      <x:c r="Q649" s="20" t="n">
        <x:f>H649*INDEX(Inputs!$B$13:$D$13,1,MATCH(A649,Inputs!$B$6:$D$6,0))</x:f>
        <x:v>0</x:v>
      </x:c>
      <x:c r="R649" s="20" t="n">
        <x:f>SUM(M649:Q649)</x:f>
        <x:v>32175</x:v>
      </x:c>
      <x:c r="S649" s="20" t="n">
        <x:f>IF(AND(A648=A649,D648=D649),S648+R649,R649)</x:f>
        <x:v>129870</x:v>
      </x:c>
      <x:c r="T649" s="20" t="n">
        <x:f>MIN(S649,INDEX(Inputs!$B$20:$D$20,1,MATCH(A649,Inputs!$B$6:$D$6,0)))*INDEX(Inputs!$B$22:$D$22,1,MATCH(A649,Inputs!$B$6:$D$6,0))+MAX(MIN(S649,INDEX(Inputs!$B$21:$D$21,1,MATCH(A649,Inputs!$B$6:$D$6,0)))-INDEX(Inputs!$B$20:$D$20,1,MATCH(A649,Inputs!$B$6:$D$6,0)),0)*INDEX(Inputs!$B$23:$D$23,1,MATCH(A649,Inputs!$B$6:$D$6,0))+MAX(S649-INDEX(Inputs!$B$21:$D$21,1,MATCH(A649,Inputs!$B$6:$D$6,0)),0)*INDEX(Inputs!$B$24:$D$24,1,MATCH(A649,Inputs!$B$6:$D$6,0))</x:f>
        <x:v>9797.057</x:v>
      </x:c>
      <x:c r="U649" s="20" t="n">
        <x:f>IF(AND(A648=A649,D648=D649),T648,0)</x:f>
        <x:v>7963.6675</x:v>
      </x:c>
      <x:c r="V649" s="20" t="n">
        <x:f>T649-U649</x:f>
        <x:v>1833.3895000000011</x:v>
      </x:c>
      <x:c r="W649" s="20" t="n">
        <x:f>R649+V649</x:f>
        <x:v>34008.389500000005</x:v>
      </x:c>
      <x:c r="X649" s="14" t="str">
        <x:f>IF(ABS(W649-SUM(M649:Q649)-V649)&lt;0.01,"OK","Check")</x:f>
        <x:v>OK</x:v>
      </x:c>
    </x:row>
    <x:row r="650">
      <x:c r="A650" s="14" t="n">
        <x:v>2027</x:v>
      </x:c>
      <x:c r="B650" s="14" t="str">
        <x:v>Q1</x:v>
      </x:c>
      <x:c r="C650" s="14" t="n">
        <x:v>1</x:v>
      </x:c>
      <x:c r="D650" s="14" t="n">
        <x:v>59</x:v>
      </x:c>
      <x:c r="E650" s="14" t="str">
        <x:f>INDEX(Roster!$B$6:$B$108,MATCH(D650,Roster!$A$6:$A$108,0))</x:f>
      </x:c>
      <x:c r="F650" s="14" t="str">
        <x:f>INDEX(Roster!$F$6:$F$108,MATCH(D650,Roster!$A$6:$A$108,0))</x:f>
        <x:v>No</x:v>
      </x:c>
      <x:c r="G650" s="14" t="n">
        <x:f>INDEX(Inputs!$B$7:$D$7,1,MATCH(A650,Inputs!$B$6:$D$6,0))</x:f>
        <x:v>13</x:v>
      </x:c>
      <x:c r="H650" s="14" t="n">
        <x:f>MIN(=INDEX(Inputs!$B$7:$D$7,1,MATCH(A650,Inputs!$B$6:$D$6,0)),MAX(0,INDEX(Inputs!$B$14:$D$14,1,MATCH(A650,Inputs!$B$6:$D$6,0))-(C650-1)*=INDEX(Inputs!$B$7:$D$7,1,MATCH(A650,Inputs!$B$6:$D$6,0))))</x:f>
        <x:v>13</x:v>
      </x:c>
      <x:c r="I650" s="20" t="n">
        <x:f>INDEX(Inputs!$B$8:$D$8,1,MATCH(A650,Inputs!$B$6:$D$6,0))</x:f>
        <x:v>2395</x:v>
      </x:c>
      <x:c r="J650" s="20" t="n">
        <x:f>INDEX(Roster!$C$6:$C$108,MATCH(D650,Roster!$A$6:$A$108,0))*(1+INDEX(Inputs!$B$9:$D$9,1,MATCH(A650,Inputs!$B$6:$D$6,0)))</x:f>
        <x:v>40</x:v>
      </x:c>
      <x:c r="K650" s="20" t="n">
        <x:f>IF(=INDEX(Roster!$F$6:$F$108,MATCH(D650,Roster!$A$6:$A$108,0))="Yes",0,=INDEX(Inputs!$B$8:$D$8,1,MATCH(A650,Inputs!$B$6:$D$6,0))*IF(=INDEX(Roster!$B$6:$B$108,MATCH(D650,Roster!$A$6:$A$108,0))="Principal",INDEX(Inputs!$B$10:$D$10,1,MATCH(A650,Inputs!$B$6:$D$6,0)),IF(=INDEX(Roster!$B$6:$B$108,MATCH(D650,Roster!$A$6:$A$108,0))="Associate Principal",INDEX(Inputs!$B$11:$D$11,1,MATCH(A650,Inputs!$B$6:$D$6,0)),IF(=INDEX(Roster!$B$6:$B$108,MATCH(D650,Roster!$A$6:$A$108,0))="Assistant Principal",INDEX(Inputs!$B$12:$D$12,1,MATCH(A650,Inputs!$B$6:$D$6,0)),0))))</x:f>
        <x:v>0</x:v>
      </x:c>
      <x:c r="L650" s="20" t="n">
        <x:f>IF(INDEX(Roster!$D$6:$D$108,MATCH(D650,Roster!$A$6:$A$108,0))&gt;=25,INDEX(Inputs!$B$19:$D$19,1,MATCH(A650,Inputs!$B$6:$D$6,0)),IF(INDEX(Roster!$D$6:$D$108,MATCH(D650,Roster!$A$6:$A$108,0))&gt;=20,INDEX(Inputs!$B$18:$D$18,1,MATCH(A650,Inputs!$B$6:$D$6,0)),IF(INDEX(Roster!$D$6:$D$108,MATCH(D650,Roster!$A$6:$A$108,0))&gt;=15,INDEX(Inputs!$B$17:$D$17,1,MATCH(A650,Inputs!$B$6:$D$6,0)),IF(INDEX(Roster!$D$6:$D$108,MATCH(D650,Roster!$A$6:$A$108,0))&gt;=10,INDEX(Inputs!$B$16:$D$16,1,MATCH(A650,Inputs!$B$6:$D$6,0)),IF(INDEX(Roster!$D$6:$D$108,MATCH(D650,Roster!$A$6:$A$108,0))&gt;=5,INDEX(Inputs!$B$15:$D$15,1,MATCH(A650,Inputs!$B$6:$D$6,0)),0)))))</x:f>
        <x:v>90</x:v>
      </x:c>
      <x:c r="M650" s="20" t="n">
        <x:f>G650*I650</x:f>
        <x:v>31135</x:v>
      </x:c>
      <x:c r="N650" s="20" t="n">
        <x:f>G650*J650</x:f>
        <x:v>520</x:v>
      </x:c>
      <x:c r="O650" s="20" t="n">
        <x:f>G650*K650</x:f>
        <x:v>0</x:v>
      </x:c>
      <x:c r="P650" s="20" t="n">
        <x:f>G650*L650</x:f>
        <x:v>1170</x:v>
      </x:c>
      <x:c r="Q650" s="20" t="n">
        <x:f>H650*INDEX(Inputs!$B$13:$D$13,1,MATCH(A650,Inputs!$B$6:$D$6,0))</x:f>
        <x:v>390</x:v>
      </x:c>
      <x:c r="R650" s="20" t="n">
        <x:f>SUM(M650:Q650)</x:f>
        <x:v>33215</x:v>
      </x:c>
      <x:c r="S650" s="20" t="n">
        <x:f>IF(AND(A649=A650,D649=D650),S649+R650,R650)</x:f>
        <x:v>33215</x:v>
      </x:c>
      <x:c r="T650" s="20" t="n">
        <x:f>MIN(S650,INDEX(Inputs!$B$20:$D$20,1,MATCH(A650,Inputs!$B$6:$D$6,0)))*INDEX(Inputs!$B$22:$D$22,1,MATCH(A650,Inputs!$B$6:$D$6,0))+MAX(MIN(S650,INDEX(Inputs!$B$21:$D$21,1,MATCH(A650,Inputs!$B$6:$D$6,0)))-INDEX(Inputs!$B$20:$D$20,1,MATCH(A650,Inputs!$B$6:$D$6,0)),0)*INDEX(Inputs!$B$23:$D$23,1,MATCH(A650,Inputs!$B$6:$D$6,0))+MAX(S650-INDEX(Inputs!$B$21:$D$21,1,MATCH(A650,Inputs!$B$6:$D$6,0)),0)*INDEX(Inputs!$B$24:$D$24,1,MATCH(A650,Inputs!$B$6:$D$6,0))</x:f>
        <x:v>3030.9475</x:v>
      </x:c>
      <x:c r="U650" s="20" t="n">
        <x:f>IF(AND(A649=A650,D649=D650),T649,0)</x:f>
        <x:v>0</x:v>
      </x:c>
      <x:c r="V650" s="20" t="n">
        <x:f>T650-U650</x:f>
        <x:v>3030.9475</x:v>
      </x:c>
      <x:c r="W650" s="20" t="n">
        <x:f>R650+V650</x:f>
        <x:v>36245.9475</x:v>
      </x:c>
      <x:c r="X650" s="14" t="str">
        <x:f>IF(ABS(W650-SUM(M650:Q650)-V650)&lt;0.01,"OK","Check")</x:f>
        <x:v>OK</x:v>
      </x:c>
    </x:row>
    <x:row r="651">
      <x:c r="A651" s="14" t="n">
        <x:v>2027</x:v>
      </x:c>
      <x:c r="B651" s="14" t="str">
        <x:v>Q2</x:v>
      </x:c>
      <x:c r="C651" s="14" t="n">
        <x:v>2</x:v>
      </x:c>
      <x:c r="D651" s="14" t="n">
        <x:v>59</x:v>
      </x:c>
      <x:c r="E651" s="14" t="str">
        <x:f>INDEX(Roster!$B$6:$B$108,MATCH(D651,Roster!$A$6:$A$108,0))</x:f>
      </x:c>
      <x:c r="F651" s="14" t="str">
        <x:f>INDEX(Roster!$F$6:$F$108,MATCH(D651,Roster!$A$6:$A$108,0))</x:f>
        <x:v>No</x:v>
      </x:c>
      <x:c r="G651" s="14" t="n">
        <x:f>INDEX(Inputs!$B$7:$D$7,1,MATCH(A651,Inputs!$B$6:$D$6,0))</x:f>
        <x:v>13</x:v>
      </x:c>
      <x:c r="H651" s="14" t="n">
        <x:f>MIN(=INDEX(Inputs!$B$7:$D$7,1,MATCH(A651,Inputs!$B$6:$D$6,0)),MAX(0,INDEX(Inputs!$B$14:$D$14,1,MATCH(A651,Inputs!$B$6:$D$6,0))-(C651-1)*=INDEX(Inputs!$B$7:$D$7,1,MATCH(A651,Inputs!$B$6:$D$6,0))))</x:f>
        <x:v>13</x:v>
      </x:c>
      <x:c r="I651" s="20" t="n">
        <x:f>INDEX(Inputs!$B$8:$D$8,1,MATCH(A651,Inputs!$B$6:$D$6,0))</x:f>
        <x:v>2395</x:v>
      </x:c>
      <x:c r="J651" s="20" t="n">
        <x:f>INDEX(Roster!$C$6:$C$108,MATCH(D651,Roster!$A$6:$A$108,0))*(1+INDEX(Inputs!$B$9:$D$9,1,MATCH(A651,Inputs!$B$6:$D$6,0)))</x:f>
        <x:v>40</x:v>
      </x:c>
      <x:c r="K651" s="20" t="n">
        <x:f>IF(=INDEX(Roster!$F$6:$F$108,MATCH(D651,Roster!$A$6:$A$108,0))="Yes",0,=INDEX(Inputs!$B$8:$D$8,1,MATCH(A651,Inputs!$B$6:$D$6,0))*IF(=INDEX(Roster!$B$6:$B$108,MATCH(D651,Roster!$A$6:$A$108,0))="Principal",INDEX(Inputs!$B$10:$D$10,1,MATCH(A651,Inputs!$B$6:$D$6,0)),IF(=INDEX(Roster!$B$6:$B$108,MATCH(D651,Roster!$A$6:$A$108,0))="Associate Principal",INDEX(Inputs!$B$11:$D$11,1,MATCH(A651,Inputs!$B$6:$D$6,0)),IF(=INDEX(Roster!$B$6:$B$108,MATCH(D651,Roster!$A$6:$A$108,0))="Assistant Principal",INDEX(Inputs!$B$12:$D$12,1,MATCH(A651,Inputs!$B$6:$D$6,0)),0))))</x:f>
        <x:v>0</x:v>
      </x:c>
      <x:c r="L651" s="20" t="n">
        <x:f>IF(INDEX(Roster!$D$6:$D$108,MATCH(D651,Roster!$A$6:$A$108,0))&gt;=25,INDEX(Inputs!$B$19:$D$19,1,MATCH(A651,Inputs!$B$6:$D$6,0)),IF(INDEX(Roster!$D$6:$D$108,MATCH(D651,Roster!$A$6:$A$108,0))&gt;=20,INDEX(Inputs!$B$18:$D$18,1,MATCH(A651,Inputs!$B$6:$D$6,0)),IF(INDEX(Roster!$D$6:$D$108,MATCH(D651,Roster!$A$6:$A$108,0))&gt;=15,INDEX(Inputs!$B$17:$D$17,1,MATCH(A651,Inputs!$B$6:$D$6,0)),IF(INDEX(Roster!$D$6:$D$108,MATCH(D651,Roster!$A$6:$A$108,0))&gt;=10,INDEX(Inputs!$B$16:$D$16,1,MATCH(A651,Inputs!$B$6:$D$6,0)),IF(INDEX(Roster!$D$6:$D$108,MATCH(D651,Roster!$A$6:$A$108,0))&gt;=5,INDEX(Inputs!$B$15:$D$15,1,MATCH(A651,Inputs!$B$6:$D$6,0)),0)))))</x:f>
        <x:v>90</x:v>
      </x:c>
      <x:c r="M651" s="20" t="n">
        <x:f>G651*I651</x:f>
        <x:v>31135</x:v>
      </x:c>
      <x:c r="N651" s="20" t="n">
        <x:f>G651*J651</x:f>
        <x:v>520</x:v>
      </x:c>
      <x:c r="O651" s="20" t="n">
        <x:f>G651*K651</x:f>
        <x:v>0</x:v>
      </x:c>
      <x:c r="P651" s="20" t="n">
        <x:f>G651*L651</x:f>
        <x:v>1170</x:v>
      </x:c>
      <x:c r="Q651" s="20" t="n">
        <x:f>H651*INDEX(Inputs!$B$13:$D$13,1,MATCH(A651,Inputs!$B$6:$D$6,0))</x:f>
        <x:v>390</x:v>
      </x:c>
      <x:c r="R651" s="20" t="n">
        <x:f>SUM(M651:Q651)</x:f>
        <x:v>33215</x:v>
      </x:c>
      <x:c r="S651" s="20" t="n">
        <x:f>IF(AND(A650=A651,D650=D651),S650+R651,R651)</x:f>
        <x:v>66430</x:v>
      </x:c>
      <x:c r="T651" s="20" t="n">
        <x:f>MIN(S651,INDEX(Inputs!$B$20:$D$20,1,MATCH(A651,Inputs!$B$6:$D$6,0)))*INDEX(Inputs!$B$22:$D$22,1,MATCH(A651,Inputs!$B$6:$D$6,0))+MAX(MIN(S651,INDEX(Inputs!$B$21:$D$21,1,MATCH(A651,Inputs!$B$6:$D$6,0)))-INDEX(Inputs!$B$20:$D$20,1,MATCH(A651,Inputs!$B$6:$D$6,0)),0)*INDEX(Inputs!$B$23:$D$23,1,MATCH(A651,Inputs!$B$6:$D$6,0))+MAX(S651-INDEX(Inputs!$B$21:$D$21,1,MATCH(A651,Inputs!$B$6:$D$6,0)),0)*INDEX(Inputs!$B$24:$D$24,1,MATCH(A651,Inputs!$B$6:$D$6,0))</x:f>
        <x:v>5571.8949999999995</x:v>
      </x:c>
      <x:c r="U651" s="20" t="n">
        <x:f>IF(AND(A650=A651,D650=D651),T650,0)</x:f>
        <x:v>3030.9475</x:v>
      </x:c>
      <x:c r="V651" s="20" t="n">
        <x:f>T651-U651</x:f>
        <x:v>2540.9474999999993</x:v>
      </x:c>
      <x:c r="W651" s="20" t="n">
        <x:f>R651+V651</x:f>
        <x:v>35755.9475</x:v>
      </x:c>
      <x:c r="X651" s="14" t="str">
        <x:f>IF(ABS(W651-SUM(M651:Q651)-V651)&lt;0.01,"OK","Check")</x:f>
        <x:v>OK</x:v>
      </x:c>
    </x:row>
    <x:row r="652">
      <x:c r="A652" s="14" t="n">
        <x:v>2027</x:v>
      </x:c>
      <x:c r="B652" s="14" t="str">
        <x:v>Q3</x:v>
      </x:c>
      <x:c r="C652" s="14" t="n">
        <x:v>3</x:v>
      </x:c>
      <x:c r="D652" s="14" t="n">
        <x:v>59</x:v>
      </x:c>
      <x:c r="E652" s="14" t="str">
        <x:f>INDEX(Roster!$B$6:$B$108,MATCH(D652,Roster!$A$6:$A$108,0))</x:f>
      </x:c>
      <x:c r="F652" s="14" t="str">
        <x:f>INDEX(Roster!$F$6:$F$108,MATCH(D652,Roster!$A$6:$A$108,0))</x:f>
        <x:v>No</x:v>
      </x:c>
      <x:c r="G652" s="14" t="n">
        <x:f>INDEX(Inputs!$B$7:$D$7,1,MATCH(A652,Inputs!$B$6:$D$6,0))</x:f>
        <x:v>13</x:v>
      </x:c>
      <x:c r="H652" s="14" t="n">
        <x:f>MIN(=INDEX(Inputs!$B$7:$D$7,1,MATCH(A652,Inputs!$B$6:$D$6,0)),MAX(0,INDEX(Inputs!$B$14:$D$14,1,MATCH(A652,Inputs!$B$6:$D$6,0))-(C652-1)*=INDEX(Inputs!$B$7:$D$7,1,MATCH(A652,Inputs!$B$6:$D$6,0))))</x:f>
        <x:v>13</x:v>
      </x:c>
      <x:c r="I652" s="20" t="n">
        <x:f>INDEX(Inputs!$B$8:$D$8,1,MATCH(A652,Inputs!$B$6:$D$6,0))</x:f>
        <x:v>2395</x:v>
      </x:c>
      <x:c r="J652" s="20" t="n">
        <x:f>INDEX(Roster!$C$6:$C$108,MATCH(D652,Roster!$A$6:$A$108,0))*(1+INDEX(Inputs!$B$9:$D$9,1,MATCH(A652,Inputs!$B$6:$D$6,0)))</x:f>
        <x:v>40</x:v>
      </x:c>
      <x:c r="K652" s="20" t="n">
        <x:f>IF(=INDEX(Roster!$F$6:$F$108,MATCH(D652,Roster!$A$6:$A$108,0))="Yes",0,=INDEX(Inputs!$B$8:$D$8,1,MATCH(A652,Inputs!$B$6:$D$6,0))*IF(=INDEX(Roster!$B$6:$B$108,MATCH(D652,Roster!$A$6:$A$108,0))="Principal",INDEX(Inputs!$B$10:$D$10,1,MATCH(A652,Inputs!$B$6:$D$6,0)),IF(=INDEX(Roster!$B$6:$B$108,MATCH(D652,Roster!$A$6:$A$108,0))="Associate Principal",INDEX(Inputs!$B$11:$D$11,1,MATCH(A652,Inputs!$B$6:$D$6,0)),IF(=INDEX(Roster!$B$6:$B$108,MATCH(D652,Roster!$A$6:$A$108,0))="Assistant Principal",INDEX(Inputs!$B$12:$D$12,1,MATCH(A652,Inputs!$B$6:$D$6,0)),0))))</x:f>
        <x:v>0</x:v>
      </x:c>
      <x:c r="L652" s="20" t="n">
        <x:f>IF(INDEX(Roster!$D$6:$D$108,MATCH(D652,Roster!$A$6:$A$108,0))&gt;=25,INDEX(Inputs!$B$19:$D$19,1,MATCH(A652,Inputs!$B$6:$D$6,0)),IF(INDEX(Roster!$D$6:$D$108,MATCH(D652,Roster!$A$6:$A$108,0))&gt;=20,INDEX(Inputs!$B$18:$D$18,1,MATCH(A652,Inputs!$B$6:$D$6,0)),IF(INDEX(Roster!$D$6:$D$108,MATCH(D652,Roster!$A$6:$A$108,0))&gt;=15,INDEX(Inputs!$B$17:$D$17,1,MATCH(A652,Inputs!$B$6:$D$6,0)),IF(INDEX(Roster!$D$6:$D$108,MATCH(D652,Roster!$A$6:$A$108,0))&gt;=10,INDEX(Inputs!$B$16:$D$16,1,MATCH(A652,Inputs!$B$6:$D$6,0)),IF(INDEX(Roster!$D$6:$D$108,MATCH(D652,Roster!$A$6:$A$108,0))&gt;=5,INDEX(Inputs!$B$15:$D$15,1,MATCH(A652,Inputs!$B$6:$D$6,0)),0)))))</x:f>
        <x:v>90</x:v>
      </x:c>
      <x:c r="M652" s="20" t="n">
        <x:f>G652*I652</x:f>
        <x:v>31135</x:v>
      </x:c>
      <x:c r="N652" s="20" t="n">
        <x:f>G652*J652</x:f>
        <x:v>520</x:v>
      </x:c>
      <x:c r="O652" s="20" t="n">
        <x:f>G652*K652</x:f>
        <x:v>0</x:v>
      </x:c>
      <x:c r="P652" s="20" t="n">
        <x:f>G652*L652</x:f>
        <x:v>1170</x:v>
      </x:c>
      <x:c r="Q652" s="20" t="n">
        <x:f>H652*INDEX(Inputs!$B$13:$D$13,1,MATCH(A652,Inputs!$B$6:$D$6,0))</x:f>
        <x:v>390</x:v>
      </x:c>
      <x:c r="R652" s="20" t="n">
        <x:f>SUM(M652:Q652)</x:f>
        <x:v>33215</x:v>
      </x:c>
      <x:c r="S652" s="20" t="n">
        <x:f>IF(AND(A651=A652,D651=D652),S651+R652,R652)</x:f>
        <x:v>99645</x:v>
      </x:c>
      <x:c r="T652" s="20" t="n">
        <x:f>MIN(S652,INDEX(Inputs!$B$20:$D$20,1,MATCH(A652,Inputs!$B$6:$D$6,0)))*INDEX(Inputs!$B$22:$D$22,1,MATCH(A652,Inputs!$B$6:$D$6,0))+MAX(MIN(S652,INDEX(Inputs!$B$21:$D$21,1,MATCH(A652,Inputs!$B$6:$D$6,0)))-INDEX(Inputs!$B$20:$D$20,1,MATCH(A652,Inputs!$B$6:$D$6,0)),0)*INDEX(Inputs!$B$23:$D$23,1,MATCH(A652,Inputs!$B$6:$D$6,0))+MAX(S652-INDEX(Inputs!$B$21:$D$21,1,MATCH(A652,Inputs!$B$6:$D$6,0)),0)*INDEX(Inputs!$B$24:$D$24,1,MATCH(A652,Inputs!$B$6:$D$6,0))</x:f>
        <x:v>8112.8425</x:v>
      </x:c>
      <x:c r="U652" s="20" t="n">
        <x:f>IF(AND(A651=A652,D651=D652),T651,0)</x:f>
        <x:v>5571.8949999999995</x:v>
      </x:c>
      <x:c r="V652" s="20" t="n">
        <x:f>T652-U652</x:f>
        <x:v>2540.9475</x:v>
      </x:c>
      <x:c r="W652" s="20" t="n">
        <x:f>R652+V652</x:f>
        <x:v>35755.9475</x:v>
      </x:c>
      <x:c r="X652" s="14" t="str">
        <x:f>IF(ABS(W652-SUM(M652:Q652)-V652)&lt;0.01,"OK","Check")</x:f>
        <x:v>OK</x:v>
      </x:c>
    </x:row>
    <x:row r="653">
      <x:c r="A653" s="14" t="n">
        <x:v>2027</x:v>
      </x:c>
      <x:c r="B653" s="14" t="str">
        <x:v>Q4</x:v>
      </x:c>
      <x:c r="C653" s="14" t="n">
        <x:v>4</x:v>
      </x:c>
      <x:c r="D653" s="14" t="n">
        <x:v>59</x:v>
      </x:c>
      <x:c r="E653" s="14" t="str">
        <x:f>INDEX(Roster!$B$6:$B$108,MATCH(D653,Roster!$A$6:$A$108,0))</x:f>
      </x:c>
      <x:c r="F653" s="14" t="str">
        <x:f>INDEX(Roster!$F$6:$F$108,MATCH(D653,Roster!$A$6:$A$108,0))</x:f>
        <x:v>No</x:v>
      </x:c>
      <x:c r="G653" s="14" t="n">
        <x:f>INDEX(Inputs!$B$7:$D$7,1,MATCH(A653,Inputs!$B$6:$D$6,0))</x:f>
        <x:v>13</x:v>
      </x:c>
      <x:c r="H653" s="14" t="n">
        <x:f>MIN(=INDEX(Inputs!$B$7:$D$7,1,MATCH(A653,Inputs!$B$6:$D$6,0)),MAX(0,INDEX(Inputs!$B$14:$D$14,1,MATCH(A653,Inputs!$B$6:$D$6,0))-(C653-1)*=INDEX(Inputs!$B$7:$D$7,1,MATCH(A653,Inputs!$B$6:$D$6,0))))</x:f>
        <x:v>0</x:v>
      </x:c>
      <x:c r="I653" s="20" t="n">
        <x:f>INDEX(Inputs!$B$8:$D$8,1,MATCH(A653,Inputs!$B$6:$D$6,0))</x:f>
        <x:v>2395</x:v>
      </x:c>
      <x:c r="J653" s="20" t="n">
        <x:f>INDEX(Roster!$C$6:$C$108,MATCH(D653,Roster!$A$6:$A$108,0))*(1+INDEX(Inputs!$B$9:$D$9,1,MATCH(A653,Inputs!$B$6:$D$6,0)))</x:f>
        <x:v>40</x:v>
      </x:c>
      <x:c r="K653" s="20" t="n">
        <x:f>IF(=INDEX(Roster!$F$6:$F$108,MATCH(D653,Roster!$A$6:$A$108,0))="Yes",0,=INDEX(Inputs!$B$8:$D$8,1,MATCH(A653,Inputs!$B$6:$D$6,0))*IF(=INDEX(Roster!$B$6:$B$108,MATCH(D653,Roster!$A$6:$A$108,0))="Principal",INDEX(Inputs!$B$10:$D$10,1,MATCH(A653,Inputs!$B$6:$D$6,0)),IF(=INDEX(Roster!$B$6:$B$108,MATCH(D653,Roster!$A$6:$A$108,0))="Associate Principal",INDEX(Inputs!$B$11:$D$11,1,MATCH(A653,Inputs!$B$6:$D$6,0)),IF(=INDEX(Roster!$B$6:$B$108,MATCH(D653,Roster!$A$6:$A$108,0))="Assistant Principal",INDEX(Inputs!$B$12:$D$12,1,MATCH(A653,Inputs!$B$6:$D$6,0)),0))))</x:f>
        <x:v>0</x:v>
      </x:c>
      <x:c r="L653" s="20" t="n">
        <x:f>IF(INDEX(Roster!$D$6:$D$108,MATCH(D653,Roster!$A$6:$A$108,0))&gt;=25,INDEX(Inputs!$B$19:$D$19,1,MATCH(A653,Inputs!$B$6:$D$6,0)),IF(INDEX(Roster!$D$6:$D$108,MATCH(D653,Roster!$A$6:$A$108,0))&gt;=20,INDEX(Inputs!$B$18:$D$18,1,MATCH(A653,Inputs!$B$6:$D$6,0)),IF(INDEX(Roster!$D$6:$D$108,MATCH(D653,Roster!$A$6:$A$108,0))&gt;=15,INDEX(Inputs!$B$17:$D$17,1,MATCH(A653,Inputs!$B$6:$D$6,0)),IF(INDEX(Roster!$D$6:$D$108,MATCH(D653,Roster!$A$6:$A$108,0))&gt;=10,INDEX(Inputs!$B$16:$D$16,1,MATCH(A653,Inputs!$B$6:$D$6,0)),IF(INDEX(Roster!$D$6:$D$108,MATCH(D653,Roster!$A$6:$A$108,0))&gt;=5,INDEX(Inputs!$B$15:$D$15,1,MATCH(A653,Inputs!$B$6:$D$6,0)),0)))))</x:f>
        <x:v>90</x:v>
      </x:c>
      <x:c r="M653" s="20" t="n">
        <x:f>G653*I653</x:f>
        <x:v>31135</x:v>
      </x:c>
      <x:c r="N653" s="20" t="n">
        <x:f>G653*J653</x:f>
        <x:v>520</x:v>
      </x:c>
      <x:c r="O653" s="20" t="n">
        <x:f>G653*K653</x:f>
        <x:v>0</x:v>
      </x:c>
      <x:c r="P653" s="20" t="n">
        <x:f>G653*L653</x:f>
        <x:v>1170</x:v>
      </x:c>
      <x:c r="Q653" s="20" t="n">
        <x:f>H653*INDEX(Inputs!$B$13:$D$13,1,MATCH(A653,Inputs!$B$6:$D$6,0))</x:f>
        <x:v>0</x:v>
      </x:c>
      <x:c r="R653" s="20" t="n">
        <x:f>SUM(M653:Q653)</x:f>
        <x:v>32825</x:v>
      </x:c>
      <x:c r="S653" s="20" t="n">
        <x:f>IF(AND(A652=A653,D652=D653),S652+R653,R653)</x:f>
        <x:v>132470</x:v>
      </x:c>
      <x:c r="T653" s="20" t="n">
        <x:f>MIN(S653,INDEX(Inputs!$B$20:$D$20,1,MATCH(A653,Inputs!$B$6:$D$6,0)))*INDEX(Inputs!$B$22:$D$22,1,MATCH(A653,Inputs!$B$6:$D$6,0))+MAX(MIN(S653,INDEX(Inputs!$B$21:$D$21,1,MATCH(A653,Inputs!$B$6:$D$6,0)))-INDEX(Inputs!$B$20:$D$20,1,MATCH(A653,Inputs!$B$6:$D$6,0)),0)*INDEX(Inputs!$B$23:$D$23,1,MATCH(A653,Inputs!$B$6:$D$6,0))+MAX(S653-INDEX(Inputs!$B$21:$D$21,1,MATCH(A653,Inputs!$B$6:$D$6,0)),0)*INDEX(Inputs!$B$24:$D$24,1,MATCH(A653,Inputs!$B$6:$D$6,0))</x:f>
        <x:v>9834.757</x:v>
      </x:c>
      <x:c r="U653" s="20" t="n">
        <x:f>IF(AND(A652=A653,D652=D653),T652,0)</x:f>
        <x:v>8112.8425</x:v>
      </x:c>
      <x:c r="V653" s="20" t="n">
        <x:f>T653-U653</x:f>
        <x:v>1721.9144999999999</x:v>
      </x:c>
      <x:c r="W653" s="20" t="n">
        <x:f>R653+V653</x:f>
        <x:v>34546.9145</x:v>
      </x:c>
      <x:c r="X653" s="14" t="str">
        <x:f>IF(ABS(W653-SUM(M653:Q653)-V653)&lt;0.01,"OK","Check")</x:f>
        <x:v>OK</x:v>
      </x:c>
    </x:row>
    <x:row r="654">
      <x:c r="A654" s="14" t="n">
        <x:v>2027</x:v>
      </x:c>
      <x:c r="B654" s="14" t="str">
        <x:v>Q1</x:v>
      </x:c>
      <x:c r="C654" s="14" t="n">
        <x:v>1</x:v>
      </x:c>
      <x:c r="D654" s="14" t="n">
        <x:v>60</x:v>
      </x:c>
      <x:c r="E654" s="14" t="str">
        <x:f>INDEX(Roster!$B$6:$B$108,MATCH(D654,Roster!$A$6:$A$108,0))</x:f>
      </x:c>
      <x:c r="F654" s="14" t="str">
        <x:f>INDEX(Roster!$F$6:$F$108,MATCH(D654,Roster!$A$6:$A$108,0))</x:f>
        <x:v>No</x:v>
      </x:c>
      <x:c r="G654" s="14" t="n">
        <x:f>INDEX(Inputs!$B$7:$D$7,1,MATCH(A654,Inputs!$B$6:$D$6,0))</x:f>
        <x:v>13</x:v>
      </x:c>
      <x:c r="H654" s="14" t="n">
        <x:f>MIN(=INDEX(Inputs!$B$7:$D$7,1,MATCH(A654,Inputs!$B$6:$D$6,0)),MAX(0,INDEX(Inputs!$B$14:$D$14,1,MATCH(A654,Inputs!$B$6:$D$6,0))-(C654-1)*=INDEX(Inputs!$B$7:$D$7,1,MATCH(A654,Inputs!$B$6:$D$6,0))))</x:f>
        <x:v>13</x:v>
      </x:c>
      <x:c r="I654" s="20" t="n">
        <x:f>INDEX(Inputs!$B$8:$D$8,1,MATCH(A654,Inputs!$B$6:$D$6,0))</x:f>
        <x:v>2395</x:v>
      </x:c>
      <x:c r="J654" s="20" t="n">
        <x:f>INDEX(Roster!$C$6:$C$108,MATCH(D654,Roster!$A$6:$A$108,0))*(1+INDEX(Inputs!$B$9:$D$9,1,MATCH(A654,Inputs!$B$6:$D$6,0)))</x:f>
        <x:v>50</x:v>
      </x:c>
      <x:c r="K654" s="20" t="n">
        <x:f>IF(=INDEX(Roster!$F$6:$F$108,MATCH(D654,Roster!$A$6:$A$108,0))="Yes",0,=INDEX(Inputs!$B$8:$D$8,1,MATCH(A654,Inputs!$B$6:$D$6,0))*IF(=INDEX(Roster!$B$6:$B$108,MATCH(D654,Roster!$A$6:$A$108,0))="Principal",INDEX(Inputs!$B$10:$D$10,1,MATCH(A654,Inputs!$B$6:$D$6,0)),IF(=INDEX(Roster!$B$6:$B$108,MATCH(D654,Roster!$A$6:$A$108,0))="Associate Principal",INDEX(Inputs!$B$11:$D$11,1,MATCH(A654,Inputs!$B$6:$D$6,0)),IF(=INDEX(Roster!$B$6:$B$108,MATCH(D654,Roster!$A$6:$A$108,0))="Assistant Principal",INDEX(Inputs!$B$12:$D$12,1,MATCH(A654,Inputs!$B$6:$D$6,0)),0))))</x:f>
        <x:v>0</x:v>
      </x:c>
      <x:c r="L654" s="20" t="n">
        <x:f>IF(INDEX(Roster!$D$6:$D$108,MATCH(D654,Roster!$A$6:$A$108,0))&gt;=25,INDEX(Inputs!$B$19:$D$19,1,MATCH(A654,Inputs!$B$6:$D$6,0)),IF(INDEX(Roster!$D$6:$D$108,MATCH(D654,Roster!$A$6:$A$108,0))&gt;=20,INDEX(Inputs!$B$18:$D$18,1,MATCH(A654,Inputs!$B$6:$D$6,0)),IF(INDEX(Roster!$D$6:$D$108,MATCH(D654,Roster!$A$6:$A$108,0))&gt;=15,INDEX(Inputs!$B$17:$D$17,1,MATCH(A654,Inputs!$B$6:$D$6,0)),IF(INDEX(Roster!$D$6:$D$108,MATCH(D654,Roster!$A$6:$A$108,0))&gt;=10,INDEX(Inputs!$B$16:$D$16,1,MATCH(A654,Inputs!$B$6:$D$6,0)),IF(INDEX(Roster!$D$6:$D$108,MATCH(D654,Roster!$A$6:$A$108,0))&gt;=5,INDEX(Inputs!$B$15:$D$15,1,MATCH(A654,Inputs!$B$6:$D$6,0)),0)))))</x:f>
        <x:v>90</x:v>
      </x:c>
      <x:c r="M654" s="20" t="n">
        <x:f>G654*I654</x:f>
        <x:v>31135</x:v>
      </x:c>
      <x:c r="N654" s="20" t="n">
        <x:f>G654*J654</x:f>
        <x:v>650</x:v>
      </x:c>
      <x:c r="O654" s="20" t="n">
        <x:f>G654*K654</x:f>
        <x:v>0</x:v>
      </x:c>
      <x:c r="P654" s="20" t="n">
        <x:f>G654*L654</x:f>
        <x:v>1170</x:v>
      </x:c>
      <x:c r="Q654" s="20" t="n">
        <x:f>H654*INDEX(Inputs!$B$13:$D$13,1,MATCH(A654,Inputs!$B$6:$D$6,0))</x:f>
        <x:v>390</x:v>
      </x:c>
      <x:c r="R654" s="20" t="n">
        <x:f>SUM(M654:Q654)</x:f>
        <x:v>33345</x:v>
      </x:c>
      <x:c r="S654" s="20" t="n">
        <x:f>IF(AND(A653=A654,D653=D654),S653+R654,R654)</x:f>
        <x:v>33345</x:v>
      </x:c>
      <x:c r="T654" s="20" t="n">
        <x:f>MIN(S654,INDEX(Inputs!$B$20:$D$20,1,MATCH(A654,Inputs!$B$6:$D$6,0)))*INDEX(Inputs!$B$22:$D$22,1,MATCH(A654,Inputs!$B$6:$D$6,0))+MAX(MIN(S654,INDEX(Inputs!$B$21:$D$21,1,MATCH(A654,Inputs!$B$6:$D$6,0)))-INDEX(Inputs!$B$20:$D$20,1,MATCH(A654,Inputs!$B$6:$D$6,0)),0)*INDEX(Inputs!$B$23:$D$23,1,MATCH(A654,Inputs!$B$6:$D$6,0))+MAX(S654-INDEX(Inputs!$B$21:$D$21,1,MATCH(A654,Inputs!$B$6:$D$6,0)),0)*INDEX(Inputs!$B$24:$D$24,1,MATCH(A654,Inputs!$B$6:$D$6,0))</x:f>
        <x:v>3040.8925</x:v>
      </x:c>
      <x:c r="U654" s="20" t="n">
        <x:f>IF(AND(A653=A654,D653=D654),T653,0)</x:f>
        <x:v>0</x:v>
      </x:c>
      <x:c r="V654" s="20" t="n">
        <x:f>T654-U654</x:f>
        <x:v>3040.8925</x:v>
      </x:c>
      <x:c r="W654" s="20" t="n">
        <x:f>R654+V654</x:f>
        <x:v>36385.8925</x:v>
      </x:c>
      <x:c r="X654" s="14" t="str">
        <x:f>IF(ABS(W654-SUM(M654:Q654)-V654)&lt;0.01,"OK","Check")</x:f>
        <x:v>OK</x:v>
      </x:c>
    </x:row>
    <x:row r="655">
      <x:c r="A655" s="14" t="n">
        <x:v>2027</x:v>
      </x:c>
      <x:c r="B655" s="14" t="str">
        <x:v>Q2</x:v>
      </x:c>
      <x:c r="C655" s="14" t="n">
        <x:v>2</x:v>
      </x:c>
      <x:c r="D655" s="14" t="n">
        <x:v>60</x:v>
      </x:c>
      <x:c r="E655" s="14" t="str">
        <x:f>INDEX(Roster!$B$6:$B$108,MATCH(D655,Roster!$A$6:$A$108,0))</x:f>
      </x:c>
      <x:c r="F655" s="14" t="str">
        <x:f>INDEX(Roster!$F$6:$F$108,MATCH(D655,Roster!$A$6:$A$108,0))</x:f>
        <x:v>No</x:v>
      </x:c>
      <x:c r="G655" s="14" t="n">
        <x:f>INDEX(Inputs!$B$7:$D$7,1,MATCH(A655,Inputs!$B$6:$D$6,0))</x:f>
        <x:v>13</x:v>
      </x:c>
      <x:c r="H655" s="14" t="n">
        <x:f>MIN(=INDEX(Inputs!$B$7:$D$7,1,MATCH(A655,Inputs!$B$6:$D$6,0)),MAX(0,INDEX(Inputs!$B$14:$D$14,1,MATCH(A655,Inputs!$B$6:$D$6,0))-(C655-1)*=INDEX(Inputs!$B$7:$D$7,1,MATCH(A655,Inputs!$B$6:$D$6,0))))</x:f>
        <x:v>13</x:v>
      </x:c>
      <x:c r="I655" s="20" t="n">
        <x:f>INDEX(Inputs!$B$8:$D$8,1,MATCH(A655,Inputs!$B$6:$D$6,0))</x:f>
        <x:v>2395</x:v>
      </x:c>
      <x:c r="J655" s="20" t="n">
        <x:f>INDEX(Roster!$C$6:$C$108,MATCH(D655,Roster!$A$6:$A$108,0))*(1+INDEX(Inputs!$B$9:$D$9,1,MATCH(A655,Inputs!$B$6:$D$6,0)))</x:f>
        <x:v>50</x:v>
      </x:c>
      <x:c r="K655" s="20" t="n">
        <x:f>IF(=INDEX(Roster!$F$6:$F$108,MATCH(D655,Roster!$A$6:$A$108,0))="Yes",0,=INDEX(Inputs!$B$8:$D$8,1,MATCH(A655,Inputs!$B$6:$D$6,0))*IF(=INDEX(Roster!$B$6:$B$108,MATCH(D655,Roster!$A$6:$A$108,0))="Principal",INDEX(Inputs!$B$10:$D$10,1,MATCH(A655,Inputs!$B$6:$D$6,0)),IF(=INDEX(Roster!$B$6:$B$108,MATCH(D655,Roster!$A$6:$A$108,0))="Associate Principal",INDEX(Inputs!$B$11:$D$11,1,MATCH(A655,Inputs!$B$6:$D$6,0)),IF(=INDEX(Roster!$B$6:$B$108,MATCH(D655,Roster!$A$6:$A$108,0))="Assistant Principal",INDEX(Inputs!$B$12:$D$12,1,MATCH(A655,Inputs!$B$6:$D$6,0)),0))))</x:f>
        <x:v>0</x:v>
      </x:c>
      <x:c r="L655" s="20" t="n">
        <x:f>IF(INDEX(Roster!$D$6:$D$108,MATCH(D655,Roster!$A$6:$A$108,0))&gt;=25,INDEX(Inputs!$B$19:$D$19,1,MATCH(A655,Inputs!$B$6:$D$6,0)),IF(INDEX(Roster!$D$6:$D$108,MATCH(D655,Roster!$A$6:$A$108,0))&gt;=20,INDEX(Inputs!$B$18:$D$18,1,MATCH(A655,Inputs!$B$6:$D$6,0)),IF(INDEX(Roster!$D$6:$D$108,MATCH(D655,Roster!$A$6:$A$108,0))&gt;=15,INDEX(Inputs!$B$17:$D$17,1,MATCH(A655,Inputs!$B$6:$D$6,0)),IF(INDEX(Roster!$D$6:$D$108,MATCH(D655,Roster!$A$6:$A$108,0))&gt;=10,INDEX(Inputs!$B$16:$D$16,1,MATCH(A655,Inputs!$B$6:$D$6,0)),IF(INDEX(Roster!$D$6:$D$108,MATCH(D655,Roster!$A$6:$A$108,0))&gt;=5,INDEX(Inputs!$B$15:$D$15,1,MATCH(A655,Inputs!$B$6:$D$6,0)),0)))))</x:f>
        <x:v>90</x:v>
      </x:c>
      <x:c r="M655" s="20" t="n">
        <x:f>G655*I655</x:f>
        <x:v>31135</x:v>
      </x:c>
      <x:c r="N655" s="20" t="n">
        <x:f>G655*J655</x:f>
        <x:v>650</x:v>
      </x:c>
      <x:c r="O655" s="20" t="n">
        <x:f>G655*K655</x:f>
        <x:v>0</x:v>
      </x:c>
      <x:c r="P655" s="20" t="n">
        <x:f>G655*L655</x:f>
        <x:v>1170</x:v>
      </x:c>
      <x:c r="Q655" s="20" t="n">
        <x:f>H655*INDEX(Inputs!$B$13:$D$13,1,MATCH(A655,Inputs!$B$6:$D$6,0))</x:f>
        <x:v>390</x:v>
      </x:c>
      <x:c r="R655" s="20" t="n">
        <x:f>SUM(M655:Q655)</x:f>
        <x:v>33345</x:v>
      </x:c>
      <x:c r="S655" s="20" t="n">
        <x:f>IF(AND(A654=A655,D654=D655),S654+R655,R655)</x:f>
        <x:v>66690</x:v>
      </x:c>
      <x:c r="T655" s="20" t="n">
        <x:f>MIN(S655,INDEX(Inputs!$B$20:$D$20,1,MATCH(A655,Inputs!$B$6:$D$6,0)))*INDEX(Inputs!$B$22:$D$22,1,MATCH(A655,Inputs!$B$6:$D$6,0))+MAX(MIN(S655,INDEX(Inputs!$B$21:$D$21,1,MATCH(A655,Inputs!$B$6:$D$6,0)))-INDEX(Inputs!$B$20:$D$20,1,MATCH(A655,Inputs!$B$6:$D$6,0)),0)*INDEX(Inputs!$B$23:$D$23,1,MATCH(A655,Inputs!$B$6:$D$6,0))+MAX(S655-INDEX(Inputs!$B$21:$D$21,1,MATCH(A655,Inputs!$B$6:$D$6,0)),0)*INDEX(Inputs!$B$24:$D$24,1,MATCH(A655,Inputs!$B$6:$D$6,0))</x:f>
        <x:v>5591.785</x:v>
      </x:c>
      <x:c r="U655" s="20" t="n">
        <x:f>IF(AND(A654=A655,D654=D655),T654,0)</x:f>
        <x:v>3040.8925</x:v>
      </x:c>
      <x:c r="V655" s="20" t="n">
        <x:f>T655-U655</x:f>
        <x:v>2550.8925</x:v>
      </x:c>
      <x:c r="W655" s="20" t="n">
        <x:f>R655+V655</x:f>
        <x:v>35895.8925</x:v>
      </x:c>
      <x:c r="X655" s="14" t="str">
        <x:f>IF(ABS(W655-SUM(M655:Q655)-V655)&lt;0.01,"OK","Check")</x:f>
        <x:v>OK</x:v>
      </x:c>
    </x:row>
    <x:row r="656">
      <x:c r="A656" s="14" t="n">
        <x:v>2027</x:v>
      </x:c>
      <x:c r="B656" s="14" t="str">
        <x:v>Q3</x:v>
      </x:c>
      <x:c r="C656" s="14" t="n">
        <x:v>3</x:v>
      </x:c>
      <x:c r="D656" s="14" t="n">
        <x:v>60</x:v>
      </x:c>
      <x:c r="E656" s="14" t="str">
        <x:f>INDEX(Roster!$B$6:$B$108,MATCH(D656,Roster!$A$6:$A$108,0))</x:f>
      </x:c>
      <x:c r="F656" s="14" t="str">
        <x:f>INDEX(Roster!$F$6:$F$108,MATCH(D656,Roster!$A$6:$A$108,0))</x:f>
        <x:v>No</x:v>
      </x:c>
      <x:c r="G656" s="14" t="n">
        <x:f>INDEX(Inputs!$B$7:$D$7,1,MATCH(A656,Inputs!$B$6:$D$6,0))</x:f>
        <x:v>13</x:v>
      </x:c>
      <x:c r="H656" s="14" t="n">
        <x:f>MIN(=INDEX(Inputs!$B$7:$D$7,1,MATCH(A656,Inputs!$B$6:$D$6,0)),MAX(0,INDEX(Inputs!$B$14:$D$14,1,MATCH(A656,Inputs!$B$6:$D$6,0))-(C656-1)*=INDEX(Inputs!$B$7:$D$7,1,MATCH(A656,Inputs!$B$6:$D$6,0))))</x:f>
        <x:v>13</x:v>
      </x:c>
      <x:c r="I656" s="20" t="n">
        <x:f>INDEX(Inputs!$B$8:$D$8,1,MATCH(A656,Inputs!$B$6:$D$6,0))</x:f>
        <x:v>2395</x:v>
      </x:c>
      <x:c r="J656" s="20" t="n">
        <x:f>INDEX(Roster!$C$6:$C$108,MATCH(D656,Roster!$A$6:$A$108,0))*(1+INDEX(Inputs!$B$9:$D$9,1,MATCH(A656,Inputs!$B$6:$D$6,0)))</x:f>
        <x:v>50</x:v>
      </x:c>
      <x:c r="K656" s="20" t="n">
        <x:f>IF(=INDEX(Roster!$F$6:$F$108,MATCH(D656,Roster!$A$6:$A$108,0))="Yes",0,=INDEX(Inputs!$B$8:$D$8,1,MATCH(A656,Inputs!$B$6:$D$6,0))*IF(=INDEX(Roster!$B$6:$B$108,MATCH(D656,Roster!$A$6:$A$108,0))="Principal",INDEX(Inputs!$B$10:$D$10,1,MATCH(A656,Inputs!$B$6:$D$6,0)),IF(=INDEX(Roster!$B$6:$B$108,MATCH(D656,Roster!$A$6:$A$108,0))="Associate Principal",INDEX(Inputs!$B$11:$D$11,1,MATCH(A656,Inputs!$B$6:$D$6,0)),IF(=INDEX(Roster!$B$6:$B$108,MATCH(D656,Roster!$A$6:$A$108,0))="Assistant Principal",INDEX(Inputs!$B$12:$D$12,1,MATCH(A656,Inputs!$B$6:$D$6,0)),0))))</x:f>
        <x:v>0</x:v>
      </x:c>
      <x:c r="L656" s="20" t="n">
        <x:f>IF(INDEX(Roster!$D$6:$D$108,MATCH(D656,Roster!$A$6:$A$108,0))&gt;=25,INDEX(Inputs!$B$19:$D$19,1,MATCH(A656,Inputs!$B$6:$D$6,0)),IF(INDEX(Roster!$D$6:$D$108,MATCH(D656,Roster!$A$6:$A$108,0))&gt;=20,INDEX(Inputs!$B$18:$D$18,1,MATCH(A656,Inputs!$B$6:$D$6,0)),IF(INDEX(Roster!$D$6:$D$108,MATCH(D656,Roster!$A$6:$A$108,0))&gt;=15,INDEX(Inputs!$B$17:$D$17,1,MATCH(A656,Inputs!$B$6:$D$6,0)),IF(INDEX(Roster!$D$6:$D$108,MATCH(D656,Roster!$A$6:$A$108,0))&gt;=10,INDEX(Inputs!$B$16:$D$16,1,MATCH(A656,Inputs!$B$6:$D$6,0)),IF(INDEX(Roster!$D$6:$D$108,MATCH(D656,Roster!$A$6:$A$108,0))&gt;=5,INDEX(Inputs!$B$15:$D$15,1,MATCH(A656,Inputs!$B$6:$D$6,0)),0)))))</x:f>
        <x:v>90</x:v>
      </x:c>
      <x:c r="M656" s="20" t="n">
        <x:f>G656*I656</x:f>
        <x:v>31135</x:v>
      </x:c>
      <x:c r="N656" s="20" t="n">
        <x:f>G656*J656</x:f>
        <x:v>650</x:v>
      </x:c>
      <x:c r="O656" s="20" t="n">
        <x:f>G656*K656</x:f>
        <x:v>0</x:v>
      </x:c>
      <x:c r="P656" s="20" t="n">
        <x:f>G656*L656</x:f>
        <x:v>1170</x:v>
      </x:c>
      <x:c r="Q656" s="20" t="n">
        <x:f>H656*INDEX(Inputs!$B$13:$D$13,1,MATCH(A656,Inputs!$B$6:$D$6,0))</x:f>
        <x:v>390</x:v>
      </x:c>
      <x:c r="R656" s="20" t="n">
        <x:f>SUM(M656:Q656)</x:f>
        <x:v>33345</x:v>
      </x:c>
      <x:c r="S656" s="20" t="n">
        <x:f>IF(AND(A655=A656,D655=D656),S655+R656,R656)</x:f>
        <x:v>100035</x:v>
      </x:c>
      <x:c r="T656" s="20" t="n">
        <x:f>MIN(S656,INDEX(Inputs!$B$20:$D$20,1,MATCH(A656,Inputs!$B$6:$D$6,0)))*INDEX(Inputs!$B$22:$D$22,1,MATCH(A656,Inputs!$B$6:$D$6,0))+MAX(MIN(S656,INDEX(Inputs!$B$21:$D$21,1,MATCH(A656,Inputs!$B$6:$D$6,0)))-INDEX(Inputs!$B$20:$D$20,1,MATCH(A656,Inputs!$B$6:$D$6,0)),0)*INDEX(Inputs!$B$23:$D$23,1,MATCH(A656,Inputs!$B$6:$D$6,0))+MAX(S656-INDEX(Inputs!$B$21:$D$21,1,MATCH(A656,Inputs!$B$6:$D$6,0)),0)*INDEX(Inputs!$B$24:$D$24,1,MATCH(A656,Inputs!$B$6:$D$6,0))</x:f>
        <x:v>8142.6775</x:v>
      </x:c>
      <x:c r="U656" s="20" t="n">
        <x:f>IF(AND(A655=A656,D655=D656),T655,0)</x:f>
        <x:v>5591.785</x:v>
      </x:c>
      <x:c r="V656" s="20" t="n">
        <x:f>T656-U656</x:f>
        <x:v>2550.8925</x:v>
      </x:c>
      <x:c r="W656" s="20" t="n">
        <x:f>R656+V656</x:f>
        <x:v>35895.8925</x:v>
      </x:c>
      <x:c r="X656" s="14" t="str">
        <x:f>IF(ABS(W656-SUM(M656:Q656)-V656)&lt;0.01,"OK","Check")</x:f>
        <x:v>OK</x:v>
      </x:c>
    </x:row>
    <x:row r="657">
      <x:c r="A657" s="14" t="n">
        <x:v>2027</x:v>
      </x:c>
      <x:c r="B657" s="14" t="str">
        <x:v>Q4</x:v>
      </x:c>
      <x:c r="C657" s="14" t="n">
        <x:v>4</x:v>
      </x:c>
      <x:c r="D657" s="14" t="n">
        <x:v>60</x:v>
      </x:c>
      <x:c r="E657" s="14" t="str">
        <x:f>INDEX(Roster!$B$6:$B$108,MATCH(D657,Roster!$A$6:$A$108,0))</x:f>
      </x:c>
      <x:c r="F657" s="14" t="str">
        <x:f>INDEX(Roster!$F$6:$F$108,MATCH(D657,Roster!$A$6:$A$108,0))</x:f>
        <x:v>No</x:v>
      </x:c>
      <x:c r="G657" s="14" t="n">
        <x:f>INDEX(Inputs!$B$7:$D$7,1,MATCH(A657,Inputs!$B$6:$D$6,0))</x:f>
        <x:v>13</x:v>
      </x:c>
      <x:c r="H657" s="14" t="n">
        <x:f>MIN(=INDEX(Inputs!$B$7:$D$7,1,MATCH(A657,Inputs!$B$6:$D$6,0)),MAX(0,INDEX(Inputs!$B$14:$D$14,1,MATCH(A657,Inputs!$B$6:$D$6,0))-(C657-1)*=INDEX(Inputs!$B$7:$D$7,1,MATCH(A657,Inputs!$B$6:$D$6,0))))</x:f>
        <x:v>0</x:v>
      </x:c>
      <x:c r="I657" s="20" t="n">
        <x:f>INDEX(Inputs!$B$8:$D$8,1,MATCH(A657,Inputs!$B$6:$D$6,0))</x:f>
        <x:v>2395</x:v>
      </x:c>
      <x:c r="J657" s="20" t="n">
        <x:f>INDEX(Roster!$C$6:$C$108,MATCH(D657,Roster!$A$6:$A$108,0))*(1+INDEX(Inputs!$B$9:$D$9,1,MATCH(A657,Inputs!$B$6:$D$6,0)))</x:f>
        <x:v>50</x:v>
      </x:c>
      <x:c r="K657" s="20" t="n">
        <x:f>IF(=INDEX(Roster!$F$6:$F$108,MATCH(D657,Roster!$A$6:$A$108,0))="Yes",0,=INDEX(Inputs!$B$8:$D$8,1,MATCH(A657,Inputs!$B$6:$D$6,0))*IF(=INDEX(Roster!$B$6:$B$108,MATCH(D657,Roster!$A$6:$A$108,0))="Principal",INDEX(Inputs!$B$10:$D$10,1,MATCH(A657,Inputs!$B$6:$D$6,0)),IF(=INDEX(Roster!$B$6:$B$108,MATCH(D657,Roster!$A$6:$A$108,0))="Associate Principal",INDEX(Inputs!$B$11:$D$11,1,MATCH(A657,Inputs!$B$6:$D$6,0)),IF(=INDEX(Roster!$B$6:$B$108,MATCH(D657,Roster!$A$6:$A$108,0))="Assistant Principal",INDEX(Inputs!$B$12:$D$12,1,MATCH(A657,Inputs!$B$6:$D$6,0)),0))))</x:f>
        <x:v>0</x:v>
      </x:c>
      <x:c r="L657" s="20" t="n">
        <x:f>IF(INDEX(Roster!$D$6:$D$108,MATCH(D657,Roster!$A$6:$A$108,0))&gt;=25,INDEX(Inputs!$B$19:$D$19,1,MATCH(A657,Inputs!$B$6:$D$6,0)),IF(INDEX(Roster!$D$6:$D$108,MATCH(D657,Roster!$A$6:$A$108,0))&gt;=20,INDEX(Inputs!$B$18:$D$18,1,MATCH(A657,Inputs!$B$6:$D$6,0)),IF(INDEX(Roster!$D$6:$D$108,MATCH(D657,Roster!$A$6:$A$108,0))&gt;=15,INDEX(Inputs!$B$17:$D$17,1,MATCH(A657,Inputs!$B$6:$D$6,0)),IF(INDEX(Roster!$D$6:$D$108,MATCH(D657,Roster!$A$6:$A$108,0))&gt;=10,INDEX(Inputs!$B$16:$D$16,1,MATCH(A657,Inputs!$B$6:$D$6,0)),IF(INDEX(Roster!$D$6:$D$108,MATCH(D657,Roster!$A$6:$A$108,0))&gt;=5,INDEX(Inputs!$B$15:$D$15,1,MATCH(A657,Inputs!$B$6:$D$6,0)),0)))))</x:f>
        <x:v>90</x:v>
      </x:c>
      <x:c r="M657" s="20" t="n">
        <x:f>G657*I657</x:f>
        <x:v>31135</x:v>
      </x:c>
      <x:c r="N657" s="20" t="n">
        <x:f>G657*J657</x:f>
        <x:v>650</x:v>
      </x:c>
      <x:c r="O657" s="20" t="n">
        <x:f>G657*K657</x:f>
        <x:v>0</x:v>
      </x:c>
      <x:c r="P657" s="20" t="n">
        <x:f>G657*L657</x:f>
        <x:v>1170</x:v>
      </x:c>
      <x:c r="Q657" s="20" t="n">
        <x:f>H657*INDEX(Inputs!$B$13:$D$13,1,MATCH(A657,Inputs!$B$6:$D$6,0))</x:f>
        <x:v>0</x:v>
      </x:c>
      <x:c r="R657" s="20" t="n">
        <x:f>SUM(M657:Q657)</x:f>
        <x:v>32955</x:v>
      </x:c>
      <x:c r="S657" s="20" t="n">
        <x:f>IF(AND(A656=A657,D656=D657),S656+R657,R657)</x:f>
        <x:v>132990</x:v>
      </x:c>
      <x:c r="T657" s="20" t="n">
        <x:f>MIN(S657,INDEX(Inputs!$B$20:$D$20,1,MATCH(A657,Inputs!$B$6:$D$6,0)))*INDEX(Inputs!$B$22:$D$22,1,MATCH(A657,Inputs!$B$6:$D$6,0))+MAX(MIN(S657,INDEX(Inputs!$B$21:$D$21,1,MATCH(A657,Inputs!$B$6:$D$6,0)))-INDEX(Inputs!$B$20:$D$20,1,MATCH(A657,Inputs!$B$6:$D$6,0)),0)*INDEX(Inputs!$B$23:$D$23,1,MATCH(A657,Inputs!$B$6:$D$6,0))+MAX(S657-INDEX(Inputs!$B$21:$D$21,1,MATCH(A657,Inputs!$B$6:$D$6,0)),0)*INDEX(Inputs!$B$24:$D$24,1,MATCH(A657,Inputs!$B$6:$D$6,0))</x:f>
        <x:v>9842.297</x:v>
      </x:c>
      <x:c r="U657" s="20" t="n">
        <x:f>IF(AND(A656=A657,D656=D657),T656,0)</x:f>
        <x:v>8142.6775</x:v>
      </x:c>
      <x:c r="V657" s="20" t="n">
        <x:f>T657-U657</x:f>
        <x:v>1699.6195000000007</x:v>
      </x:c>
      <x:c r="W657" s="20" t="n">
        <x:f>R657+V657</x:f>
        <x:v>34654.6195</x:v>
      </x:c>
      <x:c r="X657" s="14" t="str">
        <x:f>IF(ABS(W657-SUM(M657:Q657)-V657)&lt;0.01,"OK","Check")</x:f>
        <x:v>OK</x:v>
      </x:c>
    </x:row>
    <x:row r="658">
      <x:c r="A658" s="14" t="n">
        <x:v>2027</x:v>
      </x:c>
      <x:c r="B658" s="14" t="str">
        <x:v>Q1</x:v>
      </x:c>
      <x:c r="C658" s="14" t="n">
        <x:v>1</x:v>
      </x:c>
      <x:c r="D658" s="14" t="n">
        <x:v>61</x:v>
      </x:c>
      <x:c r="E658" s="14" t="str">
        <x:f>INDEX(Roster!$B$6:$B$108,MATCH(D658,Roster!$A$6:$A$108,0))</x:f>
        <x:v>Associate Principal</x:v>
      </x:c>
      <x:c r="F658" s="14" t="str">
        <x:f>INDEX(Roster!$F$6:$F$108,MATCH(D658,Roster!$A$6:$A$108,0))</x:f>
        <x:v>No</x:v>
      </x:c>
      <x:c r="G658" s="14" t="n">
        <x:f>INDEX(Inputs!$B$7:$D$7,1,MATCH(A658,Inputs!$B$6:$D$6,0))</x:f>
        <x:v>13</x:v>
      </x:c>
      <x:c r="H658" s="14" t="n">
        <x:f>MIN(=INDEX(Inputs!$B$7:$D$7,1,MATCH(A658,Inputs!$B$6:$D$6,0)),MAX(0,INDEX(Inputs!$B$14:$D$14,1,MATCH(A658,Inputs!$B$6:$D$6,0))-(C658-1)*=INDEX(Inputs!$B$7:$D$7,1,MATCH(A658,Inputs!$B$6:$D$6,0))))</x:f>
        <x:v>13</x:v>
      </x:c>
      <x:c r="I658" s="20" t="n">
        <x:f>INDEX(Inputs!$B$8:$D$8,1,MATCH(A658,Inputs!$B$6:$D$6,0))</x:f>
        <x:v>2395</x:v>
      </x:c>
      <x:c r="J658" s="20" t="n">
        <x:f>INDEX(Roster!$C$6:$C$108,MATCH(D658,Roster!$A$6:$A$108,0))*(1+INDEX(Inputs!$B$9:$D$9,1,MATCH(A658,Inputs!$B$6:$D$6,0)))</x:f>
        <x:v>450</x:v>
      </x:c>
      <x:c r="K658" s="20" t="n">
        <x:f>IF(=INDEX(Roster!$F$6:$F$108,MATCH(D658,Roster!$A$6:$A$108,0))="Yes",0,=INDEX(Inputs!$B$8:$D$8,1,MATCH(A658,Inputs!$B$6:$D$6,0))*IF(=INDEX(Roster!$B$6:$B$108,MATCH(D658,Roster!$A$6:$A$108,0))="Principal",INDEX(Inputs!$B$10:$D$10,1,MATCH(A658,Inputs!$B$6:$D$6,0)),IF(=INDEX(Roster!$B$6:$B$108,MATCH(D658,Roster!$A$6:$A$108,0))="Associate Principal",INDEX(Inputs!$B$11:$D$11,1,MATCH(A658,Inputs!$B$6:$D$6,0)),IF(=INDEX(Roster!$B$6:$B$108,MATCH(D658,Roster!$A$6:$A$108,0))="Assistant Principal",INDEX(Inputs!$B$12:$D$12,1,MATCH(A658,Inputs!$B$6:$D$6,0)),0))))</x:f>
        <x:v>239.5</x:v>
      </x:c>
      <x:c r="L658" s="20" t="n">
        <x:f>IF(INDEX(Roster!$D$6:$D$108,MATCH(D658,Roster!$A$6:$A$108,0))&gt;=25,INDEX(Inputs!$B$19:$D$19,1,MATCH(A658,Inputs!$B$6:$D$6,0)),IF(INDEX(Roster!$D$6:$D$108,MATCH(D658,Roster!$A$6:$A$108,0))&gt;=20,INDEX(Inputs!$B$18:$D$18,1,MATCH(A658,Inputs!$B$6:$D$6,0)),IF(INDEX(Roster!$D$6:$D$108,MATCH(D658,Roster!$A$6:$A$108,0))&gt;=15,INDEX(Inputs!$B$17:$D$17,1,MATCH(A658,Inputs!$B$6:$D$6,0)),IF(INDEX(Roster!$D$6:$D$108,MATCH(D658,Roster!$A$6:$A$108,0))&gt;=10,INDEX(Inputs!$B$16:$D$16,1,MATCH(A658,Inputs!$B$6:$D$6,0)),IF(INDEX(Roster!$D$6:$D$108,MATCH(D658,Roster!$A$6:$A$108,0))&gt;=5,INDEX(Inputs!$B$15:$D$15,1,MATCH(A658,Inputs!$B$6:$D$6,0)),0)))))</x:f>
        <x:v>90</x:v>
      </x:c>
      <x:c r="M658" s="20" t="n">
        <x:f>G658*I658</x:f>
        <x:v>31135</x:v>
      </x:c>
      <x:c r="N658" s="20" t="n">
        <x:f>G658*J658</x:f>
        <x:v>5850</x:v>
      </x:c>
      <x:c r="O658" s="20" t="n">
        <x:f>G658*K658</x:f>
        <x:v>3113.5</x:v>
      </x:c>
      <x:c r="P658" s="20" t="n">
        <x:f>G658*L658</x:f>
        <x:v>1170</x:v>
      </x:c>
      <x:c r="Q658" s="20" t="n">
        <x:f>H658*INDEX(Inputs!$B$13:$D$13,1,MATCH(A658,Inputs!$B$6:$D$6,0))</x:f>
        <x:v>390</x:v>
      </x:c>
      <x:c r="R658" s="20" t="n">
        <x:f>SUM(M658:Q658)</x:f>
        <x:v>41658.5</x:v>
      </x:c>
      <x:c r="S658" s="20" t="n">
        <x:f>IF(AND(A657=A658,D657=D658),S657+R658,R658)</x:f>
        <x:v>41658.5</x:v>
      </x:c>
      <x:c r="T658" s="20" t="n">
        <x:f>MIN(S658,INDEX(Inputs!$B$20:$D$20,1,MATCH(A658,Inputs!$B$6:$D$6,0)))*INDEX(Inputs!$B$22:$D$22,1,MATCH(A658,Inputs!$B$6:$D$6,0))+MAX(MIN(S658,INDEX(Inputs!$B$21:$D$21,1,MATCH(A658,Inputs!$B$6:$D$6,0)))-INDEX(Inputs!$B$20:$D$20,1,MATCH(A658,Inputs!$B$6:$D$6,0)),0)*INDEX(Inputs!$B$23:$D$23,1,MATCH(A658,Inputs!$B$6:$D$6,0))+MAX(S658-INDEX(Inputs!$B$21:$D$21,1,MATCH(A658,Inputs!$B$6:$D$6,0)),0)*INDEX(Inputs!$B$24:$D$24,1,MATCH(A658,Inputs!$B$6:$D$6,0))</x:f>
        <x:v>3676.87525</x:v>
      </x:c>
      <x:c r="U658" s="20" t="n">
        <x:f>IF(AND(A657=A658,D657=D658),T657,0)</x:f>
        <x:v>0</x:v>
      </x:c>
      <x:c r="V658" s="20" t="n">
        <x:f>T658-U658</x:f>
        <x:v>3676.87525</x:v>
      </x:c>
      <x:c r="W658" s="20" t="n">
        <x:f>R658+V658</x:f>
        <x:v>45335.37525</x:v>
      </x:c>
      <x:c r="X658" s="14" t="str">
        <x:f>IF(ABS(W658-SUM(M658:Q658)-V658)&lt;0.01,"OK","Check")</x:f>
        <x:v>OK</x:v>
      </x:c>
    </x:row>
    <x:row r="659">
      <x:c r="A659" s="14" t="n">
        <x:v>2027</x:v>
      </x:c>
      <x:c r="B659" s="14" t="str">
        <x:v>Q2</x:v>
      </x:c>
      <x:c r="C659" s="14" t="n">
        <x:v>2</x:v>
      </x:c>
      <x:c r="D659" s="14" t="n">
        <x:v>61</x:v>
      </x:c>
      <x:c r="E659" s="14" t="str">
        <x:f>INDEX(Roster!$B$6:$B$108,MATCH(D659,Roster!$A$6:$A$108,0))</x:f>
        <x:v>Associate Principal</x:v>
      </x:c>
      <x:c r="F659" s="14" t="str">
        <x:f>INDEX(Roster!$F$6:$F$108,MATCH(D659,Roster!$A$6:$A$108,0))</x:f>
        <x:v>No</x:v>
      </x:c>
      <x:c r="G659" s="14" t="n">
        <x:f>INDEX(Inputs!$B$7:$D$7,1,MATCH(A659,Inputs!$B$6:$D$6,0))</x:f>
        <x:v>13</x:v>
      </x:c>
      <x:c r="H659" s="14" t="n">
        <x:f>MIN(=INDEX(Inputs!$B$7:$D$7,1,MATCH(A659,Inputs!$B$6:$D$6,0)),MAX(0,INDEX(Inputs!$B$14:$D$14,1,MATCH(A659,Inputs!$B$6:$D$6,0))-(C659-1)*=INDEX(Inputs!$B$7:$D$7,1,MATCH(A659,Inputs!$B$6:$D$6,0))))</x:f>
        <x:v>13</x:v>
      </x:c>
      <x:c r="I659" s="20" t="n">
        <x:f>INDEX(Inputs!$B$8:$D$8,1,MATCH(A659,Inputs!$B$6:$D$6,0))</x:f>
        <x:v>2395</x:v>
      </x:c>
      <x:c r="J659" s="20" t="n">
        <x:f>INDEX(Roster!$C$6:$C$108,MATCH(D659,Roster!$A$6:$A$108,0))*(1+INDEX(Inputs!$B$9:$D$9,1,MATCH(A659,Inputs!$B$6:$D$6,0)))</x:f>
        <x:v>450</x:v>
      </x:c>
      <x:c r="K659" s="20" t="n">
        <x:f>IF(=INDEX(Roster!$F$6:$F$108,MATCH(D659,Roster!$A$6:$A$108,0))="Yes",0,=INDEX(Inputs!$B$8:$D$8,1,MATCH(A659,Inputs!$B$6:$D$6,0))*IF(=INDEX(Roster!$B$6:$B$108,MATCH(D659,Roster!$A$6:$A$108,0))="Principal",INDEX(Inputs!$B$10:$D$10,1,MATCH(A659,Inputs!$B$6:$D$6,0)),IF(=INDEX(Roster!$B$6:$B$108,MATCH(D659,Roster!$A$6:$A$108,0))="Associate Principal",INDEX(Inputs!$B$11:$D$11,1,MATCH(A659,Inputs!$B$6:$D$6,0)),IF(=INDEX(Roster!$B$6:$B$108,MATCH(D659,Roster!$A$6:$A$108,0))="Assistant Principal",INDEX(Inputs!$B$12:$D$12,1,MATCH(A659,Inputs!$B$6:$D$6,0)),0))))</x:f>
        <x:v>239.5</x:v>
      </x:c>
      <x:c r="L659" s="20" t="n">
        <x:f>IF(INDEX(Roster!$D$6:$D$108,MATCH(D659,Roster!$A$6:$A$108,0))&gt;=25,INDEX(Inputs!$B$19:$D$19,1,MATCH(A659,Inputs!$B$6:$D$6,0)),IF(INDEX(Roster!$D$6:$D$108,MATCH(D659,Roster!$A$6:$A$108,0))&gt;=20,INDEX(Inputs!$B$18:$D$18,1,MATCH(A659,Inputs!$B$6:$D$6,0)),IF(INDEX(Roster!$D$6:$D$108,MATCH(D659,Roster!$A$6:$A$108,0))&gt;=15,INDEX(Inputs!$B$17:$D$17,1,MATCH(A659,Inputs!$B$6:$D$6,0)),IF(INDEX(Roster!$D$6:$D$108,MATCH(D659,Roster!$A$6:$A$108,0))&gt;=10,INDEX(Inputs!$B$16:$D$16,1,MATCH(A659,Inputs!$B$6:$D$6,0)),IF(INDEX(Roster!$D$6:$D$108,MATCH(D659,Roster!$A$6:$A$108,0))&gt;=5,INDEX(Inputs!$B$15:$D$15,1,MATCH(A659,Inputs!$B$6:$D$6,0)),0)))))</x:f>
        <x:v>90</x:v>
      </x:c>
      <x:c r="M659" s="20" t="n">
        <x:f>G659*I659</x:f>
        <x:v>31135</x:v>
      </x:c>
      <x:c r="N659" s="20" t="n">
        <x:f>G659*J659</x:f>
        <x:v>5850</x:v>
      </x:c>
      <x:c r="O659" s="20" t="n">
        <x:f>G659*K659</x:f>
        <x:v>3113.5</x:v>
      </x:c>
      <x:c r="P659" s="20" t="n">
        <x:f>G659*L659</x:f>
        <x:v>1170</x:v>
      </x:c>
      <x:c r="Q659" s="20" t="n">
        <x:f>H659*INDEX(Inputs!$B$13:$D$13,1,MATCH(A659,Inputs!$B$6:$D$6,0))</x:f>
        <x:v>390</x:v>
      </x:c>
      <x:c r="R659" s="20" t="n">
        <x:f>SUM(M659:Q659)</x:f>
        <x:v>41658.5</x:v>
      </x:c>
      <x:c r="S659" s="20" t="n">
        <x:f>IF(AND(A658=A659,D658=D659),S658+R659,R659)</x:f>
        <x:v>83317</x:v>
      </x:c>
      <x:c r="T659" s="20" t="n">
        <x:f>MIN(S659,INDEX(Inputs!$B$20:$D$20,1,MATCH(A659,Inputs!$B$6:$D$6,0)))*INDEX(Inputs!$B$22:$D$22,1,MATCH(A659,Inputs!$B$6:$D$6,0))+MAX(MIN(S659,INDEX(Inputs!$B$21:$D$21,1,MATCH(A659,Inputs!$B$6:$D$6,0)))-INDEX(Inputs!$B$20:$D$20,1,MATCH(A659,Inputs!$B$6:$D$6,0)),0)*INDEX(Inputs!$B$23:$D$23,1,MATCH(A659,Inputs!$B$6:$D$6,0))+MAX(S659-INDEX(Inputs!$B$21:$D$21,1,MATCH(A659,Inputs!$B$6:$D$6,0)),0)*INDEX(Inputs!$B$24:$D$24,1,MATCH(A659,Inputs!$B$6:$D$6,0))</x:f>
        <x:v>6863.7505</x:v>
      </x:c>
      <x:c r="U659" s="20" t="n">
        <x:f>IF(AND(A658=A659,D658=D659),T658,0)</x:f>
        <x:v>3676.87525</x:v>
      </x:c>
      <x:c r="V659" s="20" t="n">
        <x:f>T659-U659</x:f>
        <x:v>3186.87525</x:v>
      </x:c>
      <x:c r="W659" s="20" t="n">
        <x:f>R659+V659</x:f>
        <x:v>44845.37525</x:v>
      </x:c>
      <x:c r="X659" s="14" t="str">
        <x:f>IF(ABS(W659-SUM(M659:Q659)-V659)&lt;0.01,"OK","Check")</x:f>
        <x:v>OK</x:v>
      </x:c>
    </x:row>
    <x:row r="660">
      <x:c r="A660" s="14" t="n">
        <x:v>2027</x:v>
      </x:c>
      <x:c r="B660" s="14" t="str">
        <x:v>Q3</x:v>
      </x:c>
      <x:c r="C660" s="14" t="n">
        <x:v>3</x:v>
      </x:c>
      <x:c r="D660" s="14" t="n">
        <x:v>61</x:v>
      </x:c>
      <x:c r="E660" s="14" t="str">
        <x:f>INDEX(Roster!$B$6:$B$108,MATCH(D660,Roster!$A$6:$A$108,0))</x:f>
        <x:v>Associate Principal</x:v>
      </x:c>
      <x:c r="F660" s="14" t="str">
        <x:f>INDEX(Roster!$F$6:$F$108,MATCH(D660,Roster!$A$6:$A$108,0))</x:f>
        <x:v>No</x:v>
      </x:c>
      <x:c r="G660" s="14" t="n">
        <x:f>INDEX(Inputs!$B$7:$D$7,1,MATCH(A660,Inputs!$B$6:$D$6,0))</x:f>
        <x:v>13</x:v>
      </x:c>
      <x:c r="H660" s="14" t="n">
        <x:f>MIN(=INDEX(Inputs!$B$7:$D$7,1,MATCH(A660,Inputs!$B$6:$D$6,0)),MAX(0,INDEX(Inputs!$B$14:$D$14,1,MATCH(A660,Inputs!$B$6:$D$6,0))-(C660-1)*=INDEX(Inputs!$B$7:$D$7,1,MATCH(A660,Inputs!$B$6:$D$6,0))))</x:f>
        <x:v>13</x:v>
      </x:c>
      <x:c r="I660" s="20" t="n">
        <x:f>INDEX(Inputs!$B$8:$D$8,1,MATCH(A660,Inputs!$B$6:$D$6,0))</x:f>
        <x:v>2395</x:v>
      </x:c>
      <x:c r="J660" s="20" t="n">
        <x:f>INDEX(Roster!$C$6:$C$108,MATCH(D660,Roster!$A$6:$A$108,0))*(1+INDEX(Inputs!$B$9:$D$9,1,MATCH(A660,Inputs!$B$6:$D$6,0)))</x:f>
        <x:v>450</x:v>
      </x:c>
      <x:c r="K660" s="20" t="n">
        <x:f>IF(=INDEX(Roster!$F$6:$F$108,MATCH(D660,Roster!$A$6:$A$108,0))="Yes",0,=INDEX(Inputs!$B$8:$D$8,1,MATCH(A660,Inputs!$B$6:$D$6,0))*IF(=INDEX(Roster!$B$6:$B$108,MATCH(D660,Roster!$A$6:$A$108,0))="Principal",INDEX(Inputs!$B$10:$D$10,1,MATCH(A660,Inputs!$B$6:$D$6,0)),IF(=INDEX(Roster!$B$6:$B$108,MATCH(D660,Roster!$A$6:$A$108,0))="Associate Principal",INDEX(Inputs!$B$11:$D$11,1,MATCH(A660,Inputs!$B$6:$D$6,0)),IF(=INDEX(Roster!$B$6:$B$108,MATCH(D660,Roster!$A$6:$A$108,0))="Assistant Principal",INDEX(Inputs!$B$12:$D$12,1,MATCH(A660,Inputs!$B$6:$D$6,0)),0))))</x:f>
        <x:v>239.5</x:v>
      </x:c>
      <x:c r="L660" s="20" t="n">
        <x:f>IF(INDEX(Roster!$D$6:$D$108,MATCH(D660,Roster!$A$6:$A$108,0))&gt;=25,INDEX(Inputs!$B$19:$D$19,1,MATCH(A660,Inputs!$B$6:$D$6,0)),IF(INDEX(Roster!$D$6:$D$108,MATCH(D660,Roster!$A$6:$A$108,0))&gt;=20,INDEX(Inputs!$B$18:$D$18,1,MATCH(A660,Inputs!$B$6:$D$6,0)),IF(INDEX(Roster!$D$6:$D$108,MATCH(D660,Roster!$A$6:$A$108,0))&gt;=15,INDEX(Inputs!$B$17:$D$17,1,MATCH(A660,Inputs!$B$6:$D$6,0)),IF(INDEX(Roster!$D$6:$D$108,MATCH(D660,Roster!$A$6:$A$108,0))&gt;=10,INDEX(Inputs!$B$16:$D$16,1,MATCH(A660,Inputs!$B$6:$D$6,0)),IF(INDEX(Roster!$D$6:$D$108,MATCH(D660,Roster!$A$6:$A$108,0))&gt;=5,INDEX(Inputs!$B$15:$D$15,1,MATCH(A660,Inputs!$B$6:$D$6,0)),0)))))</x:f>
        <x:v>90</x:v>
      </x:c>
      <x:c r="M660" s="20" t="n">
        <x:f>G660*I660</x:f>
        <x:v>31135</x:v>
      </x:c>
      <x:c r="N660" s="20" t="n">
        <x:f>G660*J660</x:f>
        <x:v>5850</x:v>
      </x:c>
      <x:c r="O660" s="20" t="n">
        <x:f>G660*K660</x:f>
        <x:v>3113.5</x:v>
      </x:c>
      <x:c r="P660" s="20" t="n">
        <x:f>G660*L660</x:f>
        <x:v>1170</x:v>
      </x:c>
      <x:c r="Q660" s="20" t="n">
        <x:f>H660*INDEX(Inputs!$B$13:$D$13,1,MATCH(A660,Inputs!$B$6:$D$6,0))</x:f>
        <x:v>390</x:v>
      </x:c>
      <x:c r="R660" s="20" t="n">
        <x:f>SUM(M660:Q660)</x:f>
        <x:v>41658.5</x:v>
      </x:c>
      <x:c r="S660" s="20" t="n">
        <x:f>IF(AND(A659=A660,D659=D660),S659+R660,R660)</x:f>
        <x:v>124975.5</x:v>
      </x:c>
      <x:c r="T660" s="20" t="n">
        <x:f>MIN(S660,INDEX(Inputs!$B$20:$D$20,1,MATCH(A660,Inputs!$B$6:$D$6,0)))*INDEX(Inputs!$B$22:$D$22,1,MATCH(A660,Inputs!$B$6:$D$6,0))+MAX(MIN(S660,INDEX(Inputs!$B$21:$D$21,1,MATCH(A660,Inputs!$B$6:$D$6,0)))-INDEX(Inputs!$B$20:$D$20,1,MATCH(A660,Inputs!$B$6:$D$6,0)),0)*INDEX(Inputs!$B$23:$D$23,1,MATCH(A660,Inputs!$B$6:$D$6,0))+MAX(S660-INDEX(Inputs!$B$21:$D$21,1,MATCH(A660,Inputs!$B$6:$D$6,0)),0)*INDEX(Inputs!$B$24:$D$24,1,MATCH(A660,Inputs!$B$6:$D$6,0))</x:f>
        <x:v>9726.08675</x:v>
      </x:c>
      <x:c r="U660" s="20" t="n">
        <x:f>IF(AND(A659=A660,D659=D660),T659,0)</x:f>
        <x:v>6863.7505</x:v>
      </x:c>
      <x:c r="V660" s="20" t="n">
        <x:f>T660-U660</x:f>
        <x:v>2862.3362500000003</x:v>
      </x:c>
      <x:c r="W660" s="20" t="n">
        <x:f>R660+V660</x:f>
        <x:v>44520.83625</x:v>
      </x:c>
      <x:c r="X660" s="14" t="str">
        <x:f>IF(ABS(W660-SUM(M660:Q660)-V660)&lt;0.01,"OK","Check")</x:f>
        <x:v>OK</x:v>
      </x:c>
    </x:row>
    <x:row r="661">
      <x:c r="A661" s="14" t="n">
        <x:v>2027</x:v>
      </x:c>
      <x:c r="B661" s="14" t="str">
        <x:v>Q4</x:v>
      </x:c>
      <x:c r="C661" s="14" t="n">
        <x:v>4</x:v>
      </x:c>
      <x:c r="D661" s="14" t="n">
        <x:v>61</x:v>
      </x:c>
      <x:c r="E661" s="14" t="str">
        <x:f>INDEX(Roster!$B$6:$B$108,MATCH(D661,Roster!$A$6:$A$108,0))</x:f>
        <x:v>Associate Principal</x:v>
      </x:c>
      <x:c r="F661" s="14" t="str">
        <x:f>INDEX(Roster!$F$6:$F$108,MATCH(D661,Roster!$A$6:$A$108,0))</x:f>
        <x:v>No</x:v>
      </x:c>
      <x:c r="G661" s="14" t="n">
        <x:f>INDEX(Inputs!$B$7:$D$7,1,MATCH(A661,Inputs!$B$6:$D$6,0))</x:f>
        <x:v>13</x:v>
      </x:c>
      <x:c r="H661" s="14" t="n">
        <x:f>MIN(=INDEX(Inputs!$B$7:$D$7,1,MATCH(A661,Inputs!$B$6:$D$6,0)),MAX(0,INDEX(Inputs!$B$14:$D$14,1,MATCH(A661,Inputs!$B$6:$D$6,0))-(C661-1)*=INDEX(Inputs!$B$7:$D$7,1,MATCH(A661,Inputs!$B$6:$D$6,0))))</x:f>
        <x:v>0</x:v>
      </x:c>
      <x:c r="I661" s="20" t="n">
        <x:f>INDEX(Inputs!$B$8:$D$8,1,MATCH(A661,Inputs!$B$6:$D$6,0))</x:f>
        <x:v>2395</x:v>
      </x:c>
      <x:c r="J661" s="20" t="n">
        <x:f>INDEX(Roster!$C$6:$C$108,MATCH(D661,Roster!$A$6:$A$108,0))*(1+INDEX(Inputs!$B$9:$D$9,1,MATCH(A661,Inputs!$B$6:$D$6,0)))</x:f>
        <x:v>450</x:v>
      </x:c>
      <x:c r="K661" s="20" t="n">
        <x:f>IF(=INDEX(Roster!$F$6:$F$108,MATCH(D661,Roster!$A$6:$A$108,0))="Yes",0,=INDEX(Inputs!$B$8:$D$8,1,MATCH(A661,Inputs!$B$6:$D$6,0))*IF(=INDEX(Roster!$B$6:$B$108,MATCH(D661,Roster!$A$6:$A$108,0))="Principal",INDEX(Inputs!$B$10:$D$10,1,MATCH(A661,Inputs!$B$6:$D$6,0)),IF(=INDEX(Roster!$B$6:$B$108,MATCH(D661,Roster!$A$6:$A$108,0))="Associate Principal",INDEX(Inputs!$B$11:$D$11,1,MATCH(A661,Inputs!$B$6:$D$6,0)),IF(=INDEX(Roster!$B$6:$B$108,MATCH(D661,Roster!$A$6:$A$108,0))="Assistant Principal",INDEX(Inputs!$B$12:$D$12,1,MATCH(A661,Inputs!$B$6:$D$6,0)),0))))</x:f>
        <x:v>239.5</x:v>
      </x:c>
      <x:c r="L661" s="20" t="n">
        <x:f>IF(INDEX(Roster!$D$6:$D$108,MATCH(D661,Roster!$A$6:$A$108,0))&gt;=25,INDEX(Inputs!$B$19:$D$19,1,MATCH(A661,Inputs!$B$6:$D$6,0)),IF(INDEX(Roster!$D$6:$D$108,MATCH(D661,Roster!$A$6:$A$108,0))&gt;=20,INDEX(Inputs!$B$18:$D$18,1,MATCH(A661,Inputs!$B$6:$D$6,0)),IF(INDEX(Roster!$D$6:$D$108,MATCH(D661,Roster!$A$6:$A$108,0))&gt;=15,INDEX(Inputs!$B$17:$D$17,1,MATCH(A661,Inputs!$B$6:$D$6,0)),IF(INDEX(Roster!$D$6:$D$108,MATCH(D661,Roster!$A$6:$A$108,0))&gt;=10,INDEX(Inputs!$B$16:$D$16,1,MATCH(A661,Inputs!$B$6:$D$6,0)),IF(INDEX(Roster!$D$6:$D$108,MATCH(D661,Roster!$A$6:$A$108,0))&gt;=5,INDEX(Inputs!$B$15:$D$15,1,MATCH(A661,Inputs!$B$6:$D$6,0)),0)))))</x:f>
        <x:v>90</x:v>
      </x:c>
      <x:c r="M661" s="20" t="n">
        <x:f>G661*I661</x:f>
        <x:v>31135</x:v>
      </x:c>
      <x:c r="N661" s="20" t="n">
        <x:f>G661*J661</x:f>
        <x:v>5850</x:v>
      </x:c>
      <x:c r="O661" s="20" t="n">
        <x:f>G661*K661</x:f>
        <x:v>3113.5</x:v>
      </x:c>
      <x:c r="P661" s="20" t="n">
        <x:f>G661*L661</x:f>
        <x:v>1170</x:v>
      </x:c>
      <x:c r="Q661" s="20" t="n">
        <x:f>H661*INDEX(Inputs!$B$13:$D$13,1,MATCH(A661,Inputs!$B$6:$D$6,0))</x:f>
        <x:v>0</x:v>
      </x:c>
      <x:c r="R661" s="20" t="n">
        <x:f>SUM(M661:Q661)</x:f>
        <x:v>41268.5</x:v>
      </x:c>
      <x:c r="S661" s="20" t="n">
        <x:f>IF(AND(A660=A661,D660=D661),S660+R661,R661)</x:f>
        <x:v>166244</x:v>
      </x:c>
      <x:c r="T661" s="20" t="n">
        <x:f>MIN(S661,INDEX(Inputs!$B$20:$D$20,1,MATCH(A661,Inputs!$B$6:$D$6,0)))*INDEX(Inputs!$B$22:$D$22,1,MATCH(A661,Inputs!$B$6:$D$6,0))+MAX(MIN(S661,INDEX(Inputs!$B$21:$D$21,1,MATCH(A661,Inputs!$B$6:$D$6,0)))-INDEX(Inputs!$B$20:$D$20,1,MATCH(A661,Inputs!$B$6:$D$6,0)),0)*INDEX(Inputs!$B$23:$D$23,1,MATCH(A661,Inputs!$B$6:$D$6,0))+MAX(S661-INDEX(Inputs!$B$21:$D$21,1,MATCH(A661,Inputs!$B$6:$D$6,0)),0)*INDEX(Inputs!$B$24:$D$24,1,MATCH(A661,Inputs!$B$6:$D$6,0))</x:f>
        <x:v>10324.48</x:v>
      </x:c>
      <x:c r="U661" s="20" t="n">
        <x:f>IF(AND(A660=A661,D660=D661),T660,0)</x:f>
        <x:v>9726.08675</x:v>
      </x:c>
      <x:c r="V661" s="20" t="n">
        <x:f>T661-U661</x:f>
        <x:v>598.3932499999992</x:v>
      </x:c>
      <x:c r="W661" s="20" t="n">
        <x:f>R661+V661</x:f>
        <x:v>41866.89325</x:v>
      </x:c>
      <x:c r="X661" s="14" t="str">
        <x:f>IF(ABS(W661-SUM(M661:Q661)-V661)&lt;0.01,"OK","Check")</x:f>
        <x:v>OK</x:v>
      </x:c>
    </x:row>
    <x:row r="662">
      <x:c r="A662" s="14" t="n">
        <x:v>2027</x:v>
      </x:c>
      <x:c r="B662" s="14" t="str">
        <x:v>Q1</x:v>
      </x:c>
      <x:c r="C662" s="14" t="n">
        <x:v>1</x:v>
      </x:c>
      <x:c r="D662" s="14" t="n">
        <x:v>62</x:v>
      </x:c>
      <x:c r="E662" s="14" t="str">
        <x:f>INDEX(Roster!$B$6:$B$108,MATCH(D662,Roster!$A$6:$A$108,0))</x:f>
      </x:c>
      <x:c r="F662" s="14" t="str">
        <x:f>INDEX(Roster!$F$6:$F$108,MATCH(D662,Roster!$A$6:$A$108,0))</x:f>
        <x:v>No</x:v>
      </x:c>
      <x:c r="G662" s="14" t="n">
        <x:f>INDEX(Inputs!$B$7:$D$7,1,MATCH(A662,Inputs!$B$6:$D$6,0))</x:f>
        <x:v>13</x:v>
      </x:c>
      <x:c r="H662" s="14" t="n">
        <x:f>MIN(=INDEX(Inputs!$B$7:$D$7,1,MATCH(A662,Inputs!$B$6:$D$6,0)),MAX(0,INDEX(Inputs!$B$14:$D$14,1,MATCH(A662,Inputs!$B$6:$D$6,0))-(C662-1)*=INDEX(Inputs!$B$7:$D$7,1,MATCH(A662,Inputs!$B$6:$D$6,0))))</x:f>
        <x:v>13</x:v>
      </x:c>
      <x:c r="I662" s="20" t="n">
        <x:f>INDEX(Inputs!$B$8:$D$8,1,MATCH(A662,Inputs!$B$6:$D$6,0))</x:f>
        <x:v>2395</x:v>
      </x:c>
      <x:c r="J662" s="20" t="n">
        <x:f>INDEX(Roster!$C$6:$C$108,MATCH(D662,Roster!$A$6:$A$108,0))*(1+INDEX(Inputs!$B$9:$D$9,1,MATCH(A662,Inputs!$B$6:$D$6,0)))</x:f>
        <x:v>50</x:v>
      </x:c>
      <x:c r="K662" s="20" t="n">
        <x:f>IF(=INDEX(Roster!$F$6:$F$108,MATCH(D662,Roster!$A$6:$A$108,0))="Yes",0,=INDEX(Inputs!$B$8:$D$8,1,MATCH(A662,Inputs!$B$6:$D$6,0))*IF(=INDEX(Roster!$B$6:$B$108,MATCH(D662,Roster!$A$6:$A$108,0))="Principal",INDEX(Inputs!$B$10:$D$10,1,MATCH(A662,Inputs!$B$6:$D$6,0)),IF(=INDEX(Roster!$B$6:$B$108,MATCH(D662,Roster!$A$6:$A$108,0))="Associate Principal",INDEX(Inputs!$B$11:$D$11,1,MATCH(A662,Inputs!$B$6:$D$6,0)),IF(=INDEX(Roster!$B$6:$B$108,MATCH(D662,Roster!$A$6:$A$108,0))="Assistant Principal",INDEX(Inputs!$B$12:$D$12,1,MATCH(A662,Inputs!$B$6:$D$6,0)),0))))</x:f>
        <x:v>0</x:v>
      </x:c>
      <x:c r="L662" s="20" t="n">
        <x:f>IF(INDEX(Roster!$D$6:$D$108,MATCH(D662,Roster!$A$6:$A$108,0))&gt;=25,INDEX(Inputs!$B$19:$D$19,1,MATCH(A662,Inputs!$B$6:$D$6,0)),IF(INDEX(Roster!$D$6:$D$108,MATCH(D662,Roster!$A$6:$A$108,0))&gt;=20,INDEX(Inputs!$B$18:$D$18,1,MATCH(A662,Inputs!$B$6:$D$6,0)),IF(INDEX(Roster!$D$6:$D$108,MATCH(D662,Roster!$A$6:$A$108,0))&gt;=15,INDEX(Inputs!$B$17:$D$17,1,MATCH(A662,Inputs!$B$6:$D$6,0)),IF(INDEX(Roster!$D$6:$D$108,MATCH(D662,Roster!$A$6:$A$108,0))&gt;=10,INDEX(Inputs!$B$16:$D$16,1,MATCH(A662,Inputs!$B$6:$D$6,0)),IF(INDEX(Roster!$D$6:$D$108,MATCH(D662,Roster!$A$6:$A$108,0))&gt;=5,INDEX(Inputs!$B$15:$D$15,1,MATCH(A662,Inputs!$B$6:$D$6,0)),0)))))</x:f>
        <x:v>90</x:v>
      </x:c>
      <x:c r="M662" s="20" t="n">
        <x:f>G662*I662</x:f>
        <x:v>31135</x:v>
      </x:c>
      <x:c r="N662" s="20" t="n">
        <x:f>G662*J662</x:f>
        <x:v>650</x:v>
      </x:c>
      <x:c r="O662" s="20" t="n">
        <x:f>G662*K662</x:f>
        <x:v>0</x:v>
      </x:c>
      <x:c r="P662" s="20" t="n">
        <x:f>G662*L662</x:f>
        <x:v>1170</x:v>
      </x:c>
      <x:c r="Q662" s="20" t="n">
        <x:f>H662*INDEX(Inputs!$B$13:$D$13,1,MATCH(A662,Inputs!$B$6:$D$6,0))</x:f>
        <x:v>390</x:v>
      </x:c>
      <x:c r="R662" s="20" t="n">
        <x:f>SUM(M662:Q662)</x:f>
        <x:v>33345</x:v>
      </x:c>
      <x:c r="S662" s="20" t="n">
        <x:f>IF(AND(A661=A662,D661=D662),S661+R662,R662)</x:f>
        <x:v>33345</x:v>
      </x:c>
      <x:c r="T662" s="20" t="n">
        <x:f>MIN(S662,INDEX(Inputs!$B$20:$D$20,1,MATCH(A662,Inputs!$B$6:$D$6,0)))*INDEX(Inputs!$B$22:$D$22,1,MATCH(A662,Inputs!$B$6:$D$6,0))+MAX(MIN(S662,INDEX(Inputs!$B$21:$D$21,1,MATCH(A662,Inputs!$B$6:$D$6,0)))-INDEX(Inputs!$B$20:$D$20,1,MATCH(A662,Inputs!$B$6:$D$6,0)),0)*INDEX(Inputs!$B$23:$D$23,1,MATCH(A662,Inputs!$B$6:$D$6,0))+MAX(S662-INDEX(Inputs!$B$21:$D$21,1,MATCH(A662,Inputs!$B$6:$D$6,0)),0)*INDEX(Inputs!$B$24:$D$24,1,MATCH(A662,Inputs!$B$6:$D$6,0))</x:f>
        <x:v>3040.8925</x:v>
      </x:c>
      <x:c r="U662" s="20" t="n">
        <x:f>IF(AND(A661=A662,D661=D662),T661,0)</x:f>
        <x:v>0</x:v>
      </x:c>
      <x:c r="V662" s="20" t="n">
        <x:f>T662-U662</x:f>
        <x:v>3040.8925</x:v>
      </x:c>
      <x:c r="W662" s="20" t="n">
        <x:f>R662+V662</x:f>
        <x:v>36385.8925</x:v>
      </x:c>
      <x:c r="X662" s="14" t="str">
        <x:f>IF(ABS(W662-SUM(M662:Q662)-V662)&lt;0.01,"OK","Check")</x:f>
        <x:v>OK</x:v>
      </x:c>
    </x:row>
    <x:row r="663">
      <x:c r="A663" s="14" t="n">
        <x:v>2027</x:v>
      </x:c>
      <x:c r="B663" s="14" t="str">
        <x:v>Q2</x:v>
      </x:c>
      <x:c r="C663" s="14" t="n">
        <x:v>2</x:v>
      </x:c>
      <x:c r="D663" s="14" t="n">
        <x:v>62</x:v>
      </x:c>
      <x:c r="E663" s="14" t="str">
        <x:f>INDEX(Roster!$B$6:$B$108,MATCH(D663,Roster!$A$6:$A$108,0))</x:f>
      </x:c>
      <x:c r="F663" s="14" t="str">
        <x:f>INDEX(Roster!$F$6:$F$108,MATCH(D663,Roster!$A$6:$A$108,0))</x:f>
        <x:v>No</x:v>
      </x:c>
      <x:c r="G663" s="14" t="n">
        <x:f>INDEX(Inputs!$B$7:$D$7,1,MATCH(A663,Inputs!$B$6:$D$6,0))</x:f>
        <x:v>13</x:v>
      </x:c>
      <x:c r="H663" s="14" t="n">
        <x:f>MIN(=INDEX(Inputs!$B$7:$D$7,1,MATCH(A663,Inputs!$B$6:$D$6,0)),MAX(0,INDEX(Inputs!$B$14:$D$14,1,MATCH(A663,Inputs!$B$6:$D$6,0))-(C663-1)*=INDEX(Inputs!$B$7:$D$7,1,MATCH(A663,Inputs!$B$6:$D$6,0))))</x:f>
        <x:v>13</x:v>
      </x:c>
      <x:c r="I663" s="20" t="n">
        <x:f>INDEX(Inputs!$B$8:$D$8,1,MATCH(A663,Inputs!$B$6:$D$6,0))</x:f>
        <x:v>2395</x:v>
      </x:c>
      <x:c r="J663" s="20" t="n">
        <x:f>INDEX(Roster!$C$6:$C$108,MATCH(D663,Roster!$A$6:$A$108,0))*(1+INDEX(Inputs!$B$9:$D$9,1,MATCH(A663,Inputs!$B$6:$D$6,0)))</x:f>
        <x:v>50</x:v>
      </x:c>
      <x:c r="K663" s="20" t="n">
        <x:f>IF(=INDEX(Roster!$F$6:$F$108,MATCH(D663,Roster!$A$6:$A$108,0))="Yes",0,=INDEX(Inputs!$B$8:$D$8,1,MATCH(A663,Inputs!$B$6:$D$6,0))*IF(=INDEX(Roster!$B$6:$B$108,MATCH(D663,Roster!$A$6:$A$108,0))="Principal",INDEX(Inputs!$B$10:$D$10,1,MATCH(A663,Inputs!$B$6:$D$6,0)),IF(=INDEX(Roster!$B$6:$B$108,MATCH(D663,Roster!$A$6:$A$108,0))="Associate Principal",INDEX(Inputs!$B$11:$D$11,1,MATCH(A663,Inputs!$B$6:$D$6,0)),IF(=INDEX(Roster!$B$6:$B$108,MATCH(D663,Roster!$A$6:$A$108,0))="Assistant Principal",INDEX(Inputs!$B$12:$D$12,1,MATCH(A663,Inputs!$B$6:$D$6,0)),0))))</x:f>
        <x:v>0</x:v>
      </x:c>
      <x:c r="L663" s="20" t="n">
        <x:f>IF(INDEX(Roster!$D$6:$D$108,MATCH(D663,Roster!$A$6:$A$108,0))&gt;=25,INDEX(Inputs!$B$19:$D$19,1,MATCH(A663,Inputs!$B$6:$D$6,0)),IF(INDEX(Roster!$D$6:$D$108,MATCH(D663,Roster!$A$6:$A$108,0))&gt;=20,INDEX(Inputs!$B$18:$D$18,1,MATCH(A663,Inputs!$B$6:$D$6,0)),IF(INDEX(Roster!$D$6:$D$108,MATCH(D663,Roster!$A$6:$A$108,0))&gt;=15,INDEX(Inputs!$B$17:$D$17,1,MATCH(A663,Inputs!$B$6:$D$6,0)),IF(INDEX(Roster!$D$6:$D$108,MATCH(D663,Roster!$A$6:$A$108,0))&gt;=10,INDEX(Inputs!$B$16:$D$16,1,MATCH(A663,Inputs!$B$6:$D$6,0)),IF(INDEX(Roster!$D$6:$D$108,MATCH(D663,Roster!$A$6:$A$108,0))&gt;=5,INDEX(Inputs!$B$15:$D$15,1,MATCH(A663,Inputs!$B$6:$D$6,0)),0)))))</x:f>
        <x:v>90</x:v>
      </x:c>
      <x:c r="M663" s="20" t="n">
        <x:f>G663*I663</x:f>
        <x:v>31135</x:v>
      </x:c>
      <x:c r="N663" s="20" t="n">
        <x:f>G663*J663</x:f>
        <x:v>650</x:v>
      </x:c>
      <x:c r="O663" s="20" t="n">
        <x:f>G663*K663</x:f>
        <x:v>0</x:v>
      </x:c>
      <x:c r="P663" s="20" t="n">
        <x:f>G663*L663</x:f>
        <x:v>1170</x:v>
      </x:c>
      <x:c r="Q663" s="20" t="n">
        <x:f>H663*INDEX(Inputs!$B$13:$D$13,1,MATCH(A663,Inputs!$B$6:$D$6,0))</x:f>
        <x:v>390</x:v>
      </x:c>
      <x:c r="R663" s="20" t="n">
        <x:f>SUM(M663:Q663)</x:f>
        <x:v>33345</x:v>
      </x:c>
      <x:c r="S663" s="20" t="n">
        <x:f>IF(AND(A662=A663,D662=D663),S662+R663,R663)</x:f>
        <x:v>66690</x:v>
      </x:c>
      <x:c r="T663" s="20" t="n">
        <x:f>MIN(S663,INDEX(Inputs!$B$20:$D$20,1,MATCH(A663,Inputs!$B$6:$D$6,0)))*INDEX(Inputs!$B$22:$D$22,1,MATCH(A663,Inputs!$B$6:$D$6,0))+MAX(MIN(S663,INDEX(Inputs!$B$21:$D$21,1,MATCH(A663,Inputs!$B$6:$D$6,0)))-INDEX(Inputs!$B$20:$D$20,1,MATCH(A663,Inputs!$B$6:$D$6,0)),0)*INDEX(Inputs!$B$23:$D$23,1,MATCH(A663,Inputs!$B$6:$D$6,0))+MAX(S663-INDEX(Inputs!$B$21:$D$21,1,MATCH(A663,Inputs!$B$6:$D$6,0)),0)*INDEX(Inputs!$B$24:$D$24,1,MATCH(A663,Inputs!$B$6:$D$6,0))</x:f>
        <x:v>5591.785</x:v>
      </x:c>
      <x:c r="U663" s="20" t="n">
        <x:f>IF(AND(A662=A663,D662=D663),T662,0)</x:f>
        <x:v>3040.8925</x:v>
      </x:c>
      <x:c r="V663" s="20" t="n">
        <x:f>T663-U663</x:f>
        <x:v>2550.8925</x:v>
      </x:c>
      <x:c r="W663" s="20" t="n">
        <x:f>R663+V663</x:f>
        <x:v>35895.8925</x:v>
      </x:c>
      <x:c r="X663" s="14" t="str">
        <x:f>IF(ABS(W663-SUM(M663:Q663)-V663)&lt;0.01,"OK","Check")</x:f>
        <x:v>OK</x:v>
      </x:c>
    </x:row>
    <x:row r="664">
      <x:c r="A664" s="14" t="n">
        <x:v>2027</x:v>
      </x:c>
      <x:c r="B664" s="14" t="str">
        <x:v>Q3</x:v>
      </x:c>
      <x:c r="C664" s="14" t="n">
        <x:v>3</x:v>
      </x:c>
      <x:c r="D664" s="14" t="n">
        <x:v>62</x:v>
      </x:c>
      <x:c r="E664" s="14" t="str">
        <x:f>INDEX(Roster!$B$6:$B$108,MATCH(D664,Roster!$A$6:$A$108,0))</x:f>
      </x:c>
      <x:c r="F664" s="14" t="str">
        <x:f>INDEX(Roster!$F$6:$F$108,MATCH(D664,Roster!$A$6:$A$108,0))</x:f>
        <x:v>No</x:v>
      </x:c>
      <x:c r="G664" s="14" t="n">
        <x:f>INDEX(Inputs!$B$7:$D$7,1,MATCH(A664,Inputs!$B$6:$D$6,0))</x:f>
        <x:v>13</x:v>
      </x:c>
      <x:c r="H664" s="14" t="n">
        <x:f>MIN(=INDEX(Inputs!$B$7:$D$7,1,MATCH(A664,Inputs!$B$6:$D$6,0)),MAX(0,INDEX(Inputs!$B$14:$D$14,1,MATCH(A664,Inputs!$B$6:$D$6,0))-(C664-1)*=INDEX(Inputs!$B$7:$D$7,1,MATCH(A664,Inputs!$B$6:$D$6,0))))</x:f>
        <x:v>13</x:v>
      </x:c>
      <x:c r="I664" s="20" t="n">
        <x:f>INDEX(Inputs!$B$8:$D$8,1,MATCH(A664,Inputs!$B$6:$D$6,0))</x:f>
        <x:v>2395</x:v>
      </x:c>
      <x:c r="J664" s="20" t="n">
        <x:f>INDEX(Roster!$C$6:$C$108,MATCH(D664,Roster!$A$6:$A$108,0))*(1+INDEX(Inputs!$B$9:$D$9,1,MATCH(A664,Inputs!$B$6:$D$6,0)))</x:f>
        <x:v>50</x:v>
      </x:c>
      <x:c r="K664" s="20" t="n">
        <x:f>IF(=INDEX(Roster!$F$6:$F$108,MATCH(D664,Roster!$A$6:$A$108,0))="Yes",0,=INDEX(Inputs!$B$8:$D$8,1,MATCH(A664,Inputs!$B$6:$D$6,0))*IF(=INDEX(Roster!$B$6:$B$108,MATCH(D664,Roster!$A$6:$A$108,0))="Principal",INDEX(Inputs!$B$10:$D$10,1,MATCH(A664,Inputs!$B$6:$D$6,0)),IF(=INDEX(Roster!$B$6:$B$108,MATCH(D664,Roster!$A$6:$A$108,0))="Associate Principal",INDEX(Inputs!$B$11:$D$11,1,MATCH(A664,Inputs!$B$6:$D$6,0)),IF(=INDEX(Roster!$B$6:$B$108,MATCH(D664,Roster!$A$6:$A$108,0))="Assistant Principal",INDEX(Inputs!$B$12:$D$12,1,MATCH(A664,Inputs!$B$6:$D$6,0)),0))))</x:f>
        <x:v>0</x:v>
      </x:c>
      <x:c r="L664" s="20" t="n">
        <x:f>IF(INDEX(Roster!$D$6:$D$108,MATCH(D664,Roster!$A$6:$A$108,0))&gt;=25,INDEX(Inputs!$B$19:$D$19,1,MATCH(A664,Inputs!$B$6:$D$6,0)),IF(INDEX(Roster!$D$6:$D$108,MATCH(D664,Roster!$A$6:$A$108,0))&gt;=20,INDEX(Inputs!$B$18:$D$18,1,MATCH(A664,Inputs!$B$6:$D$6,0)),IF(INDEX(Roster!$D$6:$D$108,MATCH(D664,Roster!$A$6:$A$108,0))&gt;=15,INDEX(Inputs!$B$17:$D$17,1,MATCH(A664,Inputs!$B$6:$D$6,0)),IF(INDEX(Roster!$D$6:$D$108,MATCH(D664,Roster!$A$6:$A$108,0))&gt;=10,INDEX(Inputs!$B$16:$D$16,1,MATCH(A664,Inputs!$B$6:$D$6,0)),IF(INDEX(Roster!$D$6:$D$108,MATCH(D664,Roster!$A$6:$A$108,0))&gt;=5,INDEX(Inputs!$B$15:$D$15,1,MATCH(A664,Inputs!$B$6:$D$6,0)),0)))))</x:f>
        <x:v>90</x:v>
      </x:c>
      <x:c r="M664" s="20" t="n">
        <x:f>G664*I664</x:f>
        <x:v>31135</x:v>
      </x:c>
      <x:c r="N664" s="20" t="n">
        <x:f>G664*J664</x:f>
        <x:v>650</x:v>
      </x:c>
      <x:c r="O664" s="20" t="n">
        <x:f>G664*K664</x:f>
        <x:v>0</x:v>
      </x:c>
      <x:c r="P664" s="20" t="n">
        <x:f>G664*L664</x:f>
        <x:v>1170</x:v>
      </x:c>
      <x:c r="Q664" s="20" t="n">
        <x:f>H664*INDEX(Inputs!$B$13:$D$13,1,MATCH(A664,Inputs!$B$6:$D$6,0))</x:f>
        <x:v>390</x:v>
      </x:c>
      <x:c r="R664" s="20" t="n">
        <x:f>SUM(M664:Q664)</x:f>
        <x:v>33345</x:v>
      </x:c>
      <x:c r="S664" s="20" t="n">
        <x:f>IF(AND(A663=A664,D663=D664),S663+R664,R664)</x:f>
        <x:v>100035</x:v>
      </x:c>
      <x:c r="T664" s="20" t="n">
        <x:f>MIN(S664,INDEX(Inputs!$B$20:$D$20,1,MATCH(A664,Inputs!$B$6:$D$6,0)))*INDEX(Inputs!$B$22:$D$22,1,MATCH(A664,Inputs!$B$6:$D$6,0))+MAX(MIN(S664,INDEX(Inputs!$B$21:$D$21,1,MATCH(A664,Inputs!$B$6:$D$6,0)))-INDEX(Inputs!$B$20:$D$20,1,MATCH(A664,Inputs!$B$6:$D$6,0)),0)*INDEX(Inputs!$B$23:$D$23,1,MATCH(A664,Inputs!$B$6:$D$6,0))+MAX(S664-INDEX(Inputs!$B$21:$D$21,1,MATCH(A664,Inputs!$B$6:$D$6,0)),0)*INDEX(Inputs!$B$24:$D$24,1,MATCH(A664,Inputs!$B$6:$D$6,0))</x:f>
        <x:v>8142.6775</x:v>
      </x:c>
      <x:c r="U664" s="20" t="n">
        <x:f>IF(AND(A663=A664,D663=D664),T663,0)</x:f>
        <x:v>5591.785</x:v>
      </x:c>
      <x:c r="V664" s="20" t="n">
        <x:f>T664-U664</x:f>
        <x:v>2550.8925</x:v>
      </x:c>
      <x:c r="W664" s="20" t="n">
        <x:f>R664+V664</x:f>
        <x:v>35895.8925</x:v>
      </x:c>
      <x:c r="X664" s="14" t="str">
        <x:f>IF(ABS(W664-SUM(M664:Q664)-V664)&lt;0.01,"OK","Check")</x:f>
        <x:v>OK</x:v>
      </x:c>
    </x:row>
    <x:row r="665">
      <x:c r="A665" s="14" t="n">
        <x:v>2027</x:v>
      </x:c>
      <x:c r="B665" s="14" t="str">
        <x:v>Q4</x:v>
      </x:c>
      <x:c r="C665" s="14" t="n">
        <x:v>4</x:v>
      </x:c>
      <x:c r="D665" s="14" t="n">
        <x:v>62</x:v>
      </x:c>
      <x:c r="E665" s="14" t="str">
        <x:f>INDEX(Roster!$B$6:$B$108,MATCH(D665,Roster!$A$6:$A$108,0))</x:f>
      </x:c>
      <x:c r="F665" s="14" t="str">
        <x:f>INDEX(Roster!$F$6:$F$108,MATCH(D665,Roster!$A$6:$A$108,0))</x:f>
        <x:v>No</x:v>
      </x:c>
      <x:c r="G665" s="14" t="n">
        <x:f>INDEX(Inputs!$B$7:$D$7,1,MATCH(A665,Inputs!$B$6:$D$6,0))</x:f>
        <x:v>13</x:v>
      </x:c>
      <x:c r="H665" s="14" t="n">
        <x:f>MIN(=INDEX(Inputs!$B$7:$D$7,1,MATCH(A665,Inputs!$B$6:$D$6,0)),MAX(0,INDEX(Inputs!$B$14:$D$14,1,MATCH(A665,Inputs!$B$6:$D$6,0))-(C665-1)*=INDEX(Inputs!$B$7:$D$7,1,MATCH(A665,Inputs!$B$6:$D$6,0))))</x:f>
        <x:v>0</x:v>
      </x:c>
      <x:c r="I665" s="20" t="n">
        <x:f>INDEX(Inputs!$B$8:$D$8,1,MATCH(A665,Inputs!$B$6:$D$6,0))</x:f>
        <x:v>2395</x:v>
      </x:c>
      <x:c r="J665" s="20" t="n">
        <x:f>INDEX(Roster!$C$6:$C$108,MATCH(D665,Roster!$A$6:$A$108,0))*(1+INDEX(Inputs!$B$9:$D$9,1,MATCH(A665,Inputs!$B$6:$D$6,0)))</x:f>
        <x:v>50</x:v>
      </x:c>
      <x:c r="K665" s="20" t="n">
        <x:f>IF(=INDEX(Roster!$F$6:$F$108,MATCH(D665,Roster!$A$6:$A$108,0))="Yes",0,=INDEX(Inputs!$B$8:$D$8,1,MATCH(A665,Inputs!$B$6:$D$6,0))*IF(=INDEX(Roster!$B$6:$B$108,MATCH(D665,Roster!$A$6:$A$108,0))="Principal",INDEX(Inputs!$B$10:$D$10,1,MATCH(A665,Inputs!$B$6:$D$6,0)),IF(=INDEX(Roster!$B$6:$B$108,MATCH(D665,Roster!$A$6:$A$108,0))="Associate Principal",INDEX(Inputs!$B$11:$D$11,1,MATCH(A665,Inputs!$B$6:$D$6,0)),IF(=INDEX(Roster!$B$6:$B$108,MATCH(D665,Roster!$A$6:$A$108,0))="Assistant Principal",INDEX(Inputs!$B$12:$D$12,1,MATCH(A665,Inputs!$B$6:$D$6,0)),0))))</x:f>
        <x:v>0</x:v>
      </x:c>
      <x:c r="L665" s="20" t="n">
        <x:f>IF(INDEX(Roster!$D$6:$D$108,MATCH(D665,Roster!$A$6:$A$108,0))&gt;=25,INDEX(Inputs!$B$19:$D$19,1,MATCH(A665,Inputs!$B$6:$D$6,0)),IF(INDEX(Roster!$D$6:$D$108,MATCH(D665,Roster!$A$6:$A$108,0))&gt;=20,INDEX(Inputs!$B$18:$D$18,1,MATCH(A665,Inputs!$B$6:$D$6,0)),IF(INDEX(Roster!$D$6:$D$108,MATCH(D665,Roster!$A$6:$A$108,0))&gt;=15,INDEX(Inputs!$B$17:$D$17,1,MATCH(A665,Inputs!$B$6:$D$6,0)),IF(INDEX(Roster!$D$6:$D$108,MATCH(D665,Roster!$A$6:$A$108,0))&gt;=10,INDEX(Inputs!$B$16:$D$16,1,MATCH(A665,Inputs!$B$6:$D$6,0)),IF(INDEX(Roster!$D$6:$D$108,MATCH(D665,Roster!$A$6:$A$108,0))&gt;=5,INDEX(Inputs!$B$15:$D$15,1,MATCH(A665,Inputs!$B$6:$D$6,0)),0)))))</x:f>
        <x:v>90</x:v>
      </x:c>
      <x:c r="M665" s="20" t="n">
        <x:f>G665*I665</x:f>
        <x:v>31135</x:v>
      </x:c>
      <x:c r="N665" s="20" t="n">
        <x:f>G665*J665</x:f>
        <x:v>650</x:v>
      </x:c>
      <x:c r="O665" s="20" t="n">
        <x:f>G665*K665</x:f>
        <x:v>0</x:v>
      </x:c>
      <x:c r="P665" s="20" t="n">
        <x:f>G665*L665</x:f>
        <x:v>1170</x:v>
      </x:c>
      <x:c r="Q665" s="20" t="n">
        <x:f>H665*INDEX(Inputs!$B$13:$D$13,1,MATCH(A665,Inputs!$B$6:$D$6,0))</x:f>
        <x:v>0</x:v>
      </x:c>
      <x:c r="R665" s="20" t="n">
        <x:f>SUM(M665:Q665)</x:f>
        <x:v>32955</x:v>
      </x:c>
      <x:c r="S665" s="20" t="n">
        <x:f>IF(AND(A664=A665,D664=D665),S664+R665,R665)</x:f>
        <x:v>132990</x:v>
      </x:c>
      <x:c r="T665" s="20" t="n">
        <x:f>MIN(S665,INDEX(Inputs!$B$20:$D$20,1,MATCH(A665,Inputs!$B$6:$D$6,0)))*INDEX(Inputs!$B$22:$D$22,1,MATCH(A665,Inputs!$B$6:$D$6,0))+MAX(MIN(S665,INDEX(Inputs!$B$21:$D$21,1,MATCH(A665,Inputs!$B$6:$D$6,0)))-INDEX(Inputs!$B$20:$D$20,1,MATCH(A665,Inputs!$B$6:$D$6,0)),0)*INDEX(Inputs!$B$23:$D$23,1,MATCH(A665,Inputs!$B$6:$D$6,0))+MAX(S665-INDEX(Inputs!$B$21:$D$21,1,MATCH(A665,Inputs!$B$6:$D$6,0)),0)*INDEX(Inputs!$B$24:$D$24,1,MATCH(A665,Inputs!$B$6:$D$6,0))</x:f>
        <x:v>9842.297</x:v>
      </x:c>
      <x:c r="U665" s="20" t="n">
        <x:f>IF(AND(A664=A665,D664=D665),T664,0)</x:f>
        <x:v>8142.6775</x:v>
      </x:c>
      <x:c r="V665" s="20" t="n">
        <x:f>T665-U665</x:f>
        <x:v>1699.6195000000007</x:v>
      </x:c>
      <x:c r="W665" s="20" t="n">
        <x:f>R665+V665</x:f>
        <x:v>34654.6195</x:v>
      </x:c>
      <x:c r="X665" s="14" t="str">
        <x:f>IF(ABS(W665-SUM(M665:Q665)-V665)&lt;0.01,"OK","Check")</x:f>
        <x:v>OK</x:v>
      </x:c>
    </x:row>
    <x:row r="666">
      <x:c r="A666" s="14" t="n">
        <x:v>2027</x:v>
      </x:c>
      <x:c r="B666" s="14" t="str">
        <x:v>Q1</x:v>
      </x:c>
      <x:c r="C666" s="14" t="n">
        <x:v>1</x:v>
      </x:c>
      <x:c r="D666" s="14" t="n">
        <x:v>63</x:v>
      </x:c>
      <x:c r="E666" s="14" t="str">
        <x:f>INDEX(Roster!$B$6:$B$108,MATCH(D666,Roster!$A$6:$A$108,0))</x:f>
      </x:c>
      <x:c r="F666" s="14" t="str">
        <x:f>INDEX(Roster!$F$6:$F$108,MATCH(D666,Roster!$A$6:$A$108,0))</x:f>
        <x:v>No</x:v>
      </x:c>
      <x:c r="G666" s="14" t="n">
        <x:f>INDEX(Inputs!$B$7:$D$7,1,MATCH(A666,Inputs!$B$6:$D$6,0))</x:f>
        <x:v>13</x:v>
      </x:c>
      <x:c r="H666" s="14" t="n">
        <x:f>MIN(=INDEX(Inputs!$B$7:$D$7,1,MATCH(A666,Inputs!$B$6:$D$6,0)),MAX(0,INDEX(Inputs!$B$14:$D$14,1,MATCH(A666,Inputs!$B$6:$D$6,0))-(C666-1)*=INDEX(Inputs!$B$7:$D$7,1,MATCH(A666,Inputs!$B$6:$D$6,0))))</x:f>
        <x:v>13</x:v>
      </x:c>
      <x:c r="I666" s="20" t="n">
        <x:f>INDEX(Inputs!$B$8:$D$8,1,MATCH(A666,Inputs!$B$6:$D$6,0))</x:f>
        <x:v>2395</x:v>
      </x:c>
      <x:c r="J666" s="20" t="n">
        <x:f>INDEX(Roster!$C$6:$C$108,MATCH(D666,Roster!$A$6:$A$108,0))*(1+INDEX(Inputs!$B$9:$D$9,1,MATCH(A666,Inputs!$B$6:$D$6,0)))</x:f>
        <x:v>80</x:v>
      </x:c>
      <x:c r="K666" s="20" t="n">
        <x:f>IF(=INDEX(Roster!$F$6:$F$108,MATCH(D666,Roster!$A$6:$A$108,0))="Yes",0,=INDEX(Inputs!$B$8:$D$8,1,MATCH(A666,Inputs!$B$6:$D$6,0))*IF(=INDEX(Roster!$B$6:$B$108,MATCH(D666,Roster!$A$6:$A$108,0))="Principal",INDEX(Inputs!$B$10:$D$10,1,MATCH(A666,Inputs!$B$6:$D$6,0)),IF(=INDEX(Roster!$B$6:$B$108,MATCH(D666,Roster!$A$6:$A$108,0))="Associate Principal",INDEX(Inputs!$B$11:$D$11,1,MATCH(A666,Inputs!$B$6:$D$6,0)),IF(=INDEX(Roster!$B$6:$B$108,MATCH(D666,Roster!$A$6:$A$108,0))="Assistant Principal",INDEX(Inputs!$B$12:$D$12,1,MATCH(A666,Inputs!$B$6:$D$6,0)),0))))</x:f>
        <x:v>0</x:v>
      </x:c>
      <x:c r="L666" s="20" t="n">
        <x:f>IF(INDEX(Roster!$D$6:$D$108,MATCH(D666,Roster!$A$6:$A$108,0))&gt;=25,INDEX(Inputs!$B$19:$D$19,1,MATCH(A666,Inputs!$B$6:$D$6,0)),IF(INDEX(Roster!$D$6:$D$108,MATCH(D666,Roster!$A$6:$A$108,0))&gt;=20,INDEX(Inputs!$B$18:$D$18,1,MATCH(A666,Inputs!$B$6:$D$6,0)),IF(INDEX(Roster!$D$6:$D$108,MATCH(D666,Roster!$A$6:$A$108,0))&gt;=15,INDEX(Inputs!$B$17:$D$17,1,MATCH(A666,Inputs!$B$6:$D$6,0)),IF(INDEX(Roster!$D$6:$D$108,MATCH(D666,Roster!$A$6:$A$108,0))&gt;=10,INDEX(Inputs!$B$16:$D$16,1,MATCH(A666,Inputs!$B$6:$D$6,0)),IF(INDEX(Roster!$D$6:$D$108,MATCH(D666,Roster!$A$6:$A$108,0))&gt;=5,INDEX(Inputs!$B$15:$D$15,1,MATCH(A666,Inputs!$B$6:$D$6,0)),0)))))</x:f>
        <x:v>90</x:v>
      </x:c>
      <x:c r="M666" s="20" t="n">
        <x:f>G666*I666</x:f>
        <x:v>31135</x:v>
      </x:c>
      <x:c r="N666" s="20" t="n">
        <x:f>G666*J666</x:f>
        <x:v>1040</x:v>
      </x:c>
      <x:c r="O666" s="20" t="n">
        <x:f>G666*K666</x:f>
        <x:v>0</x:v>
      </x:c>
      <x:c r="P666" s="20" t="n">
        <x:f>G666*L666</x:f>
        <x:v>1170</x:v>
      </x:c>
      <x:c r="Q666" s="20" t="n">
        <x:f>H666*INDEX(Inputs!$B$13:$D$13,1,MATCH(A666,Inputs!$B$6:$D$6,0))</x:f>
        <x:v>390</x:v>
      </x:c>
      <x:c r="R666" s="20" t="n">
        <x:f>SUM(M666:Q666)</x:f>
        <x:v>33735</x:v>
      </x:c>
      <x:c r="S666" s="20" t="n">
        <x:f>IF(AND(A665=A666,D665=D666),S665+R666,R666)</x:f>
        <x:v>33735</x:v>
      </x:c>
      <x:c r="T666" s="20" t="n">
        <x:f>MIN(S666,INDEX(Inputs!$B$20:$D$20,1,MATCH(A666,Inputs!$B$6:$D$6,0)))*INDEX(Inputs!$B$22:$D$22,1,MATCH(A666,Inputs!$B$6:$D$6,0))+MAX(MIN(S666,INDEX(Inputs!$B$21:$D$21,1,MATCH(A666,Inputs!$B$6:$D$6,0)))-INDEX(Inputs!$B$20:$D$20,1,MATCH(A666,Inputs!$B$6:$D$6,0)),0)*INDEX(Inputs!$B$23:$D$23,1,MATCH(A666,Inputs!$B$6:$D$6,0))+MAX(S666-INDEX(Inputs!$B$21:$D$21,1,MATCH(A666,Inputs!$B$6:$D$6,0)),0)*INDEX(Inputs!$B$24:$D$24,1,MATCH(A666,Inputs!$B$6:$D$6,0))</x:f>
        <x:v>3070.7275</x:v>
      </x:c>
      <x:c r="U666" s="20" t="n">
        <x:f>IF(AND(A665=A666,D665=D666),T665,0)</x:f>
        <x:v>0</x:v>
      </x:c>
      <x:c r="V666" s="20" t="n">
        <x:f>T666-U666</x:f>
        <x:v>3070.7275</x:v>
      </x:c>
      <x:c r="W666" s="20" t="n">
        <x:f>R666+V666</x:f>
        <x:v>36805.7275</x:v>
      </x:c>
      <x:c r="X666" s="14" t="str">
        <x:f>IF(ABS(W666-SUM(M666:Q666)-V666)&lt;0.01,"OK","Check")</x:f>
        <x:v>OK</x:v>
      </x:c>
    </x:row>
    <x:row r="667">
      <x:c r="A667" s="14" t="n">
        <x:v>2027</x:v>
      </x:c>
      <x:c r="B667" s="14" t="str">
        <x:v>Q2</x:v>
      </x:c>
      <x:c r="C667" s="14" t="n">
        <x:v>2</x:v>
      </x:c>
      <x:c r="D667" s="14" t="n">
        <x:v>63</x:v>
      </x:c>
      <x:c r="E667" s="14" t="str">
        <x:f>INDEX(Roster!$B$6:$B$108,MATCH(D667,Roster!$A$6:$A$108,0))</x:f>
      </x:c>
      <x:c r="F667" s="14" t="str">
        <x:f>INDEX(Roster!$F$6:$F$108,MATCH(D667,Roster!$A$6:$A$108,0))</x:f>
        <x:v>No</x:v>
      </x:c>
      <x:c r="G667" s="14" t="n">
        <x:f>INDEX(Inputs!$B$7:$D$7,1,MATCH(A667,Inputs!$B$6:$D$6,0))</x:f>
        <x:v>13</x:v>
      </x:c>
      <x:c r="H667" s="14" t="n">
        <x:f>MIN(=INDEX(Inputs!$B$7:$D$7,1,MATCH(A667,Inputs!$B$6:$D$6,0)),MAX(0,INDEX(Inputs!$B$14:$D$14,1,MATCH(A667,Inputs!$B$6:$D$6,0))-(C667-1)*=INDEX(Inputs!$B$7:$D$7,1,MATCH(A667,Inputs!$B$6:$D$6,0))))</x:f>
        <x:v>13</x:v>
      </x:c>
      <x:c r="I667" s="20" t="n">
        <x:f>INDEX(Inputs!$B$8:$D$8,1,MATCH(A667,Inputs!$B$6:$D$6,0))</x:f>
        <x:v>2395</x:v>
      </x:c>
      <x:c r="J667" s="20" t="n">
        <x:f>INDEX(Roster!$C$6:$C$108,MATCH(D667,Roster!$A$6:$A$108,0))*(1+INDEX(Inputs!$B$9:$D$9,1,MATCH(A667,Inputs!$B$6:$D$6,0)))</x:f>
        <x:v>80</x:v>
      </x:c>
      <x:c r="K667" s="20" t="n">
        <x:f>IF(=INDEX(Roster!$F$6:$F$108,MATCH(D667,Roster!$A$6:$A$108,0))="Yes",0,=INDEX(Inputs!$B$8:$D$8,1,MATCH(A667,Inputs!$B$6:$D$6,0))*IF(=INDEX(Roster!$B$6:$B$108,MATCH(D667,Roster!$A$6:$A$108,0))="Principal",INDEX(Inputs!$B$10:$D$10,1,MATCH(A667,Inputs!$B$6:$D$6,0)),IF(=INDEX(Roster!$B$6:$B$108,MATCH(D667,Roster!$A$6:$A$108,0))="Associate Principal",INDEX(Inputs!$B$11:$D$11,1,MATCH(A667,Inputs!$B$6:$D$6,0)),IF(=INDEX(Roster!$B$6:$B$108,MATCH(D667,Roster!$A$6:$A$108,0))="Assistant Principal",INDEX(Inputs!$B$12:$D$12,1,MATCH(A667,Inputs!$B$6:$D$6,0)),0))))</x:f>
        <x:v>0</x:v>
      </x:c>
      <x:c r="L667" s="20" t="n">
        <x:f>IF(INDEX(Roster!$D$6:$D$108,MATCH(D667,Roster!$A$6:$A$108,0))&gt;=25,INDEX(Inputs!$B$19:$D$19,1,MATCH(A667,Inputs!$B$6:$D$6,0)),IF(INDEX(Roster!$D$6:$D$108,MATCH(D667,Roster!$A$6:$A$108,0))&gt;=20,INDEX(Inputs!$B$18:$D$18,1,MATCH(A667,Inputs!$B$6:$D$6,0)),IF(INDEX(Roster!$D$6:$D$108,MATCH(D667,Roster!$A$6:$A$108,0))&gt;=15,INDEX(Inputs!$B$17:$D$17,1,MATCH(A667,Inputs!$B$6:$D$6,0)),IF(INDEX(Roster!$D$6:$D$108,MATCH(D667,Roster!$A$6:$A$108,0))&gt;=10,INDEX(Inputs!$B$16:$D$16,1,MATCH(A667,Inputs!$B$6:$D$6,0)),IF(INDEX(Roster!$D$6:$D$108,MATCH(D667,Roster!$A$6:$A$108,0))&gt;=5,INDEX(Inputs!$B$15:$D$15,1,MATCH(A667,Inputs!$B$6:$D$6,0)),0)))))</x:f>
        <x:v>90</x:v>
      </x:c>
      <x:c r="M667" s="20" t="n">
        <x:f>G667*I667</x:f>
        <x:v>31135</x:v>
      </x:c>
      <x:c r="N667" s="20" t="n">
        <x:f>G667*J667</x:f>
        <x:v>1040</x:v>
      </x:c>
      <x:c r="O667" s="20" t="n">
        <x:f>G667*K667</x:f>
        <x:v>0</x:v>
      </x:c>
      <x:c r="P667" s="20" t="n">
        <x:f>G667*L667</x:f>
        <x:v>1170</x:v>
      </x:c>
      <x:c r="Q667" s="20" t="n">
        <x:f>H667*INDEX(Inputs!$B$13:$D$13,1,MATCH(A667,Inputs!$B$6:$D$6,0))</x:f>
        <x:v>390</x:v>
      </x:c>
      <x:c r="R667" s="20" t="n">
        <x:f>SUM(M667:Q667)</x:f>
        <x:v>33735</x:v>
      </x:c>
      <x:c r="S667" s="20" t="n">
        <x:f>IF(AND(A666=A667,D666=D667),S666+R667,R667)</x:f>
        <x:v>67470</x:v>
      </x:c>
      <x:c r="T667" s="20" t="n">
        <x:f>MIN(S667,INDEX(Inputs!$B$20:$D$20,1,MATCH(A667,Inputs!$B$6:$D$6,0)))*INDEX(Inputs!$B$22:$D$22,1,MATCH(A667,Inputs!$B$6:$D$6,0))+MAX(MIN(S667,INDEX(Inputs!$B$21:$D$21,1,MATCH(A667,Inputs!$B$6:$D$6,0)))-INDEX(Inputs!$B$20:$D$20,1,MATCH(A667,Inputs!$B$6:$D$6,0)),0)*INDEX(Inputs!$B$23:$D$23,1,MATCH(A667,Inputs!$B$6:$D$6,0))+MAX(S667-INDEX(Inputs!$B$21:$D$21,1,MATCH(A667,Inputs!$B$6:$D$6,0)),0)*INDEX(Inputs!$B$24:$D$24,1,MATCH(A667,Inputs!$B$6:$D$6,0))</x:f>
        <x:v>5651.455</x:v>
      </x:c>
      <x:c r="U667" s="20" t="n">
        <x:f>IF(AND(A666=A667,D666=D667),T666,0)</x:f>
        <x:v>3070.7275</x:v>
      </x:c>
      <x:c r="V667" s="20" t="n">
        <x:f>T667-U667</x:f>
        <x:v>2580.7275</x:v>
      </x:c>
      <x:c r="W667" s="20" t="n">
        <x:f>R667+V667</x:f>
        <x:v>36315.7275</x:v>
      </x:c>
      <x:c r="X667" s="14" t="str">
        <x:f>IF(ABS(W667-SUM(M667:Q667)-V667)&lt;0.01,"OK","Check")</x:f>
        <x:v>OK</x:v>
      </x:c>
    </x:row>
    <x:row r="668">
      <x:c r="A668" s="14" t="n">
        <x:v>2027</x:v>
      </x:c>
      <x:c r="B668" s="14" t="str">
        <x:v>Q3</x:v>
      </x:c>
      <x:c r="C668" s="14" t="n">
        <x:v>3</x:v>
      </x:c>
      <x:c r="D668" s="14" t="n">
        <x:v>63</x:v>
      </x:c>
      <x:c r="E668" s="14" t="str">
        <x:f>INDEX(Roster!$B$6:$B$108,MATCH(D668,Roster!$A$6:$A$108,0))</x:f>
      </x:c>
      <x:c r="F668" s="14" t="str">
        <x:f>INDEX(Roster!$F$6:$F$108,MATCH(D668,Roster!$A$6:$A$108,0))</x:f>
        <x:v>No</x:v>
      </x:c>
      <x:c r="G668" s="14" t="n">
        <x:f>INDEX(Inputs!$B$7:$D$7,1,MATCH(A668,Inputs!$B$6:$D$6,0))</x:f>
        <x:v>13</x:v>
      </x:c>
      <x:c r="H668" s="14" t="n">
        <x:f>MIN(=INDEX(Inputs!$B$7:$D$7,1,MATCH(A668,Inputs!$B$6:$D$6,0)),MAX(0,INDEX(Inputs!$B$14:$D$14,1,MATCH(A668,Inputs!$B$6:$D$6,0))-(C668-1)*=INDEX(Inputs!$B$7:$D$7,1,MATCH(A668,Inputs!$B$6:$D$6,0))))</x:f>
        <x:v>13</x:v>
      </x:c>
      <x:c r="I668" s="20" t="n">
        <x:f>INDEX(Inputs!$B$8:$D$8,1,MATCH(A668,Inputs!$B$6:$D$6,0))</x:f>
        <x:v>2395</x:v>
      </x:c>
      <x:c r="J668" s="20" t="n">
        <x:f>INDEX(Roster!$C$6:$C$108,MATCH(D668,Roster!$A$6:$A$108,0))*(1+INDEX(Inputs!$B$9:$D$9,1,MATCH(A668,Inputs!$B$6:$D$6,0)))</x:f>
        <x:v>80</x:v>
      </x:c>
      <x:c r="K668" s="20" t="n">
        <x:f>IF(=INDEX(Roster!$F$6:$F$108,MATCH(D668,Roster!$A$6:$A$108,0))="Yes",0,=INDEX(Inputs!$B$8:$D$8,1,MATCH(A668,Inputs!$B$6:$D$6,0))*IF(=INDEX(Roster!$B$6:$B$108,MATCH(D668,Roster!$A$6:$A$108,0))="Principal",INDEX(Inputs!$B$10:$D$10,1,MATCH(A668,Inputs!$B$6:$D$6,0)),IF(=INDEX(Roster!$B$6:$B$108,MATCH(D668,Roster!$A$6:$A$108,0))="Associate Principal",INDEX(Inputs!$B$11:$D$11,1,MATCH(A668,Inputs!$B$6:$D$6,0)),IF(=INDEX(Roster!$B$6:$B$108,MATCH(D668,Roster!$A$6:$A$108,0))="Assistant Principal",INDEX(Inputs!$B$12:$D$12,1,MATCH(A668,Inputs!$B$6:$D$6,0)),0))))</x:f>
        <x:v>0</x:v>
      </x:c>
      <x:c r="L668" s="20" t="n">
        <x:f>IF(INDEX(Roster!$D$6:$D$108,MATCH(D668,Roster!$A$6:$A$108,0))&gt;=25,INDEX(Inputs!$B$19:$D$19,1,MATCH(A668,Inputs!$B$6:$D$6,0)),IF(INDEX(Roster!$D$6:$D$108,MATCH(D668,Roster!$A$6:$A$108,0))&gt;=20,INDEX(Inputs!$B$18:$D$18,1,MATCH(A668,Inputs!$B$6:$D$6,0)),IF(INDEX(Roster!$D$6:$D$108,MATCH(D668,Roster!$A$6:$A$108,0))&gt;=15,INDEX(Inputs!$B$17:$D$17,1,MATCH(A668,Inputs!$B$6:$D$6,0)),IF(INDEX(Roster!$D$6:$D$108,MATCH(D668,Roster!$A$6:$A$108,0))&gt;=10,INDEX(Inputs!$B$16:$D$16,1,MATCH(A668,Inputs!$B$6:$D$6,0)),IF(INDEX(Roster!$D$6:$D$108,MATCH(D668,Roster!$A$6:$A$108,0))&gt;=5,INDEX(Inputs!$B$15:$D$15,1,MATCH(A668,Inputs!$B$6:$D$6,0)),0)))))</x:f>
        <x:v>90</x:v>
      </x:c>
      <x:c r="M668" s="20" t="n">
        <x:f>G668*I668</x:f>
        <x:v>31135</x:v>
      </x:c>
      <x:c r="N668" s="20" t="n">
        <x:f>G668*J668</x:f>
        <x:v>1040</x:v>
      </x:c>
      <x:c r="O668" s="20" t="n">
        <x:f>G668*K668</x:f>
        <x:v>0</x:v>
      </x:c>
      <x:c r="P668" s="20" t="n">
        <x:f>G668*L668</x:f>
        <x:v>1170</x:v>
      </x:c>
      <x:c r="Q668" s="20" t="n">
        <x:f>H668*INDEX(Inputs!$B$13:$D$13,1,MATCH(A668,Inputs!$B$6:$D$6,0))</x:f>
        <x:v>390</x:v>
      </x:c>
      <x:c r="R668" s="20" t="n">
        <x:f>SUM(M668:Q668)</x:f>
        <x:v>33735</x:v>
      </x:c>
      <x:c r="S668" s="20" t="n">
        <x:f>IF(AND(A667=A668,D667=D668),S667+R668,R668)</x:f>
        <x:v>101205</x:v>
      </x:c>
      <x:c r="T668" s="20" t="n">
        <x:f>MIN(S668,INDEX(Inputs!$B$20:$D$20,1,MATCH(A668,Inputs!$B$6:$D$6,0)))*INDEX(Inputs!$B$22:$D$22,1,MATCH(A668,Inputs!$B$6:$D$6,0))+MAX(MIN(S668,INDEX(Inputs!$B$21:$D$21,1,MATCH(A668,Inputs!$B$6:$D$6,0)))-INDEX(Inputs!$B$20:$D$20,1,MATCH(A668,Inputs!$B$6:$D$6,0)),0)*INDEX(Inputs!$B$23:$D$23,1,MATCH(A668,Inputs!$B$6:$D$6,0))+MAX(S668-INDEX(Inputs!$B$21:$D$21,1,MATCH(A668,Inputs!$B$6:$D$6,0)),0)*INDEX(Inputs!$B$24:$D$24,1,MATCH(A668,Inputs!$B$6:$D$6,0))</x:f>
        <x:v>8232.182499999999</x:v>
      </x:c>
      <x:c r="U668" s="20" t="n">
        <x:f>IF(AND(A667=A668,D667=D668),T667,0)</x:f>
        <x:v>5651.455</x:v>
      </x:c>
      <x:c r="V668" s="20" t="n">
        <x:f>T668-U668</x:f>
        <x:v>2580.727499999999</x:v>
      </x:c>
      <x:c r="W668" s="20" t="n">
        <x:f>R668+V668</x:f>
        <x:v>36315.7275</x:v>
      </x:c>
      <x:c r="X668" s="14" t="str">
        <x:f>IF(ABS(W668-SUM(M668:Q668)-V668)&lt;0.01,"OK","Check")</x:f>
        <x:v>OK</x:v>
      </x:c>
    </x:row>
    <x:row r="669">
      <x:c r="A669" s="14" t="n">
        <x:v>2027</x:v>
      </x:c>
      <x:c r="B669" s="14" t="str">
        <x:v>Q4</x:v>
      </x:c>
      <x:c r="C669" s="14" t="n">
        <x:v>4</x:v>
      </x:c>
      <x:c r="D669" s="14" t="n">
        <x:v>63</x:v>
      </x:c>
      <x:c r="E669" s="14" t="str">
        <x:f>INDEX(Roster!$B$6:$B$108,MATCH(D669,Roster!$A$6:$A$108,0))</x:f>
      </x:c>
      <x:c r="F669" s="14" t="str">
        <x:f>INDEX(Roster!$F$6:$F$108,MATCH(D669,Roster!$A$6:$A$108,0))</x:f>
        <x:v>No</x:v>
      </x:c>
      <x:c r="G669" s="14" t="n">
        <x:f>INDEX(Inputs!$B$7:$D$7,1,MATCH(A669,Inputs!$B$6:$D$6,0))</x:f>
        <x:v>13</x:v>
      </x:c>
      <x:c r="H669" s="14" t="n">
        <x:f>MIN(=INDEX(Inputs!$B$7:$D$7,1,MATCH(A669,Inputs!$B$6:$D$6,0)),MAX(0,INDEX(Inputs!$B$14:$D$14,1,MATCH(A669,Inputs!$B$6:$D$6,0))-(C669-1)*=INDEX(Inputs!$B$7:$D$7,1,MATCH(A669,Inputs!$B$6:$D$6,0))))</x:f>
        <x:v>0</x:v>
      </x:c>
      <x:c r="I669" s="20" t="n">
        <x:f>INDEX(Inputs!$B$8:$D$8,1,MATCH(A669,Inputs!$B$6:$D$6,0))</x:f>
        <x:v>2395</x:v>
      </x:c>
      <x:c r="J669" s="20" t="n">
        <x:f>INDEX(Roster!$C$6:$C$108,MATCH(D669,Roster!$A$6:$A$108,0))*(1+INDEX(Inputs!$B$9:$D$9,1,MATCH(A669,Inputs!$B$6:$D$6,0)))</x:f>
        <x:v>80</x:v>
      </x:c>
      <x:c r="K669" s="20" t="n">
        <x:f>IF(=INDEX(Roster!$F$6:$F$108,MATCH(D669,Roster!$A$6:$A$108,0))="Yes",0,=INDEX(Inputs!$B$8:$D$8,1,MATCH(A669,Inputs!$B$6:$D$6,0))*IF(=INDEX(Roster!$B$6:$B$108,MATCH(D669,Roster!$A$6:$A$108,0))="Principal",INDEX(Inputs!$B$10:$D$10,1,MATCH(A669,Inputs!$B$6:$D$6,0)),IF(=INDEX(Roster!$B$6:$B$108,MATCH(D669,Roster!$A$6:$A$108,0))="Associate Principal",INDEX(Inputs!$B$11:$D$11,1,MATCH(A669,Inputs!$B$6:$D$6,0)),IF(=INDEX(Roster!$B$6:$B$108,MATCH(D669,Roster!$A$6:$A$108,0))="Assistant Principal",INDEX(Inputs!$B$12:$D$12,1,MATCH(A669,Inputs!$B$6:$D$6,0)),0))))</x:f>
        <x:v>0</x:v>
      </x:c>
      <x:c r="L669" s="20" t="n">
        <x:f>IF(INDEX(Roster!$D$6:$D$108,MATCH(D669,Roster!$A$6:$A$108,0))&gt;=25,INDEX(Inputs!$B$19:$D$19,1,MATCH(A669,Inputs!$B$6:$D$6,0)),IF(INDEX(Roster!$D$6:$D$108,MATCH(D669,Roster!$A$6:$A$108,0))&gt;=20,INDEX(Inputs!$B$18:$D$18,1,MATCH(A669,Inputs!$B$6:$D$6,0)),IF(INDEX(Roster!$D$6:$D$108,MATCH(D669,Roster!$A$6:$A$108,0))&gt;=15,INDEX(Inputs!$B$17:$D$17,1,MATCH(A669,Inputs!$B$6:$D$6,0)),IF(INDEX(Roster!$D$6:$D$108,MATCH(D669,Roster!$A$6:$A$108,0))&gt;=10,INDEX(Inputs!$B$16:$D$16,1,MATCH(A669,Inputs!$B$6:$D$6,0)),IF(INDEX(Roster!$D$6:$D$108,MATCH(D669,Roster!$A$6:$A$108,0))&gt;=5,INDEX(Inputs!$B$15:$D$15,1,MATCH(A669,Inputs!$B$6:$D$6,0)),0)))))</x:f>
        <x:v>90</x:v>
      </x:c>
      <x:c r="M669" s="20" t="n">
        <x:f>G669*I669</x:f>
        <x:v>31135</x:v>
      </x:c>
      <x:c r="N669" s="20" t="n">
        <x:f>G669*J669</x:f>
        <x:v>1040</x:v>
      </x:c>
      <x:c r="O669" s="20" t="n">
        <x:f>G669*K669</x:f>
        <x:v>0</x:v>
      </x:c>
      <x:c r="P669" s="20" t="n">
        <x:f>G669*L669</x:f>
        <x:v>1170</x:v>
      </x:c>
      <x:c r="Q669" s="20" t="n">
        <x:f>H669*INDEX(Inputs!$B$13:$D$13,1,MATCH(A669,Inputs!$B$6:$D$6,0))</x:f>
        <x:v>0</x:v>
      </x:c>
      <x:c r="R669" s="20" t="n">
        <x:f>SUM(M669:Q669)</x:f>
        <x:v>33345</x:v>
      </x:c>
      <x:c r="S669" s="20" t="n">
        <x:f>IF(AND(A668=A669,D668=D669),S668+R669,R669)</x:f>
        <x:v>134550</x:v>
      </x:c>
      <x:c r="T669" s="20" t="n">
        <x:f>MIN(S669,INDEX(Inputs!$B$20:$D$20,1,MATCH(A669,Inputs!$B$6:$D$6,0)))*INDEX(Inputs!$B$22:$D$22,1,MATCH(A669,Inputs!$B$6:$D$6,0))+MAX(MIN(S669,INDEX(Inputs!$B$21:$D$21,1,MATCH(A669,Inputs!$B$6:$D$6,0)))-INDEX(Inputs!$B$20:$D$20,1,MATCH(A669,Inputs!$B$6:$D$6,0)),0)*INDEX(Inputs!$B$23:$D$23,1,MATCH(A669,Inputs!$B$6:$D$6,0))+MAX(S669-INDEX(Inputs!$B$21:$D$21,1,MATCH(A669,Inputs!$B$6:$D$6,0)),0)*INDEX(Inputs!$B$24:$D$24,1,MATCH(A669,Inputs!$B$6:$D$6,0))</x:f>
        <x:v>9864.917</x:v>
      </x:c>
      <x:c r="U669" s="20" t="n">
        <x:f>IF(AND(A668=A669,D668=D669),T668,0)</x:f>
        <x:v>8232.182499999999</x:v>
      </x:c>
      <x:c r="V669" s="20" t="n">
        <x:f>T669-U669</x:f>
        <x:v>1632.7345000000005</x:v>
      </x:c>
      <x:c r="W669" s="20" t="n">
        <x:f>R669+V669</x:f>
        <x:v>34977.7345</x:v>
      </x:c>
      <x:c r="X669" s="14" t="str">
        <x:f>IF(ABS(W669-SUM(M669:Q669)-V669)&lt;0.01,"OK","Check")</x:f>
        <x:v>OK</x:v>
      </x:c>
    </x:row>
    <x:row r="670">
      <x:c r="A670" s="14" t="n">
        <x:v>2027</x:v>
      </x:c>
      <x:c r="B670" s="14" t="str">
        <x:v>Q1</x:v>
      </x:c>
      <x:c r="C670" s="14" t="n">
        <x:v>1</x:v>
      </x:c>
      <x:c r="D670" s="14" t="n">
        <x:v>64</x:v>
      </x:c>
      <x:c r="E670" s="14" t="str">
        <x:f>INDEX(Roster!$B$6:$B$108,MATCH(D670,Roster!$A$6:$A$108,0))</x:f>
      </x:c>
      <x:c r="F670" s="14" t="str">
        <x:f>INDEX(Roster!$F$6:$F$108,MATCH(D670,Roster!$A$6:$A$108,0))</x:f>
        <x:v>No</x:v>
      </x:c>
      <x:c r="G670" s="14" t="n">
        <x:f>INDEX(Inputs!$B$7:$D$7,1,MATCH(A670,Inputs!$B$6:$D$6,0))</x:f>
        <x:v>13</x:v>
      </x:c>
      <x:c r="H670" s="14" t="n">
        <x:f>MIN(=INDEX(Inputs!$B$7:$D$7,1,MATCH(A670,Inputs!$B$6:$D$6,0)),MAX(0,INDEX(Inputs!$B$14:$D$14,1,MATCH(A670,Inputs!$B$6:$D$6,0))-(C670-1)*=INDEX(Inputs!$B$7:$D$7,1,MATCH(A670,Inputs!$B$6:$D$6,0))))</x:f>
        <x:v>13</x:v>
      </x:c>
      <x:c r="I670" s="20" t="n">
        <x:f>INDEX(Inputs!$B$8:$D$8,1,MATCH(A670,Inputs!$B$6:$D$6,0))</x:f>
        <x:v>2395</x:v>
      </x:c>
      <x:c r="J670" s="20" t="n">
        <x:f>INDEX(Roster!$C$6:$C$108,MATCH(D670,Roster!$A$6:$A$108,0))*(1+INDEX(Inputs!$B$9:$D$9,1,MATCH(A670,Inputs!$B$6:$D$6,0)))</x:f>
        <x:v>50</x:v>
      </x:c>
      <x:c r="K670" s="20" t="n">
        <x:f>IF(=INDEX(Roster!$F$6:$F$108,MATCH(D670,Roster!$A$6:$A$108,0))="Yes",0,=INDEX(Inputs!$B$8:$D$8,1,MATCH(A670,Inputs!$B$6:$D$6,0))*IF(=INDEX(Roster!$B$6:$B$108,MATCH(D670,Roster!$A$6:$A$108,0))="Principal",INDEX(Inputs!$B$10:$D$10,1,MATCH(A670,Inputs!$B$6:$D$6,0)),IF(=INDEX(Roster!$B$6:$B$108,MATCH(D670,Roster!$A$6:$A$108,0))="Associate Principal",INDEX(Inputs!$B$11:$D$11,1,MATCH(A670,Inputs!$B$6:$D$6,0)),IF(=INDEX(Roster!$B$6:$B$108,MATCH(D670,Roster!$A$6:$A$108,0))="Assistant Principal",INDEX(Inputs!$B$12:$D$12,1,MATCH(A670,Inputs!$B$6:$D$6,0)),0))))</x:f>
        <x:v>0</x:v>
      </x:c>
      <x:c r="L670" s="20" t="n">
        <x:f>IF(INDEX(Roster!$D$6:$D$108,MATCH(D670,Roster!$A$6:$A$108,0))&gt;=25,INDEX(Inputs!$B$19:$D$19,1,MATCH(A670,Inputs!$B$6:$D$6,0)),IF(INDEX(Roster!$D$6:$D$108,MATCH(D670,Roster!$A$6:$A$108,0))&gt;=20,INDEX(Inputs!$B$18:$D$18,1,MATCH(A670,Inputs!$B$6:$D$6,0)),IF(INDEX(Roster!$D$6:$D$108,MATCH(D670,Roster!$A$6:$A$108,0))&gt;=15,INDEX(Inputs!$B$17:$D$17,1,MATCH(A670,Inputs!$B$6:$D$6,0)),IF(INDEX(Roster!$D$6:$D$108,MATCH(D670,Roster!$A$6:$A$108,0))&gt;=10,INDEX(Inputs!$B$16:$D$16,1,MATCH(A670,Inputs!$B$6:$D$6,0)),IF(INDEX(Roster!$D$6:$D$108,MATCH(D670,Roster!$A$6:$A$108,0))&gt;=5,INDEX(Inputs!$B$15:$D$15,1,MATCH(A670,Inputs!$B$6:$D$6,0)),0)))))</x:f>
        <x:v>90</x:v>
      </x:c>
      <x:c r="M670" s="20" t="n">
        <x:f>G670*I670</x:f>
        <x:v>31135</x:v>
      </x:c>
      <x:c r="N670" s="20" t="n">
        <x:f>G670*J670</x:f>
        <x:v>650</x:v>
      </x:c>
      <x:c r="O670" s="20" t="n">
        <x:f>G670*K670</x:f>
        <x:v>0</x:v>
      </x:c>
      <x:c r="P670" s="20" t="n">
        <x:f>G670*L670</x:f>
        <x:v>1170</x:v>
      </x:c>
      <x:c r="Q670" s="20" t="n">
        <x:f>H670*INDEX(Inputs!$B$13:$D$13,1,MATCH(A670,Inputs!$B$6:$D$6,0))</x:f>
        <x:v>390</x:v>
      </x:c>
      <x:c r="R670" s="20" t="n">
        <x:f>SUM(M670:Q670)</x:f>
        <x:v>33345</x:v>
      </x:c>
      <x:c r="S670" s="20" t="n">
        <x:f>IF(AND(A669=A670,D669=D670),S669+R670,R670)</x:f>
        <x:v>33345</x:v>
      </x:c>
      <x:c r="T670" s="20" t="n">
        <x:f>MIN(S670,INDEX(Inputs!$B$20:$D$20,1,MATCH(A670,Inputs!$B$6:$D$6,0)))*INDEX(Inputs!$B$22:$D$22,1,MATCH(A670,Inputs!$B$6:$D$6,0))+MAX(MIN(S670,INDEX(Inputs!$B$21:$D$21,1,MATCH(A670,Inputs!$B$6:$D$6,0)))-INDEX(Inputs!$B$20:$D$20,1,MATCH(A670,Inputs!$B$6:$D$6,0)),0)*INDEX(Inputs!$B$23:$D$23,1,MATCH(A670,Inputs!$B$6:$D$6,0))+MAX(S670-INDEX(Inputs!$B$21:$D$21,1,MATCH(A670,Inputs!$B$6:$D$6,0)),0)*INDEX(Inputs!$B$24:$D$24,1,MATCH(A670,Inputs!$B$6:$D$6,0))</x:f>
        <x:v>3040.8925</x:v>
      </x:c>
      <x:c r="U670" s="20" t="n">
        <x:f>IF(AND(A669=A670,D669=D670),T669,0)</x:f>
        <x:v>0</x:v>
      </x:c>
      <x:c r="V670" s="20" t="n">
        <x:f>T670-U670</x:f>
        <x:v>3040.8925</x:v>
      </x:c>
      <x:c r="W670" s="20" t="n">
        <x:f>R670+V670</x:f>
        <x:v>36385.8925</x:v>
      </x:c>
      <x:c r="X670" s="14" t="str">
        <x:f>IF(ABS(W670-SUM(M670:Q670)-V670)&lt;0.01,"OK","Check")</x:f>
        <x:v>OK</x:v>
      </x:c>
    </x:row>
    <x:row r="671">
      <x:c r="A671" s="14" t="n">
        <x:v>2027</x:v>
      </x:c>
      <x:c r="B671" s="14" t="str">
        <x:v>Q2</x:v>
      </x:c>
      <x:c r="C671" s="14" t="n">
        <x:v>2</x:v>
      </x:c>
      <x:c r="D671" s="14" t="n">
        <x:v>64</x:v>
      </x:c>
      <x:c r="E671" s="14" t="str">
        <x:f>INDEX(Roster!$B$6:$B$108,MATCH(D671,Roster!$A$6:$A$108,0))</x:f>
      </x:c>
      <x:c r="F671" s="14" t="str">
        <x:f>INDEX(Roster!$F$6:$F$108,MATCH(D671,Roster!$A$6:$A$108,0))</x:f>
        <x:v>No</x:v>
      </x:c>
      <x:c r="G671" s="14" t="n">
        <x:f>INDEX(Inputs!$B$7:$D$7,1,MATCH(A671,Inputs!$B$6:$D$6,0))</x:f>
        <x:v>13</x:v>
      </x:c>
      <x:c r="H671" s="14" t="n">
        <x:f>MIN(=INDEX(Inputs!$B$7:$D$7,1,MATCH(A671,Inputs!$B$6:$D$6,0)),MAX(0,INDEX(Inputs!$B$14:$D$14,1,MATCH(A671,Inputs!$B$6:$D$6,0))-(C671-1)*=INDEX(Inputs!$B$7:$D$7,1,MATCH(A671,Inputs!$B$6:$D$6,0))))</x:f>
        <x:v>13</x:v>
      </x:c>
      <x:c r="I671" s="20" t="n">
        <x:f>INDEX(Inputs!$B$8:$D$8,1,MATCH(A671,Inputs!$B$6:$D$6,0))</x:f>
        <x:v>2395</x:v>
      </x:c>
      <x:c r="J671" s="20" t="n">
        <x:f>INDEX(Roster!$C$6:$C$108,MATCH(D671,Roster!$A$6:$A$108,0))*(1+INDEX(Inputs!$B$9:$D$9,1,MATCH(A671,Inputs!$B$6:$D$6,0)))</x:f>
        <x:v>50</x:v>
      </x:c>
      <x:c r="K671" s="20" t="n">
        <x:f>IF(=INDEX(Roster!$F$6:$F$108,MATCH(D671,Roster!$A$6:$A$108,0))="Yes",0,=INDEX(Inputs!$B$8:$D$8,1,MATCH(A671,Inputs!$B$6:$D$6,0))*IF(=INDEX(Roster!$B$6:$B$108,MATCH(D671,Roster!$A$6:$A$108,0))="Principal",INDEX(Inputs!$B$10:$D$10,1,MATCH(A671,Inputs!$B$6:$D$6,0)),IF(=INDEX(Roster!$B$6:$B$108,MATCH(D671,Roster!$A$6:$A$108,0))="Associate Principal",INDEX(Inputs!$B$11:$D$11,1,MATCH(A671,Inputs!$B$6:$D$6,0)),IF(=INDEX(Roster!$B$6:$B$108,MATCH(D671,Roster!$A$6:$A$108,0))="Assistant Principal",INDEX(Inputs!$B$12:$D$12,1,MATCH(A671,Inputs!$B$6:$D$6,0)),0))))</x:f>
        <x:v>0</x:v>
      </x:c>
      <x:c r="L671" s="20" t="n">
        <x:f>IF(INDEX(Roster!$D$6:$D$108,MATCH(D671,Roster!$A$6:$A$108,0))&gt;=25,INDEX(Inputs!$B$19:$D$19,1,MATCH(A671,Inputs!$B$6:$D$6,0)),IF(INDEX(Roster!$D$6:$D$108,MATCH(D671,Roster!$A$6:$A$108,0))&gt;=20,INDEX(Inputs!$B$18:$D$18,1,MATCH(A671,Inputs!$B$6:$D$6,0)),IF(INDEX(Roster!$D$6:$D$108,MATCH(D671,Roster!$A$6:$A$108,0))&gt;=15,INDEX(Inputs!$B$17:$D$17,1,MATCH(A671,Inputs!$B$6:$D$6,0)),IF(INDEX(Roster!$D$6:$D$108,MATCH(D671,Roster!$A$6:$A$108,0))&gt;=10,INDEX(Inputs!$B$16:$D$16,1,MATCH(A671,Inputs!$B$6:$D$6,0)),IF(INDEX(Roster!$D$6:$D$108,MATCH(D671,Roster!$A$6:$A$108,0))&gt;=5,INDEX(Inputs!$B$15:$D$15,1,MATCH(A671,Inputs!$B$6:$D$6,0)),0)))))</x:f>
        <x:v>90</x:v>
      </x:c>
      <x:c r="M671" s="20" t="n">
        <x:f>G671*I671</x:f>
        <x:v>31135</x:v>
      </x:c>
      <x:c r="N671" s="20" t="n">
        <x:f>G671*J671</x:f>
        <x:v>650</x:v>
      </x:c>
      <x:c r="O671" s="20" t="n">
        <x:f>G671*K671</x:f>
        <x:v>0</x:v>
      </x:c>
      <x:c r="P671" s="20" t="n">
        <x:f>G671*L671</x:f>
        <x:v>1170</x:v>
      </x:c>
      <x:c r="Q671" s="20" t="n">
        <x:f>H671*INDEX(Inputs!$B$13:$D$13,1,MATCH(A671,Inputs!$B$6:$D$6,0))</x:f>
        <x:v>390</x:v>
      </x:c>
      <x:c r="R671" s="20" t="n">
        <x:f>SUM(M671:Q671)</x:f>
        <x:v>33345</x:v>
      </x:c>
      <x:c r="S671" s="20" t="n">
        <x:f>IF(AND(A670=A671,D670=D671),S670+R671,R671)</x:f>
        <x:v>66690</x:v>
      </x:c>
      <x:c r="T671" s="20" t="n">
        <x:f>MIN(S671,INDEX(Inputs!$B$20:$D$20,1,MATCH(A671,Inputs!$B$6:$D$6,0)))*INDEX(Inputs!$B$22:$D$22,1,MATCH(A671,Inputs!$B$6:$D$6,0))+MAX(MIN(S671,INDEX(Inputs!$B$21:$D$21,1,MATCH(A671,Inputs!$B$6:$D$6,0)))-INDEX(Inputs!$B$20:$D$20,1,MATCH(A671,Inputs!$B$6:$D$6,0)),0)*INDEX(Inputs!$B$23:$D$23,1,MATCH(A671,Inputs!$B$6:$D$6,0))+MAX(S671-INDEX(Inputs!$B$21:$D$21,1,MATCH(A671,Inputs!$B$6:$D$6,0)),0)*INDEX(Inputs!$B$24:$D$24,1,MATCH(A671,Inputs!$B$6:$D$6,0))</x:f>
        <x:v>5591.785</x:v>
      </x:c>
      <x:c r="U671" s="20" t="n">
        <x:f>IF(AND(A670=A671,D670=D671),T670,0)</x:f>
        <x:v>3040.8925</x:v>
      </x:c>
      <x:c r="V671" s="20" t="n">
        <x:f>T671-U671</x:f>
        <x:v>2550.8925</x:v>
      </x:c>
      <x:c r="W671" s="20" t="n">
        <x:f>R671+V671</x:f>
        <x:v>35895.8925</x:v>
      </x:c>
      <x:c r="X671" s="14" t="str">
        <x:f>IF(ABS(W671-SUM(M671:Q671)-V671)&lt;0.01,"OK","Check")</x:f>
        <x:v>OK</x:v>
      </x:c>
    </x:row>
    <x:row r="672">
      <x:c r="A672" s="14" t="n">
        <x:v>2027</x:v>
      </x:c>
      <x:c r="B672" s="14" t="str">
        <x:v>Q3</x:v>
      </x:c>
      <x:c r="C672" s="14" t="n">
        <x:v>3</x:v>
      </x:c>
      <x:c r="D672" s="14" t="n">
        <x:v>64</x:v>
      </x:c>
      <x:c r="E672" s="14" t="str">
        <x:f>INDEX(Roster!$B$6:$B$108,MATCH(D672,Roster!$A$6:$A$108,0))</x:f>
      </x:c>
      <x:c r="F672" s="14" t="str">
        <x:f>INDEX(Roster!$F$6:$F$108,MATCH(D672,Roster!$A$6:$A$108,0))</x:f>
        <x:v>No</x:v>
      </x:c>
      <x:c r="G672" s="14" t="n">
        <x:f>INDEX(Inputs!$B$7:$D$7,1,MATCH(A672,Inputs!$B$6:$D$6,0))</x:f>
        <x:v>13</x:v>
      </x:c>
      <x:c r="H672" s="14" t="n">
        <x:f>MIN(=INDEX(Inputs!$B$7:$D$7,1,MATCH(A672,Inputs!$B$6:$D$6,0)),MAX(0,INDEX(Inputs!$B$14:$D$14,1,MATCH(A672,Inputs!$B$6:$D$6,0))-(C672-1)*=INDEX(Inputs!$B$7:$D$7,1,MATCH(A672,Inputs!$B$6:$D$6,0))))</x:f>
        <x:v>13</x:v>
      </x:c>
      <x:c r="I672" s="20" t="n">
        <x:f>INDEX(Inputs!$B$8:$D$8,1,MATCH(A672,Inputs!$B$6:$D$6,0))</x:f>
        <x:v>2395</x:v>
      </x:c>
      <x:c r="J672" s="20" t="n">
        <x:f>INDEX(Roster!$C$6:$C$108,MATCH(D672,Roster!$A$6:$A$108,0))*(1+INDEX(Inputs!$B$9:$D$9,1,MATCH(A672,Inputs!$B$6:$D$6,0)))</x:f>
        <x:v>50</x:v>
      </x:c>
      <x:c r="K672" s="20" t="n">
        <x:f>IF(=INDEX(Roster!$F$6:$F$108,MATCH(D672,Roster!$A$6:$A$108,0))="Yes",0,=INDEX(Inputs!$B$8:$D$8,1,MATCH(A672,Inputs!$B$6:$D$6,0))*IF(=INDEX(Roster!$B$6:$B$108,MATCH(D672,Roster!$A$6:$A$108,0))="Principal",INDEX(Inputs!$B$10:$D$10,1,MATCH(A672,Inputs!$B$6:$D$6,0)),IF(=INDEX(Roster!$B$6:$B$108,MATCH(D672,Roster!$A$6:$A$108,0))="Associate Principal",INDEX(Inputs!$B$11:$D$11,1,MATCH(A672,Inputs!$B$6:$D$6,0)),IF(=INDEX(Roster!$B$6:$B$108,MATCH(D672,Roster!$A$6:$A$108,0))="Assistant Principal",INDEX(Inputs!$B$12:$D$12,1,MATCH(A672,Inputs!$B$6:$D$6,0)),0))))</x:f>
        <x:v>0</x:v>
      </x:c>
      <x:c r="L672" s="20" t="n">
        <x:f>IF(INDEX(Roster!$D$6:$D$108,MATCH(D672,Roster!$A$6:$A$108,0))&gt;=25,INDEX(Inputs!$B$19:$D$19,1,MATCH(A672,Inputs!$B$6:$D$6,0)),IF(INDEX(Roster!$D$6:$D$108,MATCH(D672,Roster!$A$6:$A$108,0))&gt;=20,INDEX(Inputs!$B$18:$D$18,1,MATCH(A672,Inputs!$B$6:$D$6,0)),IF(INDEX(Roster!$D$6:$D$108,MATCH(D672,Roster!$A$6:$A$108,0))&gt;=15,INDEX(Inputs!$B$17:$D$17,1,MATCH(A672,Inputs!$B$6:$D$6,0)),IF(INDEX(Roster!$D$6:$D$108,MATCH(D672,Roster!$A$6:$A$108,0))&gt;=10,INDEX(Inputs!$B$16:$D$16,1,MATCH(A672,Inputs!$B$6:$D$6,0)),IF(INDEX(Roster!$D$6:$D$108,MATCH(D672,Roster!$A$6:$A$108,0))&gt;=5,INDEX(Inputs!$B$15:$D$15,1,MATCH(A672,Inputs!$B$6:$D$6,0)),0)))))</x:f>
        <x:v>90</x:v>
      </x:c>
      <x:c r="M672" s="20" t="n">
        <x:f>G672*I672</x:f>
        <x:v>31135</x:v>
      </x:c>
      <x:c r="N672" s="20" t="n">
        <x:f>G672*J672</x:f>
        <x:v>650</x:v>
      </x:c>
      <x:c r="O672" s="20" t="n">
        <x:f>G672*K672</x:f>
        <x:v>0</x:v>
      </x:c>
      <x:c r="P672" s="20" t="n">
        <x:f>G672*L672</x:f>
        <x:v>1170</x:v>
      </x:c>
      <x:c r="Q672" s="20" t="n">
        <x:f>H672*INDEX(Inputs!$B$13:$D$13,1,MATCH(A672,Inputs!$B$6:$D$6,0))</x:f>
        <x:v>390</x:v>
      </x:c>
      <x:c r="R672" s="20" t="n">
        <x:f>SUM(M672:Q672)</x:f>
        <x:v>33345</x:v>
      </x:c>
      <x:c r="S672" s="20" t="n">
        <x:f>IF(AND(A671=A672,D671=D672),S671+R672,R672)</x:f>
        <x:v>100035</x:v>
      </x:c>
      <x:c r="T672" s="20" t="n">
        <x:f>MIN(S672,INDEX(Inputs!$B$20:$D$20,1,MATCH(A672,Inputs!$B$6:$D$6,0)))*INDEX(Inputs!$B$22:$D$22,1,MATCH(A672,Inputs!$B$6:$D$6,0))+MAX(MIN(S672,INDEX(Inputs!$B$21:$D$21,1,MATCH(A672,Inputs!$B$6:$D$6,0)))-INDEX(Inputs!$B$20:$D$20,1,MATCH(A672,Inputs!$B$6:$D$6,0)),0)*INDEX(Inputs!$B$23:$D$23,1,MATCH(A672,Inputs!$B$6:$D$6,0))+MAX(S672-INDEX(Inputs!$B$21:$D$21,1,MATCH(A672,Inputs!$B$6:$D$6,0)),0)*INDEX(Inputs!$B$24:$D$24,1,MATCH(A672,Inputs!$B$6:$D$6,0))</x:f>
        <x:v>8142.6775</x:v>
      </x:c>
      <x:c r="U672" s="20" t="n">
        <x:f>IF(AND(A671=A672,D671=D672),T671,0)</x:f>
        <x:v>5591.785</x:v>
      </x:c>
      <x:c r="V672" s="20" t="n">
        <x:f>T672-U672</x:f>
        <x:v>2550.8925</x:v>
      </x:c>
      <x:c r="W672" s="20" t="n">
        <x:f>R672+V672</x:f>
        <x:v>35895.8925</x:v>
      </x:c>
      <x:c r="X672" s="14" t="str">
        <x:f>IF(ABS(W672-SUM(M672:Q672)-V672)&lt;0.01,"OK","Check")</x:f>
        <x:v>OK</x:v>
      </x:c>
    </x:row>
    <x:row r="673">
      <x:c r="A673" s="14" t="n">
        <x:v>2027</x:v>
      </x:c>
      <x:c r="B673" s="14" t="str">
        <x:v>Q4</x:v>
      </x:c>
      <x:c r="C673" s="14" t="n">
        <x:v>4</x:v>
      </x:c>
      <x:c r="D673" s="14" t="n">
        <x:v>64</x:v>
      </x:c>
      <x:c r="E673" s="14" t="str">
        <x:f>INDEX(Roster!$B$6:$B$108,MATCH(D673,Roster!$A$6:$A$108,0))</x:f>
      </x:c>
      <x:c r="F673" s="14" t="str">
        <x:f>INDEX(Roster!$F$6:$F$108,MATCH(D673,Roster!$A$6:$A$108,0))</x:f>
        <x:v>No</x:v>
      </x:c>
      <x:c r="G673" s="14" t="n">
        <x:f>INDEX(Inputs!$B$7:$D$7,1,MATCH(A673,Inputs!$B$6:$D$6,0))</x:f>
        <x:v>13</x:v>
      </x:c>
      <x:c r="H673" s="14" t="n">
        <x:f>MIN(=INDEX(Inputs!$B$7:$D$7,1,MATCH(A673,Inputs!$B$6:$D$6,0)),MAX(0,INDEX(Inputs!$B$14:$D$14,1,MATCH(A673,Inputs!$B$6:$D$6,0))-(C673-1)*=INDEX(Inputs!$B$7:$D$7,1,MATCH(A673,Inputs!$B$6:$D$6,0))))</x:f>
        <x:v>0</x:v>
      </x:c>
      <x:c r="I673" s="20" t="n">
        <x:f>INDEX(Inputs!$B$8:$D$8,1,MATCH(A673,Inputs!$B$6:$D$6,0))</x:f>
        <x:v>2395</x:v>
      </x:c>
      <x:c r="J673" s="20" t="n">
        <x:f>INDEX(Roster!$C$6:$C$108,MATCH(D673,Roster!$A$6:$A$108,0))*(1+INDEX(Inputs!$B$9:$D$9,1,MATCH(A673,Inputs!$B$6:$D$6,0)))</x:f>
        <x:v>50</x:v>
      </x:c>
      <x:c r="K673" s="20" t="n">
        <x:f>IF(=INDEX(Roster!$F$6:$F$108,MATCH(D673,Roster!$A$6:$A$108,0))="Yes",0,=INDEX(Inputs!$B$8:$D$8,1,MATCH(A673,Inputs!$B$6:$D$6,0))*IF(=INDEX(Roster!$B$6:$B$108,MATCH(D673,Roster!$A$6:$A$108,0))="Principal",INDEX(Inputs!$B$10:$D$10,1,MATCH(A673,Inputs!$B$6:$D$6,0)),IF(=INDEX(Roster!$B$6:$B$108,MATCH(D673,Roster!$A$6:$A$108,0))="Associate Principal",INDEX(Inputs!$B$11:$D$11,1,MATCH(A673,Inputs!$B$6:$D$6,0)),IF(=INDEX(Roster!$B$6:$B$108,MATCH(D673,Roster!$A$6:$A$108,0))="Assistant Principal",INDEX(Inputs!$B$12:$D$12,1,MATCH(A673,Inputs!$B$6:$D$6,0)),0))))</x:f>
        <x:v>0</x:v>
      </x:c>
      <x:c r="L673" s="20" t="n">
        <x:f>IF(INDEX(Roster!$D$6:$D$108,MATCH(D673,Roster!$A$6:$A$108,0))&gt;=25,INDEX(Inputs!$B$19:$D$19,1,MATCH(A673,Inputs!$B$6:$D$6,0)),IF(INDEX(Roster!$D$6:$D$108,MATCH(D673,Roster!$A$6:$A$108,0))&gt;=20,INDEX(Inputs!$B$18:$D$18,1,MATCH(A673,Inputs!$B$6:$D$6,0)),IF(INDEX(Roster!$D$6:$D$108,MATCH(D673,Roster!$A$6:$A$108,0))&gt;=15,INDEX(Inputs!$B$17:$D$17,1,MATCH(A673,Inputs!$B$6:$D$6,0)),IF(INDEX(Roster!$D$6:$D$108,MATCH(D673,Roster!$A$6:$A$108,0))&gt;=10,INDEX(Inputs!$B$16:$D$16,1,MATCH(A673,Inputs!$B$6:$D$6,0)),IF(INDEX(Roster!$D$6:$D$108,MATCH(D673,Roster!$A$6:$A$108,0))&gt;=5,INDEX(Inputs!$B$15:$D$15,1,MATCH(A673,Inputs!$B$6:$D$6,0)),0)))))</x:f>
        <x:v>90</x:v>
      </x:c>
      <x:c r="M673" s="20" t="n">
        <x:f>G673*I673</x:f>
        <x:v>31135</x:v>
      </x:c>
      <x:c r="N673" s="20" t="n">
        <x:f>G673*J673</x:f>
        <x:v>650</x:v>
      </x:c>
      <x:c r="O673" s="20" t="n">
        <x:f>G673*K673</x:f>
        <x:v>0</x:v>
      </x:c>
      <x:c r="P673" s="20" t="n">
        <x:f>G673*L673</x:f>
        <x:v>1170</x:v>
      </x:c>
      <x:c r="Q673" s="20" t="n">
        <x:f>H673*INDEX(Inputs!$B$13:$D$13,1,MATCH(A673,Inputs!$B$6:$D$6,0))</x:f>
        <x:v>0</x:v>
      </x:c>
      <x:c r="R673" s="20" t="n">
        <x:f>SUM(M673:Q673)</x:f>
        <x:v>32955</x:v>
      </x:c>
      <x:c r="S673" s="20" t="n">
        <x:f>IF(AND(A672=A673,D672=D673),S672+R673,R673)</x:f>
        <x:v>132990</x:v>
      </x:c>
      <x:c r="T673" s="20" t="n">
        <x:f>MIN(S673,INDEX(Inputs!$B$20:$D$20,1,MATCH(A673,Inputs!$B$6:$D$6,0)))*INDEX(Inputs!$B$22:$D$22,1,MATCH(A673,Inputs!$B$6:$D$6,0))+MAX(MIN(S673,INDEX(Inputs!$B$21:$D$21,1,MATCH(A673,Inputs!$B$6:$D$6,0)))-INDEX(Inputs!$B$20:$D$20,1,MATCH(A673,Inputs!$B$6:$D$6,0)),0)*INDEX(Inputs!$B$23:$D$23,1,MATCH(A673,Inputs!$B$6:$D$6,0))+MAX(S673-INDEX(Inputs!$B$21:$D$21,1,MATCH(A673,Inputs!$B$6:$D$6,0)),0)*INDEX(Inputs!$B$24:$D$24,1,MATCH(A673,Inputs!$B$6:$D$6,0))</x:f>
        <x:v>9842.297</x:v>
      </x:c>
      <x:c r="U673" s="20" t="n">
        <x:f>IF(AND(A672=A673,D672=D673),T672,0)</x:f>
        <x:v>8142.6775</x:v>
      </x:c>
      <x:c r="V673" s="20" t="n">
        <x:f>T673-U673</x:f>
        <x:v>1699.6195000000007</x:v>
      </x:c>
      <x:c r="W673" s="20" t="n">
        <x:f>R673+V673</x:f>
        <x:v>34654.6195</x:v>
      </x:c>
      <x:c r="X673" s="14" t="str">
        <x:f>IF(ABS(W673-SUM(M673:Q673)-V673)&lt;0.01,"OK","Check")</x:f>
        <x:v>OK</x:v>
      </x:c>
    </x:row>
    <x:row r="674">
      <x:c r="A674" s="14" t="n">
        <x:v>2027</x:v>
      </x:c>
      <x:c r="B674" s="14" t="str">
        <x:v>Q1</x:v>
      </x:c>
      <x:c r="C674" s="14" t="n">
        <x:v>1</x:v>
      </x:c>
      <x:c r="D674" s="14" t="n">
        <x:v>65</x:v>
      </x:c>
      <x:c r="E674" s="14" t="str">
        <x:f>INDEX(Roster!$B$6:$B$108,MATCH(D674,Roster!$A$6:$A$108,0))</x:f>
      </x:c>
      <x:c r="F674" s="14" t="str">
        <x:f>INDEX(Roster!$F$6:$F$108,MATCH(D674,Roster!$A$6:$A$108,0))</x:f>
        <x:v>No</x:v>
      </x:c>
      <x:c r="G674" s="14" t="n">
        <x:f>INDEX(Inputs!$B$7:$D$7,1,MATCH(A674,Inputs!$B$6:$D$6,0))</x:f>
        <x:v>13</x:v>
      </x:c>
      <x:c r="H674" s="14" t="n">
        <x:f>MIN(=INDEX(Inputs!$B$7:$D$7,1,MATCH(A674,Inputs!$B$6:$D$6,0)),MAX(0,INDEX(Inputs!$B$14:$D$14,1,MATCH(A674,Inputs!$B$6:$D$6,0))-(C674-1)*=INDEX(Inputs!$B$7:$D$7,1,MATCH(A674,Inputs!$B$6:$D$6,0))))</x:f>
        <x:v>13</x:v>
      </x:c>
      <x:c r="I674" s="20" t="n">
        <x:f>INDEX(Inputs!$B$8:$D$8,1,MATCH(A674,Inputs!$B$6:$D$6,0))</x:f>
        <x:v>2395</x:v>
      </x:c>
      <x:c r="J674" s="20" t="n">
        <x:f>INDEX(Roster!$C$6:$C$108,MATCH(D674,Roster!$A$6:$A$108,0))*(1+INDEX(Inputs!$B$9:$D$9,1,MATCH(A674,Inputs!$B$6:$D$6,0)))</x:f>
        <x:v>0</x:v>
      </x:c>
      <x:c r="K674" s="20" t="n">
        <x:f>IF(=INDEX(Roster!$F$6:$F$108,MATCH(D674,Roster!$A$6:$A$108,0))="Yes",0,=INDEX(Inputs!$B$8:$D$8,1,MATCH(A674,Inputs!$B$6:$D$6,0))*IF(=INDEX(Roster!$B$6:$B$108,MATCH(D674,Roster!$A$6:$A$108,0))="Principal",INDEX(Inputs!$B$10:$D$10,1,MATCH(A674,Inputs!$B$6:$D$6,0)),IF(=INDEX(Roster!$B$6:$B$108,MATCH(D674,Roster!$A$6:$A$108,0))="Associate Principal",INDEX(Inputs!$B$11:$D$11,1,MATCH(A674,Inputs!$B$6:$D$6,0)),IF(=INDEX(Roster!$B$6:$B$108,MATCH(D674,Roster!$A$6:$A$108,0))="Assistant Principal",INDEX(Inputs!$B$12:$D$12,1,MATCH(A674,Inputs!$B$6:$D$6,0)),0))))</x:f>
        <x:v>0</x:v>
      </x:c>
      <x:c r="L674" s="20" t="n">
        <x:f>IF(INDEX(Roster!$D$6:$D$108,MATCH(D674,Roster!$A$6:$A$108,0))&gt;=25,INDEX(Inputs!$B$19:$D$19,1,MATCH(A674,Inputs!$B$6:$D$6,0)),IF(INDEX(Roster!$D$6:$D$108,MATCH(D674,Roster!$A$6:$A$108,0))&gt;=20,INDEX(Inputs!$B$18:$D$18,1,MATCH(A674,Inputs!$B$6:$D$6,0)),IF(INDEX(Roster!$D$6:$D$108,MATCH(D674,Roster!$A$6:$A$108,0))&gt;=15,INDEX(Inputs!$B$17:$D$17,1,MATCH(A674,Inputs!$B$6:$D$6,0)),IF(INDEX(Roster!$D$6:$D$108,MATCH(D674,Roster!$A$6:$A$108,0))&gt;=10,INDEX(Inputs!$B$16:$D$16,1,MATCH(A674,Inputs!$B$6:$D$6,0)),IF(INDEX(Roster!$D$6:$D$108,MATCH(D674,Roster!$A$6:$A$108,0))&gt;=5,INDEX(Inputs!$B$15:$D$15,1,MATCH(A674,Inputs!$B$6:$D$6,0)),0)))))</x:f>
        <x:v>0</x:v>
      </x:c>
      <x:c r="M674" s="20" t="n">
        <x:f>G674*I674</x:f>
        <x:v>31135</x:v>
      </x:c>
      <x:c r="N674" s="20" t="n">
        <x:f>G674*J674</x:f>
        <x:v>0</x:v>
      </x:c>
      <x:c r="O674" s="20" t="n">
        <x:f>G674*K674</x:f>
        <x:v>0</x:v>
      </x:c>
      <x:c r="P674" s="20" t="n">
        <x:f>G674*L674</x:f>
        <x:v>0</x:v>
      </x:c>
      <x:c r="Q674" s="20" t="n">
        <x:f>H674*INDEX(Inputs!$B$13:$D$13,1,MATCH(A674,Inputs!$B$6:$D$6,0))</x:f>
        <x:v>390</x:v>
      </x:c>
      <x:c r="R674" s="20" t="n">
        <x:f>SUM(M674:Q674)</x:f>
        <x:v>31525</x:v>
      </x:c>
      <x:c r="S674" s="20" t="n">
        <x:f>IF(AND(A673=A674,D673=D674),S673+R674,R674)</x:f>
        <x:v>31525</x:v>
      </x:c>
      <x:c r="T674" s="20" t="n">
        <x:f>MIN(S674,INDEX(Inputs!$B$20:$D$20,1,MATCH(A674,Inputs!$B$6:$D$6,0)))*INDEX(Inputs!$B$22:$D$22,1,MATCH(A674,Inputs!$B$6:$D$6,0))+MAX(MIN(S674,INDEX(Inputs!$B$21:$D$21,1,MATCH(A674,Inputs!$B$6:$D$6,0)))-INDEX(Inputs!$B$20:$D$20,1,MATCH(A674,Inputs!$B$6:$D$6,0)),0)*INDEX(Inputs!$B$23:$D$23,1,MATCH(A674,Inputs!$B$6:$D$6,0))+MAX(S674-INDEX(Inputs!$B$21:$D$21,1,MATCH(A674,Inputs!$B$6:$D$6,0)),0)*INDEX(Inputs!$B$24:$D$24,1,MATCH(A674,Inputs!$B$6:$D$6,0))</x:f>
        <x:v>2901.6625</x:v>
      </x:c>
      <x:c r="U674" s="20" t="n">
        <x:f>IF(AND(A673=A674,D673=D674),T673,0)</x:f>
        <x:v>0</x:v>
      </x:c>
      <x:c r="V674" s="20" t="n">
        <x:f>T674-U674</x:f>
        <x:v>2901.6625</x:v>
      </x:c>
      <x:c r="W674" s="20" t="n">
        <x:f>R674+V674</x:f>
        <x:v>34426.6625</x:v>
      </x:c>
      <x:c r="X674" s="14" t="str">
        <x:f>IF(ABS(W674-SUM(M674:Q674)-V674)&lt;0.01,"OK","Check")</x:f>
        <x:v>OK</x:v>
      </x:c>
    </x:row>
    <x:row r="675">
      <x:c r="A675" s="14" t="n">
        <x:v>2027</x:v>
      </x:c>
      <x:c r="B675" s="14" t="str">
        <x:v>Q2</x:v>
      </x:c>
      <x:c r="C675" s="14" t="n">
        <x:v>2</x:v>
      </x:c>
      <x:c r="D675" s="14" t="n">
        <x:v>65</x:v>
      </x:c>
      <x:c r="E675" s="14" t="str">
        <x:f>INDEX(Roster!$B$6:$B$108,MATCH(D675,Roster!$A$6:$A$108,0))</x:f>
      </x:c>
      <x:c r="F675" s="14" t="str">
        <x:f>INDEX(Roster!$F$6:$F$108,MATCH(D675,Roster!$A$6:$A$108,0))</x:f>
        <x:v>No</x:v>
      </x:c>
      <x:c r="G675" s="14" t="n">
        <x:f>INDEX(Inputs!$B$7:$D$7,1,MATCH(A675,Inputs!$B$6:$D$6,0))</x:f>
        <x:v>13</x:v>
      </x:c>
      <x:c r="H675" s="14" t="n">
        <x:f>MIN(=INDEX(Inputs!$B$7:$D$7,1,MATCH(A675,Inputs!$B$6:$D$6,0)),MAX(0,INDEX(Inputs!$B$14:$D$14,1,MATCH(A675,Inputs!$B$6:$D$6,0))-(C675-1)*=INDEX(Inputs!$B$7:$D$7,1,MATCH(A675,Inputs!$B$6:$D$6,0))))</x:f>
        <x:v>13</x:v>
      </x:c>
      <x:c r="I675" s="20" t="n">
        <x:f>INDEX(Inputs!$B$8:$D$8,1,MATCH(A675,Inputs!$B$6:$D$6,0))</x:f>
        <x:v>2395</x:v>
      </x:c>
      <x:c r="J675" s="20" t="n">
        <x:f>INDEX(Roster!$C$6:$C$108,MATCH(D675,Roster!$A$6:$A$108,0))*(1+INDEX(Inputs!$B$9:$D$9,1,MATCH(A675,Inputs!$B$6:$D$6,0)))</x:f>
        <x:v>0</x:v>
      </x:c>
      <x:c r="K675" s="20" t="n">
        <x:f>IF(=INDEX(Roster!$F$6:$F$108,MATCH(D675,Roster!$A$6:$A$108,0))="Yes",0,=INDEX(Inputs!$B$8:$D$8,1,MATCH(A675,Inputs!$B$6:$D$6,0))*IF(=INDEX(Roster!$B$6:$B$108,MATCH(D675,Roster!$A$6:$A$108,0))="Principal",INDEX(Inputs!$B$10:$D$10,1,MATCH(A675,Inputs!$B$6:$D$6,0)),IF(=INDEX(Roster!$B$6:$B$108,MATCH(D675,Roster!$A$6:$A$108,0))="Associate Principal",INDEX(Inputs!$B$11:$D$11,1,MATCH(A675,Inputs!$B$6:$D$6,0)),IF(=INDEX(Roster!$B$6:$B$108,MATCH(D675,Roster!$A$6:$A$108,0))="Assistant Principal",INDEX(Inputs!$B$12:$D$12,1,MATCH(A675,Inputs!$B$6:$D$6,0)),0))))</x:f>
        <x:v>0</x:v>
      </x:c>
      <x:c r="L675" s="20" t="n">
        <x:f>IF(INDEX(Roster!$D$6:$D$108,MATCH(D675,Roster!$A$6:$A$108,0))&gt;=25,INDEX(Inputs!$B$19:$D$19,1,MATCH(A675,Inputs!$B$6:$D$6,0)),IF(INDEX(Roster!$D$6:$D$108,MATCH(D675,Roster!$A$6:$A$108,0))&gt;=20,INDEX(Inputs!$B$18:$D$18,1,MATCH(A675,Inputs!$B$6:$D$6,0)),IF(INDEX(Roster!$D$6:$D$108,MATCH(D675,Roster!$A$6:$A$108,0))&gt;=15,INDEX(Inputs!$B$17:$D$17,1,MATCH(A675,Inputs!$B$6:$D$6,0)),IF(INDEX(Roster!$D$6:$D$108,MATCH(D675,Roster!$A$6:$A$108,0))&gt;=10,INDEX(Inputs!$B$16:$D$16,1,MATCH(A675,Inputs!$B$6:$D$6,0)),IF(INDEX(Roster!$D$6:$D$108,MATCH(D675,Roster!$A$6:$A$108,0))&gt;=5,INDEX(Inputs!$B$15:$D$15,1,MATCH(A675,Inputs!$B$6:$D$6,0)),0)))))</x:f>
        <x:v>0</x:v>
      </x:c>
      <x:c r="M675" s="20" t="n">
        <x:f>G675*I675</x:f>
        <x:v>31135</x:v>
      </x:c>
      <x:c r="N675" s="20" t="n">
        <x:f>G675*J675</x:f>
        <x:v>0</x:v>
      </x:c>
      <x:c r="O675" s="20" t="n">
        <x:f>G675*K675</x:f>
        <x:v>0</x:v>
      </x:c>
      <x:c r="P675" s="20" t="n">
        <x:f>G675*L675</x:f>
        <x:v>0</x:v>
      </x:c>
      <x:c r="Q675" s="20" t="n">
        <x:f>H675*INDEX(Inputs!$B$13:$D$13,1,MATCH(A675,Inputs!$B$6:$D$6,0))</x:f>
        <x:v>390</x:v>
      </x:c>
      <x:c r="R675" s="20" t="n">
        <x:f>SUM(M675:Q675)</x:f>
        <x:v>31525</x:v>
      </x:c>
      <x:c r="S675" s="20" t="n">
        <x:f>IF(AND(A674=A675,D674=D675),S674+R675,R675)</x:f>
        <x:v>63050</x:v>
      </x:c>
      <x:c r="T675" s="20" t="n">
        <x:f>MIN(S675,INDEX(Inputs!$B$20:$D$20,1,MATCH(A675,Inputs!$B$6:$D$6,0)))*INDEX(Inputs!$B$22:$D$22,1,MATCH(A675,Inputs!$B$6:$D$6,0))+MAX(MIN(S675,INDEX(Inputs!$B$21:$D$21,1,MATCH(A675,Inputs!$B$6:$D$6,0)))-INDEX(Inputs!$B$20:$D$20,1,MATCH(A675,Inputs!$B$6:$D$6,0)),0)*INDEX(Inputs!$B$23:$D$23,1,MATCH(A675,Inputs!$B$6:$D$6,0))+MAX(S675-INDEX(Inputs!$B$21:$D$21,1,MATCH(A675,Inputs!$B$6:$D$6,0)),0)*INDEX(Inputs!$B$24:$D$24,1,MATCH(A675,Inputs!$B$6:$D$6,0))</x:f>
        <x:v>5313.325</x:v>
      </x:c>
      <x:c r="U675" s="20" t="n">
        <x:f>IF(AND(A674=A675,D674=D675),T674,0)</x:f>
        <x:v>2901.6625</x:v>
      </x:c>
      <x:c r="V675" s="20" t="n">
        <x:f>T675-U675</x:f>
        <x:v>2411.6625</x:v>
      </x:c>
      <x:c r="W675" s="20" t="n">
        <x:f>R675+V675</x:f>
        <x:v>33936.6625</x:v>
      </x:c>
      <x:c r="X675" s="14" t="str">
        <x:f>IF(ABS(W675-SUM(M675:Q675)-V675)&lt;0.01,"OK","Check")</x:f>
        <x:v>OK</x:v>
      </x:c>
    </x:row>
    <x:row r="676">
      <x:c r="A676" s="14" t="n">
        <x:v>2027</x:v>
      </x:c>
      <x:c r="B676" s="14" t="str">
        <x:v>Q3</x:v>
      </x:c>
      <x:c r="C676" s="14" t="n">
        <x:v>3</x:v>
      </x:c>
      <x:c r="D676" s="14" t="n">
        <x:v>65</x:v>
      </x:c>
      <x:c r="E676" s="14" t="str">
        <x:f>INDEX(Roster!$B$6:$B$108,MATCH(D676,Roster!$A$6:$A$108,0))</x:f>
      </x:c>
      <x:c r="F676" s="14" t="str">
        <x:f>INDEX(Roster!$F$6:$F$108,MATCH(D676,Roster!$A$6:$A$108,0))</x:f>
        <x:v>No</x:v>
      </x:c>
      <x:c r="G676" s="14" t="n">
        <x:f>INDEX(Inputs!$B$7:$D$7,1,MATCH(A676,Inputs!$B$6:$D$6,0))</x:f>
        <x:v>13</x:v>
      </x:c>
      <x:c r="H676" s="14" t="n">
        <x:f>MIN(=INDEX(Inputs!$B$7:$D$7,1,MATCH(A676,Inputs!$B$6:$D$6,0)),MAX(0,INDEX(Inputs!$B$14:$D$14,1,MATCH(A676,Inputs!$B$6:$D$6,0))-(C676-1)*=INDEX(Inputs!$B$7:$D$7,1,MATCH(A676,Inputs!$B$6:$D$6,0))))</x:f>
        <x:v>13</x:v>
      </x:c>
      <x:c r="I676" s="20" t="n">
        <x:f>INDEX(Inputs!$B$8:$D$8,1,MATCH(A676,Inputs!$B$6:$D$6,0))</x:f>
        <x:v>2395</x:v>
      </x:c>
      <x:c r="J676" s="20" t="n">
        <x:f>INDEX(Roster!$C$6:$C$108,MATCH(D676,Roster!$A$6:$A$108,0))*(1+INDEX(Inputs!$B$9:$D$9,1,MATCH(A676,Inputs!$B$6:$D$6,0)))</x:f>
        <x:v>0</x:v>
      </x:c>
      <x:c r="K676" s="20" t="n">
        <x:f>IF(=INDEX(Roster!$F$6:$F$108,MATCH(D676,Roster!$A$6:$A$108,0))="Yes",0,=INDEX(Inputs!$B$8:$D$8,1,MATCH(A676,Inputs!$B$6:$D$6,0))*IF(=INDEX(Roster!$B$6:$B$108,MATCH(D676,Roster!$A$6:$A$108,0))="Principal",INDEX(Inputs!$B$10:$D$10,1,MATCH(A676,Inputs!$B$6:$D$6,0)),IF(=INDEX(Roster!$B$6:$B$108,MATCH(D676,Roster!$A$6:$A$108,0))="Associate Principal",INDEX(Inputs!$B$11:$D$11,1,MATCH(A676,Inputs!$B$6:$D$6,0)),IF(=INDEX(Roster!$B$6:$B$108,MATCH(D676,Roster!$A$6:$A$108,0))="Assistant Principal",INDEX(Inputs!$B$12:$D$12,1,MATCH(A676,Inputs!$B$6:$D$6,0)),0))))</x:f>
        <x:v>0</x:v>
      </x:c>
      <x:c r="L676" s="20" t="n">
        <x:f>IF(INDEX(Roster!$D$6:$D$108,MATCH(D676,Roster!$A$6:$A$108,0))&gt;=25,INDEX(Inputs!$B$19:$D$19,1,MATCH(A676,Inputs!$B$6:$D$6,0)),IF(INDEX(Roster!$D$6:$D$108,MATCH(D676,Roster!$A$6:$A$108,0))&gt;=20,INDEX(Inputs!$B$18:$D$18,1,MATCH(A676,Inputs!$B$6:$D$6,0)),IF(INDEX(Roster!$D$6:$D$108,MATCH(D676,Roster!$A$6:$A$108,0))&gt;=15,INDEX(Inputs!$B$17:$D$17,1,MATCH(A676,Inputs!$B$6:$D$6,0)),IF(INDEX(Roster!$D$6:$D$108,MATCH(D676,Roster!$A$6:$A$108,0))&gt;=10,INDEX(Inputs!$B$16:$D$16,1,MATCH(A676,Inputs!$B$6:$D$6,0)),IF(INDEX(Roster!$D$6:$D$108,MATCH(D676,Roster!$A$6:$A$108,0))&gt;=5,INDEX(Inputs!$B$15:$D$15,1,MATCH(A676,Inputs!$B$6:$D$6,0)),0)))))</x:f>
        <x:v>0</x:v>
      </x:c>
      <x:c r="M676" s="20" t="n">
        <x:f>G676*I676</x:f>
        <x:v>31135</x:v>
      </x:c>
      <x:c r="N676" s="20" t="n">
        <x:f>G676*J676</x:f>
        <x:v>0</x:v>
      </x:c>
      <x:c r="O676" s="20" t="n">
        <x:f>G676*K676</x:f>
        <x:v>0</x:v>
      </x:c>
      <x:c r="P676" s="20" t="n">
        <x:f>G676*L676</x:f>
        <x:v>0</x:v>
      </x:c>
      <x:c r="Q676" s="20" t="n">
        <x:f>H676*INDEX(Inputs!$B$13:$D$13,1,MATCH(A676,Inputs!$B$6:$D$6,0))</x:f>
        <x:v>390</x:v>
      </x:c>
      <x:c r="R676" s="20" t="n">
        <x:f>SUM(M676:Q676)</x:f>
        <x:v>31525</x:v>
      </x:c>
      <x:c r="S676" s="20" t="n">
        <x:f>IF(AND(A675=A676,D675=D676),S675+R676,R676)</x:f>
        <x:v>94575</x:v>
      </x:c>
      <x:c r="T676" s="20" t="n">
        <x:f>MIN(S676,INDEX(Inputs!$B$20:$D$20,1,MATCH(A676,Inputs!$B$6:$D$6,0)))*INDEX(Inputs!$B$22:$D$22,1,MATCH(A676,Inputs!$B$6:$D$6,0))+MAX(MIN(S676,INDEX(Inputs!$B$21:$D$21,1,MATCH(A676,Inputs!$B$6:$D$6,0)))-INDEX(Inputs!$B$20:$D$20,1,MATCH(A676,Inputs!$B$6:$D$6,0)),0)*INDEX(Inputs!$B$23:$D$23,1,MATCH(A676,Inputs!$B$6:$D$6,0))+MAX(S676-INDEX(Inputs!$B$21:$D$21,1,MATCH(A676,Inputs!$B$6:$D$6,0)),0)*INDEX(Inputs!$B$24:$D$24,1,MATCH(A676,Inputs!$B$6:$D$6,0))</x:f>
        <x:v>7724.9875</x:v>
      </x:c>
      <x:c r="U676" s="20" t="n">
        <x:f>IF(AND(A675=A676,D675=D676),T675,0)</x:f>
        <x:v>5313.325</x:v>
      </x:c>
      <x:c r="V676" s="20" t="n">
        <x:f>T676-U676</x:f>
        <x:v>2411.6625000000004</x:v>
      </x:c>
      <x:c r="W676" s="20" t="n">
        <x:f>R676+V676</x:f>
        <x:v>33936.6625</x:v>
      </x:c>
      <x:c r="X676" s="14" t="str">
        <x:f>IF(ABS(W676-SUM(M676:Q676)-V676)&lt;0.01,"OK","Check")</x:f>
        <x:v>OK</x:v>
      </x:c>
    </x:row>
    <x:row r="677">
      <x:c r="A677" s="14" t="n">
        <x:v>2027</x:v>
      </x:c>
      <x:c r="B677" s="14" t="str">
        <x:v>Q4</x:v>
      </x:c>
      <x:c r="C677" s="14" t="n">
        <x:v>4</x:v>
      </x:c>
      <x:c r="D677" s="14" t="n">
        <x:v>65</x:v>
      </x:c>
      <x:c r="E677" s="14" t="str">
        <x:f>INDEX(Roster!$B$6:$B$108,MATCH(D677,Roster!$A$6:$A$108,0))</x:f>
      </x:c>
      <x:c r="F677" s="14" t="str">
        <x:f>INDEX(Roster!$F$6:$F$108,MATCH(D677,Roster!$A$6:$A$108,0))</x:f>
        <x:v>No</x:v>
      </x:c>
      <x:c r="G677" s="14" t="n">
        <x:f>INDEX(Inputs!$B$7:$D$7,1,MATCH(A677,Inputs!$B$6:$D$6,0))</x:f>
        <x:v>13</x:v>
      </x:c>
      <x:c r="H677" s="14" t="n">
        <x:f>MIN(=INDEX(Inputs!$B$7:$D$7,1,MATCH(A677,Inputs!$B$6:$D$6,0)),MAX(0,INDEX(Inputs!$B$14:$D$14,1,MATCH(A677,Inputs!$B$6:$D$6,0))-(C677-1)*=INDEX(Inputs!$B$7:$D$7,1,MATCH(A677,Inputs!$B$6:$D$6,0))))</x:f>
        <x:v>0</x:v>
      </x:c>
      <x:c r="I677" s="20" t="n">
        <x:f>INDEX(Inputs!$B$8:$D$8,1,MATCH(A677,Inputs!$B$6:$D$6,0))</x:f>
        <x:v>2395</x:v>
      </x:c>
      <x:c r="J677" s="20" t="n">
        <x:f>INDEX(Roster!$C$6:$C$108,MATCH(D677,Roster!$A$6:$A$108,0))*(1+INDEX(Inputs!$B$9:$D$9,1,MATCH(A677,Inputs!$B$6:$D$6,0)))</x:f>
        <x:v>0</x:v>
      </x:c>
      <x:c r="K677" s="20" t="n">
        <x:f>IF(=INDEX(Roster!$F$6:$F$108,MATCH(D677,Roster!$A$6:$A$108,0))="Yes",0,=INDEX(Inputs!$B$8:$D$8,1,MATCH(A677,Inputs!$B$6:$D$6,0))*IF(=INDEX(Roster!$B$6:$B$108,MATCH(D677,Roster!$A$6:$A$108,0))="Principal",INDEX(Inputs!$B$10:$D$10,1,MATCH(A677,Inputs!$B$6:$D$6,0)),IF(=INDEX(Roster!$B$6:$B$108,MATCH(D677,Roster!$A$6:$A$108,0))="Associate Principal",INDEX(Inputs!$B$11:$D$11,1,MATCH(A677,Inputs!$B$6:$D$6,0)),IF(=INDEX(Roster!$B$6:$B$108,MATCH(D677,Roster!$A$6:$A$108,0))="Assistant Principal",INDEX(Inputs!$B$12:$D$12,1,MATCH(A677,Inputs!$B$6:$D$6,0)),0))))</x:f>
        <x:v>0</x:v>
      </x:c>
      <x:c r="L677" s="20" t="n">
        <x:f>IF(INDEX(Roster!$D$6:$D$108,MATCH(D677,Roster!$A$6:$A$108,0))&gt;=25,INDEX(Inputs!$B$19:$D$19,1,MATCH(A677,Inputs!$B$6:$D$6,0)),IF(INDEX(Roster!$D$6:$D$108,MATCH(D677,Roster!$A$6:$A$108,0))&gt;=20,INDEX(Inputs!$B$18:$D$18,1,MATCH(A677,Inputs!$B$6:$D$6,0)),IF(INDEX(Roster!$D$6:$D$108,MATCH(D677,Roster!$A$6:$A$108,0))&gt;=15,INDEX(Inputs!$B$17:$D$17,1,MATCH(A677,Inputs!$B$6:$D$6,0)),IF(INDEX(Roster!$D$6:$D$108,MATCH(D677,Roster!$A$6:$A$108,0))&gt;=10,INDEX(Inputs!$B$16:$D$16,1,MATCH(A677,Inputs!$B$6:$D$6,0)),IF(INDEX(Roster!$D$6:$D$108,MATCH(D677,Roster!$A$6:$A$108,0))&gt;=5,INDEX(Inputs!$B$15:$D$15,1,MATCH(A677,Inputs!$B$6:$D$6,0)),0)))))</x:f>
        <x:v>0</x:v>
      </x:c>
      <x:c r="M677" s="20" t="n">
        <x:f>G677*I677</x:f>
        <x:v>31135</x:v>
      </x:c>
      <x:c r="N677" s="20" t="n">
        <x:f>G677*J677</x:f>
        <x:v>0</x:v>
      </x:c>
      <x:c r="O677" s="20" t="n">
        <x:f>G677*K677</x:f>
        <x:v>0</x:v>
      </x:c>
      <x:c r="P677" s="20" t="n">
        <x:f>G677*L677</x:f>
        <x:v>0</x:v>
      </x:c>
      <x:c r="Q677" s="20" t="n">
        <x:f>H677*INDEX(Inputs!$B$13:$D$13,1,MATCH(A677,Inputs!$B$6:$D$6,0))</x:f>
        <x:v>0</x:v>
      </x:c>
      <x:c r="R677" s="20" t="n">
        <x:f>SUM(M677:Q677)</x:f>
        <x:v>31135</x:v>
      </x:c>
      <x:c r="S677" s="20" t="n">
        <x:f>IF(AND(A676=A677,D676=D677),S676+R677,R677)</x:f>
        <x:v>125710</x:v>
      </x:c>
      <x:c r="T677" s="20" t="n">
        <x:f>MIN(S677,INDEX(Inputs!$B$20:$D$20,1,MATCH(A677,Inputs!$B$6:$D$6,0)))*INDEX(Inputs!$B$22:$D$22,1,MATCH(A677,Inputs!$B$6:$D$6,0))+MAX(MIN(S677,INDEX(Inputs!$B$21:$D$21,1,MATCH(A677,Inputs!$B$6:$D$6,0)))-INDEX(Inputs!$B$20:$D$20,1,MATCH(A677,Inputs!$B$6:$D$6,0)),0)*INDEX(Inputs!$B$23:$D$23,1,MATCH(A677,Inputs!$B$6:$D$6,0))+MAX(S677-INDEX(Inputs!$B$21:$D$21,1,MATCH(A677,Inputs!$B$6:$D$6,0)),0)*INDEX(Inputs!$B$24:$D$24,1,MATCH(A677,Inputs!$B$6:$D$6,0))</x:f>
        <x:v>9736.737</x:v>
      </x:c>
      <x:c r="U677" s="20" t="n">
        <x:f>IF(AND(A676=A677,D676=D677),T676,0)</x:f>
        <x:v>7724.9875</x:v>
      </x:c>
      <x:c r="V677" s="20" t="n">
        <x:f>T677-U677</x:f>
        <x:v>2011.749499999999</x:v>
      </x:c>
      <x:c r="W677" s="20" t="n">
        <x:f>R677+V677</x:f>
        <x:v>33146.7495</x:v>
      </x:c>
      <x:c r="X677" s="14" t="str">
        <x:f>IF(ABS(W677-SUM(M677:Q677)-V677)&lt;0.01,"OK","Check")</x:f>
        <x:v>OK</x:v>
      </x:c>
    </x:row>
    <x:row r="678">
      <x:c r="A678" s="14" t="n">
        <x:v>2027</x:v>
      </x:c>
      <x:c r="B678" s="14" t="str">
        <x:v>Q1</x:v>
      </x:c>
      <x:c r="C678" s="14" t="n">
        <x:v>1</x:v>
      </x:c>
      <x:c r="D678" s="14" t="n">
        <x:v>66</x:v>
      </x:c>
      <x:c r="E678" s="14" t="str">
        <x:f>INDEX(Roster!$B$6:$B$108,MATCH(D678,Roster!$A$6:$A$108,0))</x:f>
      </x:c>
      <x:c r="F678" s="14" t="str">
        <x:f>INDEX(Roster!$F$6:$F$108,MATCH(D678,Roster!$A$6:$A$108,0))</x:f>
        <x:v>No</x:v>
      </x:c>
      <x:c r="G678" s="14" t="n">
        <x:f>INDEX(Inputs!$B$7:$D$7,1,MATCH(A678,Inputs!$B$6:$D$6,0))</x:f>
        <x:v>13</x:v>
      </x:c>
      <x:c r="H678" s="14" t="n">
        <x:f>MIN(=INDEX(Inputs!$B$7:$D$7,1,MATCH(A678,Inputs!$B$6:$D$6,0)),MAX(0,INDEX(Inputs!$B$14:$D$14,1,MATCH(A678,Inputs!$B$6:$D$6,0))-(C678-1)*=INDEX(Inputs!$B$7:$D$7,1,MATCH(A678,Inputs!$B$6:$D$6,0))))</x:f>
        <x:v>13</x:v>
      </x:c>
      <x:c r="I678" s="20" t="n">
        <x:f>INDEX(Inputs!$B$8:$D$8,1,MATCH(A678,Inputs!$B$6:$D$6,0))</x:f>
        <x:v>2395</x:v>
      </x:c>
      <x:c r="J678" s="20" t="n">
        <x:f>INDEX(Roster!$C$6:$C$108,MATCH(D678,Roster!$A$6:$A$108,0))*(1+INDEX(Inputs!$B$9:$D$9,1,MATCH(A678,Inputs!$B$6:$D$6,0)))</x:f>
        <x:v>65</x:v>
      </x:c>
      <x:c r="K678" s="20" t="n">
        <x:f>IF(=INDEX(Roster!$F$6:$F$108,MATCH(D678,Roster!$A$6:$A$108,0))="Yes",0,=INDEX(Inputs!$B$8:$D$8,1,MATCH(A678,Inputs!$B$6:$D$6,0))*IF(=INDEX(Roster!$B$6:$B$108,MATCH(D678,Roster!$A$6:$A$108,0))="Principal",INDEX(Inputs!$B$10:$D$10,1,MATCH(A678,Inputs!$B$6:$D$6,0)),IF(=INDEX(Roster!$B$6:$B$108,MATCH(D678,Roster!$A$6:$A$108,0))="Associate Principal",INDEX(Inputs!$B$11:$D$11,1,MATCH(A678,Inputs!$B$6:$D$6,0)),IF(=INDEX(Roster!$B$6:$B$108,MATCH(D678,Roster!$A$6:$A$108,0))="Assistant Principal",INDEX(Inputs!$B$12:$D$12,1,MATCH(A678,Inputs!$B$6:$D$6,0)),0))))</x:f>
        <x:v>0</x:v>
      </x:c>
      <x:c r="L678" s="20" t="n">
        <x:f>IF(INDEX(Roster!$D$6:$D$108,MATCH(D678,Roster!$A$6:$A$108,0))&gt;=25,INDEX(Inputs!$B$19:$D$19,1,MATCH(A678,Inputs!$B$6:$D$6,0)),IF(INDEX(Roster!$D$6:$D$108,MATCH(D678,Roster!$A$6:$A$108,0))&gt;=20,INDEX(Inputs!$B$18:$D$18,1,MATCH(A678,Inputs!$B$6:$D$6,0)),IF(INDEX(Roster!$D$6:$D$108,MATCH(D678,Roster!$A$6:$A$108,0))&gt;=15,INDEX(Inputs!$B$17:$D$17,1,MATCH(A678,Inputs!$B$6:$D$6,0)),IF(INDEX(Roster!$D$6:$D$108,MATCH(D678,Roster!$A$6:$A$108,0))&gt;=10,INDEX(Inputs!$B$16:$D$16,1,MATCH(A678,Inputs!$B$6:$D$6,0)),IF(INDEX(Roster!$D$6:$D$108,MATCH(D678,Roster!$A$6:$A$108,0))&gt;=5,INDEX(Inputs!$B$15:$D$15,1,MATCH(A678,Inputs!$B$6:$D$6,0)),0)))))</x:f>
        <x:v>70</x:v>
      </x:c>
      <x:c r="M678" s="20" t="n">
        <x:f>G678*I678</x:f>
        <x:v>31135</x:v>
      </x:c>
      <x:c r="N678" s="20" t="n">
        <x:f>G678*J678</x:f>
        <x:v>845</x:v>
      </x:c>
      <x:c r="O678" s="20" t="n">
        <x:f>G678*K678</x:f>
        <x:v>0</x:v>
      </x:c>
      <x:c r="P678" s="20" t="n">
        <x:f>G678*L678</x:f>
        <x:v>910</x:v>
      </x:c>
      <x:c r="Q678" s="20" t="n">
        <x:f>H678*INDEX(Inputs!$B$13:$D$13,1,MATCH(A678,Inputs!$B$6:$D$6,0))</x:f>
        <x:v>390</x:v>
      </x:c>
      <x:c r="R678" s="20" t="n">
        <x:f>SUM(M678:Q678)</x:f>
        <x:v>33280</x:v>
      </x:c>
      <x:c r="S678" s="20" t="n">
        <x:f>IF(AND(A677=A678,D677=D678),S677+R678,R678)</x:f>
        <x:v>33280</x:v>
      </x:c>
      <x:c r="T678" s="20" t="n">
        <x:f>MIN(S678,INDEX(Inputs!$B$20:$D$20,1,MATCH(A678,Inputs!$B$6:$D$6,0)))*INDEX(Inputs!$B$22:$D$22,1,MATCH(A678,Inputs!$B$6:$D$6,0))+MAX(MIN(S678,INDEX(Inputs!$B$21:$D$21,1,MATCH(A678,Inputs!$B$6:$D$6,0)))-INDEX(Inputs!$B$20:$D$20,1,MATCH(A678,Inputs!$B$6:$D$6,0)),0)*INDEX(Inputs!$B$23:$D$23,1,MATCH(A678,Inputs!$B$6:$D$6,0))+MAX(S678-INDEX(Inputs!$B$21:$D$21,1,MATCH(A678,Inputs!$B$6:$D$6,0)),0)*INDEX(Inputs!$B$24:$D$24,1,MATCH(A678,Inputs!$B$6:$D$6,0))</x:f>
        <x:v>3035.92</x:v>
      </x:c>
      <x:c r="U678" s="20" t="n">
        <x:f>IF(AND(A677=A678,D677=D678),T677,0)</x:f>
        <x:v>0</x:v>
      </x:c>
      <x:c r="V678" s="20" t="n">
        <x:f>T678-U678</x:f>
        <x:v>3035.92</x:v>
      </x:c>
      <x:c r="W678" s="20" t="n">
        <x:f>R678+V678</x:f>
        <x:v>36315.92</x:v>
      </x:c>
      <x:c r="X678" s="14" t="str">
        <x:f>IF(ABS(W678-SUM(M678:Q678)-V678)&lt;0.01,"OK","Check")</x:f>
        <x:v>OK</x:v>
      </x:c>
    </x:row>
    <x:row r="679">
      <x:c r="A679" s="14" t="n">
        <x:v>2027</x:v>
      </x:c>
      <x:c r="B679" s="14" t="str">
        <x:v>Q2</x:v>
      </x:c>
      <x:c r="C679" s="14" t="n">
        <x:v>2</x:v>
      </x:c>
      <x:c r="D679" s="14" t="n">
        <x:v>66</x:v>
      </x:c>
      <x:c r="E679" s="14" t="str">
        <x:f>INDEX(Roster!$B$6:$B$108,MATCH(D679,Roster!$A$6:$A$108,0))</x:f>
      </x:c>
      <x:c r="F679" s="14" t="str">
        <x:f>INDEX(Roster!$F$6:$F$108,MATCH(D679,Roster!$A$6:$A$108,0))</x:f>
        <x:v>No</x:v>
      </x:c>
      <x:c r="G679" s="14" t="n">
        <x:f>INDEX(Inputs!$B$7:$D$7,1,MATCH(A679,Inputs!$B$6:$D$6,0))</x:f>
        <x:v>13</x:v>
      </x:c>
      <x:c r="H679" s="14" t="n">
        <x:f>MIN(=INDEX(Inputs!$B$7:$D$7,1,MATCH(A679,Inputs!$B$6:$D$6,0)),MAX(0,INDEX(Inputs!$B$14:$D$14,1,MATCH(A679,Inputs!$B$6:$D$6,0))-(C679-1)*=INDEX(Inputs!$B$7:$D$7,1,MATCH(A679,Inputs!$B$6:$D$6,0))))</x:f>
        <x:v>13</x:v>
      </x:c>
      <x:c r="I679" s="20" t="n">
        <x:f>INDEX(Inputs!$B$8:$D$8,1,MATCH(A679,Inputs!$B$6:$D$6,0))</x:f>
        <x:v>2395</x:v>
      </x:c>
      <x:c r="J679" s="20" t="n">
        <x:f>INDEX(Roster!$C$6:$C$108,MATCH(D679,Roster!$A$6:$A$108,0))*(1+INDEX(Inputs!$B$9:$D$9,1,MATCH(A679,Inputs!$B$6:$D$6,0)))</x:f>
        <x:v>65</x:v>
      </x:c>
      <x:c r="K679" s="20" t="n">
        <x:f>IF(=INDEX(Roster!$F$6:$F$108,MATCH(D679,Roster!$A$6:$A$108,0))="Yes",0,=INDEX(Inputs!$B$8:$D$8,1,MATCH(A679,Inputs!$B$6:$D$6,0))*IF(=INDEX(Roster!$B$6:$B$108,MATCH(D679,Roster!$A$6:$A$108,0))="Principal",INDEX(Inputs!$B$10:$D$10,1,MATCH(A679,Inputs!$B$6:$D$6,0)),IF(=INDEX(Roster!$B$6:$B$108,MATCH(D679,Roster!$A$6:$A$108,0))="Associate Principal",INDEX(Inputs!$B$11:$D$11,1,MATCH(A679,Inputs!$B$6:$D$6,0)),IF(=INDEX(Roster!$B$6:$B$108,MATCH(D679,Roster!$A$6:$A$108,0))="Assistant Principal",INDEX(Inputs!$B$12:$D$12,1,MATCH(A679,Inputs!$B$6:$D$6,0)),0))))</x:f>
        <x:v>0</x:v>
      </x:c>
      <x:c r="L679" s="20" t="n">
        <x:f>IF(INDEX(Roster!$D$6:$D$108,MATCH(D679,Roster!$A$6:$A$108,0))&gt;=25,INDEX(Inputs!$B$19:$D$19,1,MATCH(A679,Inputs!$B$6:$D$6,0)),IF(INDEX(Roster!$D$6:$D$108,MATCH(D679,Roster!$A$6:$A$108,0))&gt;=20,INDEX(Inputs!$B$18:$D$18,1,MATCH(A679,Inputs!$B$6:$D$6,0)),IF(INDEX(Roster!$D$6:$D$108,MATCH(D679,Roster!$A$6:$A$108,0))&gt;=15,INDEX(Inputs!$B$17:$D$17,1,MATCH(A679,Inputs!$B$6:$D$6,0)),IF(INDEX(Roster!$D$6:$D$108,MATCH(D679,Roster!$A$6:$A$108,0))&gt;=10,INDEX(Inputs!$B$16:$D$16,1,MATCH(A679,Inputs!$B$6:$D$6,0)),IF(INDEX(Roster!$D$6:$D$108,MATCH(D679,Roster!$A$6:$A$108,0))&gt;=5,INDEX(Inputs!$B$15:$D$15,1,MATCH(A679,Inputs!$B$6:$D$6,0)),0)))))</x:f>
        <x:v>70</x:v>
      </x:c>
      <x:c r="M679" s="20" t="n">
        <x:f>G679*I679</x:f>
        <x:v>31135</x:v>
      </x:c>
      <x:c r="N679" s="20" t="n">
        <x:f>G679*J679</x:f>
        <x:v>845</x:v>
      </x:c>
      <x:c r="O679" s="20" t="n">
        <x:f>G679*K679</x:f>
        <x:v>0</x:v>
      </x:c>
      <x:c r="P679" s="20" t="n">
        <x:f>G679*L679</x:f>
        <x:v>910</x:v>
      </x:c>
      <x:c r="Q679" s="20" t="n">
        <x:f>H679*INDEX(Inputs!$B$13:$D$13,1,MATCH(A679,Inputs!$B$6:$D$6,0))</x:f>
        <x:v>390</x:v>
      </x:c>
      <x:c r="R679" s="20" t="n">
        <x:f>SUM(M679:Q679)</x:f>
        <x:v>33280</x:v>
      </x:c>
      <x:c r="S679" s="20" t="n">
        <x:f>IF(AND(A678=A679,D678=D679),S678+R679,R679)</x:f>
        <x:v>66560</x:v>
      </x:c>
      <x:c r="T679" s="20" t="n">
        <x:f>MIN(S679,INDEX(Inputs!$B$20:$D$20,1,MATCH(A679,Inputs!$B$6:$D$6,0)))*INDEX(Inputs!$B$22:$D$22,1,MATCH(A679,Inputs!$B$6:$D$6,0))+MAX(MIN(S679,INDEX(Inputs!$B$21:$D$21,1,MATCH(A679,Inputs!$B$6:$D$6,0)))-INDEX(Inputs!$B$20:$D$20,1,MATCH(A679,Inputs!$B$6:$D$6,0)),0)*INDEX(Inputs!$B$23:$D$23,1,MATCH(A679,Inputs!$B$6:$D$6,0))+MAX(S679-INDEX(Inputs!$B$21:$D$21,1,MATCH(A679,Inputs!$B$6:$D$6,0)),0)*INDEX(Inputs!$B$24:$D$24,1,MATCH(A679,Inputs!$B$6:$D$6,0))</x:f>
        <x:v>5581.84</x:v>
      </x:c>
      <x:c r="U679" s="20" t="n">
        <x:f>IF(AND(A678=A679,D678=D679),T678,0)</x:f>
        <x:v>3035.92</x:v>
      </x:c>
      <x:c r="V679" s="20" t="n">
        <x:f>T679-U679</x:f>
        <x:v>2545.92</x:v>
      </x:c>
      <x:c r="W679" s="20" t="n">
        <x:f>R679+V679</x:f>
        <x:v>35825.92</x:v>
      </x:c>
      <x:c r="X679" s="14" t="str">
        <x:f>IF(ABS(W679-SUM(M679:Q679)-V679)&lt;0.01,"OK","Check")</x:f>
        <x:v>OK</x:v>
      </x:c>
    </x:row>
    <x:row r="680">
      <x:c r="A680" s="14" t="n">
        <x:v>2027</x:v>
      </x:c>
      <x:c r="B680" s="14" t="str">
        <x:v>Q3</x:v>
      </x:c>
      <x:c r="C680" s="14" t="n">
        <x:v>3</x:v>
      </x:c>
      <x:c r="D680" s="14" t="n">
        <x:v>66</x:v>
      </x:c>
      <x:c r="E680" s="14" t="str">
        <x:f>INDEX(Roster!$B$6:$B$108,MATCH(D680,Roster!$A$6:$A$108,0))</x:f>
      </x:c>
      <x:c r="F680" s="14" t="str">
        <x:f>INDEX(Roster!$F$6:$F$108,MATCH(D680,Roster!$A$6:$A$108,0))</x:f>
        <x:v>No</x:v>
      </x:c>
      <x:c r="G680" s="14" t="n">
        <x:f>INDEX(Inputs!$B$7:$D$7,1,MATCH(A680,Inputs!$B$6:$D$6,0))</x:f>
        <x:v>13</x:v>
      </x:c>
      <x:c r="H680" s="14" t="n">
        <x:f>MIN(=INDEX(Inputs!$B$7:$D$7,1,MATCH(A680,Inputs!$B$6:$D$6,0)),MAX(0,INDEX(Inputs!$B$14:$D$14,1,MATCH(A680,Inputs!$B$6:$D$6,0))-(C680-1)*=INDEX(Inputs!$B$7:$D$7,1,MATCH(A680,Inputs!$B$6:$D$6,0))))</x:f>
        <x:v>13</x:v>
      </x:c>
      <x:c r="I680" s="20" t="n">
        <x:f>INDEX(Inputs!$B$8:$D$8,1,MATCH(A680,Inputs!$B$6:$D$6,0))</x:f>
        <x:v>2395</x:v>
      </x:c>
      <x:c r="J680" s="20" t="n">
        <x:f>INDEX(Roster!$C$6:$C$108,MATCH(D680,Roster!$A$6:$A$108,0))*(1+INDEX(Inputs!$B$9:$D$9,1,MATCH(A680,Inputs!$B$6:$D$6,0)))</x:f>
        <x:v>65</x:v>
      </x:c>
      <x:c r="K680" s="20" t="n">
        <x:f>IF(=INDEX(Roster!$F$6:$F$108,MATCH(D680,Roster!$A$6:$A$108,0))="Yes",0,=INDEX(Inputs!$B$8:$D$8,1,MATCH(A680,Inputs!$B$6:$D$6,0))*IF(=INDEX(Roster!$B$6:$B$108,MATCH(D680,Roster!$A$6:$A$108,0))="Principal",INDEX(Inputs!$B$10:$D$10,1,MATCH(A680,Inputs!$B$6:$D$6,0)),IF(=INDEX(Roster!$B$6:$B$108,MATCH(D680,Roster!$A$6:$A$108,0))="Associate Principal",INDEX(Inputs!$B$11:$D$11,1,MATCH(A680,Inputs!$B$6:$D$6,0)),IF(=INDEX(Roster!$B$6:$B$108,MATCH(D680,Roster!$A$6:$A$108,0))="Assistant Principal",INDEX(Inputs!$B$12:$D$12,1,MATCH(A680,Inputs!$B$6:$D$6,0)),0))))</x:f>
        <x:v>0</x:v>
      </x:c>
      <x:c r="L680" s="20" t="n">
        <x:f>IF(INDEX(Roster!$D$6:$D$108,MATCH(D680,Roster!$A$6:$A$108,0))&gt;=25,INDEX(Inputs!$B$19:$D$19,1,MATCH(A680,Inputs!$B$6:$D$6,0)),IF(INDEX(Roster!$D$6:$D$108,MATCH(D680,Roster!$A$6:$A$108,0))&gt;=20,INDEX(Inputs!$B$18:$D$18,1,MATCH(A680,Inputs!$B$6:$D$6,0)),IF(INDEX(Roster!$D$6:$D$108,MATCH(D680,Roster!$A$6:$A$108,0))&gt;=15,INDEX(Inputs!$B$17:$D$17,1,MATCH(A680,Inputs!$B$6:$D$6,0)),IF(INDEX(Roster!$D$6:$D$108,MATCH(D680,Roster!$A$6:$A$108,0))&gt;=10,INDEX(Inputs!$B$16:$D$16,1,MATCH(A680,Inputs!$B$6:$D$6,0)),IF(INDEX(Roster!$D$6:$D$108,MATCH(D680,Roster!$A$6:$A$108,0))&gt;=5,INDEX(Inputs!$B$15:$D$15,1,MATCH(A680,Inputs!$B$6:$D$6,0)),0)))))</x:f>
        <x:v>70</x:v>
      </x:c>
      <x:c r="M680" s="20" t="n">
        <x:f>G680*I680</x:f>
        <x:v>31135</x:v>
      </x:c>
      <x:c r="N680" s="20" t="n">
        <x:f>G680*J680</x:f>
        <x:v>845</x:v>
      </x:c>
      <x:c r="O680" s="20" t="n">
        <x:f>G680*K680</x:f>
        <x:v>0</x:v>
      </x:c>
      <x:c r="P680" s="20" t="n">
        <x:f>G680*L680</x:f>
        <x:v>910</x:v>
      </x:c>
      <x:c r="Q680" s="20" t="n">
        <x:f>H680*INDEX(Inputs!$B$13:$D$13,1,MATCH(A680,Inputs!$B$6:$D$6,0))</x:f>
        <x:v>390</x:v>
      </x:c>
      <x:c r="R680" s="20" t="n">
        <x:f>SUM(M680:Q680)</x:f>
        <x:v>33280</x:v>
      </x:c>
      <x:c r="S680" s="20" t="n">
        <x:f>IF(AND(A679=A680,D679=D680),S679+R680,R680)</x:f>
        <x:v>99840</x:v>
      </x:c>
      <x:c r="T680" s="20" t="n">
        <x:f>MIN(S680,INDEX(Inputs!$B$20:$D$20,1,MATCH(A680,Inputs!$B$6:$D$6,0)))*INDEX(Inputs!$B$22:$D$22,1,MATCH(A680,Inputs!$B$6:$D$6,0))+MAX(MIN(S680,INDEX(Inputs!$B$21:$D$21,1,MATCH(A680,Inputs!$B$6:$D$6,0)))-INDEX(Inputs!$B$20:$D$20,1,MATCH(A680,Inputs!$B$6:$D$6,0)),0)*INDEX(Inputs!$B$23:$D$23,1,MATCH(A680,Inputs!$B$6:$D$6,0))+MAX(S680-INDEX(Inputs!$B$21:$D$21,1,MATCH(A680,Inputs!$B$6:$D$6,0)),0)*INDEX(Inputs!$B$24:$D$24,1,MATCH(A680,Inputs!$B$6:$D$6,0))</x:f>
        <x:v>8127.76</x:v>
      </x:c>
      <x:c r="U680" s="20" t="n">
        <x:f>IF(AND(A679=A680,D679=D680),T679,0)</x:f>
        <x:v>5581.84</x:v>
      </x:c>
      <x:c r="V680" s="20" t="n">
        <x:f>T680-U680</x:f>
        <x:v>2545.92</x:v>
      </x:c>
      <x:c r="W680" s="20" t="n">
        <x:f>R680+V680</x:f>
        <x:v>35825.92</x:v>
      </x:c>
      <x:c r="X680" s="14" t="str">
        <x:f>IF(ABS(W680-SUM(M680:Q680)-V680)&lt;0.01,"OK","Check")</x:f>
        <x:v>OK</x:v>
      </x:c>
    </x:row>
    <x:row r="681">
      <x:c r="A681" s="14" t="n">
        <x:v>2027</x:v>
      </x:c>
      <x:c r="B681" s="14" t="str">
        <x:v>Q4</x:v>
      </x:c>
      <x:c r="C681" s="14" t="n">
        <x:v>4</x:v>
      </x:c>
      <x:c r="D681" s="14" t="n">
        <x:v>66</x:v>
      </x:c>
      <x:c r="E681" s="14" t="str">
        <x:f>INDEX(Roster!$B$6:$B$108,MATCH(D681,Roster!$A$6:$A$108,0))</x:f>
      </x:c>
      <x:c r="F681" s="14" t="str">
        <x:f>INDEX(Roster!$F$6:$F$108,MATCH(D681,Roster!$A$6:$A$108,0))</x:f>
        <x:v>No</x:v>
      </x:c>
      <x:c r="G681" s="14" t="n">
        <x:f>INDEX(Inputs!$B$7:$D$7,1,MATCH(A681,Inputs!$B$6:$D$6,0))</x:f>
        <x:v>13</x:v>
      </x:c>
      <x:c r="H681" s="14" t="n">
        <x:f>MIN(=INDEX(Inputs!$B$7:$D$7,1,MATCH(A681,Inputs!$B$6:$D$6,0)),MAX(0,INDEX(Inputs!$B$14:$D$14,1,MATCH(A681,Inputs!$B$6:$D$6,0))-(C681-1)*=INDEX(Inputs!$B$7:$D$7,1,MATCH(A681,Inputs!$B$6:$D$6,0))))</x:f>
        <x:v>0</x:v>
      </x:c>
      <x:c r="I681" s="20" t="n">
        <x:f>INDEX(Inputs!$B$8:$D$8,1,MATCH(A681,Inputs!$B$6:$D$6,0))</x:f>
        <x:v>2395</x:v>
      </x:c>
      <x:c r="J681" s="20" t="n">
        <x:f>INDEX(Roster!$C$6:$C$108,MATCH(D681,Roster!$A$6:$A$108,0))*(1+INDEX(Inputs!$B$9:$D$9,1,MATCH(A681,Inputs!$B$6:$D$6,0)))</x:f>
        <x:v>65</x:v>
      </x:c>
      <x:c r="K681" s="20" t="n">
        <x:f>IF(=INDEX(Roster!$F$6:$F$108,MATCH(D681,Roster!$A$6:$A$108,0))="Yes",0,=INDEX(Inputs!$B$8:$D$8,1,MATCH(A681,Inputs!$B$6:$D$6,0))*IF(=INDEX(Roster!$B$6:$B$108,MATCH(D681,Roster!$A$6:$A$108,0))="Principal",INDEX(Inputs!$B$10:$D$10,1,MATCH(A681,Inputs!$B$6:$D$6,0)),IF(=INDEX(Roster!$B$6:$B$108,MATCH(D681,Roster!$A$6:$A$108,0))="Associate Principal",INDEX(Inputs!$B$11:$D$11,1,MATCH(A681,Inputs!$B$6:$D$6,0)),IF(=INDEX(Roster!$B$6:$B$108,MATCH(D681,Roster!$A$6:$A$108,0))="Assistant Principal",INDEX(Inputs!$B$12:$D$12,1,MATCH(A681,Inputs!$B$6:$D$6,0)),0))))</x:f>
        <x:v>0</x:v>
      </x:c>
      <x:c r="L681" s="20" t="n">
        <x:f>IF(INDEX(Roster!$D$6:$D$108,MATCH(D681,Roster!$A$6:$A$108,0))&gt;=25,INDEX(Inputs!$B$19:$D$19,1,MATCH(A681,Inputs!$B$6:$D$6,0)),IF(INDEX(Roster!$D$6:$D$108,MATCH(D681,Roster!$A$6:$A$108,0))&gt;=20,INDEX(Inputs!$B$18:$D$18,1,MATCH(A681,Inputs!$B$6:$D$6,0)),IF(INDEX(Roster!$D$6:$D$108,MATCH(D681,Roster!$A$6:$A$108,0))&gt;=15,INDEX(Inputs!$B$17:$D$17,1,MATCH(A681,Inputs!$B$6:$D$6,0)),IF(INDEX(Roster!$D$6:$D$108,MATCH(D681,Roster!$A$6:$A$108,0))&gt;=10,INDEX(Inputs!$B$16:$D$16,1,MATCH(A681,Inputs!$B$6:$D$6,0)),IF(INDEX(Roster!$D$6:$D$108,MATCH(D681,Roster!$A$6:$A$108,0))&gt;=5,INDEX(Inputs!$B$15:$D$15,1,MATCH(A681,Inputs!$B$6:$D$6,0)),0)))))</x:f>
        <x:v>70</x:v>
      </x:c>
      <x:c r="M681" s="20" t="n">
        <x:f>G681*I681</x:f>
        <x:v>31135</x:v>
      </x:c>
      <x:c r="N681" s="20" t="n">
        <x:f>G681*J681</x:f>
        <x:v>845</x:v>
      </x:c>
      <x:c r="O681" s="20" t="n">
        <x:f>G681*K681</x:f>
        <x:v>0</x:v>
      </x:c>
      <x:c r="P681" s="20" t="n">
        <x:f>G681*L681</x:f>
        <x:v>910</x:v>
      </x:c>
      <x:c r="Q681" s="20" t="n">
        <x:f>H681*INDEX(Inputs!$B$13:$D$13,1,MATCH(A681,Inputs!$B$6:$D$6,0))</x:f>
        <x:v>0</x:v>
      </x:c>
      <x:c r="R681" s="20" t="n">
        <x:f>SUM(M681:Q681)</x:f>
        <x:v>32890</x:v>
      </x:c>
      <x:c r="S681" s="20" t="n">
        <x:f>IF(AND(A680=A681,D680=D681),S680+R681,R681)</x:f>
        <x:v>132730</x:v>
      </x:c>
      <x:c r="T681" s="20" t="n">
        <x:f>MIN(S681,INDEX(Inputs!$B$20:$D$20,1,MATCH(A681,Inputs!$B$6:$D$6,0)))*INDEX(Inputs!$B$22:$D$22,1,MATCH(A681,Inputs!$B$6:$D$6,0))+MAX(MIN(S681,INDEX(Inputs!$B$21:$D$21,1,MATCH(A681,Inputs!$B$6:$D$6,0)))-INDEX(Inputs!$B$20:$D$20,1,MATCH(A681,Inputs!$B$6:$D$6,0)),0)*INDEX(Inputs!$B$23:$D$23,1,MATCH(A681,Inputs!$B$6:$D$6,0))+MAX(S681-INDEX(Inputs!$B$21:$D$21,1,MATCH(A681,Inputs!$B$6:$D$6,0)),0)*INDEX(Inputs!$B$24:$D$24,1,MATCH(A681,Inputs!$B$6:$D$6,0))</x:f>
        <x:v>9838.527</x:v>
      </x:c>
      <x:c r="U681" s="20" t="n">
        <x:f>IF(AND(A680=A681,D680=D681),T680,0)</x:f>
        <x:v>8127.76</x:v>
      </x:c>
      <x:c r="V681" s="20" t="n">
        <x:f>T681-U681</x:f>
        <x:v>1710.7669999999998</x:v>
      </x:c>
      <x:c r="W681" s="20" t="n">
        <x:f>R681+V681</x:f>
        <x:v>34600.767</x:v>
      </x:c>
      <x:c r="X681" s="14" t="str">
        <x:f>IF(ABS(W681-SUM(M681:Q681)-V681)&lt;0.01,"OK","Check")</x:f>
        <x:v>OK</x:v>
      </x:c>
    </x:row>
    <x:row r="682">
      <x:c r="A682" s="14" t="n">
        <x:v>2027</x:v>
      </x:c>
      <x:c r="B682" s="14" t="str">
        <x:v>Q1</x:v>
      </x:c>
      <x:c r="C682" s="14" t="n">
        <x:v>1</x:v>
      </x:c>
      <x:c r="D682" s="14" t="n">
        <x:v>67</x:v>
      </x:c>
      <x:c r="E682" s="14" t="str">
        <x:f>INDEX(Roster!$B$6:$B$108,MATCH(D682,Roster!$A$6:$A$108,0))</x:f>
      </x:c>
      <x:c r="F682" s="14" t="str">
        <x:f>INDEX(Roster!$F$6:$F$108,MATCH(D682,Roster!$A$6:$A$108,0))</x:f>
        <x:v>No</x:v>
      </x:c>
      <x:c r="G682" s="14" t="n">
        <x:f>INDEX(Inputs!$B$7:$D$7,1,MATCH(A682,Inputs!$B$6:$D$6,0))</x:f>
        <x:v>13</x:v>
      </x:c>
      <x:c r="H682" s="14" t="n">
        <x:f>MIN(=INDEX(Inputs!$B$7:$D$7,1,MATCH(A682,Inputs!$B$6:$D$6,0)),MAX(0,INDEX(Inputs!$B$14:$D$14,1,MATCH(A682,Inputs!$B$6:$D$6,0))-(C682-1)*=INDEX(Inputs!$B$7:$D$7,1,MATCH(A682,Inputs!$B$6:$D$6,0))))</x:f>
        <x:v>13</x:v>
      </x:c>
      <x:c r="I682" s="20" t="n">
        <x:f>INDEX(Inputs!$B$8:$D$8,1,MATCH(A682,Inputs!$B$6:$D$6,0))</x:f>
        <x:v>2395</x:v>
      </x:c>
      <x:c r="J682" s="20" t="n">
        <x:f>INDEX(Roster!$C$6:$C$108,MATCH(D682,Roster!$A$6:$A$108,0))*(1+INDEX(Inputs!$B$9:$D$9,1,MATCH(A682,Inputs!$B$6:$D$6,0)))</x:f>
        <x:v>20</x:v>
      </x:c>
      <x:c r="K682" s="20" t="n">
        <x:f>IF(=INDEX(Roster!$F$6:$F$108,MATCH(D682,Roster!$A$6:$A$108,0))="Yes",0,=INDEX(Inputs!$B$8:$D$8,1,MATCH(A682,Inputs!$B$6:$D$6,0))*IF(=INDEX(Roster!$B$6:$B$108,MATCH(D682,Roster!$A$6:$A$108,0))="Principal",INDEX(Inputs!$B$10:$D$10,1,MATCH(A682,Inputs!$B$6:$D$6,0)),IF(=INDEX(Roster!$B$6:$B$108,MATCH(D682,Roster!$A$6:$A$108,0))="Associate Principal",INDEX(Inputs!$B$11:$D$11,1,MATCH(A682,Inputs!$B$6:$D$6,0)),IF(=INDEX(Roster!$B$6:$B$108,MATCH(D682,Roster!$A$6:$A$108,0))="Assistant Principal",INDEX(Inputs!$B$12:$D$12,1,MATCH(A682,Inputs!$B$6:$D$6,0)),0))))</x:f>
        <x:v>0</x:v>
      </x:c>
      <x:c r="L682" s="20" t="n">
        <x:f>IF(INDEX(Roster!$D$6:$D$108,MATCH(D682,Roster!$A$6:$A$108,0))&gt;=25,INDEX(Inputs!$B$19:$D$19,1,MATCH(A682,Inputs!$B$6:$D$6,0)),IF(INDEX(Roster!$D$6:$D$108,MATCH(D682,Roster!$A$6:$A$108,0))&gt;=20,INDEX(Inputs!$B$18:$D$18,1,MATCH(A682,Inputs!$B$6:$D$6,0)),IF(INDEX(Roster!$D$6:$D$108,MATCH(D682,Roster!$A$6:$A$108,0))&gt;=15,INDEX(Inputs!$B$17:$D$17,1,MATCH(A682,Inputs!$B$6:$D$6,0)),IF(INDEX(Roster!$D$6:$D$108,MATCH(D682,Roster!$A$6:$A$108,0))&gt;=10,INDEX(Inputs!$B$16:$D$16,1,MATCH(A682,Inputs!$B$6:$D$6,0)),IF(INDEX(Roster!$D$6:$D$108,MATCH(D682,Roster!$A$6:$A$108,0))&gt;=5,INDEX(Inputs!$B$15:$D$15,1,MATCH(A682,Inputs!$B$6:$D$6,0)),0)))))</x:f>
        <x:v>70</x:v>
      </x:c>
      <x:c r="M682" s="20" t="n">
        <x:f>G682*I682</x:f>
        <x:v>31135</x:v>
      </x:c>
      <x:c r="N682" s="20" t="n">
        <x:f>G682*J682</x:f>
        <x:v>260</x:v>
      </x:c>
      <x:c r="O682" s="20" t="n">
        <x:f>G682*K682</x:f>
        <x:v>0</x:v>
      </x:c>
      <x:c r="P682" s="20" t="n">
        <x:f>G682*L682</x:f>
        <x:v>910</x:v>
      </x:c>
      <x:c r="Q682" s="20" t="n">
        <x:f>H682*INDEX(Inputs!$B$13:$D$13,1,MATCH(A682,Inputs!$B$6:$D$6,0))</x:f>
        <x:v>390</x:v>
      </x:c>
      <x:c r="R682" s="20" t="n">
        <x:f>SUM(M682:Q682)</x:f>
        <x:v>32695</x:v>
      </x:c>
      <x:c r="S682" s="20" t="n">
        <x:f>IF(AND(A681=A682,D681=D682),S681+R682,R682)</x:f>
        <x:v>32695</x:v>
      </x:c>
      <x:c r="T682" s="20" t="n">
        <x:f>MIN(S682,INDEX(Inputs!$B$20:$D$20,1,MATCH(A682,Inputs!$B$6:$D$6,0)))*INDEX(Inputs!$B$22:$D$22,1,MATCH(A682,Inputs!$B$6:$D$6,0))+MAX(MIN(S682,INDEX(Inputs!$B$21:$D$21,1,MATCH(A682,Inputs!$B$6:$D$6,0)))-INDEX(Inputs!$B$20:$D$20,1,MATCH(A682,Inputs!$B$6:$D$6,0)),0)*INDEX(Inputs!$B$23:$D$23,1,MATCH(A682,Inputs!$B$6:$D$6,0))+MAX(S682-INDEX(Inputs!$B$21:$D$21,1,MATCH(A682,Inputs!$B$6:$D$6,0)),0)*INDEX(Inputs!$B$24:$D$24,1,MATCH(A682,Inputs!$B$6:$D$6,0))</x:f>
        <x:v>2991.1675</x:v>
      </x:c>
      <x:c r="U682" s="20" t="n">
        <x:f>IF(AND(A681=A682,D681=D682),T681,0)</x:f>
        <x:v>0</x:v>
      </x:c>
      <x:c r="V682" s="20" t="n">
        <x:f>T682-U682</x:f>
        <x:v>2991.1675</x:v>
      </x:c>
      <x:c r="W682" s="20" t="n">
        <x:f>R682+V682</x:f>
        <x:v>35686.1675</x:v>
      </x:c>
      <x:c r="X682" s="14" t="str">
        <x:f>IF(ABS(W682-SUM(M682:Q682)-V682)&lt;0.01,"OK","Check")</x:f>
        <x:v>OK</x:v>
      </x:c>
    </x:row>
    <x:row r="683">
      <x:c r="A683" s="14" t="n">
        <x:v>2027</x:v>
      </x:c>
      <x:c r="B683" s="14" t="str">
        <x:v>Q2</x:v>
      </x:c>
      <x:c r="C683" s="14" t="n">
        <x:v>2</x:v>
      </x:c>
      <x:c r="D683" s="14" t="n">
        <x:v>67</x:v>
      </x:c>
      <x:c r="E683" s="14" t="str">
        <x:f>INDEX(Roster!$B$6:$B$108,MATCH(D683,Roster!$A$6:$A$108,0))</x:f>
      </x:c>
      <x:c r="F683" s="14" t="str">
        <x:f>INDEX(Roster!$F$6:$F$108,MATCH(D683,Roster!$A$6:$A$108,0))</x:f>
        <x:v>No</x:v>
      </x:c>
      <x:c r="G683" s="14" t="n">
        <x:f>INDEX(Inputs!$B$7:$D$7,1,MATCH(A683,Inputs!$B$6:$D$6,0))</x:f>
        <x:v>13</x:v>
      </x:c>
      <x:c r="H683" s="14" t="n">
        <x:f>MIN(=INDEX(Inputs!$B$7:$D$7,1,MATCH(A683,Inputs!$B$6:$D$6,0)),MAX(0,INDEX(Inputs!$B$14:$D$14,1,MATCH(A683,Inputs!$B$6:$D$6,0))-(C683-1)*=INDEX(Inputs!$B$7:$D$7,1,MATCH(A683,Inputs!$B$6:$D$6,0))))</x:f>
        <x:v>13</x:v>
      </x:c>
      <x:c r="I683" s="20" t="n">
        <x:f>INDEX(Inputs!$B$8:$D$8,1,MATCH(A683,Inputs!$B$6:$D$6,0))</x:f>
        <x:v>2395</x:v>
      </x:c>
      <x:c r="J683" s="20" t="n">
        <x:f>INDEX(Roster!$C$6:$C$108,MATCH(D683,Roster!$A$6:$A$108,0))*(1+INDEX(Inputs!$B$9:$D$9,1,MATCH(A683,Inputs!$B$6:$D$6,0)))</x:f>
        <x:v>20</x:v>
      </x:c>
      <x:c r="K683" s="20" t="n">
        <x:f>IF(=INDEX(Roster!$F$6:$F$108,MATCH(D683,Roster!$A$6:$A$108,0))="Yes",0,=INDEX(Inputs!$B$8:$D$8,1,MATCH(A683,Inputs!$B$6:$D$6,0))*IF(=INDEX(Roster!$B$6:$B$108,MATCH(D683,Roster!$A$6:$A$108,0))="Principal",INDEX(Inputs!$B$10:$D$10,1,MATCH(A683,Inputs!$B$6:$D$6,0)),IF(=INDEX(Roster!$B$6:$B$108,MATCH(D683,Roster!$A$6:$A$108,0))="Associate Principal",INDEX(Inputs!$B$11:$D$11,1,MATCH(A683,Inputs!$B$6:$D$6,0)),IF(=INDEX(Roster!$B$6:$B$108,MATCH(D683,Roster!$A$6:$A$108,0))="Assistant Principal",INDEX(Inputs!$B$12:$D$12,1,MATCH(A683,Inputs!$B$6:$D$6,0)),0))))</x:f>
        <x:v>0</x:v>
      </x:c>
      <x:c r="L683" s="20" t="n">
        <x:f>IF(INDEX(Roster!$D$6:$D$108,MATCH(D683,Roster!$A$6:$A$108,0))&gt;=25,INDEX(Inputs!$B$19:$D$19,1,MATCH(A683,Inputs!$B$6:$D$6,0)),IF(INDEX(Roster!$D$6:$D$108,MATCH(D683,Roster!$A$6:$A$108,0))&gt;=20,INDEX(Inputs!$B$18:$D$18,1,MATCH(A683,Inputs!$B$6:$D$6,0)),IF(INDEX(Roster!$D$6:$D$108,MATCH(D683,Roster!$A$6:$A$108,0))&gt;=15,INDEX(Inputs!$B$17:$D$17,1,MATCH(A683,Inputs!$B$6:$D$6,0)),IF(INDEX(Roster!$D$6:$D$108,MATCH(D683,Roster!$A$6:$A$108,0))&gt;=10,INDEX(Inputs!$B$16:$D$16,1,MATCH(A683,Inputs!$B$6:$D$6,0)),IF(INDEX(Roster!$D$6:$D$108,MATCH(D683,Roster!$A$6:$A$108,0))&gt;=5,INDEX(Inputs!$B$15:$D$15,1,MATCH(A683,Inputs!$B$6:$D$6,0)),0)))))</x:f>
        <x:v>70</x:v>
      </x:c>
      <x:c r="M683" s="20" t="n">
        <x:f>G683*I683</x:f>
        <x:v>31135</x:v>
      </x:c>
      <x:c r="N683" s="20" t="n">
        <x:f>G683*J683</x:f>
        <x:v>260</x:v>
      </x:c>
      <x:c r="O683" s="20" t="n">
        <x:f>G683*K683</x:f>
        <x:v>0</x:v>
      </x:c>
      <x:c r="P683" s="20" t="n">
        <x:f>G683*L683</x:f>
        <x:v>910</x:v>
      </x:c>
      <x:c r="Q683" s="20" t="n">
        <x:f>H683*INDEX(Inputs!$B$13:$D$13,1,MATCH(A683,Inputs!$B$6:$D$6,0))</x:f>
        <x:v>390</x:v>
      </x:c>
      <x:c r="R683" s="20" t="n">
        <x:f>SUM(M683:Q683)</x:f>
        <x:v>32695</x:v>
      </x:c>
      <x:c r="S683" s="20" t="n">
        <x:f>IF(AND(A682=A683,D682=D683),S682+R683,R683)</x:f>
        <x:v>65390</x:v>
      </x:c>
      <x:c r="T683" s="20" t="n">
        <x:f>MIN(S683,INDEX(Inputs!$B$20:$D$20,1,MATCH(A683,Inputs!$B$6:$D$6,0)))*INDEX(Inputs!$B$22:$D$22,1,MATCH(A683,Inputs!$B$6:$D$6,0))+MAX(MIN(S683,INDEX(Inputs!$B$21:$D$21,1,MATCH(A683,Inputs!$B$6:$D$6,0)))-INDEX(Inputs!$B$20:$D$20,1,MATCH(A683,Inputs!$B$6:$D$6,0)),0)*INDEX(Inputs!$B$23:$D$23,1,MATCH(A683,Inputs!$B$6:$D$6,0))+MAX(S683-INDEX(Inputs!$B$21:$D$21,1,MATCH(A683,Inputs!$B$6:$D$6,0)),0)*INDEX(Inputs!$B$24:$D$24,1,MATCH(A683,Inputs!$B$6:$D$6,0))</x:f>
        <x:v>5492.335</x:v>
      </x:c>
      <x:c r="U683" s="20" t="n">
        <x:f>IF(AND(A682=A683,D682=D683),T682,0)</x:f>
        <x:v>2991.1675</x:v>
      </x:c>
      <x:c r="V683" s="20" t="n">
        <x:f>T683-U683</x:f>
        <x:v>2501.1675</x:v>
      </x:c>
      <x:c r="W683" s="20" t="n">
        <x:f>R683+V683</x:f>
        <x:v>35196.1675</x:v>
      </x:c>
      <x:c r="X683" s="14" t="str">
        <x:f>IF(ABS(W683-SUM(M683:Q683)-V683)&lt;0.01,"OK","Check")</x:f>
        <x:v>OK</x:v>
      </x:c>
    </x:row>
    <x:row r="684">
      <x:c r="A684" s="14" t="n">
        <x:v>2027</x:v>
      </x:c>
      <x:c r="B684" s="14" t="str">
        <x:v>Q3</x:v>
      </x:c>
      <x:c r="C684" s="14" t="n">
        <x:v>3</x:v>
      </x:c>
      <x:c r="D684" s="14" t="n">
        <x:v>67</x:v>
      </x:c>
      <x:c r="E684" s="14" t="str">
        <x:f>INDEX(Roster!$B$6:$B$108,MATCH(D684,Roster!$A$6:$A$108,0))</x:f>
      </x:c>
      <x:c r="F684" s="14" t="str">
        <x:f>INDEX(Roster!$F$6:$F$108,MATCH(D684,Roster!$A$6:$A$108,0))</x:f>
        <x:v>No</x:v>
      </x:c>
      <x:c r="G684" s="14" t="n">
        <x:f>INDEX(Inputs!$B$7:$D$7,1,MATCH(A684,Inputs!$B$6:$D$6,0))</x:f>
        <x:v>13</x:v>
      </x:c>
      <x:c r="H684" s="14" t="n">
        <x:f>MIN(=INDEX(Inputs!$B$7:$D$7,1,MATCH(A684,Inputs!$B$6:$D$6,0)),MAX(0,INDEX(Inputs!$B$14:$D$14,1,MATCH(A684,Inputs!$B$6:$D$6,0))-(C684-1)*=INDEX(Inputs!$B$7:$D$7,1,MATCH(A684,Inputs!$B$6:$D$6,0))))</x:f>
        <x:v>13</x:v>
      </x:c>
      <x:c r="I684" s="20" t="n">
        <x:f>INDEX(Inputs!$B$8:$D$8,1,MATCH(A684,Inputs!$B$6:$D$6,0))</x:f>
        <x:v>2395</x:v>
      </x:c>
      <x:c r="J684" s="20" t="n">
        <x:f>INDEX(Roster!$C$6:$C$108,MATCH(D684,Roster!$A$6:$A$108,0))*(1+INDEX(Inputs!$B$9:$D$9,1,MATCH(A684,Inputs!$B$6:$D$6,0)))</x:f>
        <x:v>20</x:v>
      </x:c>
      <x:c r="K684" s="20" t="n">
        <x:f>IF(=INDEX(Roster!$F$6:$F$108,MATCH(D684,Roster!$A$6:$A$108,0))="Yes",0,=INDEX(Inputs!$B$8:$D$8,1,MATCH(A684,Inputs!$B$6:$D$6,0))*IF(=INDEX(Roster!$B$6:$B$108,MATCH(D684,Roster!$A$6:$A$108,0))="Principal",INDEX(Inputs!$B$10:$D$10,1,MATCH(A684,Inputs!$B$6:$D$6,0)),IF(=INDEX(Roster!$B$6:$B$108,MATCH(D684,Roster!$A$6:$A$108,0))="Associate Principal",INDEX(Inputs!$B$11:$D$11,1,MATCH(A684,Inputs!$B$6:$D$6,0)),IF(=INDEX(Roster!$B$6:$B$108,MATCH(D684,Roster!$A$6:$A$108,0))="Assistant Principal",INDEX(Inputs!$B$12:$D$12,1,MATCH(A684,Inputs!$B$6:$D$6,0)),0))))</x:f>
        <x:v>0</x:v>
      </x:c>
      <x:c r="L684" s="20" t="n">
        <x:f>IF(INDEX(Roster!$D$6:$D$108,MATCH(D684,Roster!$A$6:$A$108,0))&gt;=25,INDEX(Inputs!$B$19:$D$19,1,MATCH(A684,Inputs!$B$6:$D$6,0)),IF(INDEX(Roster!$D$6:$D$108,MATCH(D684,Roster!$A$6:$A$108,0))&gt;=20,INDEX(Inputs!$B$18:$D$18,1,MATCH(A684,Inputs!$B$6:$D$6,0)),IF(INDEX(Roster!$D$6:$D$108,MATCH(D684,Roster!$A$6:$A$108,0))&gt;=15,INDEX(Inputs!$B$17:$D$17,1,MATCH(A684,Inputs!$B$6:$D$6,0)),IF(INDEX(Roster!$D$6:$D$108,MATCH(D684,Roster!$A$6:$A$108,0))&gt;=10,INDEX(Inputs!$B$16:$D$16,1,MATCH(A684,Inputs!$B$6:$D$6,0)),IF(INDEX(Roster!$D$6:$D$108,MATCH(D684,Roster!$A$6:$A$108,0))&gt;=5,INDEX(Inputs!$B$15:$D$15,1,MATCH(A684,Inputs!$B$6:$D$6,0)),0)))))</x:f>
        <x:v>70</x:v>
      </x:c>
      <x:c r="M684" s="20" t="n">
        <x:f>G684*I684</x:f>
        <x:v>31135</x:v>
      </x:c>
      <x:c r="N684" s="20" t="n">
        <x:f>G684*J684</x:f>
        <x:v>260</x:v>
      </x:c>
      <x:c r="O684" s="20" t="n">
        <x:f>G684*K684</x:f>
        <x:v>0</x:v>
      </x:c>
      <x:c r="P684" s="20" t="n">
        <x:f>G684*L684</x:f>
        <x:v>910</x:v>
      </x:c>
      <x:c r="Q684" s="20" t="n">
        <x:f>H684*INDEX(Inputs!$B$13:$D$13,1,MATCH(A684,Inputs!$B$6:$D$6,0))</x:f>
        <x:v>390</x:v>
      </x:c>
      <x:c r="R684" s="20" t="n">
        <x:f>SUM(M684:Q684)</x:f>
        <x:v>32695</x:v>
      </x:c>
      <x:c r="S684" s="20" t="n">
        <x:f>IF(AND(A683=A684,D683=D684),S683+R684,R684)</x:f>
        <x:v>98085</x:v>
      </x:c>
      <x:c r="T684" s="20" t="n">
        <x:f>MIN(S684,INDEX(Inputs!$B$20:$D$20,1,MATCH(A684,Inputs!$B$6:$D$6,0)))*INDEX(Inputs!$B$22:$D$22,1,MATCH(A684,Inputs!$B$6:$D$6,0))+MAX(MIN(S684,INDEX(Inputs!$B$21:$D$21,1,MATCH(A684,Inputs!$B$6:$D$6,0)))-INDEX(Inputs!$B$20:$D$20,1,MATCH(A684,Inputs!$B$6:$D$6,0)),0)*INDEX(Inputs!$B$23:$D$23,1,MATCH(A684,Inputs!$B$6:$D$6,0))+MAX(S684-INDEX(Inputs!$B$21:$D$21,1,MATCH(A684,Inputs!$B$6:$D$6,0)),0)*INDEX(Inputs!$B$24:$D$24,1,MATCH(A684,Inputs!$B$6:$D$6,0))</x:f>
        <x:v>7993.5025</x:v>
      </x:c>
      <x:c r="U684" s="20" t="n">
        <x:f>IF(AND(A683=A684,D683=D684),T683,0)</x:f>
        <x:v>5492.335</x:v>
      </x:c>
      <x:c r="V684" s="20" t="n">
        <x:f>T684-U684</x:f>
        <x:v>2501.1674999999996</x:v>
      </x:c>
      <x:c r="W684" s="20" t="n">
        <x:f>R684+V684</x:f>
        <x:v>35196.167499999996</x:v>
      </x:c>
      <x:c r="X684" s="14" t="str">
        <x:f>IF(ABS(W684-SUM(M684:Q684)-V684)&lt;0.01,"OK","Check")</x:f>
        <x:v>OK</x:v>
      </x:c>
    </x:row>
    <x:row r="685">
      <x:c r="A685" s="14" t="n">
        <x:v>2027</x:v>
      </x:c>
      <x:c r="B685" s="14" t="str">
        <x:v>Q4</x:v>
      </x:c>
      <x:c r="C685" s="14" t="n">
        <x:v>4</x:v>
      </x:c>
      <x:c r="D685" s="14" t="n">
        <x:v>67</x:v>
      </x:c>
      <x:c r="E685" s="14" t="str">
        <x:f>INDEX(Roster!$B$6:$B$108,MATCH(D685,Roster!$A$6:$A$108,0))</x:f>
      </x:c>
      <x:c r="F685" s="14" t="str">
        <x:f>INDEX(Roster!$F$6:$F$108,MATCH(D685,Roster!$A$6:$A$108,0))</x:f>
        <x:v>No</x:v>
      </x:c>
      <x:c r="G685" s="14" t="n">
        <x:f>INDEX(Inputs!$B$7:$D$7,1,MATCH(A685,Inputs!$B$6:$D$6,0))</x:f>
        <x:v>13</x:v>
      </x:c>
      <x:c r="H685" s="14" t="n">
        <x:f>MIN(=INDEX(Inputs!$B$7:$D$7,1,MATCH(A685,Inputs!$B$6:$D$6,0)),MAX(0,INDEX(Inputs!$B$14:$D$14,1,MATCH(A685,Inputs!$B$6:$D$6,0))-(C685-1)*=INDEX(Inputs!$B$7:$D$7,1,MATCH(A685,Inputs!$B$6:$D$6,0))))</x:f>
        <x:v>0</x:v>
      </x:c>
      <x:c r="I685" s="20" t="n">
        <x:f>INDEX(Inputs!$B$8:$D$8,1,MATCH(A685,Inputs!$B$6:$D$6,0))</x:f>
        <x:v>2395</x:v>
      </x:c>
      <x:c r="J685" s="20" t="n">
        <x:f>INDEX(Roster!$C$6:$C$108,MATCH(D685,Roster!$A$6:$A$108,0))*(1+INDEX(Inputs!$B$9:$D$9,1,MATCH(A685,Inputs!$B$6:$D$6,0)))</x:f>
        <x:v>20</x:v>
      </x:c>
      <x:c r="K685" s="20" t="n">
        <x:f>IF(=INDEX(Roster!$F$6:$F$108,MATCH(D685,Roster!$A$6:$A$108,0))="Yes",0,=INDEX(Inputs!$B$8:$D$8,1,MATCH(A685,Inputs!$B$6:$D$6,0))*IF(=INDEX(Roster!$B$6:$B$108,MATCH(D685,Roster!$A$6:$A$108,0))="Principal",INDEX(Inputs!$B$10:$D$10,1,MATCH(A685,Inputs!$B$6:$D$6,0)),IF(=INDEX(Roster!$B$6:$B$108,MATCH(D685,Roster!$A$6:$A$108,0))="Associate Principal",INDEX(Inputs!$B$11:$D$11,1,MATCH(A685,Inputs!$B$6:$D$6,0)),IF(=INDEX(Roster!$B$6:$B$108,MATCH(D685,Roster!$A$6:$A$108,0))="Assistant Principal",INDEX(Inputs!$B$12:$D$12,1,MATCH(A685,Inputs!$B$6:$D$6,0)),0))))</x:f>
        <x:v>0</x:v>
      </x:c>
      <x:c r="L685" s="20" t="n">
        <x:f>IF(INDEX(Roster!$D$6:$D$108,MATCH(D685,Roster!$A$6:$A$108,0))&gt;=25,INDEX(Inputs!$B$19:$D$19,1,MATCH(A685,Inputs!$B$6:$D$6,0)),IF(INDEX(Roster!$D$6:$D$108,MATCH(D685,Roster!$A$6:$A$108,0))&gt;=20,INDEX(Inputs!$B$18:$D$18,1,MATCH(A685,Inputs!$B$6:$D$6,0)),IF(INDEX(Roster!$D$6:$D$108,MATCH(D685,Roster!$A$6:$A$108,0))&gt;=15,INDEX(Inputs!$B$17:$D$17,1,MATCH(A685,Inputs!$B$6:$D$6,0)),IF(INDEX(Roster!$D$6:$D$108,MATCH(D685,Roster!$A$6:$A$108,0))&gt;=10,INDEX(Inputs!$B$16:$D$16,1,MATCH(A685,Inputs!$B$6:$D$6,0)),IF(INDEX(Roster!$D$6:$D$108,MATCH(D685,Roster!$A$6:$A$108,0))&gt;=5,INDEX(Inputs!$B$15:$D$15,1,MATCH(A685,Inputs!$B$6:$D$6,0)),0)))))</x:f>
        <x:v>70</x:v>
      </x:c>
      <x:c r="M685" s="20" t="n">
        <x:f>G685*I685</x:f>
        <x:v>31135</x:v>
      </x:c>
      <x:c r="N685" s="20" t="n">
        <x:f>G685*J685</x:f>
        <x:v>260</x:v>
      </x:c>
      <x:c r="O685" s="20" t="n">
        <x:f>G685*K685</x:f>
        <x:v>0</x:v>
      </x:c>
      <x:c r="P685" s="20" t="n">
        <x:f>G685*L685</x:f>
        <x:v>910</x:v>
      </x:c>
      <x:c r="Q685" s="20" t="n">
        <x:f>H685*INDEX(Inputs!$B$13:$D$13,1,MATCH(A685,Inputs!$B$6:$D$6,0))</x:f>
        <x:v>0</x:v>
      </x:c>
      <x:c r="R685" s="20" t="n">
        <x:f>SUM(M685:Q685)</x:f>
        <x:v>32305</x:v>
      </x:c>
      <x:c r="S685" s="20" t="n">
        <x:f>IF(AND(A684=A685,D684=D685),S684+R685,R685)</x:f>
        <x:v>130390</x:v>
      </x:c>
      <x:c r="T685" s="20" t="n">
        <x:f>MIN(S685,INDEX(Inputs!$B$20:$D$20,1,MATCH(A685,Inputs!$B$6:$D$6,0)))*INDEX(Inputs!$B$22:$D$22,1,MATCH(A685,Inputs!$B$6:$D$6,0))+MAX(MIN(S685,INDEX(Inputs!$B$21:$D$21,1,MATCH(A685,Inputs!$B$6:$D$6,0)))-INDEX(Inputs!$B$20:$D$20,1,MATCH(A685,Inputs!$B$6:$D$6,0)),0)*INDEX(Inputs!$B$23:$D$23,1,MATCH(A685,Inputs!$B$6:$D$6,0))+MAX(S685-INDEX(Inputs!$B$21:$D$21,1,MATCH(A685,Inputs!$B$6:$D$6,0)),0)*INDEX(Inputs!$B$24:$D$24,1,MATCH(A685,Inputs!$B$6:$D$6,0))</x:f>
        <x:v>9804.597</x:v>
      </x:c>
      <x:c r="U685" s="20" t="n">
        <x:f>IF(AND(A684=A685,D684=D685),T684,0)</x:f>
        <x:v>7993.5025</x:v>
      </x:c>
      <x:c r="V685" s="20" t="n">
        <x:f>T685-U685</x:f>
        <x:v>1811.0945000000002</x:v>
      </x:c>
      <x:c r="W685" s="20" t="n">
        <x:f>R685+V685</x:f>
        <x:v>34116.0945</x:v>
      </x:c>
      <x:c r="X685" s="14" t="str">
        <x:f>IF(ABS(W685-SUM(M685:Q685)-V685)&lt;0.01,"OK","Check")</x:f>
        <x:v>OK</x:v>
      </x:c>
    </x:row>
    <x:row r="686">
      <x:c r="A686" s="14" t="n">
        <x:v>2027</x:v>
      </x:c>
      <x:c r="B686" s="14" t="str">
        <x:v>Q1</x:v>
      </x:c>
      <x:c r="C686" s="14" t="n">
        <x:v>1</x:v>
      </x:c>
      <x:c r="D686" s="14" t="n">
        <x:v>68</x:v>
      </x:c>
      <x:c r="E686" s="14" t="str">
        <x:f>INDEX(Roster!$B$6:$B$108,MATCH(D686,Roster!$A$6:$A$108,0))</x:f>
        <x:v>Principal</x:v>
      </x:c>
      <x:c r="F686" s="14" t="str">
        <x:f>INDEX(Roster!$F$6:$F$108,MATCH(D686,Roster!$A$6:$A$108,0))</x:f>
        <x:v>Yes</x:v>
      </x:c>
      <x:c r="G686" s="14" t="n">
        <x:f>INDEX(Inputs!$B$7:$D$7,1,MATCH(A686,Inputs!$B$6:$D$6,0))</x:f>
        <x:v>13</x:v>
      </x:c>
      <x:c r="H686" s="14" t="n">
        <x:f>MIN(=INDEX(Inputs!$B$7:$D$7,1,MATCH(A686,Inputs!$B$6:$D$6,0)),MAX(0,INDEX(Inputs!$B$14:$D$14,1,MATCH(A686,Inputs!$B$6:$D$6,0))-(C686-1)*=INDEX(Inputs!$B$7:$D$7,1,MATCH(A686,Inputs!$B$6:$D$6,0))))</x:f>
        <x:v>13</x:v>
      </x:c>
      <x:c r="I686" s="20" t="n">
        <x:f>INDEX(Inputs!$B$8:$D$8,1,MATCH(A686,Inputs!$B$6:$D$6,0))</x:f>
        <x:v>2395</x:v>
      </x:c>
      <x:c r="J686" s="20" t="n">
        <x:f>INDEX(Roster!$C$6:$C$108,MATCH(D686,Roster!$A$6:$A$108,0))*(1+INDEX(Inputs!$B$9:$D$9,1,MATCH(A686,Inputs!$B$6:$D$6,0)))</x:f>
        <x:v>1400</x:v>
      </x:c>
      <x:c r="K686" s="20" t="n">
        <x:f>IF(=INDEX(Roster!$F$6:$F$108,MATCH(D686,Roster!$A$6:$A$108,0))="Yes",0,=INDEX(Inputs!$B$8:$D$8,1,MATCH(A686,Inputs!$B$6:$D$6,0))*IF(=INDEX(Roster!$B$6:$B$108,MATCH(D686,Roster!$A$6:$A$108,0))="Principal",INDEX(Inputs!$B$10:$D$10,1,MATCH(A686,Inputs!$B$6:$D$6,0)),IF(=INDEX(Roster!$B$6:$B$108,MATCH(D686,Roster!$A$6:$A$108,0))="Associate Principal",INDEX(Inputs!$B$11:$D$11,1,MATCH(A686,Inputs!$B$6:$D$6,0)),IF(=INDEX(Roster!$B$6:$B$108,MATCH(D686,Roster!$A$6:$A$108,0))="Assistant Principal",INDEX(Inputs!$B$12:$D$12,1,MATCH(A686,Inputs!$B$6:$D$6,0)),0))))</x:f>
        <x:v>0</x:v>
      </x:c>
      <x:c r="L686" s="20" t="n">
        <x:f>IF(INDEX(Roster!$D$6:$D$108,MATCH(D686,Roster!$A$6:$A$108,0))&gt;=25,INDEX(Inputs!$B$19:$D$19,1,MATCH(A686,Inputs!$B$6:$D$6,0)),IF(INDEX(Roster!$D$6:$D$108,MATCH(D686,Roster!$A$6:$A$108,0))&gt;=20,INDEX(Inputs!$B$18:$D$18,1,MATCH(A686,Inputs!$B$6:$D$6,0)),IF(INDEX(Roster!$D$6:$D$108,MATCH(D686,Roster!$A$6:$A$108,0))&gt;=15,INDEX(Inputs!$B$17:$D$17,1,MATCH(A686,Inputs!$B$6:$D$6,0)),IF(INDEX(Roster!$D$6:$D$108,MATCH(D686,Roster!$A$6:$A$108,0))&gt;=10,INDEX(Inputs!$B$16:$D$16,1,MATCH(A686,Inputs!$B$6:$D$6,0)),IF(INDEX(Roster!$D$6:$D$108,MATCH(D686,Roster!$A$6:$A$108,0))&gt;=5,INDEX(Inputs!$B$15:$D$15,1,MATCH(A686,Inputs!$B$6:$D$6,0)),0)))))</x:f>
        <x:v>90</x:v>
      </x:c>
      <x:c r="M686" s="20" t="n">
        <x:f>G686*I686</x:f>
        <x:v>31135</x:v>
      </x:c>
      <x:c r="N686" s="20" t="n">
        <x:f>G686*J686</x:f>
        <x:v>18200</x:v>
      </x:c>
      <x:c r="O686" s="20" t="n">
        <x:f>G686*K686</x:f>
        <x:v>0</x:v>
      </x:c>
      <x:c r="P686" s="20" t="n">
        <x:f>G686*L686</x:f>
        <x:v>1170</x:v>
      </x:c>
      <x:c r="Q686" s="20" t="n">
        <x:f>H686*INDEX(Inputs!$B$13:$D$13,1,MATCH(A686,Inputs!$B$6:$D$6,0))</x:f>
        <x:v>390</x:v>
      </x:c>
      <x:c r="R686" s="20" t="n">
        <x:f>SUM(M686:Q686)</x:f>
        <x:v>50895</x:v>
      </x:c>
      <x:c r="S686" s="20" t="n">
        <x:f>IF(AND(A685=A686,D685=D686),S685+R686,R686)</x:f>
        <x:v>50895</x:v>
      </x:c>
      <x:c r="T686" s="20" t="n">
        <x:f>MIN(S686,INDEX(Inputs!$B$20:$D$20,1,MATCH(A686,Inputs!$B$6:$D$6,0)))*INDEX(Inputs!$B$22:$D$22,1,MATCH(A686,Inputs!$B$6:$D$6,0))+MAX(MIN(S686,INDEX(Inputs!$B$21:$D$21,1,MATCH(A686,Inputs!$B$6:$D$6,0)))-INDEX(Inputs!$B$20:$D$20,1,MATCH(A686,Inputs!$B$6:$D$6,0)),0)*INDEX(Inputs!$B$23:$D$23,1,MATCH(A686,Inputs!$B$6:$D$6,0))+MAX(S686-INDEX(Inputs!$B$21:$D$21,1,MATCH(A686,Inputs!$B$6:$D$6,0)),0)*INDEX(Inputs!$B$24:$D$24,1,MATCH(A686,Inputs!$B$6:$D$6,0))</x:f>
        <x:v>4383.4675</x:v>
      </x:c>
      <x:c r="U686" s="20" t="n">
        <x:f>IF(AND(A685=A686,D685=D686),T685,0)</x:f>
        <x:v>0</x:v>
      </x:c>
      <x:c r="V686" s="20" t="n">
        <x:f>T686-U686</x:f>
        <x:v>4383.4675</x:v>
      </x:c>
      <x:c r="W686" s="20" t="n">
        <x:f>R686+V686</x:f>
        <x:v>55278.4675</x:v>
      </x:c>
      <x:c r="X686" s="14" t="str">
        <x:f>IF(ABS(W686-SUM(M686:Q686)-V686)&lt;0.01,"OK","Check")</x:f>
        <x:v>OK</x:v>
      </x:c>
    </x:row>
    <x:row r="687">
      <x:c r="A687" s="14" t="n">
        <x:v>2027</x:v>
      </x:c>
      <x:c r="B687" s="14" t="str">
        <x:v>Q2</x:v>
      </x:c>
      <x:c r="C687" s="14" t="n">
        <x:v>2</x:v>
      </x:c>
      <x:c r="D687" s="14" t="n">
        <x:v>68</x:v>
      </x:c>
      <x:c r="E687" s="14" t="str">
        <x:f>INDEX(Roster!$B$6:$B$108,MATCH(D687,Roster!$A$6:$A$108,0))</x:f>
        <x:v>Principal</x:v>
      </x:c>
      <x:c r="F687" s="14" t="str">
        <x:f>INDEX(Roster!$F$6:$F$108,MATCH(D687,Roster!$A$6:$A$108,0))</x:f>
        <x:v>Yes</x:v>
      </x:c>
      <x:c r="G687" s="14" t="n">
        <x:f>INDEX(Inputs!$B$7:$D$7,1,MATCH(A687,Inputs!$B$6:$D$6,0))</x:f>
        <x:v>13</x:v>
      </x:c>
      <x:c r="H687" s="14" t="n">
        <x:f>MIN(=INDEX(Inputs!$B$7:$D$7,1,MATCH(A687,Inputs!$B$6:$D$6,0)),MAX(0,INDEX(Inputs!$B$14:$D$14,1,MATCH(A687,Inputs!$B$6:$D$6,0))-(C687-1)*=INDEX(Inputs!$B$7:$D$7,1,MATCH(A687,Inputs!$B$6:$D$6,0))))</x:f>
        <x:v>13</x:v>
      </x:c>
      <x:c r="I687" s="20" t="n">
        <x:f>INDEX(Inputs!$B$8:$D$8,1,MATCH(A687,Inputs!$B$6:$D$6,0))</x:f>
        <x:v>2395</x:v>
      </x:c>
      <x:c r="J687" s="20" t="n">
        <x:f>INDEX(Roster!$C$6:$C$108,MATCH(D687,Roster!$A$6:$A$108,0))*(1+INDEX(Inputs!$B$9:$D$9,1,MATCH(A687,Inputs!$B$6:$D$6,0)))</x:f>
        <x:v>1400</x:v>
      </x:c>
      <x:c r="K687" s="20" t="n">
        <x:f>IF(=INDEX(Roster!$F$6:$F$108,MATCH(D687,Roster!$A$6:$A$108,0))="Yes",0,=INDEX(Inputs!$B$8:$D$8,1,MATCH(A687,Inputs!$B$6:$D$6,0))*IF(=INDEX(Roster!$B$6:$B$108,MATCH(D687,Roster!$A$6:$A$108,0))="Principal",INDEX(Inputs!$B$10:$D$10,1,MATCH(A687,Inputs!$B$6:$D$6,0)),IF(=INDEX(Roster!$B$6:$B$108,MATCH(D687,Roster!$A$6:$A$108,0))="Associate Principal",INDEX(Inputs!$B$11:$D$11,1,MATCH(A687,Inputs!$B$6:$D$6,0)),IF(=INDEX(Roster!$B$6:$B$108,MATCH(D687,Roster!$A$6:$A$108,0))="Assistant Principal",INDEX(Inputs!$B$12:$D$12,1,MATCH(A687,Inputs!$B$6:$D$6,0)),0))))</x:f>
        <x:v>0</x:v>
      </x:c>
      <x:c r="L687" s="20" t="n">
        <x:f>IF(INDEX(Roster!$D$6:$D$108,MATCH(D687,Roster!$A$6:$A$108,0))&gt;=25,INDEX(Inputs!$B$19:$D$19,1,MATCH(A687,Inputs!$B$6:$D$6,0)),IF(INDEX(Roster!$D$6:$D$108,MATCH(D687,Roster!$A$6:$A$108,0))&gt;=20,INDEX(Inputs!$B$18:$D$18,1,MATCH(A687,Inputs!$B$6:$D$6,0)),IF(INDEX(Roster!$D$6:$D$108,MATCH(D687,Roster!$A$6:$A$108,0))&gt;=15,INDEX(Inputs!$B$17:$D$17,1,MATCH(A687,Inputs!$B$6:$D$6,0)),IF(INDEX(Roster!$D$6:$D$108,MATCH(D687,Roster!$A$6:$A$108,0))&gt;=10,INDEX(Inputs!$B$16:$D$16,1,MATCH(A687,Inputs!$B$6:$D$6,0)),IF(INDEX(Roster!$D$6:$D$108,MATCH(D687,Roster!$A$6:$A$108,0))&gt;=5,INDEX(Inputs!$B$15:$D$15,1,MATCH(A687,Inputs!$B$6:$D$6,0)),0)))))</x:f>
        <x:v>90</x:v>
      </x:c>
      <x:c r="M687" s="20" t="n">
        <x:f>G687*I687</x:f>
        <x:v>31135</x:v>
      </x:c>
      <x:c r="N687" s="20" t="n">
        <x:f>G687*J687</x:f>
        <x:v>18200</x:v>
      </x:c>
      <x:c r="O687" s="20" t="n">
        <x:f>G687*K687</x:f>
        <x:v>0</x:v>
      </x:c>
      <x:c r="P687" s="20" t="n">
        <x:f>G687*L687</x:f>
        <x:v>1170</x:v>
      </x:c>
      <x:c r="Q687" s="20" t="n">
        <x:f>H687*INDEX(Inputs!$B$13:$D$13,1,MATCH(A687,Inputs!$B$6:$D$6,0))</x:f>
        <x:v>390</x:v>
      </x:c>
      <x:c r="R687" s="20" t="n">
        <x:f>SUM(M687:Q687)</x:f>
        <x:v>50895</x:v>
      </x:c>
      <x:c r="S687" s="20" t="n">
        <x:f>IF(AND(A686=A687,D686=D687),S686+R687,R687)</x:f>
        <x:v>101790</x:v>
      </x:c>
      <x:c r="T687" s="20" t="n">
        <x:f>MIN(S687,INDEX(Inputs!$B$20:$D$20,1,MATCH(A687,Inputs!$B$6:$D$6,0)))*INDEX(Inputs!$B$22:$D$22,1,MATCH(A687,Inputs!$B$6:$D$6,0))+MAX(MIN(S687,INDEX(Inputs!$B$21:$D$21,1,MATCH(A687,Inputs!$B$6:$D$6,0)))-INDEX(Inputs!$B$20:$D$20,1,MATCH(A687,Inputs!$B$6:$D$6,0)),0)*INDEX(Inputs!$B$23:$D$23,1,MATCH(A687,Inputs!$B$6:$D$6,0))+MAX(S687-INDEX(Inputs!$B$21:$D$21,1,MATCH(A687,Inputs!$B$6:$D$6,0)),0)*INDEX(Inputs!$B$24:$D$24,1,MATCH(A687,Inputs!$B$6:$D$6,0))</x:f>
        <x:v>8276.935</x:v>
      </x:c>
      <x:c r="U687" s="20" t="n">
        <x:f>IF(AND(A686=A687,D686=D687),T686,0)</x:f>
        <x:v>4383.4675</x:v>
      </x:c>
      <x:c r="V687" s="20" t="n">
        <x:f>T687-U687</x:f>
        <x:v>3893.4674999999997</x:v>
      </x:c>
      <x:c r="W687" s="20" t="n">
        <x:f>R687+V687</x:f>
        <x:v>54788.4675</x:v>
      </x:c>
      <x:c r="X687" s="14" t="str">
        <x:f>IF(ABS(W687-SUM(M687:Q687)-V687)&lt;0.01,"OK","Check")</x:f>
        <x:v>OK</x:v>
      </x:c>
    </x:row>
    <x:row r="688">
      <x:c r="A688" s="14" t="n">
        <x:v>2027</x:v>
      </x:c>
      <x:c r="B688" s="14" t="str">
        <x:v>Q3</x:v>
      </x:c>
      <x:c r="C688" s="14" t="n">
        <x:v>3</x:v>
      </x:c>
      <x:c r="D688" s="14" t="n">
        <x:v>68</x:v>
      </x:c>
      <x:c r="E688" s="14" t="str">
        <x:f>INDEX(Roster!$B$6:$B$108,MATCH(D688,Roster!$A$6:$A$108,0))</x:f>
        <x:v>Principal</x:v>
      </x:c>
      <x:c r="F688" s="14" t="str">
        <x:f>INDEX(Roster!$F$6:$F$108,MATCH(D688,Roster!$A$6:$A$108,0))</x:f>
        <x:v>Yes</x:v>
      </x:c>
      <x:c r="G688" s="14" t="n">
        <x:f>INDEX(Inputs!$B$7:$D$7,1,MATCH(A688,Inputs!$B$6:$D$6,0))</x:f>
        <x:v>13</x:v>
      </x:c>
      <x:c r="H688" s="14" t="n">
        <x:f>MIN(=INDEX(Inputs!$B$7:$D$7,1,MATCH(A688,Inputs!$B$6:$D$6,0)),MAX(0,INDEX(Inputs!$B$14:$D$14,1,MATCH(A688,Inputs!$B$6:$D$6,0))-(C688-1)*=INDEX(Inputs!$B$7:$D$7,1,MATCH(A688,Inputs!$B$6:$D$6,0))))</x:f>
        <x:v>13</x:v>
      </x:c>
      <x:c r="I688" s="20" t="n">
        <x:f>INDEX(Inputs!$B$8:$D$8,1,MATCH(A688,Inputs!$B$6:$D$6,0))</x:f>
        <x:v>2395</x:v>
      </x:c>
      <x:c r="J688" s="20" t="n">
        <x:f>INDEX(Roster!$C$6:$C$108,MATCH(D688,Roster!$A$6:$A$108,0))*(1+INDEX(Inputs!$B$9:$D$9,1,MATCH(A688,Inputs!$B$6:$D$6,0)))</x:f>
        <x:v>1400</x:v>
      </x:c>
      <x:c r="K688" s="20" t="n">
        <x:f>IF(=INDEX(Roster!$F$6:$F$108,MATCH(D688,Roster!$A$6:$A$108,0))="Yes",0,=INDEX(Inputs!$B$8:$D$8,1,MATCH(A688,Inputs!$B$6:$D$6,0))*IF(=INDEX(Roster!$B$6:$B$108,MATCH(D688,Roster!$A$6:$A$108,0))="Principal",INDEX(Inputs!$B$10:$D$10,1,MATCH(A688,Inputs!$B$6:$D$6,0)),IF(=INDEX(Roster!$B$6:$B$108,MATCH(D688,Roster!$A$6:$A$108,0))="Associate Principal",INDEX(Inputs!$B$11:$D$11,1,MATCH(A688,Inputs!$B$6:$D$6,0)),IF(=INDEX(Roster!$B$6:$B$108,MATCH(D688,Roster!$A$6:$A$108,0))="Assistant Principal",INDEX(Inputs!$B$12:$D$12,1,MATCH(A688,Inputs!$B$6:$D$6,0)),0))))</x:f>
        <x:v>0</x:v>
      </x:c>
      <x:c r="L688" s="20" t="n">
        <x:f>IF(INDEX(Roster!$D$6:$D$108,MATCH(D688,Roster!$A$6:$A$108,0))&gt;=25,INDEX(Inputs!$B$19:$D$19,1,MATCH(A688,Inputs!$B$6:$D$6,0)),IF(INDEX(Roster!$D$6:$D$108,MATCH(D688,Roster!$A$6:$A$108,0))&gt;=20,INDEX(Inputs!$B$18:$D$18,1,MATCH(A688,Inputs!$B$6:$D$6,0)),IF(INDEX(Roster!$D$6:$D$108,MATCH(D688,Roster!$A$6:$A$108,0))&gt;=15,INDEX(Inputs!$B$17:$D$17,1,MATCH(A688,Inputs!$B$6:$D$6,0)),IF(INDEX(Roster!$D$6:$D$108,MATCH(D688,Roster!$A$6:$A$108,0))&gt;=10,INDEX(Inputs!$B$16:$D$16,1,MATCH(A688,Inputs!$B$6:$D$6,0)),IF(INDEX(Roster!$D$6:$D$108,MATCH(D688,Roster!$A$6:$A$108,0))&gt;=5,INDEX(Inputs!$B$15:$D$15,1,MATCH(A688,Inputs!$B$6:$D$6,0)),0)))))</x:f>
        <x:v>90</x:v>
      </x:c>
      <x:c r="M688" s="20" t="n">
        <x:f>G688*I688</x:f>
        <x:v>31135</x:v>
      </x:c>
      <x:c r="N688" s="20" t="n">
        <x:f>G688*J688</x:f>
        <x:v>18200</x:v>
      </x:c>
      <x:c r="O688" s="20" t="n">
        <x:f>G688*K688</x:f>
        <x:v>0</x:v>
      </x:c>
      <x:c r="P688" s="20" t="n">
        <x:f>G688*L688</x:f>
        <x:v>1170</x:v>
      </x:c>
      <x:c r="Q688" s="20" t="n">
        <x:f>H688*INDEX(Inputs!$B$13:$D$13,1,MATCH(A688,Inputs!$B$6:$D$6,0))</x:f>
        <x:v>390</x:v>
      </x:c>
      <x:c r="R688" s="20" t="n">
        <x:f>SUM(M688:Q688)</x:f>
        <x:v>50895</x:v>
      </x:c>
      <x:c r="S688" s="20" t="n">
        <x:f>IF(AND(A687=A688,D687=D688),S687+R688,R688)</x:f>
        <x:v>152685</x:v>
      </x:c>
      <x:c r="T688" s="20" t="n">
        <x:f>MIN(S688,INDEX(Inputs!$B$20:$D$20,1,MATCH(A688,Inputs!$B$6:$D$6,0)))*INDEX(Inputs!$B$22:$D$22,1,MATCH(A688,Inputs!$B$6:$D$6,0))+MAX(MIN(S688,INDEX(Inputs!$B$21:$D$21,1,MATCH(A688,Inputs!$B$6:$D$6,0)))-INDEX(Inputs!$B$20:$D$20,1,MATCH(A688,Inputs!$B$6:$D$6,0)),0)*INDEX(Inputs!$B$23:$D$23,1,MATCH(A688,Inputs!$B$6:$D$6,0))+MAX(S688-INDEX(Inputs!$B$21:$D$21,1,MATCH(A688,Inputs!$B$6:$D$6,0)),0)*INDEX(Inputs!$B$24:$D$24,1,MATCH(A688,Inputs!$B$6:$D$6,0))</x:f>
        <x:v>10127.8745</x:v>
      </x:c>
      <x:c r="U688" s="20" t="n">
        <x:f>IF(AND(A687=A688,D687=D688),T687,0)</x:f>
        <x:v>8276.935</x:v>
      </x:c>
      <x:c r="V688" s="20" t="n">
        <x:f>T688-U688</x:f>
        <x:v>1850.9395000000004</x:v>
      </x:c>
      <x:c r="W688" s="20" t="n">
        <x:f>R688+V688</x:f>
        <x:v>52745.9395</x:v>
      </x:c>
      <x:c r="X688" s="14" t="str">
        <x:f>IF(ABS(W688-SUM(M688:Q688)-V688)&lt;0.01,"OK","Check")</x:f>
        <x:v>OK</x:v>
      </x:c>
    </x:row>
    <x:row r="689">
      <x:c r="A689" s="14" t="n">
        <x:v>2027</x:v>
      </x:c>
      <x:c r="B689" s="14" t="str">
        <x:v>Q4</x:v>
      </x:c>
      <x:c r="C689" s="14" t="n">
        <x:v>4</x:v>
      </x:c>
      <x:c r="D689" s="14" t="n">
        <x:v>68</x:v>
      </x:c>
      <x:c r="E689" s="14" t="str">
        <x:f>INDEX(Roster!$B$6:$B$108,MATCH(D689,Roster!$A$6:$A$108,0))</x:f>
        <x:v>Principal</x:v>
      </x:c>
      <x:c r="F689" s="14" t="str">
        <x:f>INDEX(Roster!$F$6:$F$108,MATCH(D689,Roster!$A$6:$A$108,0))</x:f>
        <x:v>Yes</x:v>
      </x:c>
      <x:c r="G689" s="14" t="n">
        <x:f>INDEX(Inputs!$B$7:$D$7,1,MATCH(A689,Inputs!$B$6:$D$6,0))</x:f>
        <x:v>13</x:v>
      </x:c>
      <x:c r="H689" s="14" t="n">
        <x:f>MIN(=INDEX(Inputs!$B$7:$D$7,1,MATCH(A689,Inputs!$B$6:$D$6,0)),MAX(0,INDEX(Inputs!$B$14:$D$14,1,MATCH(A689,Inputs!$B$6:$D$6,0))-(C689-1)*=INDEX(Inputs!$B$7:$D$7,1,MATCH(A689,Inputs!$B$6:$D$6,0))))</x:f>
        <x:v>0</x:v>
      </x:c>
      <x:c r="I689" s="20" t="n">
        <x:f>INDEX(Inputs!$B$8:$D$8,1,MATCH(A689,Inputs!$B$6:$D$6,0))</x:f>
        <x:v>2395</x:v>
      </x:c>
      <x:c r="J689" s="20" t="n">
        <x:f>INDEX(Roster!$C$6:$C$108,MATCH(D689,Roster!$A$6:$A$108,0))*(1+INDEX(Inputs!$B$9:$D$9,1,MATCH(A689,Inputs!$B$6:$D$6,0)))</x:f>
        <x:v>1400</x:v>
      </x:c>
      <x:c r="K689" s="20" t="n">
        <x:f>IF(=INDEX(Roster!$F$6:$F$108,MATCH(D689,Roster!$A$6:$A$108,0))="Yes",0,=INDEX(Inputs!$B$8:$D$8,1,MATCH(A689,Inputs!$B$6:$D$6,0))*IF(=INDEX(Roster!$B$6:$B$108,MATCH(D689,Roster!$A$6:$A$108,0))="Principal",INDEX(Inputs!$B$10:$D$10,1,MATCH(A689,Inputs!$B$6:$D$6,0)),IF(=INDEX(Roster!$B$6:$B$108,MATCH(D689,Roster!$A$6:$A$108,0))="Associate Principal",INDEX(Inputs!$B$11:$D$11,1,MATCH(A689,Inputs!$B$6:$D$6,0)),IF(=INDEX(Roster!$B$6:$B$108,MATCH(D689,Roster!$A$6:$A$108,0))="Assistant Principal",INDEX(Inputs!$B$12:$D$12,1,MATCH(A689,Inputs!$B$6:$D$6,0)),0))))</x:f>
        <x:v>0</x:v>
      </x:c>
      <x:c r="L689" s="20" t="n">
        <x:f>IF(INDEX(Roster!$D$6:$D$108,MATCH(D689,Roster!$A$6:$A$108,0))&gt;=25,INDEX(Inputs!$B$19:$D$19,1,MATCH(A689,Inputs!$B$6:$D$6,0)),IF(INDEX(Roster!$D$6:$D$108,MATCH(D689,Roster!$A$6:$A$108,0))&gt;=20,INDEX(Inputs!$B$18:$D$18,1,MATCH(A689,Inputs!$B$6:$D$6,0)),IF(INDEX(Roster!$D$6:$D$108,MATCH(D689,Roster!$A$6:$A$108,0))&gt;=15,INDEX(Inputs!$B$17:$D$17,1,MATCH(A689,Inputs!$B$6:$D$6,0)),IF(INDEX(Roster!$D$6:$D$108,MATCH(D689,Roster!$A$6:$A$108,0))&gt;=10,INDEX(Inputs!$B$16:$D$16,1,MATCH(A689,Inputs!$B$6:$D$6,0)),IF(INDEX(Roster!$D$6:$D$108,MATCH(D689,Roster!$A$6:$A$108,0))&gt;=5,INDEX(Inputs!$B$15:$D$15,1,MATCH(A689,Inputs!$B$6:$D$6,0)),0)))))</x:f>
        <x:v>90</x:v>
      </x:c>
      <x:c r="M689" s="20" t="n">
        <x:f>G689*I689</x:f>
        <x:v>31135</x:v>
      </x:c>
      <x:c r="N689" s="20" t="n">
        <x:f>G689*J689</x:f>
        <x:v>18200</x:v>
      </x:c>
      <x:c r="O689" s="20" t="n">
        <x:f>G689*K689</x:f>
        <x:v>0</x:v>
      </x:c>
      <x:c r="P689" s="20" t="n">
        <x:f>G689*L689</x:f>
        <x:v>1170</x:v>
      </x:c>
      <x:c r="Q689" s="20" t="n">
        <x:f>H689*INDEX(Inputs!$B$13:$D$13,1,MATCH(A689,Inputs!$B$6:$D$6,0))</x:f>
        <x:v>0</x:v>
      </x:c>
      <x:c r="R689" s="20" t="n">
        <x:f>SUM(M689:Q689)</x:f>
        <x:v>50505</x:v>
      </x:c>
      <x:c r="S689" s="20" t="n">
        <x:f>IF(AND(A688=A689,D688=D689),S688+R689,R689)</x:f>
        <x:v>203190</x:v>
      </x:c>
      <x:c r="T689" s="20" t="n">
        <x:f>MIN(S689,INDEX(Inputs!$B$20:$D$20,1,MATCH(A689,Inputs!$B$6:$D$6,0)))*INDEX(Inputs!$B$22:$D$22,1,MATCH(A689,Inputs!$B$6:$D$6,0))+MAX(MIN(S689,INDEX(Inputs!$B$21:$D$21,1,MATCH(A689,Inputs!$B$6:$D$6,0)))-INDEX(Inputs!$B$20:$D$20,1,MATCH(A689,Inputs!$B$6:$D$6,0)),0)*INDEX(Inputs!$B$23:$D$23,1,MATCH(A689,Inputs!$B$6:$D$6,0))+MAX(S689-INDEX(Inputs!$B$21:$D$21,1,MATCH(A689,Inputs!$B$6:$D$6,0)),0)*INDEX(Inputs!$B$24:$D$24,1,MATCH(A689,Inputs!$B$6:$D$6,0))</x:f>
        <x:v>10860.197</x:v>
      </x:c>
      <x:c r="U689" s="20" t="n">
        <x:f>IF(AND(A688=A689,D688=D689),T688,0)</x:f>
        <x:v>10127.8745</x:v>
      </x:c>
      <x:c r="V689" s="20" t="n">
        <x:f>T689-U689</x:f>
        <x:v>732.3225000000002</x:v>
      </x:c>
      <x:c r="W689" s="20" t="n">
        <x:f>R689+V689</x:f>
        <x:v>51237.3225</x:v>
      </x:c>
      <x:c r="X689" s="14" t="str">
        <x:f>IF(ABS(W689-SUM(M689:Q689)-V689)&lt;0.01,"OK","Check")</x:f>
        <x:v>OK</x:v>
      </x:c>
    </x:row>
    <x:row r="690">
      <x:c r="A690" s="14" t="n">
        <x:v>2027</x:v>
      </x:c>
      <x:c r="B690" s="14" t="str">
        <x:v>Q1</x:v>
      </x:c>
      <x:c r="C690" s="14" t="n">
        <x:v>1</x:v>
      </x:c>
      <x:c r="D690" s="14" t="n">
        <x:v>69</x:v>
      </x:c>
      <x:c r="E690" s="14" t="str">
        <x:f>INDEX(Roster!$B$6:$B$108,MATCH(D690,Roster!$A$6:$A$108,0))</x:f>
      </x:c>
      <x:c r="F690" s="14" t="str">
        <x:f>INDEX(Roster!$F$6:$F$108,MATCH(D690,Roster!$A$6:$A$108,0))</x:f>
        <x:v>No</x:v>
      </x:c>
      <x:c r="G690" s="14" t="n">
        <x:f>INDEX(Inputs!$B$7:$D$7,1,MATCH(A690,Inputs!$B$6:$D$6,0))</x:f>
        <x:v>13</x:v>
      </x:c>
      <x:c r="H690" s="14" t="n">
        <x:f>MIN(=INDEX(Inputs!$B$7:$D$7,1,MATCH(A690,Inputs!$B$6:$D$6,0)),MAX(0,INDEX(Inputs!$B$14:$D$14,1,MATCH(A690,Inputs!$B$6:$D$6,0))-(C690-1)*=INDEX(Inputs!$B$7:$D$7,1,MATCH(A690,Inputs!$B$6:$D$6,0))))</x:f>
        <x:v>13</x:v>
      </x:c>
      <x:c r="I690" s="20" t="n">
        <x:f>INDEX(Inputs!$B$8:$D$8,1,MATCH(A690,Inputs!$B$6:$D$6,0))</x:f>
        <x:v>2395</x:v>
      </x:c>
      <x:c r="J690" s="20" t="n">
        <x:f>INDEX(Roster!$C$6:$C$108,MATCH(D690,Roster!$A$6:$A$108,0))*(1+INDEX(Inputs!$B$9:$D$9,1,MATCH(A690,Inputs!$B$6:$D$6,0)))</x:f>
        <x:v>550</x:v>
      </x:c>
      <x:c r="K690" s="20" t="n">
        <x:f>IF(=INDEX(Roster!$F$6:$F$108,MATCH(D690,Roster!$A$6:$A$108,0))="Yes",0,=INDEX(Inputs!$B$8:$D$8,1,MATCH(A690,Inputs!$B$6:$D$6,0))*IF(=INDEX(Roster!$B$6:$B$108,MATCH(D690,Roster!$A$6:$A$108,0))="Principal",INDEX(Inputs!$B$10:$D$10,1,MATCH(A690,Inputs!$B$6:$D$6,0)),IF(=INDEX(Roster!$B$6:$B$108,MATCH(D690,Roster!$A$6:$A$108,0))="Associate Principal",INDEX(Inputs!$B$11:$D$11,1,MATCH(A690,Inputs!$B$6:$D$6,0)),IF(=INDEX(Roster!$B$6:$B$108,MATCH(D690,Roster!$A$6:$A$108,0))="Assistant Principal",INDEX(Inputs!$B$12:$D$12,1,MATCH(A690,Inputs!$B$6:$D$6,0)),0))))</x:f>
        <x:v>0</x:v>
      </x:c>
      <x:c r="L690" s="20" t="n">
        <x:f>IF(INDEX(Roster!$D$6:$D$108,MATCH(D690,Roster!$A$6:$A$108,0))&gt;=25,INDEX(Inputs!$B$19:$D$19,1,MATCH(A690,Inputs!$B$6:$D$6,0)),IF(INDEX(Roster!$D$6:$D$108,MATCH(D690,Roster!$A$6:$A$108,0))&gt;=20,INDEX(Inputs!$B$18:$D$18,1,MATCH(A690,Inputs!$B$6:$D$6,0)),IF(INDEX(Roster!$D$6:$D$108,MATCH(D690,Roster!$A$6:$A$108,0))&gt;=15,INDEX(Inputs!$B$17:$D$17,1,MATCH(A690,Inputs!$B$6:$D$6,0)),IF(INDEX(Roster!$D$6:$D$108,MATCH(D690,Roster!$A$6:$A$108,0))&gt;=10,INDEX(Inputs!$B$16:$D$16,1,MATCH(A690,Inputs!$B$6:$D$6,0)),IF(INDEX(Roster!$D$6:$D$108,MATCH(D690,Roster!$A$6:$A$108,0))&gt;=5,INDEX(Inputs!$B$15:$D$15,1,MATCH(A690,Inputs!$B$6:$D$6,0)),0)))))</x:f>
        <x:v>70</x:v>
      </x:c>
      <x:c r="M690" s="20" t="n">
        <x:f>G690*I690</x:f>
        <x:v>31135</x:v>
      </x:c>
      <x:c r="N690" s="20" t="n">
        <x:f>G690*J690</x:f>
        <x:v>7150</x:v>
      </x:c>
      <x:c r="O690" s="20" t="n">
        <x:f>G690*K690</x:f>
        <x:v>0</x:v>
      </x:c>
      <x:c r="P690" s="20" t="n">
        <x:f>G690*L690</x:f>
        <x:v>910</x:v>
      </x:c>
      <x:c r="Q690" s="20" t="n">
        <x:f>H690*INDEX(Inputs!$B$13:$D$13,1,MATCH(A690,Inputs!$B$6:$D$6,0))</x:f>
        <x:v>390</x:v>
      </x:c>
      <x:c r="R690" s="20" t="n">
        <x:f>SUM(M690:Q690)</x:f>
        <x:v>39585</x:v>
      </x:c>
      <x:c r="S690" s="20" t="n">
        <x:f>IF(AND(A689=A690,D689=D690),S689+R690,R690)</x:f>
        <x:v>39585</x:v>
      </x:c>
      <x:c r="T690" s="20" t="n">
        <x:f>MIN(S690,INDEX(Inputs!$B$20:$D$20,1,MATCH(A690,Inputs!$B$6:$D$6,0)))*INDEX(Inputs!$B$22:$D$22,1,MATCH(A690,Inputs!$B$6:$D$6,0))+MAX(MIN(S690,INDEX(Inputs!$B$21:$D$21,1,MATCH(A690,Inputs!$B$6:$D$6,0)))-INDEX(Inputs!$B$20:$D$20,1,MATCH(A690,Inputs!$B$6:$D$6,0)),0)*INDEX(Inputs!$B$23:$D$23,1,MATCH(A690,Inputs!$B$6:$D$6,0))+MAX(S690-INDEX(Inputs!$B$21:$D$21,1,MATCH(A690,Inputs!$B$6:$D$6,0)),0)*INDEX(Inputs!$B$24:$D$24,1,MATCH(A690,Inputs!$B$6:$D$6,0))</x:f>
        <x:v>3518.2525</x:v>
      </x:c>
      <x:c r="U690" s="20" t="n">
        <x:f>IF(AND(A689=A690,D689=D690),T689,0)</x:f>
        <x:v>0</x:v>
      </x:c>
      <x:c r="V690" s="20" t="n">
        <x:f>T690-U690</x:f>
        <x:v>3518.2525</x:v>
      </x:c>
      <x:c r="W690" s="20" t="n">
        <x:f>R690+V690</x:f>
        <x:v>43103.2525</x:v>
      </x:c>
      <x:c r="X690" s="14" t="str">
        <x:f>IF(ABS(W690-SUM(M690:Q690)-V690)&lt;0.01,"OK","Check")</x:f>
        <x:v>OK</x:v>
      </x:c>
    </x:row>
    <x:row r="691">
      <x:c r="A691" s="14" t="n">
        <x:v>2027</x:v>
      </x:c>
      <x:c r="B691" s="14" t="str">
        <x:v>Q2</x:v>
      </x:c>
      <x:c r="C691" s="14" t="n">
        <x:v>2</x:v>
      </x:c>
      <x:c r="D691" s="14" t="n">
        <x:v>69</x:v>
      </x:c>
      <x:c r="E691" s="14" t="str">
        <x:f>INDEX(Roster!$B$6:$B$108,MATCH(D691,Roster!$A$6:$A$108,0))</x:f>
      </x:c>
      <x:c r="F691" s="14" t="str">
        <x:f>INDEX(Roster!$F$6:$F$108,MATCH(D691,Roster!$A$6:$A$108,0))</x:f>
        <x:v>No</x:v>
      </x:c>
      <x:c r="G691" s="14" t="n">
        <x:f>INDEX(Inputs!$B$7:$D$7,1,MATCH(A691,Inputs!$B$6:$D$6,0))</x:f>
        <x:v>13</x:v>
      </x:c>
      <x:c r="H691" s="14" t="n">
        <x:f>MIN(=INDEX(Inputs!$B$7:$D$7,1,MATCH(A691,Inputs!$B$6:$D$6,0)),MAX(0,INDEX(Inputs!$B$14:$D$14,1,MATCH(A691,Inputs!$B$6:$D$6,0))-(C691-1)*=INDEX(Inputs!$B$7:$D$7,1,MATCH(A691,Inputs!$B$6:$D$6,0))))</x:f>
        <x:v>13</x:v>
      </x:c>
      <x:c r="I691" s="20" t="n">
        <x:f>INDEX(Inputs!$B$8:$D$8,1,MATCH(A691,Inputs!$B$6:$D$6,0))</x:f>
        <x:v>2395</x:v>
      </x:c>
      <x:c r="J691" s="20" t="n">
        <x:f>INDEX(Roster!$C$6:$C$108,MATCH(D691,Roster!$A$6:$A$108,0))*(1+INDEX(Inputs!$B$9:$D$9,1,MATCH(A691,Inputs!$B$6:$D$6,0)))</x:f>
        <x:v>550</x:v>
      </x:c>
      <x:c r="K691" s="20" t="n">
        <x:f>IF(=INDEX(Roster!$F$6:$F$108,MATCH(D691,Roster!$A$6:$A$108,0))="Yes",0,=INDEX(Inputs!$B$8:$D$8,1,MATCH(A691,Inputs!$B$6:$D$6,0))*IF(=INDEX(Roster!$B$6:$B$108,MATCH(D691,Roster!$A$6:$A$108,0))="Principal",INDEX(Inputs!$B$10:$D$10,1,MATCH(A691,Inputs!$B$6:$D$6,0)),IF(=INDEX(Roster!$B$6:$B$108,MATCH(D691,Roster!$A$6:$A$108,0))="Associate Principal",INDEX(Inputs!$B$11:$D$11,1,MATCH(A691,Inputs!$B$6:$D$6,0)),IF(=INDEX(Roster!$B$6:$B$108,MATCH(D691,Roster!$A$6:$A$108,0))="Assistant Principal",INDEX(Inputs!$B$12:$D$12,1,MATCH(A691,Inputs!$B$6:$D$6,0)),0))))</x:f>
        <x:v>0</x:v>
      </x:c>
      <x:c r="L691" s="20" t="n">
        <x:f>IF(INDEX(Roster!$D$6:$D$108,MATCH(D691,Roster!$A$6:$A$108,0))&gt;=25,INDEX(Inputs!$B$19:$D$19,1,MATCH(A691,Inputs!$B$6:$D$6,0)),IF(INDEX(Roster!$D$6:$D$108,MATCH(D691,Roster!$A$6:$A$108,0))&gt;=20,INDEX(Inputs!$B$18:$D$18,1,MATCH(A691,Inputs!$B$6:$D$6,0)),IF(INDEX(Roster!$D$6:$D$108,MATCH(D691,Roster!$A$6:$A$108,0))&gt;=15,INDEX(Inputs!$B$17:$D$17,1,MATCH(A691,Inputs!$B$6:$D$6,0)),IF(INDEX(Roster!$D$6:$D$108,MATCH(D691,Roster!$A$6:$A$108,0))&gt;=10,INDEX(Inputs!$B$16:$D$16,1,MATCH(A691,Inputs!$B$6:$D$6,0)),IF(INDEX(Roster!$D$6:$D$108,MATCH(D691,Roster!$A$6:$A$108,0))&gt;=5,INDEX(Inputs!$B$15:$D$15,1,MATCH(A691,Inputs!$B$6:$D$6,0)),0)))))</x:f>
        <x:v>70</x:v>
      </x:c>
      <x:c r="M691" s="20" t="n">
        <x:f>G691*I691</x:f>
        <x:v>31135</x:v>
      </x:c>
      <x:c r="N691" s="20" t="n">
        <x:f>G691*J691</x:f>
        <x:v>7150</x:v>
      </x:c>
      <x:c r="O691" s="20" t="n">
        <x:f>G691*K691</x:f>
        <x:v>0</x:v>
      </x:c>
      <x:c r="P691" s="20" t="n">
        <x:f>G691*L691</x:f>
        <x:v>910</x:v>
      </x:c>
      <x:c r="Q691" s="20" t="n">
        <x:f>H691*INDEX(Inputs!$B$13:$D$13,1,MATCH(A691,Inputs!$B$6:$D$6,0))</x:f>
        <x:v>390</x:v>
      </x:c>
      <x:c r="R691" s="20" t="n">
        <x:f>SUM(M691:Q691)</x:f>
        <x:v>39585</x:v>
      </x:c>
      <x:c r="S691" s="20" t="n">
        <x:f>IF(AND(A690=A691,D690=D691),S690+R691,R691)</x:f>
        <x:v>79170</x:v>
      </x:c>
      <x:c r="T691" s="20" t="n">
        <x:f>MIN(S691,INDEX(Inputs!$B$20:$D$20,1,MATCH(A691,Inputs!$B$6:$D$6,0)))*INDEX(Inputs!$B$22:$D$22,1,MATCH(A691,Inputs!$B$6:$D$6,0))+MAX(MIN(S691,INDEX(Inputs!$B$21:$D$21,1,MATCH(A691,Inputs!$B$6:$D$6,0)))-INDEX(Inputs!$B$20:$D$20,1,MATCH(A691,Inputs!$B$6:$D$6,0)),0)*INDEX(Inputs!$B$23:$D$23,1,MATCH(A691,Inputs!$B$6:$D$6,0))+MAX(S691-INDEX(Inputs!$B$21:$D$21,1,MATCH(A691,Inputs!$B$6:$D$6,0)),0)*INDEX(Inputs!$B$24:$D$24,1,MATCH(A691,Inputs!$B$6:$D$6,0))</x:f>
        <x:v>6546.505</x:v>
      </x:c>
      <x:c r="U691" s="20" t="n">
        <x:f>IF(AND(A690=A691,D690=D691),T690,0)</x:f>
        <x:v>3518.2525</x:v>
      </x:c>
      <x:c r="V691" s="20" t="n">
        <x:f>T691-U691</x:f>
        <x:v>3028.2525</x:v>
      </x:c>
      <x:c r="W691" s="20" t="n">
        <x:f>R691+V691</x:f>
        <x:v>42613.2525</x:v>
      </x:c>
      <x:c r="X691" s="14" t="str">
        <x:f>IF(ABS(W691-SUM(M691:Q691)-V691)&lt;0.01,"OK","Check")</x:f>
        <x:v>OK</x:v>
      </x:c>
    </x:row>
    <x:row r="692">
      <x:c r="A692" s="14" t="n">
        <x:v>2027</x:v>
      </x:c>
      <x:c r="B692" s="14" t="str">
        <x:v>Q3</x:v>
      </x:c>
      <x:c r="C692" s="14" t="n">
        <x:v>3</x:v>
      </x:c>
      <x:c r="D692" s="14" t="n">
        <x:v>69</x:v>
      </x:c>
      <x:c r="E692" s="14" t="str">
        <x:f>INDEX(Roster!$B$6:$B$108,MATCH(D692,Roster!$A$6:$A$108,0))</x:f>
      </x:c>
      <x:c r="F692" s="14" t="str">
        <x:f>INDEX(Roster!$F$6:$F$108,MATCH(D692,Roster!$A$6:$A$108,0))</x:f>
        <x:v>No</x:v>
      </x:c>
      <x:c r="G692" s="14" t="n">
        <x:f>INDEX(Inputs!$B$7:$D$7,1,MATCH(A692,Inputs!$B$6:$D$6,0))</x:f>
        <x:v>13</x:v>
      </x:c>
      <x:c r="H692" s="14" t="n">
        <x:f>MIN(=INDEX(Inputs!$B$7:$D$7,1,MATCH(A692,Inputs!$B$6:$D$6,0)),MAX(0,INDEX(Inputs!$B$14:$D$14,1,MATCH(A692,Inputs!$B$6:$D$6,0))-(C692-1)*=INDEX(Inputs!$B$7:$D$7,1,MATCH(A692,Inputs!$B$6:$D$6,0))))</x:f>
        <x:v>13</x:v>
      </x:c>
      <x:c r="I692" s="20" t="n">
        <x:f>INDEX(Inputs!$B$8:$D$8,1,MATCH(A692,Inputs!$B$6:$D$6,0))</x:f>
        <x:v>2395</x:v>
      </x:c>
      <x:c r="J692" s="20" t="n">
        <x:f>INDEX(Roster!$C$6:$C$108,MATCH(D692,Roster!$A$6:$A$108,0))*(1+INDEX(Inputs!$B$9:$D$9,1,MATCH(A692,Inputs!$B$6:$D$6,0)))</x:f>
        <x:v>550</x:v>
      </x:c>
      <x:c r="K692" s="20" t="n">
        <x:f>IF(=INDEX(Roster!$F$6:$F$108,MATCH(D692,Roster!$A$6:$A$108,0))="Yes",0,=INDEX(Inputs!$B$8:$D$8,1,MATCH(A692,Inputs!$B$6:$D$6,0))*IF(=INDEX(Roster!$B$6:$B$108,MATCH(D692,Roster!$A$6:$A$108,0))="Principal",INDEX(Inputs!$B$10:$D$10,1,MATCH(A692,Inputs!$B$6:$D$6,0)),IF(=INDEX(Roster!$B$6:$B$108,MATCH(D692,Roster!$A$6:$A$108,0))="Associate Principal",INDEX(Inputs!$B$11:$D$11,1,MATCH(A692,Inputs!$B$6:$D$6,0)),IF(=INDEX(Roster!$B$6:$B$108,MATCH(D692,Roster!$A$6:$A$108,0))="Assistant Principal",INDEX(Inputs!$B$12:$D$12,1,MATCH(A692,Inputs!$B$6:$D$6,0)),0))))</x:f>
        <x:v>0</x:v>
      </x:c>
      <x:c r="L692" s="20" t="n">
        <x:f>IF(INDEX(Roster!$D$6:$D$108,MATCH(D692,Roster!$A$6:$A$108,0))&gt;=25,INDEX(Inputs!$B$19:$D$19,1,MATCH(A692,Inputs!$B$6:$D$6,0)),IF(INDEX(Roster!$D$6:$D$108,MATCH(D692,Roster!$A$6:$A$108,0))&gt;=20,INDEX(Inputs!$B$18:$D$18,1,MATCH(A692,Inputs!$B$6:$D$6,0)),IF(INDEX(Roster!$D$6:$D$108,MATCH(D692,Roster!$A$6:$A$108,0))&gt;=15,INDEX(Inputs!$B$17:$D$17,1,MATCH(A692,Inputs!$B$6:$D$6,0)),IF(INDEX(Roster!$D$6:$D$108,MATCH(D692,Roster!$A$6:$A$108,0))&gt;=10,INDEX(Inputs!$B$16:$D$16,1,MATCH(A692,Inputs!$B$6:$D$6,0)),IF(INDEX(Roster!$D$6:$D$108,MATCH(D692,Roster!$A$6:$A$108,0))&gt;=5,INDEX(Inputs!$B$15:$D$15,1,MATCH(A692,Inputs!$B$6:$D$6,0)),0)))))</x:f>
        <x:v>70</x:v>
      </x:c>
      <x:c r="M692" s="20" t="n">
        <x:f>G692*I692</x:f>
        <x:v>31135</x:v>
      </x:c>
      <x:c r="N692" s="20" t="n">
        <x:f>G692*J692</x:f>
        <x:v>7150</x:v>
      </x:c>
      <x:c r="O692" s="20" t="n">
        <x:f>G692*K692</x:f>
        <x:v>0</x:v>
      </x:c>
      <x:c r="P692" s="20" t="n">
        <x:f>G692*L692</x:f>
        <x:v>910</x:v>
      </x:c>
      <x:c r="Q692" s="20" t="n">
        <x:f>H692*INDEX(Inputs!$B$13:$D$13,1,MATCH(A692,Inputs!$B$6:$D$6,0))</x:f>
        <x:v>390</x:v>
      </x:c>
      <x:c r="R692" s="20" t="n">
        <x:f>SUM(M692:Q692)</x:f>
        <x:v>39585</x:v>
      </x:c>
      <x:c r="S692" s="20" t="n">
        <x:f>IF(AND(A691=A692,D691=D692),S691+R692,R692)</x:f>
        <x:v>118755</x:v>
      </x:c>
      <x:c r="T692" s="20" t="n">
        <x:f>MIN(S692,INDEX(Inputs!$B$20:$D$20,1,MATCH(A692,Inputs!$B$6:$D$6,0)))*INDEX(Inputs!$B$22:$D$22,1,MATCH(A692,Inputs!$B$6:$D$6,0))+MAX(MIN(S692,INDEX(Inputs!$B$21:$D$21,1,MATCH(A692,Inputs!$B$6:$D$6,0)))-INDEX(Inputs!$B$20:$D$20,1,MATCH(A692,Inputs!$B$6:$D$6,0)),0)*INDEX(Inputs!$B$23:$D$23,1,MATCH(A692,Inputs!$B$6:$D$6,0))+MAX(S692-INDEX(Inputs!$B$21:$D$21,1,MATCH(A692,Inputs!$B$6:$D$6,0)),0)*INDEX(Inputs!$B$24:$D$24,1,MATCH(A692,Inputs!$B$6:$D$6,0))</x:f>
        <x:v>9574.7575</x:v>
      </x:c>
      <x:c r="U692" s="20" t="n">
        <x:f>IF(AND(A691=A692,D691=D692),T691,0)</x:f>
        <x:v>6546.505</x:v>
      </x:c>
      <x:c r="V692" s="20" t="n">
        <x:f>T692-U692</x:f>
        <x:v>3028.2524999999996</x:v>
      </x:c>
      <x:c r="W692" s="20" t="n">
        <x:f>R692+V692</x:f>
        <x:v>42613.2525</x:v>
      </x:c>
      <x:c r="X692" s="14" t="str">
        <x:f>IF(ABS(W692-SUM(M692:Q692)-V692)&lt;0.01,"OK","Check")</x:f>
        <x:v>OK</x:v>
      </x:c>
    </x:row>
    <x:row r="693">
      <x:c r="A693" s="14" t="n">
        <x:v>2027</x:v>
      </x:c>
      <x:c r="B693" s="14" t="str">
        <x:v>Q4</x:v>
      </x:c>
      <x:c r="C693" s="14" t="n">
        <x:v>4</x:v>
      </x:c>
      <x:c r="D693" s="14" t="n">
        <x:v>69</x:v>
      </x:c>
      <x:c r="E693" s="14" t="str">
        <x:f>INDEX(Roster!$B$6:$B$108,MATCH(D693,Roster!$A$6:$A$108,0))</x:f>
      </x:c>
      <x:c r="F693" s="14" t="str">
        <x:f>INDEX(Roster!$F$6:$F$108,MATCH(D693,Roster!$A$6:$A$108,0))</x:f>
        <x:v>No</x:v>
      </x:c>
      <x:c r="G693" s="14" t="n">
        <x:f>INDEX(Inputs!$B$7:$D$7,1,MATCH(A693,Inputs!$B$6:$D$6,0))</x:f>
        <x:v>13</x:v>
      </x:c>
      <x:c r="H693" s="14" t="n">
        <x:f>MIN(=INDEX(Inputs!$B$7:$D$7,1,MATCH(A693,Inputs!$B$6:$D$6,0)),MAX(0,INDEX(Inputs!$B$14:$D$14,1,MATCH(A693,Inputs!$B$6:$D$6,0))-(C693-1)*=INDEX(Inputs!$B$7:$D$7,1,MATCH(A693,Inputs!$B$6:$D$6,0))))</x:f>
        <x:v>0</x:v>
      </x:c>
      <x:c r="I693" s="20" t="n">
        <x:f>INDEX(Inputs!$B$8:$D$8,1,MATCH(A693,Inputs!$B$6:$D$6,0))</x:f>
        <x:v>2395</x:v>
      </x:c>
      <x:c r="J693" s="20" t="n">
        <x:f>INDEX(Roster!$C$6:$C$108,MATCH(D693,Roster!$A$6:$A$108,0))*(1+INDEX(Inputs!$B$9:$D$9,1,MATCH(A693,Inputs!$B$6:$D$6,0)))</x:f>
        <x:v>550</x:v>
      </x:c>
      <x:c r="K693" s="20" t="n">
        <x:f>IF(=INDEX(Roster!$F$6:$F$108,MATCH(D693,Roster!$A$6:$A$108,0))="Yes",0,=INDEX(Inputs!$B$8:$D$8,1,MATCH(A693,Inputs!$B$6:$D$6,0))*IF(=INDEX(Roster!$B$6:$B$108,MATCH(D693,Roster!$A$6:$A$108,0))="Principal",INDEX(Inputs!$B$10:$D$10,1,MATCH(A693,Inputs!$B$6:$D$6,0)),IF(=INDEX(Roster!$B$6:$B$108,MATCH(D693,Roster!$A$6:$A$108,0))="Associate Principal",INDEX(Inputs!$B$11:$D$11,1,MATCH(A693,Inputs!$B$6:$D$6,0)),IF(=INDEX(Roster!$B$6:$B$108,MATCH(D693,Roster!$A$6:$A$108,0))="Assistant Principal",INDEX(Inputs!$B$12:$D$12,1,MATCH(A693,Inputs!$B$6:$D$6,0)),0))))</x:f>
        <x:v>0</x:v>
      </x:c>
      <x:c r="L693" s="20" t="n">
        <x:f>IF(INDEX(Roster!$D$6:$D$108,MATCH(D693,Roster!$A$6:$A$108,0))&gt;=25,INDEX(Inputs!$B$19:$D$19,1,MATCH(A693,Inputs!$B$6:$D$6,0)),IF(INDEX(Roster!$D$6:$D$108,MATCH(D693,Roster!$A$6:$A$108,0))&gt;=20,INDEX(Inputs!$B$18:$D$18,1,MATCH(A693,Inputs!$B$6:$D$6,0)),IF(INDEX(Roster!$D$6:$D$108,MATCH(D693,Roster!$A$6:$A$108,0))&gt;=15,INDEX(Inputs!$B$17:$D$17,1,MATCH(A693,Inputs!$B$6:$D$6,0)),IF(INDEX(Roster!$D$6:$D$108,MATCH(D693,Roster!$A$6:$A$108,0))&gt;=10,INDEX(Inputs!$B$16:$D$16,1,MATCH(A693,Inputs!$B$6:$D$6,0)),IF(INDEX(Roster!$D$6:$D$108,MATCH(D693,Roster!$A$6:$A$108,0))&gt;=5,INDEX(Inputs!$B$15:$D$15,1,MATCH(A693,Inputs!$B$6:$D$6,0)),0)))))</x:f>
        <x:v>70</x:v>
      </x:c>
      <x:c r="M693" s="20" t="n">
        <x:f>G693*I693</x:f>
        <x:v>31135</x:v>
      </x:c>
      <x:c r="N693" s="20" t="n">
        <x:f>G693*J693</x:f>
        <x:v>7150</x:v>
      </x:c>
      <x:c r="O693" s="20" t="n">
        <x:f>G693*K693</x:f>
        <x:v>0</x:v>
      </x:c>
      <x:c r="P693" s="20" t="n">
        <x:f>G693*L693</x:f>
        <x:v>910</x:v>
      </x:c>
      <x:c r="Q693" s="20" t="n">
        <x:f>H693*INDEX(Inputs!$B$13:$D$13,1,MATCH(A693,Inputs!$B$6:$D$6,0))</x:f>
        <x:v>0</x:v>
      </x:c>
      <x:c r="R693" s="20" t="n">
        <x:f>SUM(M693:Q693)</x:f>
        <x:v>39195</x:v>
      </x:c>
      <x:c r="S693" s="20" t="n">
        <x:f>IF(AND(A692=A693,D692=D693),S692+R693,R693)</x:f>
        <x:v>157950</x:v>
      </x:c>
      <x:c r="T693" s="20" t="n">
        <x:f>MIN(S693,INDEX(Inputs!$B$20:$D$20,1,MATCH(A693,Inputs!$B$6:$D$6,0)))*INDEX(Inputs!$B$22:$D$22,1,MATCH(A693,Inputs!$B$6:$D$6,0))+MAX(MIN(S693,INDEX(Inputs!$B$21:$D$21,1,MATCH(A693,Inputs!$B$6:$D$6,0)))-INDEX(Inputs!$B$20:$D$20,1,MATCH(A693,Inputs!$B$6:$D$6,0)),0)*INDEX(Inputs!$B$23:$D$23,1,MATCH(A693,Inputs!$B$6:$D$6,0))+MAX(S693-INDEX(Inputs!$B$21:$D$21,1,MATCH(A693,Inputs!$B$6:$D$6,0)),0)*INDEX(Inputs!$B$24:$D$24,1,MATCH(A693,Inputs!$B$6:$D$6,0))</x:f>
        <x:v>10204.217</x:v>
      </x:c>
      <x:c r="U693" s="20" t="n">
        <x:f>IF(AND(A692=A693,D692=D693),T692,0)</x:f>
        <x:v>9574.7575</x:v>
      </x:c>
      <x:c r="V693" s="20" t="n">
        <x:f>T693-U693</x:f>
        <x:v>629.4595000000008</x:v>
      </x:c>
      <x:c r="W693" s="20" t="n">
        <x:f>R693+V693</x:f>
        <x:v>39824.4595</x:v>
      </x:c>
      <x:c r="X693" s="14" t="str">
        <x:f>IF(ABS(W693-SUM(M693:Q693)-V693)&lt;0.01,"OK","Check")</x:f>
        <x:v>OK</x:v>
      </x:c>
    </x:row>
    <x:row r="694">
      <x:c r="A694" s="14" t="n">
        <x:v>2027</x:v>
      </x:c>
      <x:c r="B694" s="14" t="str">
        <x:v>Q1</x:v>
      </x:c>
      <x:c r="C694" s="14" t="n">
        <x:v>1</x:v>
      </x:c>
      <x:c r="D694" s="14" t="n">
        <x:v>70</x:v>
      </x:c>
      <x:c r="E694" s="14" t="str">
        <x:f>INDEX(Roster!$B$6:$B$108,MATCH(D694,Roster!$A$6:$A$108,0))</x:f>
        <x:v>Principal</x:v>
      </x:c>
      <x:c r="F694" s="14" t="str">
        <x:f>INDEX(Roster!$F$6:$F$108,MATCH(D694,Roster!$A$6:$A$108,0))</x:f>
        <x:v>Yes</x:v>
      </x:c>
      <x:c r="G694" s="14" t="n">
        <x:f>INDEX(Inputs!$B$7:$D$7,1,MATCH(A694,Inputs!$B$6:$D$6,0))</x:f>
        <x:v>13</x:v>
      </x:c>
      <x:c r="H694" s="14" t="n">
        <x:f>MIN(=INDEX(Inputs!$B$7:$D$7,1,MATCH(A694,Inputs!$B$6:$D$6,0)),MAX(0,INDEX(Inputs!$B$14:$D$14,1,MATCH(A694,Inputs!$B$6:$D$6,0))-(C694-1)*=INDEX(Inputs!$B$7:$D$7,1,MATCH(A694,Inputs!$B$6:$D$6,0))))</x:f>
        <x:v>13</x:v>
      </x:c>
      <x:c r="I694" s="20" t="n">
        <x:f>INDEX(Inputs!$B$8:$D$8,1,MATCH(A694,Inputs!$B$6:$D$6,0))</x:f>
        <x:v>2395</x:v>
      </x:c>
      <x:c r="J694" s="20" t="n">
        <x:f>INDEX(Roster!$C$6:$C$108,MATCH(D694,Roster!$A$6:$A$108,0))*(1+INDEX(Inputs!$B$9:$D$9,1,MATCH(A694,Inputs!$B$6:$D$6,0)))</x:f>
        <x:v>1300</x:v>
      </x:c>
      <x:c r="K694" s="20" t="n">
        <x:f>IF(=INDEX(Roster!$F$6:$F$108,MATCH(D694,Roster!$A$6:$A$108,0))="Yes",0,=INDEX(Inputs!$B$8:$D$8,1,MATCH(A694,Inputs!$B$6:$D$6,0))*IF(=INDEX(Roster!$B$6:$B$108,MATCH(D694,Roster!$A$6:$A$108,0))="Principal",INDEX(Inputs!$B$10:$D$10,1,MATCH(A694,Inputs!$B$6:$D$6,0)),IF(=INDEX(Roster!$B$6:$B$108,MATCH(D694,Roster!$A$6:$A$108,0))="Associate Principal",INDEX(Inputs!$B$11:$D$11,1,MATCH(A694,Inputs!$B$6:$D$6,0)),IF(=INDEX(Roster!$B$6:$B$108,MATCH(D694,Roster!$A$6:$A$108,0))="Assistant Principal",INDEX(Inputs!$B$12:$D$12,1,MATCH(A694,Inputs!$B$6:$D$6,0)),0))))</x:f>
        <x:v>0</x:v>
      </x:c>
      <x:c r="L694" s="20" t="n">
        <x:f>IF(INDEX(Roster!$D$6:$D$108,MATCH(D694,Roster!$A$6:$A$108,0))&gt;=25,INDEX(Inputs!$B$19:$D$19,1,MATCH(A694,Inputs!$B$6:$D$6,0)),IF(INDEX(Roster!$D$6:$D$108,MATCH(D694,Roster!$A$6:$A$108,0))&gt;=20,INDEX(Inputs!$B$18:$D$18,1,MATCH(A694,Inputs!$B$6:$D$6,0)),IF(INDEX(Roster!$D$6:$D$108,MATCH(D694,Roster!$A$6:$A$108,0))&gt;=15,INDEX(Inputs!$B$17:$D$17,1,MATCH(A694,Inputs!$B$6:$D$6,0)),IF(INDEX(Roster!$D$6:$D$108,MATCH(D694,Roster!$A$6:$A$108,0))&gt;=10,INDEX(Inputs!$B$16:$D$16,1,MATCH(A694,Inputs!$B$6:$D$6,0)),IF(INDEX(Roster!$D$6:$D$108,MATCH(D694,Roster!$A$6:$A$108,0))&gt;=5,INDEX(Inputs!$B$15:$D$15,1,MATCH(A694,Inputs!$B$6:$D$6,0)),0)))))</x:f>
        <x:v>60</x:v>
      </x:c>
      <x:c r="M694" s="20" t="n">
        <x:f>G694*I694</x:f>
        <x:v>31135</x:v>
      </x:c>
      <x:c r="N694" s="20" t="n">
        <x:f>G694*J694</x:f>
        <x:v>16900</x:v>
      </x:c>
      <x:c r="O694" s="20" t="n">
        <x:f>G694*K694</x:f>
        <x:v>0</x:v>
      </x:c>
      <x:c r="P694" s="20" t="n">
        <x:f>G694*L694</x:f>
        <x:v>780</x:v>
      </x:c>
      <x:c r="Q694" s="20" t="n">
        <x:f>H694*INDEX(Inputs!$B$13:$D$13,1,MATCH(A694,Inputs!$B$6:$D$6,0))</x:f>
        <x:v>390</x:v>
      </x:c>
      <x:c r="R694" s="20" t="n">
        <x:f>SUM(M694:Q694)</x:f>
        <x:v>49205</x:v>
      </x:c>
      <x:c r="S694" s="20" t="n">
        <x:f>IF(AND(A693=A694,D693=D694),S693+R694,R694)</x:f>
        <x:v>49205</x:v>
      </x:c>
      <x:c r="T694" s="20" t="n">
        <x:f>MIN(S694,INDEX(Inputs!$B$20:$D$20,1,MATCH(A694,Inputs!$B$6:$D$6,0)))*INDEX(Inputs!$B$22:$D$22,1,MATCH(A694,Inputs!$B$6:$D$6,0))+MAX(MIN(S694,INDEX(Inputs!$B$21:$D$21,1,MATCH(A694,Inputs!$B$6:$D$6,0)))-INDEX(Inputs!$B$20:$D$20,1,MATCH(A694,Inputs!$B$6:$D$6,0)),0)*INDEX(Inputs!$B$23:$D$23,1,MATCH(A694,Inputs!$B$6:$D$6,0))+MAX(S694-INDEX(Inputs!$B$21:$D$21,1,MATCH(A694,Inputs!$B$6:$D$6,0)),0)*INDEX(Inputs!$B$24:$D$24,1,MATCH(A694,Inputs!$B$6:$D$6,0))</x:f>
        <x:v>4254.1825</x:v>
      </x:c>
      <x:c r="U694" s="20" t="n">
        <x:f>IF(AND(A693=A694,D693=D694),T693,0)</x:f>
        <x:v>0</x:v>
      </x:c>
      <x:c r="V694" s="20" t="n">
        <x:f>T694-U694</x:f>
        <x:v>4254.1825</x:v>
      </x:c>
      <x:c r="W694" s="20" t="n">
        <x:f>R694+V694</x:f>
        <x:v>53459.1825</x:v>
      </x:c>
      <x:c r="X694" s="14" t="str">
        <x:f>IF(ABS(W694-SUM(M694:Q694)-V694)&lt;0.01,"OK","Check")</x:f>
        <x:v>OK</x:v>
      </x:c>
    </x:row>
    <x:row r="695">
      <x:c r="A695" s="14" t="n">
        <x:v>2027</x:v>
      </x:c>
      <x:c r="B695" s="14" t="str">
        <x:v>Q2</x:v>
      </x:c>
      <x:c r="C695" s="14" t="n">
        <x:v>2</x:v>
      </x:c>
      <x:c r="D695" s="14" t="n">
        <x:v>70</x:v>
      </x:c>
      <x:c r="E695" s="14" t="str">
        <x:f>INDEX(Roster!$B$6:$B$108,MATCH(D695,Roster!$A$6:$A$108,0))</x:f>
        <x:v>Principal</x:v>
      </x:c>
      <x:c r="F695" s="14" t="str">
        <x:f>INDEX(Roster!$F$6:$F$108,MATCH(D695,Roster!$A$6:$A$108,0))</x:f>
        <x:v>Yes</x:v>
      </x:c>
      <x:c r="G695" s="14" t="n">
        <x:f>INDEX(Inputs!$B$7:$D$7,1,MATCH(A695,Inputs!$B$6:$D$6,0))</x:f>
        <x:v>13</x:v>
      </x:c>
      <x:c r="H695" s="14" t="n">
        <x:f>MIN(=INDEX(Inputs!$B$7:$D$7,1,MATCH(A695,Inputs!$B$6:$D$6,0)),MAX(0,INDEX(Inputs!$B$14:$D$14,1,MATCH(A695,Inputs!$B$6:$D$6,0))-(C695-1)*=INDEX(Inputs!$B$7:$D$7,1,MATCH(A695,Inputs!$B$6:$D$6,0))))</x:f>
        <x:v>13</x:v>
      </x:c>
      <x:c r="I695" s="20" t="n">
        <x:f>INDEX(Inputs!$B$8:$D$8,1,MATCH(A695,Inputs!$B$6:$D$6,0))</x:f>
        <x:v>2395</x:v>
      </x:c>
      <x:c r="J695" s="20" t="n">
        <x:f>INDEX(Roster!$C$6:$C$108,MATCH(D695,Roster!$A$6:$A$108,0))*(1+INDEX(Inputs!$B$9:$D$9,1,MATCH(A695,Inputs!$B$6:$D$6,0)))</x:f>
        <x:v>1300</x:v>
      </x:c>
      <x:c r="K695" s="20" t="n">
        <x:f>IF(=INDEX(Roster!$F$6:$F$108,MATCH(D695,Roster!$A$6:$A$108,0))="Yes",0,=INDEX(Inputs!$B$8:$D$8,1,MATCH(A695,Inputs!$B$6:$D$6,0))*IF(=INDEX(Roster!$B$6:$B$108,MATCH(D695,Roster!$A$6:$A$108,0))="Principal",INDEX(Inputs!$B$10:$D$10,1,MATCH(A695,Inputs!$B$6:$D$6,0)),IF(=INDEX(Roster!$B$6:$B$108,MATCH(D695,Roster!$A$6:$A$108,0))="Associate Principal",INDEX(Inputs!$B$11:$D$11,1,MATCH(A695,Inputs!$B$6:$D$6,0)),IF(=INDEX(Roster!$B$6:$B$108,MATCH(D695,Roster!$A$6:$A$108,0))="Assistant Principal",INDEX(Inputs!$B$12:$D$12,1,MATCH(A695,Inputs!$B$6:$D$6,0)),0))))</x:f>
        <x:v>0</x:v>
      </x:c>
      <x:c r="L695" s="20" t="n">
        <x:f>IF(INDEX(Roster!$D$6:$D$108,MATCH(D695,Roster!$A$6:$A$108,0))&gt;=25,INDEX(Inputs!$B$19:$D$19,1,MATCH(A695,Inputs!$B$6:$D$6,0)),IF(INDEX(Roster!$D$6:$D$108,MATCH(D695,Roster!$A$6:$A$108,0))&gt;=20,INDEX(Inputs!$B$18:$D$18,1,MATCH(A695,Inputs!$B$6:$D$6,0)),IF(INDEX(Roster!$D$6:$D$108,MATCH(D695,Roster!$A$6:$A$108,0))&gt;=15,INDEX(Inputs!$B$17:$D$17,1,MATCH(A695,Inputs!$B$6:$D$6,0)),IF(INDEX(Roster!$D$6:$D$108,MATCH(D695,Roster!$A$6:$A$108,0))&gt;=10,INDEX(Inputs!$B$16:$D$16,1,MATCH(A695,Inputs!$B$6:$D$6,0)),IF(INDEX(Roster!$D$6:$D$108,MATCH(D695,Roster!$A$6:$A$108,0))&gt;=5,INDEX(Inputs!$B$15:$D$15,1,MATCH(A695,Inputs!$B$6:$D$6,0)),0)))))</x:f>
        <x:v>60</x:v>
      </x:c>
      <x:c r="M695" s="20" t="n">
        <x:f>G695*I695</x:f>
        <x:v>31135</x:v>
      </x:c>
      <x:c r="N695" s="20" t="n">
        <x:f>G695*J695</x:f>
        <x:v>16900</x:v>
      </x:c>
      <x:c r="O695" s="20" t="n">
        <x:f>G695*K695</x:f>
        <x:v>0</x:v>
      </x:c>
      <x:c r="P695" s="20" t="n">
        <x:f>G695*L695</x:f>
        <x:v>780</x:v>
      </x:c>
      <x:c r="Q695" s="20" t="n">
        <x:f>H695*INDEX(Inputs!$B$13:$D$13,1,MATCH(A695,Inputs!$B$6:$D$6,0))</x:f>
        <x:v>390</x:v>
      </x:c>
      <x:c r="R695" s="20" t="n">
        <x:f>SUM(M695:Q695)</x:f>
        <x:v>49205</x:v>
      </x:c>
      <x:c r="S695" s="20" t="n">
        <x:f>IF(AND(A694=A695,D694=D695),S694+R695,R695)</x:f>
        <x:v>98410</x:v>
      </x:c>
      <x:c r="T695" s="20" t="n">
        <x:f>MIN(S695,INDEX(Inputs!$B$20:$D$20,1,MATCH(A695,Inputs!$B$6:$D$6,0)))*INDEX(Inputs!$B$22:$D$22,1,MATCH(A695,Inputs!$B$6:$D$6,0))+MAX(MIN(S695,INDEX(Inputs!$B$21:$D$21,1,MATCH(A695,Inputs!$B$6:$D$6,0)))-INDEX(Inputs!$B$20:$D$20,1,MATCH(A695,Inputs!$B$6:$D$6,0)),0)*INDEX(Inputs!$B$23:$D$23,1,MATCH(A695,Inputs!$B$6:$D$6,0))+MAX(S695-INDEX(Inputs!$B$21:$D$21,1,MATCH(A695,Inputs!$B$6:$D$6,0)),0)*INDEX(Inputs!$B$24:$D$24,1,MATCH(A695,Inputs!$B$6:$D$6,0))</x:f>
        <x:v>8018.365</x:v>
      </x:c>
      <x:c r="U695" s="20" t="n">
        <x:f>IF(AND(A694=A695,D694=D695),T694,0)</x:f>
        <x:v>4254.1825</x:v>
      </x:c>
      <x:c r="V695" s="20" t="n">
        <x:f>T695-U695</x:f>
        <x:v>3764.1825</x:v>
      </x:c>
      <x:c r="W695" s="20" t="n">
        <x:f>R695+V695</x:f>
        <x:v>52969.1825</x:v>
      </x:c>
      <x:c r="X695" s="14" t="str">
        <x:f>IF(ABS(W695-SUM(M695:Q695)-V695)&lt;0.01,"OK","Check")</x:f>
        <x:v>OK</x:v>
      </x:c>
    </x:row>
    <x:row r="696">
      <x:c r="A696" s="14" t="n">
        <x:v>2027</x:v>
      </x:c>
      <x:c r="B696" s="14" t="str">
        <x:v>Q3</x:v>
      </x:c>
      <x:c r="C696" s="14" t="n">
        <x:v>3</x:v>
      </x:c>
      <x:c r="D696" s="14" t="n">
        <x:v>70</x:v>
      </x:c>
      <x:c r="E696" s="14" t="str">
        <x:f>INDEX(Roster!$B$6:$B$108,MATCH(D696,Roster!$A$6:$A$108,0))</x:f>
        <x:v>Principal</x:v>
      </x:c>
      <x:c r="F696" s="14" t="str">
        <x:f>INDEX(Roster!$F$6:$F$108,MATCH(D696,Roster!$A$6:$A$108,0))</x:f>
        <x:v>Yes</x:v>
      </x:c>
      <x:c r="G696" s="14" t="n">
        <x:f>INDEX(Inputs!$B$7:$D$7,1,MATCH(A696,Inputs!$B$6:$D$6,0))</x:f>
        <x:v>13</x:v>
      </x:c>
      <x:c r="H696" s="14" t="n">
        <x:f>MIN(=INDEX(Inputs!$B$7:$D$7,1,MATCH(A696,Inputs!$B$6:$D$6,0)),MAX(0,INDEX(Inputs!$B$14:$D$14,1,MATCH(A696,Inputs!$B$6:$D$6,0))-(C696-1)*=INDEX(Inputs!$B$7:$D$7,1,MATCH(A696,Inputs!$B$6:$D$6,0))))</x:f>
        <x:v>13</x:v>
      </x:c>
      <x:c r="I696" s="20" t="n">
        <x:f>INDEX(Inputs!$B$8:$D$8,1,MATCH(A696,Inputs!$B$6:$D$6,0))</x:f>
        <x:v>2395</x:v>
      </x:c>
      <x:c r="J696" s="20" t="n">
        <x:f>INDEX(Roster!$C$6:$C$108,MATCH(D696,Roster!$A$6:$A$108,0))*(1+INDEX(Inputs!$B$9:$D$9,1,MATCH(A696,Inputs!$B$6:$D$6,0)))</x:f>
        <x:v>1300</x:v>
      </x:c>
      <x:c r="K696" s="20" t="n">
        <x:f>IF(=INDEX(Roster!$F$6:$F$108,MATCH(D696,Roster!$A$6:$A$108,0))="Yes",0,=INDEX(Inputs!$B$8:$D$8,1,MATCH(A696,Inputs!$B$6:$D$6,0))*IF(=INDEX(Roster!$B$6:$B$108,MATCH(D696,Roster!$A$6:$A$108,0))="Principal",INDEX(Inputs!$B$10:$D$10,1,MATCH(A696,Inputs!$B$6:$D$6,0)),IF(=INDEX(Roster!$B$6:$B$108,MATCH(D696,Roster!$A$6:$A$108,0))="Associate Principal",INDEX(Inputs!$B$11:$D$11,1,MATCH(A696,Inputs!$B$6:$D$6,0)),IF(=INDEX(Roster!$B$6:$B$108,MATCH(D696,Roster!$A$6:$A$108,0))="Assistant Principal",INDEX(Inputs!$B$12:$D$12,1,MATCH(A696,Inputs!$B$6:$D$6,0)),0))))</x:f>
        <x:v>0</x:v>
      </x:c>
      <x:c r="L696" s="20" t="n">
        <x:f>IF(INDEX(Roster!$D$6:$D$108,MATCH(D696,Roster!$A$6:$A$108,0))&gt;=25,INDEX(Inputs!$B$19:$D$19,1,MATCH(A696,Inputs!$B$6:$D$6,0)),IF(INDEX(Roster!$D$6:$D$108,MATCH(D696,Roster!$A$6:$A$108,0))&gt;=20,INDEX(Inputs!$B$18:$D$18,1,MATCH(A696,Inputs!$B$6:$D$6,0)),IF(INDEX(Roster!$D$6:$D$108,MATCH(D696,Roster!$A$6:$A$108,0))&gt;=15,INDEX(Inputs!$B$17:$D$17,1,MATCH(A696,Inputs!$B$6:$D$6,0)),IF(INDEX(Roster!$D$6:$D$108,MATCH(D696,Roster!$A$6:$A$108,0))&gt;=10,INDEX(Inputs!$B$16:$D$16,1,MATCH(A696,Inputs!$B$6:$D$6,0)),IF(INDEX(Roster!$D$6:$D$108,MATCH(D696,Roster!$A$6:$A$108,0))&gt;=5,INDEX(Inputs!$B$15:$D$15,1,MATCH(A696,Inputs!$B$6:$D$6,0)),0)))))</x:f>
        <x:v>60</x:v>
      </x:c>
      <x:c r="M696" s="20" t="n">
        <x:f>G696*I696</x:f>
        <x:v>31135</x:v>
      </x:c>
      <x:c r="N696" s="20" t="n">
        <x:f>G696*J696</x:f>
        <x:v>16900</x:v>
      </x:c>
      <x:c r="O696" s="20" t="n">
        <x:f>G696*K696</x:f>
        <x:v>0</x:v>
      </x:c>
      <x:c r="P696" s="20" t="n">
        <x:f>G696*L696</x:f>
        <x:v>780</x:v>
      </x:c>
      <x:c r="Q696" s="20" t="n">
        <x:f>H696*INDEX(Inputs!$B$13:$D$13,1,MATCH(A696,Inputs!$B$6:$D$6,0))</x:f>
        <x:v>390</x:v>
      </x:c>
      <x:c r="R696" s="20" t="n">
        <x:f>SUM(M696:Q696)</x:f>
        <x:v>49205</x:v>
      </x:c>
      <x:c r="S696" s="20" t="n">
        <x:f>IF(AND(A695=A696,D695=D696),S695+R696,R696)</x:f>
        <x:v>147615</x:v>
      </x:c>
      <x:c r="T696" s="20" t="n">
        <x:f>MIN(S696,INDEX(Inputs!$B$20:$D$20,1,MATCH(A696,Inputs!$B$6:$D$6,0)))*INDEX(Inputs!$B$22:$D$22,1,MATCH(A696,Inputs!$B$6:$D$6,0))+MAX(MIN(S696,INDEX(Inputs!$B$21:$D$21,1,MATCH(A696,Inputs!$B$6:$D$6,0)))-INDEX(Inputs!$B$20:$D$20,1,MATCH(A696,Inputs!$B$6:$D$6,0)),0)*INDEX(Inputs!$B$23:$D$23,1,MATCH(A696,Inputs!$B$6:$D$6,0))+MAX(S696-INDEX(Inputs!$B$21:$D$21,1,MATCH(A696,Inputs!$B$6:$D$6,0)),0)*INDEX(Inputs!$B$24:$D$24,1,MATCH(A696,Inputs!$B$6:$D$6,0))</x:f>
        <x:v>10054.3595</x:v>
      </x:c>
      <x:c r="U696" s="20" t="n">
        <x:f>IF(AND(A695=A696,D695=D696),T695,0)</x:f>
        <x:v>8018.365</x:v>
      </x:c>
      <x:c r="V696" s="20" t="n">
        <x:f>T696-U696</x:f>
        <x:v>2035.9945000000007</x:v>
      </x:c>
      <x:c r="W696" s="20" t="n">
        <x:f>R696+V696</x:f>
        <x:v>51240.9945</x:v>
      </x:c>
      <x:c r="X696" s="14" t="str">
        <x:f>IF(ABS(W696-SUM(M696:Q696)-V696)&lt;0.01,"OK","Check")</x:f>
        <x:v>OK</x:v>
      </x:c>
    </x:row>
    <x:row r="697">
      <x:c r="A697" s="14" t="n">
        <x:v>2027</x:v>
      </x:c>
      <x:c r="B697" s="14" t="str">
        <x:v>Q4</x:v>
      </x:c>
      <x:c r="C697" s="14" t="n">
        <x:v>4</x:v>
      </x:c>
      <x:c r="D697" s="14" t="n">
        <x:v>70</x:v>
      </x:c>
      <x:c r="E697" s="14" t="str">
        <x:f>INDEX(Roster!$B$6:$B$108,MATCH(D697,Roster!$A$6:$A$108,0))</x:f>
        <x:v>Principal</x:v>
      </x:c>
      <x:c r="F697" s="14" t="str">
        <x:f>INDEX(Roster!$F$6:$F$108,MATCH(D697,Roster!$A$6:$A$108,0))</x:f>
        <x:v>Yes</x:v>
      </x:c>
      <x:c r="G697" s="14" t="n">
        <x:f>INDEX(Inputs!$B$7:$D$7,1,MATCH(A697,Inputs!$B$6:$D$6,0))</x:f>
        <x:v>13</x:v>
      </x:c>
      <x:c r="H697" s="14" t="n">
        <x:f>MIN(=INDEX(Inputs!$B$7:$D$7,1,MATCH(A697,Inputs!$B$6:$D$6,0)),MAX(0,INDEX(Inputs!$B$14:$D$14,1,MATCH(A697,Inputs!$B$6:$D$6,0))-(C697-1)*=INDEX(Inputs!$B$7:$D$7,1,MATCH(A697,Inputs!$B$6:$D$6,0))))</x:f>
        <x:v>0</x:v>
      </x:c>
      <x:c r="I697" s="20" t="n">
        <x:f>INDEX(Inputs!$B$8:$D$8,1,MATCH(A697,Inputs!$B$6:$D$6,0))</x:f>
        <x:v>2395</x:v>
      </x:c>
      <x:c r="J697" s="20" t="n">
        <x:f>INDEX(Roster!$C$6:$C$108,MATCH(D697,Roster!$A$6:$A$108,0))*(1+INDEX(Inputs!$B$9:$D$9,1,MATCH(A697,Inputs!$B$6:$D$6,0)))</x:f>
        <x:v>1300</x:v>
      </x:c>
      <x:c r="K697" s="20" t="n">
        <x:f>IF(=INDEX(Roster!$F$6:$F$108,MATCH(D697,Roster!$A$6:$A$108,0))="Yes",0,=INDEX(Inputs!$B$8:$D$8,1,MATCH(A697,Inputs!$B$6:$D$6,0))*IF(=INDEX(Roster!$B$6:$B$108,MATCH(D697,Roster!$A$6:$A$108,0))="Principal",INDEX(Inputs!$B$10:$D$10,1,MATCH(A697,Inputs!$B$6:$D$6,0)),IF(=INDEX(Roster!$B$6:$B$108,MATCH(D697,Roster!$A$6:$A$108,0))="Associate Principal",INDEX(Inputs!$B$11:$D$11,1,MATCH(A697,Inputs!$B$6:$D$6,0)),IF(=INDEX(Roster!$B$6:$B$108,MATCH(D697,Roster!$A$6:$A$108,0))="Assistant Principal",INDEX(Inputs!$B$12:$D$12,1,MATCH(A697,Inputs!$B$6:$D$6,0)),0))))</x:f>
        <x:v>0</x:v>
      </x:c>
      <x:c r="L697" s="20" t="n">
        <x:f>IF(INDEX(Roster!$D$6:$D$108,MATCH(D697,Roster!$A$6:$A$108,0))&gt;=25,INDEX(Inputs!$B$19:$D$19,1,MATCH(A697,Inputs!$B$6:$D$6,0)),IF(INDEX(Roster!$D$6:$D$108,MATCH(D697,Roster!$A$6:$A$108,0))&gt;=20,INDEX(Inputs!$B$18:$D$18,1,MATCH(A697,Inputs!$B$6:$D$6,0)),IF(INDEX(Roster!$D$6:$D$108,MATCH(D697,Roster!$A$6:$A$108,0))&gt;=15,INDEX(Inputs!$B$17:$D$17,1,MATCH(A697,Inputs!$B$6:$D$6,0)),IF(INDEX(Roster!$D$6:$D$108,MATCH(D697,Roster!$A$6:$A$108,0))&gt;=10,INDEX(Inputs!$B$16:$D$16,1,MATCH(A697,Inputs!$B$6:$D$6,0)),IF(INDEX(Roster!$D$6:$D$108,MATCH(D697,Roster!$A$6:$A$108,0))&gt;=5,INDEX(Inputs!$B$15:$D$15,1,MATCH(A697,Inputs!$B$6:$D$6,0)),0)))))</x:f>
        <x:v>60</x:v>
      </x:c>
      <x:c r="M697" s="20" t="n">
        <x:f>G697*I697</x:f>
        <x:v>31135</x:v>
      </x:c>
      <x:c r="N697" s="20" t="n">
        <x:f>G697*J697</x:f>
        <x:v>16900</x:v>
      </x:c>
      <x:c r="O697" s="20" t="n">
        <x:f>G697*K697</x:f>
        <x:v>0</x:v>
      </x:c>
      <x:c r="P697" s="20" t="n">
        <x:f>G697*L697</x:f>
        <x:v>780</x:v>
      </x:c>
      <x:c r="Q697" s="20" t="n">
        <x:f>H697*INDEX(Inputs!$B$13:$D$13,1,MATCH(A697,Inputs!$B$6:$D$6,0))</x:f>
        <x:v>0</x:v>
      </x:c>
      <x:c r="R697" s="20" t="n">
        <x:f>SUM(M697:Q697)</x:f>
        <x:v>48815</x:v>
      </x:c>
      <x:c r="S697" s="20" t="n">
        <x:f>IF(AND(A696=A697,D696=D697),S696+R697,R697)</x:f>
        <x:v>196430</x:v>
      </x:c>
      <x:c r="T697" s="20" t="n">
        <x:f>MIN(S697,INDEX(Inputs!$B$20:$D$20,1,MATCH(A697,Inputs!$B$6:$D$6,0)))*INDEX(Inputs!$B$22:$D$22,1,MATCH(A697,Inputs!$B$6:$D$6,0))+MAX(MIN(S697,INDEX(Inputs!$B$21:$D$21,1,MATCH(A697,Inputs!$B$6:$D$6,0)))-INDEX(Inputs!$B$20:$D$20,1,MATCH(A697,Inputs!$B$6:$D$6,0)),0)*INDEX(Inputs!$B$23:$D$23,1,MATCH(A697,Inputs!$B$6:$D$6,0))+MAX(S697-INDEX(Inputs!$B$21:$D$21,1,MATCH(A697,Inputs!$B$6:$D$6,0)),0)*INDEX(Inputs!$B$24:$D$24,1,MATCH(A697,Inputs!$B$6:$D$6,0))</x:f>
        <x:v>10762.177</x:v>
      </x:c>
      <x:c r="U697" s="20" t="n">
        <x:f>IF(AND(A696=A697,D696=D697),T696,0)</x:f>
        <x:v>10054.3595</x:v>
      </x:c>
      <x:c r="V697" s="20" t="n">
        <x:f>T697-U697</x:f>
        <x:v>707.8174999999992</x:v>
      </x:c>
      <x:c r="W697" s="20" t="n">
        <x:f>R697+V697</x:f>
        <x:v>49522.8175</x:v>
      </x:c>
      <x:c r="X697" s="14" t="str">
        <x:f>IF(ABS(W697-SUM(M697:Q697)-V697)&lt;0.01,"OK","Check")</x:f>
        <x:v>OK</x:v>
      </x:c>
    </x:row>
    <x:row r="698">
      <x:c r="A698" s="14" t="n">
        <x:v>2027</x:v>
      </x:c>
      <x:c r="B698" s="14" t="str">
        <x:v>Q1</x:v>
      </x:c>
      <x:c r="C698" s="14" t="n">
        <x:v>1</x:v>
      </x:c>
      <x:c r="D698" s="14" t="n">
        <x:v>71</x:v>
      </x:c>
      <x:c r="E698" s="14" t="str">
        <x:f>INDEX(Roster!$B$6:$B$108,MATCH(D698,Roster!$A$6:$A$108,0))</x:f>
      </x:c>
      <x:c r="F698" s="14" t="str">
        <x:f>INDEX(Roster!$F$6:$F$108,MATCH(D698,Roster!$A$6:$A$108,0))</x:f>
        <x:v>No</x:v>
      </x:c>
      <x:c r="G698" s="14" t="n">
        <x:f>INDEX(Inputs!$B$7:$D$7,1,MATCH(A698,Inputs!$B$6:$D$6,0))</x:f>
        <x:v>13</x:v>
      </x:c>
      <x:c r="H698" s="14" t="n">
        <x:f>MIN(=INDEX(Inputs!$B$7:$D$7,1,MATCH(A698,Inputs!$B$6:$D$6,0)),MAX(0,INDEX(Inputs!$B$14:$D$14,1,MATCH(A698,Inputs!$B$6:$D$6,0))-(C698-1)*=INDEX(Inputs!$B$7:$D$7,1,MATCH(A698,Inputs!$B$6:$D$6,0))))</x:f>
        <x:v>13</x:v>
      </x:c>
      <x:c r="I698" s="20" t="n">
        <x:f>INDEX(Inputs!$B$8:$D$8,1,MATCH(A698,Inputs!$B$6:$D$6,0))</x:f>
        <x:v>2395</x:v>
      </x:c>
      <x:c r="J698" s="20" t="n">
        <x:f>INDEX(Roster!$C$6:$C$108,MATCH(D698,Roster!$A$6:$A$108,0))*(1+INDEX(Inputs!$B$9:$D$9,1,MATCH(A698,Inputs!$B$6:$D$6,0)))</x:f>
        <x:v>50</x:v>
      </x:c>
      <x:c r="K698" s="20" t="n">
        <x:f>IF(=INDEX(Roster!$F$6:$F$108,MATCH(D698,Roster!$A$6:$A$108,0))="Yes",0,=INDEX(Inputs!$B$8:$D$8,1,MATCH(A698,Inputs!$B$6:$D$6,0))*IF(=INDEX(Roster!$B$6:$B$108,MATCH(D698,Roster!$A$6:$A$108,0))="Principal",INDEX(Inputs!$B$10:$D$10,1,MATCH(A698,Inputs!$B$6:$D$6,0)),IF(=INDEX(Roster!$B$6:$B$108,MATCH(D698,Roster!$A$6:$A$108,0))="Associate Principal",INDEX(Inputs!$B$11:$D$11,1,MATCH(A698,Inputs!$B$6:$D$6,0)),IF(=INDEX(Roster!$B$6:$B$108,MATCH(D698,Roster!$A$6:$A$108,0))="Assistant Principal",INDEX(Inputs!$B$12:$D$12,1,MATCH(A698,Inputs!$B$6:$D$6,0)),0))))</x:f>
        <x:v>0</x:v>
      </x:c>
      <x:c r="L698" s="20" t="n">
        <x:f>IF(INDEX(Roster!$D$6:$D$108,MATCH(D698,Roster!$A$6:$A$108,0))&gt;=25,INDEX(Inputs!$B$19:$D$19,1,MATCH(A698,Inputs!$B$6:$D$6,0)),IF(INDEX(Roster!$D$6:$D$108,MATCH(D698,Roster!$A$6:$A$108,0))&gt;=20,INDEX(Inputs!$B$18:$D$18,1,MATCH(A698,Inputs!$B$6:$D$6,0)),IF(INDEX(Roster!$D$6:$D$108,MATCH(D698,Roster!$A$6:$A$108,0))&gt;=15,INDEX(Inputs!$B$17:$D$17,1,MATCH(A698,Inputs!$B$6:$D$6,0)),IF(INDEX(Roster!$D$6:$D$108,MATCH(D698,Roster!$A$6:$A$108,0))&gt;=10,INDEX(Inputs!$B$16:$D$16,1,MATCH(A698,Inputs!$B$6:$D$6,0)),IF(INDEX(Roster!$D$6:$D$108,MATCH(D698,Roster!$A$6:$A$108,0))&gt;=5,INDEX(Inputs!$B$15:$D$15,1,MATCH(A698,Inputs!$B$6:$D$6,0)),0)))))</x:f>
        <x:v>90</x:v>
      </x:c>
      <x:c r="M698" s="20" t="n">
        <x:f>G698*I698</x:f>
        <x:v>31135</x:v>
      </x:c>
      <x:c r="N698" s="20" t="n">
        <x:f>G698*J698</x:f>
        <x:v>650</x:v>
      </x:c>
      <x:c r="O698" s="20" t="n">
        <x:f>G698*K698</x:f>
        <x:v>0</x:v>
      </x:c>
      <x:c r="P698" s="20" t="n">
        <x:f>G698*L698</x:f>
        <x:v>1170</x:v>
      </x:c>
      <x:c r="Q698" s="20" t="n">
        <x:f>H698*INDEX(Inputs!$B$13:$D$13,1,MATCH(A698,Inputs!$B$6:$D$6,0))</x:f>
        <x:v>390</x:v>
      </x:c>
      <x:c r="R698" s="20" t="n">
        <x:f>SUM(M698:Q698)</x:f>
        <x:v>33345</x:v>
      </x:c>
      <x:c r="S698" s="20" t="n">
        <x:f>IF(AND(A697=A698,D697=D698),S697+R698,R698)</x:f>
        <x:v>33345</x:v>
      </x:c>
      <x:c r="T698" s="20" t="n">
        <x:f>MIN(S698,INDEX(Inputs!$B$20:$D$20,1,MATCH(A698,Inputs!$B$6:$D$6,0)))*INDEX(Inputs!$B$22:$D$22,1,MATCH(A698,Inputs!$B$6:$D$6,0))+MAX(MIN(S698,INDEX(Inputs!$B$21:$D$21,1,MATCH(A698,Inputs!$B$6:$D$6,0)))-INDEX(Inputs!$B$20:$D$20,1,MATCH(A698,Inputs!$B$6:$D$6,0)),0)*INDEX(Inputs!$B$23:$D$23,1,MATCH(A698,Inputs!$B$6:$D$6,0))+MAX(S698-INDEX(Inputs!$B$21:$D$21,1,MATCH(A698,Inputs!$B$6:$D$6,0)),0)*INDEX(Inputs!$B$24:$D$24,1,MATCH(A698,Inputs!$B$6:$D$6,0))</x:f>
        <x:v>3040.8925</x:v>
      </x:c>
      <x:c r="U698" s="20" t="n">
        <x:f>IF(AND(A697=A698,D697=D698),T697,0)</x:f>
        <x:v>0</x:v>
      </x:c>
      <x:c r="V698" s="20" t="n">
        <x:f>T698-U698</x:f>
        <x:v>3040.8925</x:v>
      </x:c>
      <x:c r="W698" s="20" t="n">
        <x:f>R698+V698</x:f>
        <x:v>36385.8925</x:v>
      </x:c>
      <x:c r="X698" s="14" t="str">
        <x:f>IF(ABS(W698-SUM(M698:Q698)-V698)&lt;0.01,"OK","Check")</x:f>
        <x:v>OK</x:v>
      </x:c>
    </x:row>
    <x:row r="699">
      <x:c r="A699" s="14" t="n">
        <x:v>2027</x:v>
      </x:c>
      <x:c r="B699" s="14" t="str">
        <x:v>Q2</x:v>
      </x:c>
      <x:c r="C699" s="14" t="n">
        <x:v>2</x:v>
      </x:c>
      <x:c r="D699" s="14" t="n">
        <x:v>71</x:v>
      </x:c>
      <x:c r="E699" s="14" t="str">
        <x:f>INDEX(Roster!$B$6:$B$108,MATCH(D699,Roster!$A$6:$A$108,0))</x:f>
      </x:c>
      <x:c r="F699" s="14" t="str">
        <x:f>INDEX(Roster!$F$6:$F$108,MATCH(D699,Roster!$A$6:$A$108,0))</x:f>
        <x:v>No</x:v>
      </x:c>
      <x:c r="G699" s="14" t="n">
        <x:f>INDEX(Inputs!$B$7:$D$7,1,MATCH(A699,Inputs!$B$6:$D$6,0))</x:f>
        <x:v>13</x:v>
      </x:c>
      <x:c r="H699" s="14" t="n">
        <x:f>MIN(=INDEX(Inputs!$B$7:$D$7,1,MATCH(A699,Inputs!$B$6:$D$6,0)),MAX(0,INDEX(Inputs!$B$14:$D$14,1,MATCH(A699,Inputs!$B$6:$D$6,0))-(C699-1)*=INDEX(Inputs!$B$7:$D$7,1,MATCH(A699,Inputs!$B$6:$D$6,0))))</x:f>
        <x:v>13</x:v>
      </x:c>
      <x:c r="I699" s="20" t="n">
        <x:f>INDEX(Inputs!$B$8:$D$8,1,MATCH(A699,Inputs!$B$6:$D$6,0))</x:f>
        <x:v>2395</x:v>
      </x:c>
      <x:c r="J699" s="20" t="n">
        <x:f>INDEX(Roster!$C$6:$C$108,MATCH(D699,Roster!$A$6:$A$108,0))*(1+INDEX(Inputs!$B$9:$D$9,1,MATCH(A699,Inputs!$B$6:$D$6,0)))</x:f>
        <x:v>50</x:v>
      </x:c>
      <x:c r="K699" s="20" t="n">
        <x:f>IF(=INDEX(Roster!$F$6:$F$108,MATCH(D699,Roster!$A$6:$A$108,0))="Yes",0,=INDEX(Inputs!$B$8:$D$8,1,MATCH(A699,Inputs!$B$6:$D$6,0))*IF(=INDEX(Roster!$B$6:$B$108,MATCH(D699,Roster!$A$6:$A$108,0))="Principal",INDEX(Inputs!$B$10:$D$10,1,MATCH(A699,Inputs!$B$6:$D$6,0)),IF(=INDEX(Roster!$B$6:$B$108,MATCH(D699,Roster!$A$6:$A$108,0))="Associate Principal",INDEX(Inputs!$B$11:$D$11,1,MATCH(A699,Inputs!$B$6:$D$6,0)),IF(=INDEX(Roster!$B$6:$B$108,MATCH(D699,Roster!$A$6:$A$108,0))="Assistant Principal",INDEX(Inputs!$B$12:$D$12,1,MATCH(A699,Inputs!$B$6:$D$6,0)),0))))</x:f>
        <x:v>0</x:v>
      </x:c>
      <x:c r="L699" s="20" t="n">
        <x:f>IF(INDEX(Roster!$D$6:$D$108,MATCH(D699,Roster!$A$6:$A$108,0))&gt;=25,INDEX(Inputs!$B$19:$D$19,1,MATCH(A699,Inputs!$B$6:$D$6,0)),IF(INDEX(Roster!$D$6:$D$108,MATCH(D699,Roster!$A$6:$A$108,0))&gt;=20,INDEX(Inputs!$B$18:$D$18,1,MATCH(A699,Inputs!$B$6:$D$6,0)),IF(INDEX(Roster!$D$6:$D$108,MATCH(D699,Roster!$A$6:$A$108,0))&gt;=15,INDEX(Inputs!$B$17:$D$17,1,MATCH(A699,Inputs!$B$6:$D$6,0)),IF(INDEX(Roster!$D$6:$D$108,MATCH(D699,Roster!$A$6:$A$108,0))&gt;=10,INDEX(Inputs!$B$16:$D$16,1,MATCH(A699,Inputs!$B$6:$D$6,0)),IF(INDEX(Roster!$D$6:$D$108,MATCH(D699,Roster!$A$6:$A$108,0))&gt;=5,INDEX(Inputs!$B$15:$D$15,1,MATCH(A699,Inputs!$B$6:$D$6,0)),0)))))</x:f>
        <x:v>90</x:v>
      </x:c>
      <x:c r="M699" s="20" t="n">
        <x:f>G699*I699</x:f>
        <x:v>31135</x:v>
      </x:c>
      <x:c r="N699" s="20" t="n">
        <x:f>G699*J699</x:f>
        <x:v>650</x:v>
      </x:c>
      <x:c r="O699" s="20" t="n">
        <x:f>G699*K699</x:f>
        <x:v>0</x:v>
      </x:c>
      <x:c r="P699" s="20" t="n">
        <x:f>G699*L699</x:f>
        <x:v>1170</x:v>
      </x:c>
      <x:c r="Q699" s="20" t="n">
        <x:f>H699*INDEX(Inputs!$B$13:$D$13,1,MATCH(A699,Inputs!$B$6:$D$6,0))</x:f>
        <x:v>390</x:v>
      </x:c>
      <x:c r="R699" s="20" t="n">
        <x:f>SUM(M699:Q699)</x:f>
        <x:v>33345</x:v>
      </x:c>
      <x:c r="S699" s="20" t="n">
        <x:f>IF(AND(A698=A699,D698=D699),S698+R699,R699)</x:f>
        <x:v>66690</x:v>
      </x:c>
      <x:c r="T699" s="20" t="n">
        <x:f>MIN(S699,INDEX(Inputs!$B$20:$D$20,1,MATCH(A699,Inputs!$B$6:$D$6,0)))*INDEX(Inputs!$B$22:$D$22,1,MATCH(A699,Inputs!$B$6:$D$6,0))+MAX(MIN(S699,INDEX(Inputs!$B$21:$D$21,1,MATCH(A699,Inputs!$B$6:$D$6,0)))-INDEX(Inputs!$B$20:$D$20,1,MATCH(A699,Inputs!$B$6:$D$6,0)),0)*INDEX(Inputs!$B$23:$D$23,1,MATCH(A699,Inputs!$B$6:$D$6,0))+MAX(S699-INDEX(Inputs!$B$21:$D$21,1,MATCH(A699,Inputs!$B$6:$D$6,0)),0)*INDEX(Inputs!$B$24:$D$24,1,MATCH(A699,Inputs!$B$6:$D$6,0))</x:f>
        <x:v>5591.785</x:v>
      </x:c>
      <x:c r="U699" s="20" t="n">
        <x:f>IF(AND(A698=A699,D698=D699),T698,0)</x:f>
        <x:v>3040.8925</x:v>
      </x:c>
      <x:c r="V699" s="20" t="n">
        <x:f>T699-U699</x:f>
        <x:v>2550.8925</x:v>
      </x:c>
      <x:c r="W699" s="20" t="n">
        <x:f>R699+V699</x:f>
        <x:v>35895.8925</x:v>
      </x:c>
      <x:c r="X699" s="14" t="str">
        <x:f>IF(ABS(W699-SUM(M699:Q699)-V699)&lt;0.01,"OK","Check")</x:f>
        <x:v>OK</x:v>
      </x:c>
    </x:row>
    <x:row r="700">
      <x:c r="A700" s="14" t="n">
        <x:v>2027</x:v>
      </x:c>
      <x:c r="B700" s="14" t="str">
        <x:v>Q3</x:v>
      </x:c>
      <x:c r="C700" s="14" t="n">
        <x:v>3</x:v>
      </x:c>
      <x:c r="D700" s="14" t="n">
        <x:v>71</x:v>
      </x:c>
      <x:c r="E700" s="14" t="str">
        <x:f>INDEX(Roster!$B$6:$B$108,MATCH(D700,Roster!$A$6:$A$108,0))</x:f>
      </x:c>
      <x:c r="F700" s="14" t="str">
        <x:f>INDEX(Roster!$F$6:$F$108,MATCH(D700,Roster!$A$6:$A$108,0))</x:f>
        <x:v>No</x:v>
      </x:c>
      <x:c r="G700" s="14" t="n">
        <x:f>INDEX(Inputs!$B$7:$D$7,1,MATCH(A700,Inputs!$B$6:$D$6,0))</x:f>
        <x:v>13</x:v>
      </x:c>
      <x:c r="H700" s="14" t="n">
        <x:f>MIN(=INDEX(Inputs!$B$7:$D$7,1,MATCH(A700,Inputs!$B$6:$D$6,0)),MAX(0,INDEX(Inputs!$B$14:$D$14,1,MATCH(A700,Inputs!$B$6:$D$6,0))-(C700-1)*=INDEX(Inputs!$B$7:$D$7,1,MATCH(A700,Inputs!$B$6:$D$6,0))))</x:f>
        <x:v>13</x:v>
      </x:c>
      <x:c r="I700" s="20" t="n">
        <x:f>INDEX(Inputs!$B$8:$D$8,1,MATCH(A700,Inputs!$B$6:$D$6,0))</x:f>
        <x:v>2395</x:v>
      </x:c>
      <x:c r="J700" s="20" t="n">
        <x:f>INDEX(Roster!$C$6:$C$108,MATCH(D700,Roster!$A$6:$A$108,0))*(1+INDEX(Inputs!$B$9:$D$9,1,MATCH(A700,Inputs!$B$6:$D$6,0)))</x:f>
        <x:v>50</x:v>
      </x:c>
      <x:c r="K700" s="20" t="n">
        <x:f>IF(=INDEX(Roster!$F$6:$F$108,MATCH(D700,Roster!$A$6:$A$108,0))="Yes",0,=INDEX(Inputs!$B$8:$D$8,1,MATCH(A700,Inputs!$B$6:$D$6,0))*IF(=INDEX(Roster!$B$6:$B$108,MATCH(D700,Roster!$A$6:$A$108,0))="Principal",INDEX(Inputs!$B$10:$D$10,1,MATCH(A700,Inputs!$B$6:$D$6,0)),IF(=INDEX(Roster!$B$6:$B$108,MATCH(D700,Roster!$A$6:$A$108,0))="Associate Principal",INDEX(Inputs!$B$11:$D$11,1,MATCH(A700,Inputs!$B$6:$D$6,0)),IF(=INDEX(Roster!$B$6:$B$108,MATCH(D700,Roster!$A$6:$A$108,0))="Assistant Principal",INDEX(Inputs!$B$12:$D$12,1,MATCH(A700,Inputs!$B$6:$D$6,0)),0))))</x:f>
        <x:v>0</x:v>
      </x:c>
      <x:c r="L700" s="20" t="n">
        <x:f>IF(INDEX(Roster!$D$6:$D$108,MATCH(D700,Roster!$A$6:$A$108,0))&gt;=25,INDEX(Inputs!$B$19:$D$19,1,MATCH(A700,Inputs!$B$6:$D$6,0)),IF(INDEX(Roster!$D$6:$D$108,MATCH(D700,Roster!$A$6:$A$108,0))&gt;=20,INDEX(Inputs!$B$18:$D$18,1,MATCH(A700,Inputs!$B$6:$D$6,0)),IF(INDEX(Roster!$D$6:$D$108,MATCH(D700,Roster!$A$6:$A$108,0))&gt;=15,INDEX(Inputs!$B$17:$D$17,1,MATCH(A700,Inputs!$B$6:$D$6,0)),IF(INDEX(Roster!$D$6:$D$108,MATCH(D700,Roster!$A$6:$A$108,0))&gt;=10,INDEX(Inputs!$B$16:$D$16,1,MATCH(A700,Inputs!$B$6:$D$6,0)),IF(INDEX(Roster!$D$6:$D$108,MATCH(D700,Roster!$A$6:$A$108,0))&gt;=5,INDEX(Inputs!$B$15:$D$15,1,MATCH(A700,Inputs!$B$6:$D$6,0)),0)))))</x:f>
        <x:v>90</x:v>
      </x:c>
      <x:c r="M700" s="20" t="n">
        <x:f>G700*I700</x:f>
        <x:v>31135</x:v>
      </x:c>
      <x:c r="N700" s="20" t="n">
        <x:f>G700*J700</x:f>
        <x:v>650</x:v>
      </x:c>
      <x:c r="O700" s="20" t="n">
        <x:f>G700*K700</x:f>
        <x:v>0</x:v>
      </x:c>
      <x:c r="P700" s="20" t="n">
        <x:f>G700*L700</x:f>
        <x:v>1170</x:v>
      </x:c>
      <x:c r="Q700" s="20" t="n">
        <x:f>H700*INDEX(Inputs!$B$13:$D$13,1,MATCH(A700,Inputs!$B$6:$D$6,0))</x:f>
        <x:v>390</x:v>
      </x:c>
      <x:c r="R700" s="20" t="n">
        <x:f>SUM(M700:Q700)</x:f>
        <x:v>33345</x:v>
      </x:c>
      <x:c r="S700" s="20" t="n">
        <x:f>IF(AND(A699=A700,D699=D700),S699+R700,R700)</x:f>
        <x:v>100035</x:v>
      </x:c>
      <x:c r="T700" s="20" t="n">
        <x:f>MIN(S700,INDEX(Inputs!$B$20:$D$20,1,MATCH(A700,Inputs!$B$6:$D$6,0)))*INDEX(Inputs!$B$22:$D$22,1,MATCH(A700,Inputs!$B$6:$D$6,0))+MAX(MIN(S700,INDEX(Inputs!$B$21:$D$21,1,MATCH(A700,Inputs!$B$6:$D$6,0)))-INDEX(Inputs!$B$20:$D$20,1,MATCH(A700,Inputs!$B$6:$D$6,0)),0)*INDEX(Inputs!$B$23:$D$23,1,MATCH(A700,Inputs!$B$6:$D$6,0))+MAX(S700-INDEX(Inputs!$B$21:$D$21,1,MATCH(A700,Inputs!$B$6:$D$6,0)),0)*INDEX(Inputs!$B$24:$D$24,1,MATCH(A700,Inputs!$B$6:$D$6,0))</x:f>
        <x:v>8142.6775</x:v>
      </x:c>
      <x:c r="U700" s="20" t="n">
        <x:f>IF(AND(A699=A700,D699=D700),T699,0)</x:f>
        <x:v>5591.785</x:v>
      </x:c>
      <x:c r="V700" s="20" t="n">
        <x:f>T700-U700</x:f>
        <x:v>2550.8925</x:v>
      </x:c>
      <x:c r="W700" s="20" t="n">
        <x:f>R700+V700</x:f>
        <x:v>35895.8925</x:v>
      </x:c>
      <x:c r="X700" s="14" t="str">
        <x:f>IF(ABS(W700-SUM(M700:Q700)-V700)&lt;0.01,"OK","Check")</x:f>
        <x:v>OK</x:v>
      </x:c>
    </x:row>
    <x:row r="701">
      <x:c r="A701" s="14" t="n">
        <x:v>2027</x:v>
      </x:c>
      <x:c r="B701" s="14" t="str">
        <x:v>Q4</x:v>
      </x:c>
      <x:c r="C701" s="14" t="n">
        <x:v>4</x:v>
      </x:c>
      <x:c r="D701" s="14" t="n">
        <x:v>71</x:v>
      </x:c>
      <x:c r="E701" s="14" t="str">
        <x:f>INDEX(Roster!$B$6:$B$108,MATCH(D701,Roster!$A$6:$A$108,0))</x:f>
      </x:c>
      <x:c r="F701" s="14" t="str">
        <x:f>INDEX(Roster!$F$6:$F$108,MATCH(D701,Roster!$A$6:$A$108,0))</x:f>
        <x:v>No</x:v>
      </x:c>
      <x:c r="G701" s="14" t="n">
        <x:f>INDEX(Inputs!$B$7:$D$7,1,MATCH(A701,Inputs!$B$6:$D$6,0))</x:f>
        <x:v>13</x:v>
      </x:c>
      <x:c r="H701" s="14" t="n">
        <x:f>MIN(=INDEX(Inputs!$B$7:$D$7,1,MATCH(A701,Inputs!$B$6:$D$6,0)),MAX(0,INDEX(Inputs!$B$14:$D$14,1,MATCH(A701,Inputs!$B$6:$D$6,0))-(C701-1)*=INDEX(Inputs!$B$7:$D$7,1,MATCH(A701,Inputs!$B$6:$D$6,0))))</x:f>
        <x:v>0</x:v>
      </x:c>
      <x:c r="I701" s="20" t="n">
        <x:f>INDEX(Inputs!$B$8:$D$8,1,MATCH(A701,Inputs!$B$6:$D$6,0))</x:f>
        <x:v>2395</x:v>
      </x:c>
      <x:c r="J701" s="20" t="n">
        <x:f>INDEX(Roster!$C$6:$C$108,MATCH(D701,Roster!$A$6:$A$108,0))*(1+INDEX(Inputs!$B$9:$D$9,1,MATCH(A701,Inputs!$B$6:$D$6,0)))</x:f>
        <x:v>50</x:v>
      </x:c>
      <x:c r="K701" s="20" t="n">
        <x:f>IF(=INDEX(Roster!$F$6:$F$108,MATCH(D701,Roster!$A$6:$A$108,0))="Yes",0,=INDEX(Inputs!$B$8:$D$8,1,MATCH(A701,Inputs!$B$6:$D$6,0))*IF(=INDEX(Roster!$B$6:$B$108,MATCH(D701,Roster!$A$6:$A$108,0))="Principal",INDEX(Inputs!$B$10:$D$10,1,MATCH(A701,Inputs!$B$6:$D$6,0)),IF(=INDEX(Roster!$B$6:$B$108,MATCH(D701,Roster!$A$6:$A$108,0))="Associate Principal",INDEX(Inputs!$B$11:$D$11,1,MATCH(A701,Inputs!$B$6:$D$6,0)),IF(=INDEX(Roster!$B$6:$B$108,MATCH(D701,Roster!$A$6:$A$108,0))="Assistant Principal",INDEX(Inputs!$B$12:$D$12,1,MATCH(A701,Inputs!$B$6:$D$6,0)),0))))</x:f>
        <x:v>0</x:v>
      </x:c>
      <x:c r="L701" s="20" t="n">
        <x:f>IF(INDEX(Roster!$D$6:$D$108,MATCH(D701,Roster!$A$6:$A$108,0))&gt;=25,INDEX(Inputs!$B$19:$D$19,1,MATCH(A701,Inputs!$B$6:$D$6,0)),IF(INDEX(Roster!$D$6:$D$108,MATCH(D701,Roster!$A$6:$A$108,0))&gt;=20,INDEX(Inputs!$B$18:$D$18,1,MATCH(A701,Inputs!$B$6:$D$6,0)),IF(INDEX(Roster!$D$6:$D$108,MATCH(D701,Roster!$A$6:$A$108,0))&gt;=15,INDEX(Inputs!$B$17:$D$17,1,MATCH(A701,Inputs!$B$6:$D$6,0)),IF(INDEX(Roster!$D$6:$D$108,MATCH(D701,Roster!$A$6:$A$108,0))&gt;=10,INDEX(Inputs!$B$16:$D$16,1,MATCH(A701,Inputs!$B$6:$D$6,0)),IF(INDEX(Roster!$D$6:$D$108,MATCH(D701,Roster!$A$6:$A$108,0))&gt;=5,INDEX(Inputs!$B$15:$D$15,1,MATCH(A701,Inputs!$B$6:$D$6,0)),0)))))</x:f>
        <x:v>90</x:v>
      </x:c>
      <x:c r="M701" s="20" t="n">
        <x:f>G701*I701</x:f>
        <x:v>31135</x:v>
      </x:c>
      <x:c r="N701" s="20" t="n">
        <x:f>G701*J701</x:f>
        <x:v>650</x:v>
      </x:c>
      <x:c r="O701" s="20" t="n">
        <x:f>G701*K701</x:f>
        <x:v>0</x:v>
      </x:c>
      <x:c r="P701" s="20" t="n">
        <x:f>G701*L701</x:f>
        <x:v>1170</x:v>
      </x:c>
      <x:c r="Q701" s="20" t="n">
        <x:f>H701*INDEX(Inputs!$B$13:$D$13,1,MATCH(A701,Inputs!$B$6:$D$6,0))</x:f>
        <x:v>0</x:v>
      </x:c>
      <x:c r="R701" s="20" t="n">
        <x:f>SUM(M701:Q701)</x:f>
        <x:v>32955</x:v>
      </x:c>
      <x:c r="S701" s="20" t="n">
        <x:f>IF(AND(A700=A701,D700=D701),S700+R701,R701)</x:f>
        <x:v>132990</x:v>
      </x:c>
      <x:c r="T701" s="20" t="n">
        <x:f>MIN(S701,INDEX(Inputs!$B$20:$D$20,1,MATCH(A701,Inputs!$B$6:$D$6,0)))*INDEX(Inputs!$B$22:$D$22,1,MATCH(A701,Inputs!$B$6:$D$6,0))+MAX(MIN(S701,INDEX(Inputs!$B$21:$D$21,1,MATCH(A701,Inputs!$B$6:$D$6,0)))-INDEX(Inputs!$B$20:$D$20,1,MATCH(A701,Inputs!$B$6:$D$6,0)),0)*INDEX(Inputs!$B$23:$D$23,1,MATCH(A701,Inputs!$B$6:$D$6,0))+MAX(S701-INDEX(Inputs!$B$21:$D$21,1,MATCH(A701,Inputs!$B$6:$D$6,0)),0)*INDEX(Inputs!$B$24:$D$24,1,MATCH(A701,Inputs!$B$6:$D$6,0))</x:f>
        <x:v>9842.297</x:v>
      </x:c>
      <x:c r="U701" s="20" t="n">
        <x:f>IF(AND(A700=A701,D700=D701),T700,0)</x:f>
        <x:v>8142.6775</x:v>
      </x:c>
      <x:c r="V701" s="20" t="n">
        <x:f>T701-U701</x:f>
        <x:v>1699.6195000000007</x:v>
      </x:c>
      <x:c r="W701" s="20" t="n">
        <x:f>R701+V701</x:f>
        <x:v>34654.6195</x:v>
      </x:c>
      <x:c r="X701" s="14" t="str">
        <x:f>IF(ABS(W701-SUM(M701:Q701)-V701)&lt;0.01,"OK","Check")</x:f>
        <x:v>OK</x:v>
      </x:c>
    </x:row>
    <x:row r="702">
      <x:c r="A702" s="14" t="n">
        <x:v>2027</x:v>
      </x:c>
      <x:c r="B702" s="14" t="str">
        <x:v>Q1</x:v>
      </x:c>
      <x:c r="C702" s="14" t="n">
        <x:v>1</x:v>
      </x:c>
      <x:c r="D702" s="14" t="n">
        <x:v>72</x:v>
      </x:c>
      <x:c r="E702" s="14" t="str">
        <x:f>INDEX(Roster!$B$6:$B$108,MATCH(D702,Roster!$A$6:$A$108,0))</x:f>
      </x:c>
      <x:c r="F702" s="14" t="str">
        <x:f>INDEX(Roster!$F$6:$F$108,MATCH(D702,Roster!$A$6:$A$108,0))</x:f>
        <x:v>No</x:v>
      </x:c>
      <x:c r="G702" s="14" t="n">
        <x:f>INDEX(Inputs!$B$7:$D$7,1,MATCH(A702,Inputs!$B$6:$D$6,0))</x:f>
        <x:v>13</x:v>
      </x:c>
      <x:c r="H702" s="14" t="n">
        <x:f>MIN(=INDEX(Inputs!$B$7:$D$7,1,MATCH(A702,Inputs!$B$6:$D$6,0)),MAX(0,INDEX(Inputs!$B$14:$D$14,1,MATCH(A702,Inputs!$B$6:$D$6,0))-(C702-1)*=INDEX(Inputs!$B$7:$D$7,1,MATCH(A702,Inputs!$B$6:$D$6,0))))</x:f>
        <x:v>13</x:v>
      </x:c>
      <x:c r="I702" s="20" t="n">
        <x:f>INDEX(Inputs!$B$8:$D$8,1,MATCH(A702,Inputs!$B$6:$D$6,0))</x:f>
        <x:v>2395</x:v>
      </x:c>
      <x:c r="J702" s="20" t="n">
        <x:f>INDEX(Roster!$C$6:$C$108,MATCH(D702,Roster!$A$6:$A$108,0))*(1+INDEX(Inputs!$B$9:$D$9,1,MATCH(A702,Inputs!$B$6:$D$6,0)))</x:f>
        <x:v>150</x:v>
      </x:c>
      <x:c r="K702" s="20" t="n">
        <x:f>IF(=INDEX(Roster!$F$6:$F$108,MATCH(D702,Roster!$A$6:$A$108,0))="Yes",0,=INDEX(Inputs!$B$8:$D$8,1,MATCH(A702,Inputs!$B$6:$D$6,0))*IF(=INDEX(Roster!$B$6:$B$108,MATCH(D702,Roster!$A$6:$A$108,0))="Principal",INDEX(Inputs!$B$10:$D$10,1,MATCH(A702,Inputs!$B$6:$D$6,0)),IF(=INDEX(Roster!$B$6:$B$108,MATCH(D702,Roster!$A$6:$A$108,0))="Associate Principal",INDEX(Inputs!$B$11:$D$11,1,MATCH(A702,Inputs!$B$6:$D$6,0)),IF(=INDEX(Roster!$B$6:$B$108,MATCH(D702,Roster!$A$6:$A$108,0))="Assistant Principal",INDEX(Inputs!$B$12:$D$12,1,MATCH(A702,Inputs!$B$6:$D$6,0)),0))))</x:f>
        <x:v>0</x:v>
      </x:c>
      <x:c r="L702" s="20" t="n">
        <x:f>IF(INDEX(Roster!$D$6:$D$108,MATCH(D702,Roster!$A$6:$A$108,0))&gt;=25,INDEX(Inputs!$B$19:$D$19,1,MATCH(A702,Inputs!$B$6:$D$6,0)),IF(INDEX(Roster!$D$6:$D$108,MATCH(D702,Roster!$A$6:$A$108,0))&gt;=20,INDEX(Inputs!$B$18:$D$18,1,MATCH(A702,Inputs!$B$6:$D$6,0)),IF(INDEX(Roster!$D$6:$D$108,MATCH(D702,Roster!$A$6:$A$108,0))&gt;=15,INDEX(Inputs!$B$17:$D$17,1,MATCH(A702,Inputs!$B$6:$D$6,0)),IF(INDEX(Roster!$D$6:$D$108,MATCH(D702,Roster!$A$6:$A$108,0))&gt;=10,INDEX(Inputs!$B$16:$D$16,1,MATCH(A702,Inputs!$B$6:$D$6,0)),IF(INDEX(Roster!$D$6:$D$108,MATCH(D702,Roster!$A$6:$A$108,0))&gt;=5,INDEX(Inputs!$B$15:$D$15,1,MATCH(A702,Inputs!$B$6:$D$6,0)),0)))))</x:f>
        <x:v>80</x:v>
      </x:c>
      <x:c r="M702" s="20" t="n">
        <x:f>G702*I702</x:f>
        <x:v>31135</x:v>
      </x:c>
      <x:c r="N702" s="20" t="n">
        <x:f>G702*J702</x:f>
        <x:v>1950</x:v>
      </x:c>
      <x:c r="O702" s="20" t="n">
        <x:f>G702*K702</x:f>
        <x:v>0</x:v>
      </x:c>
      <x:c r="P702" s="20" t="n">
        <x:f>G702*L702</x:f>
        <x:v>1040</x:v>
      </x:c>
      <x:c r="Q702" s="20" t="n">
        <x:f>H702*INDEX(Inputs!$B$13:$D$13,1,MATCH(A702,Inputs!$B$6:$D$6,0))</x:f>
        <x:v>390</x:v>
      </x:c>
      <x:c r="R702" s="20" t="n">
        <x:f>SUM(M702:Q702)</x:f>
        <x:v>34515</x:v>
      </x:c>
      <x:c r="S702" s="20" t="n">
        <x:f>IF(AND(A701=A702,D701=D702),S701+R702,R702)</x:f>
        <x:v>34515</x:v>
      </x:c>
      <x:c r="T702" s="20" t="n">
        <x:f>MIN(S702,INDEX(Inputs!$B$20:$D$20,1,MATCH(A702,Inputs!$B$6:$D$6,0)))*INDEX(Inputs!$B$22:$D$22,1,MATCH(A702,Inputs!$B$6:$D$6,0))+MAX(MIN(S702,INDEX(Inputs!$B$21:$D$21,1,MATCH(A702,Inputs!$B$6:$D$6,0)))-INDEX(Inputs!$B$20:$D$20,1,MATCH(A702,Inputs!$B$6:$D$6,0)),0)*INDEX(Inputs!$B$23:$D$23,1,MATCH(A702,Inputs!$B$6:$D$6,0))+MAX(S702-INDEX(Inputs!$B$21:$D$21,1,MATCH(A702,Inputs!$B$6:$D$6,0)),0)*INDEX(Inputs!$B$24:$D$24,1,MATCH(A702,Inputs!$B$6:$D$6,0))</x:f>
        <x:v>3130.3975</x:v>
      </x:c>
      <x:c r="U702" s="20" t="n">
        <x:f>IF(AND(A701=A702,D701=D702),T701,0)</x:f>
        <x:v>0</x:v>
      </x:c>
      <x:c r="V702" s="20" t="n">
        <x:f>T702-U702</x:f>
        <x:v>3130.3975</x:v>
      </x:c>
      <x:c r="W702" s="20" t="n">
        <x:f>R702+V702</x:f>
        <x:v>37645.3975</x:v>
      </x:c>
      <x:c r="X702" s="14" t="str">
        <x:f>IF(ABS(W702-SUM(M702:Q702)-V702)&lt;0.01,"OK","Check")</x:f>
        <x:v>OK</x:v>
      </x:c>
    </x:row>
    <x:row r="703">
      <x:c r="A703" s="14" t="n">
        <x:v>2027</x:v>
      </x:c>
      <x:c r="B703" s="14" t="str">
        <x:v>Q2</x:v>
      </x:c>
      <x:c r="C703" s="14" t="n">
        <x:v>2</x:v>
      </x:c>
      <x:c r="D703" s="14" t="n">
        <x:v>72</x:v>
      </x:c>
      <x:c r="E703" s="14" t="str">
        <x:f>INDEX(Roster!$B$6:$B$108,MATCH(D703,Roster!$A$6:$A$108,0))</x:f>
      </x:c>
      <x:c r="F703" s="14" t="str">
        <x:f>INDEX(Roster!$F$6:$F$108,MATCH(D703,Roster!$A$6:$A$108,0))</x:f>
        <x:v>No</x:v>
      </x:c>
      <x:c r="G703" s="14" t="n">
        <x:f>INDEX(Inputs!$B$7:$D$7,1,MATCH(A703,Inputs!$B$6:$D$6,0))</x:f>
        <x:v>13</x:v>
      </x:c>
      <x:c r="H703" s="14" t="n">
        <x:f>MIN(=INDEX(Inputs!$B$7:$D$7,1,MATCH(A703,Inputs!$B$6:$D$6,0)),MAX(0,INDEX(Inputs!$B$14:$D$14,1,MATCH(A703,Inputs!$B$6:$D$6,0))-(C703-1)*=INDEX(Inputs!$B$7:$D$7,1,MATCH(A703,Inputs!$B$6:$D$6,0))))</x:f>
        <x:v>13</x:v>
      </x:c>
      <x:c r="I703" s="20" t="n">
        <x:f>INDEX(Inputs!$B$8:$D$8,1,MATCH(A703,Inputs!$B$6:$D$6,0))</x:f>
        <x:v>2395</x:v>
      </x:c>
      <x:c r="J703" s="20" t="n">
        <x:f>INDEX(Roster!$C$6:$C$108,MATCH(D703,Roster!$A$6:$A$108,0))*(1+INDEX(Inputs!$B$9:$D$9,1,MATCH(A703,Inputs!$B$6:$D$6,0)))</x:f>
        <x:v>150</x:v>
      </x:c>
      <x:c r="K703" s="20" t="n">
        <x:f>IF(=INDEX(Roster!$F$6:$F$108,MATCH(D703,Roster!$A$6:$A$108,0))="Yes",0,=INDEX(Inputs!$B$8:$D$8,1,MATCH(A703,Inputs!$B$6:$D$6,0))*IF(=INDEX(Roster!$B$6:$B$108,MATCH(D703,Roster!$A$6:$A$108,0))="Principal",INDEX(Inputs!$B$10:$D$10,1,MATCH(A703,Inputs!$B$6:$D$6,0)),IF(=INDEX(Roster!$B$6:$B$108,MATCH(D703,Roster!$A$6:$A$108,0))="Associate Principal",INDEX(Inputs!$B$11:$D$11,1,MATCH(A703,Inputs!$B$6:$D$6,0)),IF(=INDEX(Roster!$B$6:$B$108,MATCH(D703,Roster!$A$6:$A$108,0))="Assistant Principal",INDEX(Inputs!$B$12:$D$12,1,MATCH(A703,Inputs!$B$6:$D$6,0)),0))))</x:f>
        <x:v>0</x:v>
      </x:c>
      <x:c r="L703" s="20" t="n">
        <x:f>IF(INDEX(Roster!$D$6:$D$108,MATCH(D703,Roster!$A$6:$A$108,0))&gt;=25,INDEX(Inputs!$B$19:$D$19,1,MATCH(A703,Inputs!$B$6:$D$6,0)),IF(INDEX(Roster!$D$6:$D$108,MATCH(D703,Roster!$A$6:$A$108,0))&gt;=20,INDEX(Inputs!$B$18:$D$18,1,MATCH(A703,Inputs!$B$6:$D$6,0)),IF(INDEX(Roster!$D$6:$D$108,MATCH(D703,Roster!$A$6:$A$108,0))&gt;=15,INDEX(Inputs!$B$17:$D$17,1,MATCH(A703,Inputs!$B$6:$D$6,0)),IF(INDEX(Roster!$D$6:$D$108,MATCH(D703,Roster!$A$6:$A$108,0))&gt;=10,INDEX(Inputs!$B$16:$D$16,1,MATCH(A703,Inputs!$B$6:$D$6,0)),IF(INDEX(Roster!$D$6:$D$108,MATCH(D703,Roster!$A$6:$A$108,0))&gt;=5,INDEX(Inputs!$B$15:$D$15,1,MATCH(A703,Inputs!$B$6:$D$6,0)),0)))))</x:f>
        <x:v>80</x:v>
      </x:c>
      <x:c r="M703" s="20" t="n">
        <x:f>G703*I703</x:f>
        <x:v>31135</x:v>
      </x:c>
      <x:c r="N703" s="20" t="n">
        <x:f>G703*J703</x:f>
        <x:v>1950</x:v>
      </x:c>
      <x:c r="O703" s="20" t="n">
        <x:f>G703*K703</x:f>
        <x:v>0</x:v>
      </x:c>
      <x:c r="P703" s="20" t="n">
        <x:f>G703*L703</x:f>
        <x:v>1040</x:v>
      </x:c>
      <x:c r="Q703" s="20" t="n">
        <x:f>H703*INDEX(Inputs!$B$13:$D$13,1,MATCH(A703,Inputs!$B$6:$D$6,0))</x:f>
        <x:v>390</x:v>
      </x:c>
      <x:c r="R703" s="20" t="n">
        <x:f>SUM(M703:Q703)</x:f>
        <x:v>34515</x:v>
      </x:c>
      <x:c r="S703" s="20" t="n">
        <x:f>IF(AND(A702=A703,D702=D703),S702+R703,R703)</x:f>
        <x:v>69030</x:v>
      </x:c>
      <x:c r="T703" s="20" t="n">
        <x:f>MIN(S703,INDEX(Inputs!$B$20:$D$20,1,MATCH(A703,Inputs!$B$6:$D$6,0)))*INDEX(Inputs!$B$22:$D$22,1,MATCH(A703,Inputs!$B$6:$D$6,0))+MAX(MIN(S703,INDEX(Inputs!$B$21:$D$21,1,MATCH(A703,Inputs!$B$6:$D$6,0)))-INDEX(Inputs!$B$20:$D$20,1,MATCH(A703,Inputs!$B$6:$D$6,0)),0)*INDEX(Inputs!$B$23:$D$23,1,MATCH(A703,Inputs!$B$6:$D$6,0))+MAX(S703-INDEX(Inputs!$B$21:$D$21,1,MATCH(A703,Inputs!$B$6:$D$6,0)),0)*INDEX(Inputs!$B$24:$D$24,1,MATCH(A703,Inputs!$B$6:$D$6,0))</x:f>
        <x:v>5770.795</x:v>
      </x:c>
      <x:c r="U703" s="20" t="n">
        <x:f>IF(AND(A702=A703,D702=D703),T702,0)</x:f>
        <x:v>3130.3975</x:v>
      </x:c>
      <x:c r="V703" s="20" t="n">
        <x:f>T703-U703</x:f>
        <x:v>2640.3975</x:v>
      </x:c>
      <x:c r="W703" s="20" t="n">
        <x:f>R703+V703</x:f>
        <x:v>37155.3975</x:v>
      </x:c>
      <x:c r="X703" s="14" t="str">
        <x:f>IF(ABS(W703-SUM(M703:Q703)-V703)&lt;0.01,"OK","Check")</x:f>
        <x:v>OK</x:v>
      </x:c>
    </x:row>
    <x:row r="704">
      <x:c r="A704" s="14" t="n">
        <x:v>2027</x:v>
      </x:c>
      <x:c r="B704" s="14" t="str">
        <x:v>Q3</x:v>
      </x:c>
      <x:c r="C704" s="14" t="n">
        <x:v>3</x:v>
      </x:c>
      <x:c r="D704" s="14" t="n">
        <x:v>72</x:v>
      </x:c>
      <x:c r="E704" s="14" t="str">
        <x:f>INDEX(Roster!$B$6:$B$108,MATCH(D704,Roster!$A$6:$A$108,0))</x:f>
      </x:c>
      <x:c r="F704" s="14" t="str">
        <x:f>INDEX(Roster!$F$6:$F$108,MATCH(D704,Roster!$A$6:$A$108,0))</x:f>
        <x:v>No</x:v>
      </x:c>
      <x:c r="G704" s="14" t="n">
        <x:f>INDEX(Inputs!$B$7:$D$7,1,MATCH(A704,Inputs!$B$6:$D$6,0))</x:f>
        <x:v>13</x:v>
      </x:c>
      <x:c r="H704" s="14" t="n">
        <x:f>MIN(=INDEX(Inputs!$B$7:$D$7,1,MATCH(A704,Inputs!$B$6:$D$6,0)),MAX(0,INDEX(Inputs!$B$14:$D$14,1,MATCH(A704,Inputs!$B$6:$D$6,0))-(C704-1)*=INDEX(Inputs!$B$7:$D$7,1,MATCH(A704,Inputs!$B$6:$D$6,0))))</x:f>
        <x:v>13</x:v>
      </x:c>
      <x:c r="I704" s="20" t="n">
        <x:f>INDEX(Inputs!$B$8:$D$8,1,MATCH(A704,Inputs!$B$6:$D$6,0))</x:f>
        <x:v>2395</x:v>
      </x:c>
      <x:c r="J704" s="20" t="n">
        <x:f>INDEX(Roster!$C$6:$C$108,MATCH(D704,Roster!$A$6:$A$108,0))*(1+INDEX(Inputs!$B$9:$D$9,1,MATCH(A704,Inputs!$B$6:$D$6,0)))</x:f>
        <x:v>150</x:v>
      </x:c>
      <x:c r="K704" s="20" t="n">
        <x:f>IF(=INDEX(Roster!$F$6:$F$108,MATCH(D704,Roster!$A$6:$A$108,0))="Yes",0,=INDEX(Inputs!$B$8:$D$8,1,MATCH(A704,Inputs!$B$6:$D$6,0))*IF(=INDEX(Roster!$B$6:$B$108,MATCH(D704,Roster!$A$6:$A$108,0))="Principal",INDEX(Inputs!$B$10:$D$10,1,MATCH(A704,Inputs!$B$6:$D$6,0)),IF(=INDEX(Roster!$B$6:$B$108,MATCH(D704,Roster!$A$6:$A$108,0))="Associate Principal",INDEX(Inputs!$B$11:$D$11,1,MATCH(A704,Inputs!$B$6:$D$6,0)),IF(=INDEX(Roster!$B$6:$B$108,MATCH(D704,Roster!$A$6:$A$108,0))="Assistant Principal",INDEX(Inputs!$B$12:$D$12,1,MATCH(A704,Inputs!$B$6:$D$6,0)),0))))</x:f>
        <x:v>0</x:v>
      </x:c>
      <x:c r="L704" s="20" t="n">
        <x:f>IF(INDEX(Roster!$D$6:$D$108,MATCH(D704,Roster!$A$6:$A$108,0))&gt;=25,INDEX(Inputs!$B$19:$D$19,1,MATCH(A704,Inputs!$B$6:$D$6,0)),IF(INDEX(Roster!$D$6:$D$108,MATCH(D704,Roster!$A$6:$A$108,0))&gt;=20,INDEX(Inputs!$B$18:$D$18,1,MATCH(A704,Inputs!$B$6:$D$6,0)),IF(INDEX(Roster!$D$6:$D$108,MATCH(D704,Roster!$A$6:$A$108,0))&gt;=15,INDEX(Inputs!$B$17:$D$17,1,MATCH(A704,Inputs!$B$6:$D$6,0)),IF(INDEX(Roster!$D$6:$D$108,MATCH(D704,Roster!$A$6:$A$108,0))&gt;=10,INDEX(Inputs!$B$16:$D$16,1,MATCH(A704,Inputs!$B$6:$D$6,0)),IF(INDEX(Roster!$D$6:$D$108,MATCH(D704,Roster!$A$6:$A$108,0))&gt;=5,INDEX(Inputs!$B$15:$D$15,1,MATCH(A704,Inputs!$B$6:$D$6,0)),0)))))</x:f>
        <x:v>80</x:v>
      </x:c>
      <x:c r="M704" s="20" t="n">
        <x:f>G704*I704</x:f>
        <x:v>31135</x:v>
      </x:c>
      <x:c r="N704" s="20" t="n">
        <x:f>G704*J704</x:f>
        <x:v>1950</x:v>
      </x:c>
      <x:c r="O704" s="20" t="n">
        <x:f>G704*K704</x:f>
        <x:v>0</x:v>
      </x:c>
      <x:c r="P704" s="20" t="n">
        <x:f>G704*L704</x:f>
        <x:v>1040</x:v>
      </x:c>
      <x:c r="Q704" s="20" t="n">
        <x:f>H704*INDEX(Inputs!$B$13:$D$13,1,MATCH(A704,Inputs!$B$6:$D$6,0))</x:f>
        <x:v>390</x:v>
      </x:c>
      <x:c r="R704" s="20" t="n">
        <x:f>SUM(M704:Q704)</x:f>
        <x:v>34515</x:v>
      </x:c>
      <x:c r="S704" s="20" t="n">
        <x:f>IF(AND(A703=A704,D703=D704),S703+R704,R704)</x:f>
        <x:v>103545</x:v>
      </x:c>
      <x:c r="T704" s="20" t="n">
        <x:f>MIN(S704,INDEX(Inputs!$B$20:$D$20,1,MATCH(A704,Inputs!$B$6:$D$6,0)))*INDEX(Inputs!$B$22:$D$22,1,MATCH(A704,Inputs!$B$6:$D$6,0))+MAX(MIN(S704,INDEX(Inputs!$B$21:$D$21,1,MATCH(A704,Inputs!$B$6:$D$6,0)))-INDEX(Inputs!$B$20:$D$20,1,MATCH(A704,Inputs!$B$6:$D$6,0)),0)*INDEX(Inputs!$B$23:$D$23,1,MATCH(A704,Inputs!$B$6:$D$6,0))+MAX(S704-INDEX(Inputs!$B$21:$D$21,1,MATCH(A704,Inputs!$B$6:$D$6,0)),0)*INDEX(Inputs!$B$24:$D$24,1,MATCH(A704,Inputs!$B$6:$D$6,0))</x:f>
        <x:v>8411.192500000001</x:v>
      </x:c>
      <x:c r="U704" s="20" t="n">
        <x:f>IF(AND(A703=A704,D703=D704),T703,0)</x:f>
        <x:v>5770.795</x:v>
      </x:c>
      <x:c r="V704" s="20" t="n">
        <x:f>T704-U704</x:f>
        <x:v>2640.397500000001</x:v>
      </x:c>
      <x:c r="W704" s="20" t="n">
        <x:f>R704+V704</x:f>
        <x:v>37155.3975</x:v>
      </x:c>
      <x:c r="X704" s="14" t="str">
        <x:f>IF(ABS(W704-SUM(M704:Q704)-V704)&lt;0.01,"OK","Check")</x:f>
        <x:v>OK</x:v>
      </x:c>
    </x:row>
    <x:row r="705">
      <x:c r="A705" s="14" t="n">
        <x:v>2027</x:v>
      </x:c>
      <x:c r="B705" s="14" t="str">
        <x:v>Q4</x:v>
      </x:c>
      <x:c r="C705" s="14" t="n">
        <x:v>4</x:v>
      </x:c>
      <x:c r="D705" s="14" t="n">
        <x:v>72</x:v>
      </x:c>
      <x:c r="E705" s="14" t="str">
        <x:f>INDEX(Roster!$B$6:$B$108,MATCH(D705,Roster!$A$6:$A$108,0))</x:f>
      </x:c>
      <x:c r="F705" s="14" t="str">
        <x:f>INDEX(Roster!$F$6:$F$108,MATCH(D705,Roster!$A$6:$A$108,0))</x:f>
        <x:v>No</x:v>
      </x:c>
      <x:c r="G705" s="14" t="n">
        <x:f>INDEX(Inputs!$B$7:$D$7,1,MATCH(A705,Inputs!$B$6:$D$6,0))</x:f>
        <x:v>13</x:v>
      </x:c>
      <x:c r="H705" s="14" t="n">
        <x:f>MIN(=INDEX(Inputs!$B$7:$D$7,1,MATCH(A705,Inputs!$B$6:$D$6,0)),MAX(0,INDEX(Inputs!$B$14:$D$14,1,MATCH(A705,Inputs!$B$6:$D$6,0))-(C705-1)*=INDEX(Inputs!$B$7:$D$7,1,MATCH(A705,Inputs!$B$6:$D$6,0))))</x:f>
        <x:v>0</x:v>
      </x:c>
      <x:c r="I705" s="20" t="n">
        <x:f>INDEX(Inputs!$B$8:$D$8,1,MATCH(A705,Inputs!$B$6:$D$6,0))</x:f>
        <x:v>2395</x:v>
      </x:c>
      <x:c r="J705" s="20" t="n">
        <x:f>INDEX(Roster!$C$6:$C$108,MATCH(D705,Roster!$A$6:$A$108,0))*(1+INDEX(Inputs!$B$9:$D$9,1,MATCH(A705,Inputs!$B$6:$D$6,0)))</x:f>
        <x:v>150</x:v>
      </x:c>
      <x:c r="K705" s="20" t="n">
        <x:f>IF(=INDEX(Roster!$F$6:$F$108,MATCH(D705,Roster!$A$6:$A$108,0))="Yes",0,=INDEX(Inputs!$B$8:$D$8,1,MATCH(A705,Inputs!$B$6:$D$6,0))*IF(=INDEX(Roster!$B$6:$B$108,MATCH(D705,Roster!$A$6:$A$108,0))="Principal",INDEX(Inputs!$B$10:$D$10,1,MATCH(A705,Inputs!$B$6:$D$6,0)),IF(=INDEX(Roster!$B$6:$B$108,MATCH(D705,Roster!$A$6:$A$108,0))="Associate Principal",INDEX(Inputs!$B$11:$D$11,1,MATCH(A705,Inputs!$B$6:$D$6,0)),IF(=INDEX(Roster!$B$6:$B$108,MATCH(D705,Roster!$A$6:$A$108,0))="Assistant Principal",INDEX(Inputs!$B$12:$D$12,1,MATCH(A705,Inputs!$B$6:$D$6,0)),0))))</x:f>
        <x:v>0</x:v>
      </x:c>
      <x:c r="L705" s="20" t="n">
        <x:f>IF(INDEX(Roster!$D$6:$D$108,MATCH(D705,Roster!$A$6:$A$108,0))&gt;=25,INDEX(Inputs!$B$19:$D$19,1,MATCH(A705,Inputs!$B$6:$D$6,0)),IF(INDEX(Roster!$D$6:$D$108,MATCH(D705,Roster!$A$6:$A$108,0))&gt;=20,INDEX(Inputs!$B$18:$D$18,1,MATCH(A705,Inputs!$B$6:$D$6,0)),IF(INDEX(Roster!$D$6:$D$108,MATCH(D705,Roster!$A$6:$A$108,0))&gt;=15,INDEX(Inputs!$B$17:$D$17,1,MATCH(A705,Inputs!$B$6:$D$6,0)),IF(INDEX(Roster!$D$6:$D$108,MATCH(D705,Roster!$A$6:$A$108,0))&gt;=10,INDEX(Inputs!$B$16:$D$16,1,MATCH(A705,Inputs!$B$6:$D$6,0)),IF(INDEX(Roster!$D$6:$D$108,MATCH(D705,Roster!$A$6:$A$108,0))&gt;=5,INDEX(Inputs!$B$15:$D$15,1,MATCH(A705,Inputs!$B$6:$D$6,0)),0)))))</x:f>
        <x:v>80</x:v>
      </x:c>
      <x:c r="M705" s="20" t="n">
        <x:f>G705*I705</x:f>
        <x:v>31135</x:v>
      </x:c>
      <x:c r="N705" s="20" t="n">
        <x:f>G705*J705</x:f>
        <x:v>1950</x:v>
      </x:c>
      <x:c r="O705" s="20" t="n">
        <x:f>G705*K705</x:f>
        <x:v>0</x:v>
      </x:c>
      <x:c r="P705" s="20" t="n">
        <x:f>G705*L705</x:f>
        <x:v>1040</x:v>
      </x:c>
      <x:c r="Q705" s="20" t="n">
        <x:f>H705*INDEX(Inputs!$B$13:$D$13,1,MATCH(A705,Inputs!$B$6:$D$6,0))</x:f>
        <x:v>0</x:v>
      </x:c>
      <x:c r="R705" s="20" t="n">
        <x:f>SUM(M705:Q705)</x:f>
        <x:v>34125</x:v>
      </x:c>
      <x:c r="S705" s="20" t="n">
        <x:f>IF(AND(A704=A705,D704=D705),S704+R705,R705)</x:f>
        <x:v>137670</x:v>
      </x:c>
      <x:c r="T705" s="20" t="n">
        <x:f>MIN(S705,INDEX(Inputs!$B$20:$D$20,1,MATCH(A705,Inputs!$B$6:$D$6,0)))*INDEX(Inputs!$B$22:$D$22,1,MATCH(A705,Inputs!$B$6:$D$6,0))+MAX(MIN(S705,INDEX(Inputs!$B$21:$D$21,1,MATCH(A705,Inputs!$B$6:$D$6,0)))-INDEX(Inputs!$B$20:$D$20,1,MATCH(A705,Inputs!$B$6:$D$6,0)),0)*INDEX(Inputs!$B$23:$D$23,1,MATCH(A705,Inputs!$B$6:$D$6,0))+MAX(S705-INDEX(Inputs!$B$21:$D$21,1,MATCH(A705,Inputs!$B$6:$D$6,0)),0)*INDEX(Inputs!$B$24:$D$24,1,MATCH(A705,Inputs!$B$6:$D$6,0))</x:f>
        <x:v>9910.157</x:v>
      </x:c>
      <x:c r="U705" s="20" t="n">
        <x:f>IF(AND(A704=A705,D704=D705),T704,0)</x:f>
        <x:v>8411.192500000001</x:v>
      </x:c>
      <x:c r="V705" s="20" t="n">
        <x:f>T705-U705</x:f>
        <x:v>1498.9644999999982</x:v>
      </x:c>
      <x:c r="W705" s="20" t="n">
        <x:f>R705+V705</x:f>
        <x:v>35623.9645</x:v>
      </x:c>
      <x:c r="X705" s="14" t="str">
        <x:f>IF(ABS(W705-SUM(M705:Q705)-V705)&lt;0.01,"OK","Check")</x:f>
        <x:v>OK</x:v>
      </x:c>
    </x:row>
    <x:row r="706">
      <x:c r="A706" s="14" t="n">
        <x:v>2027</x:v>
      </x:c>
      <x:c r="B706" s="14" t="str">
        <x:v>Q1</x:v>
      </x:c>
      <x:c r="C706" s="14" t="n">
        <x:v>1</x:v>
      </x:c>
      <x:c r="D706" s="14" t="n">
        <x:v>73</x:v>
      </x:c>
      <x:c r="E706" s="14" t="str">
        <x:f>INDEX(Roster!$B$6:$B$108,MATCH(D706,Roster!$A$6:$A$108,0))</x:f>
        <x:v>Principal</x:v>
      </x:c>
      <x:c r="F706" s="14" t="str">
        <x:f>INDEX(Roster!$F$6:$F$108,MATCH(D706,Roster!$A$6:$A$108,0))</x:f>
        <x:v>Yes</x:v>
      </x:c>
      <x:c r="G706" s="14" t="n">
        <x:f>INDEX(Inputs!$B$7:$D$7,1,MATCH(A706,Inputs!$B$6:$D$6,0))</x:f>
        <x:v>13</x:v>
      </x:c>
      <x:c r="H706" s="14" t="n">
        <x:f>MIN(=INDEX(Inputs!$B$7:$D$7,1,MATCH(A706,Inputs!$B$6:$D$6,0)),MAX(0,INDEX(Inputs!$B$14:$D$14,1,MATCH(A706,Inputs!$B$6:$D$6,0))-(C706-1)*=INDEX(Inputs!$B$7:$D$7,1,MATCH(A706,Inputs!$B$6:$D$6,0))))</x:f>
        <x:v>13</x:v>
      </x:c>
      <x:c r="I706" s="20" t="n">
        <x:f>INDEX(Inputs!$B$8:$D$8,1,MATCH(A706,Inputs!$B$6:$D$6,0))</x:f>
        <x:v>2395</x:v>
      </x:c>
      <x:c r="J706" s="20" t="n">
        <x:f>INDEX(Roster!$C$6:$C$108,MATCH(D706,Roster!$A$6:$A$108,0))*(1+INDEX(Inputs!$B$9:$D$9,1,MATCH(A706,Inputs!$B$6:$D$6,0)))</x:f>
        <x:v>600</x:v>
      </x:c>
      <x:c r="K706" s="20" t="n">
        <x:f>IF(=INDEX(Roster!$F$6:$F$108,MATCH(D706,Roster!$A$6:$A$108,0))="Yes",0,=INDEX(Inputs!$B$8:$D$8,1,MATCH(A706,Inputs!$B$6:$D$6,0))*IF(=INDEX(Roster!$B$6:$B$108,MATCH(D706,Roster!$A$6:$A$108,0))="Principal",INDEX(Inputs!$B$10:$D$10,1,MATCH(A706,Inputs!$B$6:$D$6,0)),IF(=INDEX(Roster!$B$6:$B$108,MATCH(D706,Roster!$A$6:$A$108,0))="Associate Principal",INDEX(Inputs!$B$11:$D$11,1,MATCH(A706,Inputs!$B$6:$D$6,0)),IF(=INDEX(Roster!$B$6:$B$108,MATCH(D706,Roster!$A$6:$A$108,0))="Assistant Principal",INDEX(Inputs!$B$12:$D$12,1,MATCH(A706,Inputs!$B$6:$D$6,0)),0))))</x:f>
        <x:v>0</x:v>
      </x:c>
      <x:c r="L706" s="20" t="n">
        <x:f>IF(INDEX(Roster!$D$6:$D$108,MATCH(D706,Roster!$A$6:$A$108,0))&gt;=25,INDEX(Inputs!$B$19:$D$19,1,MATCH(A706,Inputs!$B$6:$D$6,0)),IF(INDEX(Roster!$D$6:$D$108,MATCH(D706,Roster!$A$6:$A$108,0))&gt;=20,INDEX(Inputs!$B$18:$D$18,1,MATCH(A706,Inputs!$B$6:$D$6,0)),IF(INDEX(Roster!$D$6:$D$108,MATCH(D706,Roster!$A$6:$A$108,0))&gt;=15,INDEX(Inputs!$B$17:$D$17,1,MATCH(A706,Inputs!$B$6:$D$6,0)),IF(INDEX(Roster!$D$6:$D$108,MATCH(D706,Roster!$A$6:$A$108,0))&gt;=10,INDEX(Inputs!$B$16:$D$16,1,MATCH(A706,Inputs!$B$6:$D$6,0)),IF(INDEX(Roster!$D$6:$D$108,MATCH(D706,Roster!$A$6:$A$108,0))&gt;=5,INDEX(Inputs!$B$15:$D$15,1,MATCH(A706,Inputs!$B$6:$D$6,0)),0)))))</x:f>
        <x:v>90</x:v>
      </x:c>
      <x:c r="M706" s="20" t="n">
        <x:f>G706*I706</x:f>
        <x:v>31135</x:v>
      </x:c>
      <x:c r="N706" s="20" t="n">
        <x:f>G706*J706</x:f>
        <x:v>7800</x:v>
      </x:c>
      <x:c r="O706" s="20" t="n">
        <x:f>G706*K706</x:f>
        <x:v>0</x:v>
      </x:c>
      <x:c r="P706" s="20" t="n">
        <x:f>G706*L706</x:f>
        <x:v>1170</x:v>
      </x:c>
      <x:c r="Q706" s="20" t="n">
        <x:f>H706*INDEX(Inputs!$B$13:$D$13,1,MATCH(A706,Inputs!$B$6:$D$6,0))</x:f>
        <x:v>390</x:v>
      </x:c>
      <x:c r="R706" s="20" t="n">
        <x:f>SUM(M706:Q706)</x:f>
        <x:v>40495</x:v>
      </x:c>
      <x:c r="S706" s="20" t="n">
        <x:f>IF(AND(A705=A706,D705=D706),S705+R706,R706)</x:f>
        <x:v>40495</x:v>
      </x:c>
      <x:c r="T706" s="20" t="n">
        <x:f>MIN(S706,INDEX(Inputs!$B$20:$D$20,1,MATCH(A706,Inputs!$B$6:$D$6,0)))*INDEX(Inputs!$B$22:$D$22,1,MATCH(A706,Inputs!$B$6:$D$6,0))+MAX(MIN(S706,INDEX(Inputs!$B$21:$D$21,1,MATCH(A706,Inputs!$B$6:$D$6,0)))-INDEX(Inputs!$B$20:$D$20,1,MATCH(A706,Inputs!$B$6:$D$6,0)),0)*INDEX(Inputs!$B$23:$D$23,1,MATCH(A706,Inputs!$B$6:$D$6,0))+MAX(S706-INDEX(Inputs!$B$21:$D$21,1,MATCH(A706,Inputs!$B$6:$D$6,0)),0)*INDEX(Inputs!$B$24:$D$24,1,MATCH(A706,Inputs!$B$6:$D$6,0))</x:f>
        <x:v>3587.8675</x:v>
      </x:c>
      <x:c r="U706" s="20" t="n">
        <x:f>IF(AND(A705=A706,D705=D706),T705,0)</x:f>
        <x:v>0</x:v>
      </x:c>
      <x:c r="V706" s="20" t="n">
        <x:f>T706-U706</x:f>
        <x:v>3587.8675</x:v>
      </x:c>
      <x:c r="W706" s="20" t="n">
        <x:f>R706+V706</x:f>
        <x:v>44082.8675</x:v>
      </x:c>
      <x:c r="X706" s="14" t="str">
        <x:f>IF(ABS(W706-SUM(M706:Q706)-V706)&lt;0.01,"OK","Check")</x:f>
        <x:v>OK</x:v>
      </x:c>
    </x:row>
    <x:row r="707">
      <x:c r="A707" s="14" t="n">
        <x:v>2027</x:v>
      </x:c>
      <x:c r="B707" s="14" t="str">
        <x:v>Q2</x:v>
      </x:c>
      <x:c r="C707" s="14" t="n">
        <x:v>2</x:v>
      </x:c>
      <x:c r="D707" s="14" t="n">
        <x:v>73</x:v>
      </x:c>
      <x:c r="E707" s="14" t="str">
        <x:f>INDEX(Roster!$B$6:$B$108,MATCH(D707,Roster!$A$6:$A$108,0))</x:f>
        <x:v>Principal</x:v>
      </x:c>
      <x:c r="F707" s="14" t="str">
        <x:f>INDEX(Roster!$F$6:$F$108,MATCH(D707,Roster!$A$6:$A$108,0))</x:f>
        <x:v>Yes</x:v>
      </x:c>
      <x:c r="G707" s="14" t="n">
        <x:f>INDEX(Inputs!$B$7:$D$7,1,MATCH(A707,Inputs!$B$6:$D$6,0))</x:f>
        <x:v>13</x:v>
      </x:c>
      <x:c r="H707" s="14" t="n">
        <x:f>MIN(=INDEX(Inputs!$B$7:$D$7,1,MATCH(A707,Inputs!$B$6:$D$6,0)),MAX(0,INDEX(Inputs!$B$14:$D$14,1,MATCH(A707,Inputs!$B$6:$D$6,0))-(C707-1)*=INDEX(Inputs!$B$7:$D$7,1,MATCH(A707,Inputs!$B$6:$D$6,0))))</x:f>
        <x:v>13</x:v>
      </x:c>
      <x:c r="I707" s="20" t="n">
        <x:f>INDEX(Inputs!$B$8:$D$8,1,MATCH(A707,Inputs!$B$6:$D$6,0))</x:f>
        <x:v>2395</x:v>
      </x:c>
      <x:c r="J707" s="20" t="n">
        <x:f>INDEX(Roster!$C$6:$C$108,MATCH(D707,Roster!$A$6:$A$108,0))*(1+INDEX(Inputs!$B$9:$D$9,1,MATCH(A707,Inputs!$B$6:$D$6,0)))</x:f>
        <x:v>600</x:v>
      </x:c>
      <x:c r="K707" s="20" t="n">
        <x:f>IF(=INDEX(Roster!$F$6:$F$108,MATCH(D707,Roster!$A$6:$A$108,0))="Yes",0,=INDEX(Inputs!$B$8:$D$8,1,MATCH(A707,Inputs!$B$6:$D$6,0))*IF(=INDEX(Roster!$B$6:$B$108,MATCH(D707,Roster!$A$6:$A$108,0))="Principal",INDEX(Inputs!$B$10:$D$10,1,MATCH(A707,Inputs!$B$6:$D$6,0)),IF(=INDEX(Roster!$B$6:$B$108,MATCH(D707,Roster!$A$6:$A$108,0))="Associate Principal",INDEX(Inputs!$B$11:$D$11,1,MATCH(A707,Inputs!$B$6:$D$6,0)),IF(=INDEX(Roster!$B$6:$B$108,MATCH(D707,Roster!$A$6:$A$108,0))="Assistant Principal",INDEX(Inputs!$B$12:$D$12,1,MATCH(A707,Inputs!$B$6:$D$6,0)),0))))</x:f>
        <x:v>0</x:v>
      </x:c>
      <x:c r="L707" s="20" t="n">
        <x:f>IF(INDEX(Roster!$D$6:$D$108,MATCH(D707,Roster!$A$6:$A$108,0))&gt;=25,INDEX(Inputs!$B$19:$D$19,1,MATCH(A707,Inputs!$B$6:$D$6,0)),IF(INDEX(Roster!$D$6:$D$108,MATCH(D707,Roster!$A$6:$A$108,0))&gt;=20,INDEX(Inputs!$B$18:$D$18,1,MATCH(A707,Inputs!$B$6:$D$6,0)),IF(INDEX(Roster!$D$6:$D$108,MATCH(D707,Roster!$A$6:$A$108,0))&gt;=15,INDEX(Inputs!$B$17:$D$17,1,MATCH(A707,Inputs!$B$6:$D$6,0)),IF(INDEX(Roster!$D$6:$D$108,MATCH(D707,Roster!$A$6:$A$108,0))&gt;=10,INDEX(Inputs!$B$16:$D$16,1,MATCH(A707,Inputs!$B$6:$D$6,0)),IF(INDEX(Roster!$D$6:$D$108,MATCH(D707,Roster!$A$6:$A$108,0))&gt;=5,INDEX(Inputs!$B$15:$D$15,1,MATCH(A707,Inputs!$B$6:$D$6,0)),0)))))</x:f>
        <x:v>90</x:v>
      </x:c>
      <x:c r="M707" s="20" t="n">
        <x:f>G707*I707</x:f>
        <x:v>31135</x:v>
      </x:c>
      <x:c r="N707" s="20" t="n">
        <x:f>G707*J707</x:f>
        <x:v>7800</x:v>
      </x:c>
      <x:c r="O707" s="20" t="n">
        <x:f>G707*K707</x:f>
        <x:v>0</x:v>
      </x:c>
      <x:c r="P707" s="20" t="n">
        <x:f>G707*L707</x:f>
        <x:v>1170</x:v>
      </x:c>
      <x:c r="Q707" s="20" t="n">
        <x:f>H707*INDEX(Inputs!$B$13:$D$13,1,MATCH(A707,Inputs!$B$6:$D$6,0))</x:f>
        <x:v>390</x:v>
      </x:c>
      <x:c r="R707" s="20" t="n">
        <x:f>SUM(M707:Q707)</x:f>
        <x:v>40495</x:v>
      </x:c>
      <x:c r="S707" s="20" t="n">
        <x:f>IF(AND(A706=A707,D706=D707),S706+R707,R707)</x:f>
        <x:v>80990</x:v>
      </x:c>
      <x:c r="T707" s="20" t="n">
        <x:f>MIN(S707,INDEX(Inputs!$B$20:$D$20,1,MATCH(A707,Inputs!$B$6:$D$6,0)))*INDEX(Inputs!$B$22:$D$22,1,MATCH(A707,Inputs!$B$6:$D$6,0))+MAX(MIN(S707,INDEX(Inputs!$B$21:$D$21,1,MATCH(A707,Inputs!$B$6:$D$6,0)))-INDEX(Inputs!$B$20:$D$20,1,MATCH(A707,Inputs!$B$6:$D$6,0)),0)*INDEX(Inputs!$B$23:$D$23,1,MATCH(A707,Inputs!$B$6:$D$6,0))+MAX(S707-INDEX(Inputs!$B$21:$D$21,1,MATCH(A707,Inputs!$B$6:$D$6,0)),0)*INDEX(Inputs!$B$24:$D$24,1,MATCH(A707,Inputs!$B$6:$D$6,0))</x:f>
        <x:v>6685.735</x:v>
      </x:c>
      <x:c r="U707" s="20" t="n">
        <x:f>IF(AND(A706=A707,D706=D707),T706,0)</x:f>
        <x:v>3587.8675</x:v>
      </x:c>
      <x:c r="V707" s="20" t="n">
        <x:f>T707-U707</x:f>
        <x:v>3097.8675</x:v>
      </x:c>
      <x:c r="W707" s="20" t="n">
        <x:f>R707+V707</x:f>
        <x:v>43592.8675</x:v>
      </x:c>
      <x:c r="X707" s="14" t="str">
        <x:f>IF(ABS(W707-SUM(M707:Q707)-V707)&lt;0.01,"OK","Check")</x:f>
        <x:v>OK</x:v>
      </x:c>
    </x:row>
    <x:row r="708">
      <x:c r="A708" s="14" t="n">
        <x:v>2027</x:v>
      </x:c>
      <x:c r="B708" s="14" t="str">
        <x:v>Q3</x:v>
      </x:c>
      <x:c r="C708" s="14" t="n">
        <x:v>3</x:v>
      </x:c>
      <x:c r="D708" s="14" t="n">
        <x:v>73</x:v>
      </x:c>
      <x:c r="E708" s="14" t="str">
        <x:f>INDEX(Roster!$B$6:$B$108,MATCH(D708,Roster!$A$6:$A$108,0))</x:f>
        <x:v>Principal</x:v>
      </x:c>
      <x:c r="F708" s="14" t="str">
        <x:f>INDEX(Roster!$F$6:$F$108,MATCH(D708,Roster!$A$6:$A$108,0))</x:f>
        <x:v>Yes</x:v>
      </x:c>
      <x:c r="G708" s="14" t="n">
        <x:f>INDEX(Inputs!$B$7:$D$7,1,MATCH(A708,Inputs!$B$6:$D$6,0))</x:f>
        <x:v>13</x:v>
      </x:c>
      <x:c r="H708" s="14" t="n">
        <x:f>MIN(=INDEX(Inputs!$B$7:$D$7,1,MATCH(A708,Inputs!$B$6:$D$6,0)),MAX(0,INDEX(Inputs!$B$14:$D$14,1,MATCH(A708,Inputs!$B$6:$D$6,0))-(C708-1)*=INDEX(Inputs!$B$7:$D$7,1,MATCH(A708,Inputs!$B$6:$D$6,0))))</x:f>
        <x:v>13</x:v>
      </x:c>
      <x:c r="I708" s="20" t="n">
        <x:f>INDEX(Inputs!$B$8:$D$8,1,MATCH(A708,Inputs!$B$6:$D$6,0))</x:f>
        <x:v>2395</x:v>
      </x:c>
      <x:c r="J708" s="20" t="n">
        <x:f>INDEX(Roster!$C$6:$C$108,MATCH(D708,Roster!$A$6:$A$108,0))*(1+INDEX(Inputs!$B$9:$D$9,1,MATCH(A708,Inputs!$B$6:$D$6,0)))</x:f>
        <x:v>600</x:v>
      </x:c>
      <x:c r="K708" s="20" t="n">
        <x:f>IF(=INDEX(Roster!$F$6:$F$108,MATCH(D708,Roster!$A$6:$A$108,0))="Yes",0,=INDEX(Inputs!$B$8:$D$8,1,MATCH(A708,Inputs!$B$6:$D$6,0))*IF(=INDEX(Roster!$B$6:$B$108,MATCH(D708,Roster!$A$6:$A$108,0))="Principal",INDEX(Inputs!$B$10:$D$10,1,MATCH(A708,Inputs!$B$6:$D$6,0)),IF(=INDEX(Roster!$B$6:$B$108,MATCH(D708,Roster!$A$6:$A$108,0))="Associate Principal",INDEX(Inputs!$B$11:$D$11,1,MATCH(A708,Inputs!$B$6:$D$6,0)),IF(=INDEX(Roster!$B$6:$B$108,MATCH(D708,Roster!$A$6:$A$108,0))="Assistant Principal",INDEX(Inputs!$B$12:$D$12,1,MATCH(A708,Inputs!$B$6:$D$6,0)),0))))</x:f>
        <x:v>0</x:v>
      </x:c>
      <x:c r="L708" s="20" t="n">
        <x:f>IF(INDEX(Roster!$D$6:$D$108,MATCH(D708,Roster!$A$6:$A$108,0))&gt;=25,INDEX(Inputs!$B$19:$D$19,1,MATCH(A708,Inputs!$B$6:$D$6,0)),IF(INDEX(Roster!$D$6:$D$108,MATCH(D708,Roster!$A$6:$A$108,0))&gt;=20,INDEX(Inputs!$B$18:$D$18,1,MATCH(A708,Inputs!$B$6:$D$6,0)),IF(INDEX(Roster!$D$6:$D$108,MATCH(D708,Roster!$A$6:$A$108,0))&gt;=15,INDEX(Inputs!$B$17:$D$17,1,MATCH(A708,Inputs!$B$6:$D$6,0)),IF(INDEX(Roster!$D$6:$D$108,MATCH(D708,Roster!$A$6:$A$108,0))&gt;=10,INDEX(Inputs!$B$16:$D$16,1,MATCH(A708,Inputs!$B$6:$D$6,0)),IF(INDEX(Roster!$D$6:$D$108,MATCH(D708,Roster!$A$6:$A$108,0))&gt;=5,INDEX(Inputs!$B$15:$D$15,1,MATCH(A708,Inputs!$B$6:$D$6,0)),0)))))</x:f>
        <x:v>90</x:v>
      </x:c>
      <x:c r="M708" s="20" t="n">
        <x:f>G708*I708</x:f>
        <x:v>31135</x:v>
      </x:c>
      <x:c r="N708" s="20" t="n">
        <x:f>G708*J708</x:f>
        <x:v>7800</x:v>
      </x:c>
      <x:c r="O708" s="20" t="n">
        <x:f>G708*K708</x:f>
        <x:v>0</x:v>
      </x:c>
      <x:c r="P708" s="20" t="n">
        <x:f>G708*L708</x:f>
        <x:v>1170</x:v>
      </x:c>
      <x:c r="Q708" s="20" t="n">
        <x:f>H708*INDEX(Inputs!$B$13:$D$13,1,MATCH(A708,Inputs!$B$6:$D$6,0))</x:f>
        <x:v>390</x:v>
      </x:c>
      <x:c r="R708" s="20" t="n">
        <x:f>SUM(M708:Q708)</x:f>
        <x:v>40495</x:v>
      </x:c>
      <x:c r="S708" s="20" t="n">
        <x:f>IF(AND(A707=A708,D707=D708),S707+R708,R708)</x:f>
        <x:v>121485</x:v>
      </x:c>
      <x:c r="T708" s="20" t="n">
        <x:f>MIN(S708,INDEX(Inputs!$B$20:$D$20,1,MATCH(A708,Inputs!$B$6:$D$6,0)))*INDEX(Inputs!$B$22:$D$22,1,MATCH(A708,Inputs!$B$6:$D$6,0))+MAX(MIN(S708,INDEX(Inputs!$B$21:$D$21,1,MATCH(A708,Inputs!$B$6:$D$6,0)))-INDEX(Inputs!$B$20:$D$20,1,MATCH(A708,Inputs!$B$6:$D$6,0)),0)*INDEX(Inputs!$B$23:$D$23,1,MATCH(A708,Inputs!$B$6:$D$6,0))+MAX(S708-INDEX(Inputs!$B$21:$D$21,1,MATCH(A708,Inputs!$B$6:$D$6,0)),0)*INDEX(Inputs!$B$24:$D$24,1,MATCH(A708,Inputs!$B$6:$D$6,0))</x:f>
        <x:v>9675.4745</x:v>
      </x:c>
      <x:c r="U708" s="20" t="n">
        <x:f>IF(AND(A707=A708,D707=D708),T707,0)</x:f>
        <x:v>6685.735</x:v>
      </x:c>
      <x:c r="V708" s="20" t="n">
        <x:f>T708-U708</x:f>
        <x:v>2989.7395000000006</x:v>
      </x:c>
      <x:c r="W708" s="20" t="n">
        <x:f>R708+V708</x:f>
        <x:v>43484.7395</x:v>
      </x:c>
      <x:c r="X708" s="14" t="str">
        <x:f>IF(ABS(W708-SUM(M708:Q708)-V708)&lt;0.01,"OK","Check")</x:f>
        <x:v>OK</x:v>
      </x:c>
    </x:row>
    <x:row r="709">
      <x:c r="A709" s="14" t="n">
        <x:v>2027</x:v>
      </x:c>
      <x:c r="B709" s="14" t="str">
        <x:v>Q4</x:v>
      </x:c>
      <x:c r="C709" s="14" t="n">
        <x:v>4</x:v>
      </x:c>
      <x:c r="D709" s="14" t="n">
        <x:v>73</x:v>
      </x:c>
      <x:c r="E709" s="14" t="str">
        <x:f>INDEX(Roster!$B$6:$B$108,MATCH(D709,Roster!$A$6:$A$108,0))</x:f>
        <x:v>Principal</x:v>
      </x:c>
      <x:c r="F709" s="14" t="str">
        <x:f>INDEX(Roster!$F$6:$F$108,MATCH(D709,Roster!$A$6:$A$108,0))</x:f>
        <x:v>Yes</x:v>
      </x:c>
      <x:c r="G709" s="14" t="n">
        <x:f>INDEX(Inputs!$B$7:$D$7,1,MATCH(A709,Inputs!$B$6:$D$6,0))</x:f>
        <x:v>13</x:v>
      </x:c>
      <x:c r="H709" s="14" t="n">
        <x:f>MIN(=INDEX(Inputs!$B$7:$D$7,1,MATCH(A709,Inputs!$B$6:$D$6,0)),MAX(0,INDEX(Inputs!$B$14:$D$14,1,MATCH(A709,Inputs!$B$6:$D$6,0))-(C709-1)*=INDEX(Inputs!$B$7:$D$7,1,MATCH(A709,Inputs!$B$6:$D$6,0))))</x:f>
        <x:v>0</x:v>
      </x:c>
      <x:c r="I709" s="20" t="n">
        <x:f>INDEX(Inputs!$B$8:$D$8,1,MATCH(A709,Inputs!$B$6:$D$6,0))</x:f>
        <x:v>2395</x:v>
      </x:c>
      <x:c r="J709" s="20" t="n">
        <x:f>INDEX(Roster!$C$6:$C$108,MATCH(D709,Roster!$A$6:$A$108,0))*(1+INDEX(Inputs!$B$9:$D$9,1,MATCH(A709,Inputs!$B$6:$D$6,0)))</x:f>
        <x:v>600</x:v>
      </x:c>
      <x:c r="K709" s="20" t="n">
        <x:f>IF(=INDEX(Roster!$F$6:$F$108,MATCH(D709,Roster!$A$6:$A$108,0))="Yes",0,=INDEX(Inputs!$B$8:$D$8,1,MATCH(A709,Inputs!$B$6:$D$6,0))*IF(=INDEX(Roster!$B$6:$B$108,MATCH(D709,Roster!$A$6:$A$108,0))="Principal",INDEX(Inputs!$B$10:$D$10,1,MATCH(A709,Inputs!$B$6:$D$6,0)),IF(=INDEX(Roster!$B$6:$B$108,MATCH(D709,Roster!$A$6:$A$108,0))="Associate Principal",INDEX(Inputs!$B$11:$D$11,1,MATCH(A709,Inputs!$B$6:$D$6,0)),IF(=INDEX(Roster!$B$6:$B$108,MATCH(D709,Roster!$A$6:$A$108,0))="Assistant Principal",INDEX(Inputs!$B$12:$D$12,1,MATCH(A709,Inputs!$B$6:$D$6,0)),0))))</x:f>
        <x:v>0</x:v>
      </x:c>
      <x:c r="L709" s="20" t="n">
        <x:f>IF(INDEX(Roster!$D$6:$D$108,MATCH(D709,Roster!$A$6:$A$108,0))&gt;=25,INDEX(Inputs!$B$19:$D$19,1,MATCH(A709,Inputs!$B$6:$D$6,0)),IF(INDEX(Roster!$D$6:$D$108,MATCH(D709,Roster!$A$6:$A$108,0))&gt;=20,INDEX(Inputs!$B$18:$D$18,1,MATCH(A709,Inputs!$B$6:$D$6,0)),IF(INDEX(Roster!$D$6:$D$108,MATCH(D709,Roster!$A$6:$A$108,0))&gt;=15,INDEX(Inputs!$B$17:$D$17,1,MATCH(A709,Inputs!$B$6:$D$6,0)),IF(INDEX(Roster!$D$6:$D$108,MATCH(D709,Roster!$A$6:$A$108,0))&gt;=10,INDEX(Inputs!$B$16:$D$16,1,MATCH(A709,Inputs!$B$6:$D$6,0)),IF(INDEX(Roster!$D$6:$D$108,MATCH(D709,Roster!$A$6:$A$108,0))&gt;=5,INDEX(Inputs!$B$15:$D$15,1,MATCH(A709,Inputs!$B$6:$D$6,0)),0)))))</x:f>
        <x:v>90</x:v>
      </x:c>
      <x:c r="M709" s="20" t="n">
        <x:f>G709*I709</x:f>
        <x:v>31135</x:v>
      </x:c>
      <x:c r="N709" s="20" t="n">
        <x:f>G709*J709</x:f>
        <x:v>7800</x:v>
      </x:c>
      <x:c r="O709" s="20" t="n">
        <x:f>G709*K709</x:f>
        <x:v>0</x:v>
      </x:c>
      <x:c r="P709" s="20" t="n">
        <x:f>G709*L709</x:f>
        <x:v>1170</x:v>
      </x:c>
      <x:c r="Q709" s="20" t="n">
        <x:f>H709*INDEX(Inputs!$B$13:$D$13,1,MATCH(A709,Inputs!$B$6:$D$6,0))</x:f>
        <x:v>0</x:v>
      </x:c>
      <x:c r="R709" s="20" t="n">
        <x:f>SUM(M709:Q709)</x:f>
        <x:v>40105</x:v>
      </x:c>
      <x:c r="S709" s="20" t="n">
        <x:f>IF(AND(A708=A709,D708=D709),S708+R709,R709)</x:f>
        <x:v>161590</x:v>
      </x:c>
      <x:c r="T709" s="20" t="n">
        <x:f>MIN(S709,INDEX(Inputs!$B$20:$D$20,1,MATCH(A709,Inputs!$B$6:$D$6,0)))*INDEX(Inputs!$B$22:$D$22,1,MATCH(A709,Inputs!$B$6:$D$6,0))+MAX(MIN(S709,INDEX(Inputs!$B$21:$D$21,1,MATCH(A709,Inputs!$B$6:$D$6,0)))-INDEX(Inputs!$B$20:$D$20,1,MATCH(A709,Inputs!$B$6:$D$6,0)),0)*INDEX(Inputs!$B$23:$D$23,1,MATCH(A709,Inputs!$B$6:$D$6,0))+MAX(S709-INDEX(Inputs!$B$21:$D$21,1,MATCH(A709,Inputs!$B$6:$D$6,0)),0)*INDEX(Inputs!$B$24:$D$24,1,MATCH(A709,Inputs!$B$6:$D$6,0))</x:f>
        <x:v>10256.997</x:v>
      </x:c>
      <x:c r="U709" s="20" t="n">
        <x:f>IF(AND(A708=A709,D708=D709),T708,0)</x:f>
        <x:v>9675.4745</x:v>
      </x:c>
      <x:c r="V709" s="20" t="n">
        <x:f>T709-U709</x:f>
        <x:v>581.5224999999991</x:v>
      </x:c>
      <x:c r="W709" s="20" t="n">
        <x:f>R709+V709</x:f>
        <x:v>40686.5225</x:v>
      </x:c>
      <x:c r="X709" s="14" t="str">
        <x:f>IF(ABS(W709-SUM(M709:Q709)-V709)&lt;0.01,"OK","Check")</x:f>
        <x:v>OK</x:v>
      </x:c>
    </x:row>
    <x:row r="710">
      <x:c r="A710" s="14" t="n">
        <x:v>2027</x:v>
      </x:c>
      <x:c r="B710" s="14" t="str">
        <x:v>Q1</x:v>
      </x:c>
      <x:c r="C710" s="14" t="n">
        <x:v>1</x:v>
      </x:c>
      <x:c r="D710" s="14" t="n">
        <x:v>74</x:v>
      </x:c>
      <x:c r="E710" s="14" t="str">
        <x:f>INDEX(Roster!$B$6:$B$108,MATCH(D710,Roster!$A$6:$A$108,0))</x:f>
      </x:c>
      <x:c r="F710" s="14" t="str">
        <x:f>INDEX(Roster!$F$6:$F$108,MATCH(D710,Roster!$A$6:$A$108,0))</x:f>
        <x:v>No</x:v>
      </x:c>
      <x:c r="G710" s="14" t="n">
        <x:f>INDEX(Inputs!$B$7:$D$7,1,MATCH(A710,Inputs!$B$6:$D$6,0))</x:f>
        <x:v>13</x:v>
      </x:c>
      <x:c r="H710" s="14" t="n">
        <x:f>MIN(=INDEX(Inputs!$B$7:$D$7,1,MATCH(A710,Inputs!$B$6:$D$6,0)),MAX(0,INDEX(Inputs!$B$14:$D$14,1,MATCH(A710,Inputs!$B$6:$D$6,0))-(C710-1)*=INDEX(Inputs!$B$7:$D$7,1,MATCH(A710,Inputs!$B$6:$D$6,0))))</x:f>
        <x:v>13</x:v>
      </x:c>
      <x:c r="I710" s="20" t="n">
        <x:f>INDEX(Inputs!$B$8:$D$8,1,MATCH(A710,Inputs!$B$6:$D$6,0))</x:f>
        <x:v>2395</x:v>
      </x:c>
      <x:c r="J710" s="20" t="n">
        <x:f>INDEX(Roster!$C$6:$C$108,MATCH(D710,Roster!$A$6:$A$108,0))*(1+INDEX(Inputs!$B$9:$D$9,1,MATCH(A710,Inputs!$B$6:$D$6,0)))</x:f>
        <x:v>75</x:v>
      </x:c>
      <x:c r="K710" s="20" t="n">
        <x:f>IF(=INDEX(Roster!$F$6:$F$108,MATCH(D710,Roster!$A$6:$A$108,0))="Yes",0,=INDEX(Inputs!$B$8:$D$8,1,MATCH(A710,Inputs!$B$6:$D$6,0))*IF(=INDEX(Roster!$B$6:$B$108,MATCH(D710,Roster!$A$6:$A$108,0))="Principal",INDEX(Inputs!$B$10:$D$10,1,MATCH(A710,Inputs!$B$6:$D$6,0)),IF(=INDEX(Roster!$B$6:$B$108,MATCH(D710,Roster!$A$6:$A$108,0))="Associate Principal",INDEX(Inputs!$B$11:$D$11,1,MATCH(A710,Inputs!$B$6:$D$6,0)),IF(=INDEX(Roster!$B$6:$B$108,MATCH(D710,Roster!$A$6:$A$108,0))="Assistant Principal",INDEX(Inputs!$B$12:$D$12,1,MATCH(A710,Inputs!$B$6:$D$6,0)),0))))</x:f>
        <x:v>0</x:v>
      </x:c>
      <x:c r="L710" s="20" t="n">
        <x:f>IF(INDEX(Roster!$D$6:$D$108,MATCH(D710,Roster!$A$6:$A$108,0))&gt;=25,INDEX(Inputs!$B$19:$D$19,1,MATCH(A710,Inputs!$B$6:$D$6,0)),IF(INDEX(Roster!$D$6:$D$108,MATCH(D710,Roster!$A$6:$A$108,0))&gt;=20,INDEX(Inputs!$B$18:$D$18,1,MATCH(A710,Inputs!$B$6:$D$6,0)),IF(INDEX(Roster!$D$6:$D$108,MATCH(D710,Roster!$A$6:$A$108,0))&gt;=15,INDEX(Inputs!$B$17:$D$17,1,MATCH(A710,Inputs!$B$6:$D$6,0)),IF(INDEX(Roster!$D$6:$D$108,MATCH(D710,Roster!$A$6:$A$108,0))&gt;=10,INDEX(Inputs!$B$16:$D$16,1,MATCH(A710,Inputs!$B$6:$D$6,0)),IF(INDEX(Roster!$D$6:$D$108,MATCH(D710,Roster!$A$6:$A$108,0))&gt;=5,INDEX(Inputs!$B$15:$D$15,1,MATCH(A710,Inputs!$B$6:$D$6,0)),0)))))</x:f>
        <x:v>90</x:v>
      </x:c>
      <x:c r="M710" s="20" t="n">
        <x:f>G710*I710</x:f>
        <x:v>31135</x:v>
      </x:c>
      <x:c r="N710" s="20" t="n">
        <x:f>G710*J710</x:f>
        <x:v>975</x:v>
      </x:c>
      <x:c r="O710" s="20" t="n">
        <x:f>G710*K710</x:f>
        <x:v>0</x:v>
      </x:c>
      <x:c r="P710" s="20" t="n">
        <x:f>G710*L710</x:f>
        <x:v>1170</x:v>
      </x:c>
      <x:c r="Q710" s="20" t="n">
        <x:f>H710*INDEX(Inputs!$B$13:$D$13,1,MATCH(A710,Inputs!$B$6:$D$6,0))</x:f>
        <x:v>390</x:v>
      </x:c>
      <x:c r="R710" s="20" t="n">
        <x:f>SUM(M710:Q710)</x:f>
        <x:v>33670</x:v>
      </x:c>
      <x:c r="S710" s="20" t="n">
        <x:f>IF(AND(A709=A710,D709=D710),S709+R710,R710)</x:f>
        <x:v>33670</x:v>
      </x:c>
      <x:c r="T710" s="20" t="n">
        <x:f>MIN(S710,INDEX(Inputs!$B$20:$D$20,1,MATCH(A710,Inputs!$B$6:$D$6,0)))*INDEX(Inputs!$B$22:$D$22,1,MATCH(A710,Inputs!$B$6:$D$6,0))+MAX(MIN(S710,INDEX(Inputs!$B$21:$D$21,1,MATCH(A710,Inputs!$B$6:$D$6,0)))-INDEX(Inputs!$B$20:$D$20,1,MATCH(A710,Inputs!$B$6:$D$6,0)),0)*INDEX(Inputs!$B$23:$D$23,1,MATCH(A710,Inputs!$B$6:$D$6,0))+MAX(S710-INDEX(Inputs!$B$21:$D$21,1,MATCH(A710,Inputs!$B$6:$D$6,0)),0)*INDEX(Inputs!$B$24:$D$24,1,MATCH(A710,Inputs!$B$6:$D$6,0))</x:f>
        <x:v>3065.755</x:v>
      </x:c>
      <x:c r="U710" s="20" t="n">
        <x:f>IF(AND(A709=A710,D709=D710),T709,0)</x:f>
        <x:v>0</x:v>
      </x:c>
      <x:c r="V710" s="20" t="n">
        <x:f>T710-U710</x:f>
        <x:v>3065.755</x:v>
      </x:c>
      <x:c r="W710" s="20" t="n">
        <x:f>R710+V710</x:f>
        <x:v>36735.755</x:v>
      </x:c>
      <x:c r="X710" s="14" t="str">
        <x:f>IF(ABS(W710-SUM(M710:Q710)-V710)&lt;0.01,"OK","Check")</x:f>
        <x:v>OK</x:v>
      </x:c>
    </x:row>
    <x:row r="711">
      <x:c r="A711" s="14" t="n">
        <x:v>2027</x:v>
      </x:c>
      <x:c r="B711" s="14" t="str">
        <x:v>Q2</x:v>
      </x:c>
      <x:c r="C711" s="14" t="n">
        <x:v>2</x:v>
      </x:c>
      <x:c r="D711" s="14" t="n">
        <x:v>74</x:v>
      </x:c>
      <x:c r="E711" s="14" t="str">
        <x:f>INDEX(Roster!$B$6:$B$108,MATCH(D711,Roster!$A$6:$A$108,0))</x:f>
      </x:c>
      <x:c r="F711" s="14" t="str">
        <x:f>INDEX(Roster!$F$6:$F$108,MATCH(D711,Roster!$A$6:$A$108,0))</x:f>
        <x:v>No</x:v>
      </x:c>
      <x:c r="G711" s="14" t="n">
        <x:f>INDEX(Inputs!$B$7:$D$7,1,MATCH(A711,Inputs!$B$6:$D$6,0))</x:f>
        <x:v>13</x:v>
      </x:c>
      <x:c r="H711" s="14" t="n">
        <x:f>MIN(=INDEX(Inputs!$B$7:$D$7,1,MATCH(A711,Inputs!$B$6:$D$6,0)),MAX(0,INDEX(Inputs!$B$14:$D$14,1,MATCH(A711,Inputs!$B$6:$D$6,0))-(C711-1)*=INDEX(Inputs!$B$7:$D$7,1,MATCH(A711,Inputs!$B$6:$D$6,0))))</x:f>
        <x:v>13</x:v>
      </x:c>
      <x:c r="I711" s="20" t="n">
        <x:f>INDEX(Inputs!$B$8:$D$8,1,MATCH(A711,Inputs!$B$6:$D$6,0))</x:f>
        <x:v>2395</x:v>
      </x:c>
      <x:c r="J711" s="20" t="n">
        <x:f>INDEX(Roster!$C$6:$C$108,MATCH(D711,Roster!$A$6:$A$108,0))*(1+INDEX(Inputs!$B$9:$D$9,1,MATCH(A711,Inputs!$B$6:$D$6,0)))</x:f>
        <x:v>75</x:v>
      </x:c>
      <x:c r="K711" s="20" t="n">
        <x:f>IF(=INDEX(Roster!$F$6:$F$108,MATCH(D711,Roster!$A$6:$A$108,0))="Yes",0,=INDEX(Inputs!$B$8:$D$8,1,MATCH(A711,Inputs!$B$6:$D$6,0))*IF(=INDEX(Roster!$B$6:$B$108,MATCH(D711,Roster!$A$6:$A$108,0))="Principal",INDEX(Inputs!$B$10:$D$10,1,MATCH(A711,Inputs!$B$6:$D$6,0)),IF(=INDEX(Roster!$B$6:$B$108,MATCH(D711,Roster!$A$6:$A$108,0))="Associate Principal",INDEX(Inputs!$B$11:$D$11,1,MATCH(A711,Inputs!$B$6:$D$6,0)),IF(=INDEX(Roster!$B$6:$B$108,MATCH(D711,Roster!$A$6:$A$108,0))="Assistant Principal",INDEX(Inputs!$B$12:$D$12,1,MATCH(A711,Inputs!$B$6:$D$6,0)),0))))</x:f>
        <x:v>0</x:v>
      </x:c>
      <x:c r="L711" s="20" t="n">
        <x:f>IF(INDEX(Roster!$D$6:$D$108,MATCH(D711,Roster!$A$6:$A$108,0))&gt;=25,INDEX(Inputs!$B$19:$D$19,1,MATCH(A711,Inputs!$B$6:$D$6,0)),IF(INDEX(Roster!$D$6:$D$108,MATCH(D711,Roster!$A$6:$A$108,0))&gt;=20,INDEX(Inputs!$B$18:$D$18,1,MATCH(A711,Inputs!$B$6:$D$6,0)),IF(INDEX(Roster!$D$6:$D$108,MATCH(D711,Roster!$A$6:$A$108,0))&gt;=15,INDEX(Inputs!$B$17:$D$17,1,MATCH(A711,Inputs!$B$6:$D$6,0)),IF(INDEX(Roster!$D$6:$D$108,MATCH(D711,Roster!$A$6:$A$108,0))&gt;=10,INDEX(Inputs!$B$16:$D$16,1,MATCH(A711,Inputs!$B$6:$D$6,0)),IF(INDEX(Roster!$D$6:$D$108,MATCH(D711,Roster!$A$6:$A$108,0))&gt;=5,INDEX(Inputs!$B$15:$D$15,1,MATCH(A711,Inputs!$B$6:$D$6,0)),0)))))</x:f>
        <x:v>90</x:v>
      </x:c>
      <x:c r="M711" s="20" t="n">
        <x:f>G711*I711</x:f>
        <x:v>31135</x:v>
      </x:c>
      <x:c r="N711" s="20" t="n">
        <x:f>G711*J711</x:f>
        <x:v>975</x:v>
      </x:c>
      <x:c r="O711" s="20" t="n">
        <x:f>G711*K711</x:f>
        <x:v>0</x:v>
      </x:c>
      <x:c r="P711" s="20" t="n">
        <x:f>G711*L711</x:f>
        <x:v>1170</x:v>
      </x:c>
      <x:c r="Q711" s="20" t="n">
        <x:f>H711*INDEX(Inputs!$B$13:$D$13,1,MATCH(A711,Inputs!$B$6:$D$6,0))</x:f>
        <x:v>390</x:v>
      </x:c>
      <x:c r="R711" s="20" t="n">
        <x:f>SUM(M711:Q711)</x:f>
        <x:v>33670</x:v>
      </x:c>
      <x:c r="S711" s="20" t="n">
        <x:f>IF(AND(A710=A711,D710=D711),S710+R711,R711)</x:f>
        <x:v>67340</x:v>
      </x:c>
      <x:c r="T711" s="20" t="n">
        <x:f>MIN(S711,INDEX(Inputs!$B$20:$D$20,1,MATCH(A711,Inputs!$B$6:$D$6,0)))*INDEX(Inputs!$B$22:$D$22,1,MATCH(A711,Inputs!$B$6:$D$6,0))+MAX(MIN(S711,INDEX(Inputs!$B$21:$D$21,1,MATCH(A711,Inputs!$B$6:$D$6,0)))-INDEX(Inputs!$B$20:$D$20,1,MATCH(A711,Inputs!$B$6:$D$6,0)),0)*INDEX(Inputs!$B$23:$D$23,1,MATCH(A711,Inputs!$B$6:$D$6,0))+MAX(S711-INDEX(Inputs!$B$21:$D$21,1,MATCH(A711,Inputs!$B$6:$D$6,0)),0)*INDEX(Inputs!$B$24:$D$24,1,MATCH(A711,Inputs!$B$6:$D$6,0))</x:f>
        <x:v>5641.51</x:v>
      </x:c>
      <x:c r="U711" s="20" t="n">
        <x:f>IF(AND(A710=A711,D710=D711),T710,0)</x:f>
        <x:v>3065.755</x:v>
      </x:c>
      <x:c r="V711" s="20" t="n">
        <x:f>T711-U711</x:f>
        <x:v>2575.755</x:v>
      </x:c>
      <x:c r="W711" s="20" t="n">
        <x:f>R711+V711</x:f>
        <x:v>36245.755</x:v>
      </x:c>
      <x:c r="X711" s="14" t="str">
        <x:f>IF(ABS(W711-SUM(M711:Q711)-V711)&lt;0.01,"OK","Check")</x:f>
        <x:v>OK</x:v>
      </x:c>
    </x:row>
    <x:row r="712">
      <x:c r="A712" s="14" t="n">
        <x:v>2027</x:v>
      </x:c>
      <x:c r="B712" s="14" t="str">
        <x:v>Q3</x:v>
      </x:c>
      <x:c r="C712" s="14" t="n">
        <x:v>3</x:v>
      </x:c>
      <x:c r="D712" s="14" t="n">
        <x:v>74</x:v>
      </x:c>
      <x:c r="E712" s="14" t="str">
        <x:f>INDEX(Roster!$B$6:$B$108,MATCH(D712,Roster!$A$6:$A$108,0))</x:f>
      </x:c>
      <x:c r="F712" s="14" t="str">
        <x:f>INDEX(Roster!$F$6:$F$108,MATCH(D712,Roster!$A$6:$A$108,0))</x:f>
        <x:v>No</x:v>
      </x:c>
      <x:c r="G712" s="14" t="n">
        <x:f>INDEX(Inputs!$B$7:$D$7,1,MATCH(A712,Inputs!$B$6:$D$6,0))</x:f>
        <x:v>13</x:v>
      </x:c>
      <x:c r="H712" s="14" t="n">
        <x:f>MIN(=INDEX(Inputs!$B$7:$D$7,1,MATCH(A712,Inputs!$B$6:$D$6,0)),MAX(0,INDEX(Inputs!$B$14:$D$14,1,MATCH(A712,Inputs!$B$6:$D$6,0))-(C712-1)*=INDEX(Inputs!$B$7:$D$7,1,MATCH(A712,Inputs!$B$6:$D$6,0))))</x:f>
        <x:v>13</x:v>
      </x:c>
      <x:c r="I712" s="20" t="n">
        <x:f>INDEX(Inputs!$B$8:$D$8,1,MATCH(A712,Inputs!$B$6:$D$6,0))</x:f>
        <x:v>2395</x:v>
      </x:c>
      <x:c r="J712" s="20" t="n">
        <x:f>INDEX(Roster!$C$6:$C$108,MATCH(D712,Roster!$A$6:$A$108,0))*(1+INDEX(Inputs!$B$9:$D$9,1,MATCH(A712,Inputs!$B$6:$D$6,0)))</x:f>
        <x:v>75</x:v>
      </x:c>
      <x:c r="K712" s="20" t="n">
        <x:f>IF(=INDEX(Roster!$F$6:$F$108,MATCH(D712,Roster!$A$6:$A$108,0))="Yes",0,=INDEX(Inputs!$B$8:$D$8,1,MATCH(A712,Inputs!$B$6:$D$6,0))*IF(=INDEX(Roster!$B$6:$B$108,MATCH(D712,Roster!$A$6:$A$108,0))="Principal",INDEX(Inputs!$B$10:$D$10,1,MATCH(A712,Inputs!$B$6:$D$6,0)),IF(=INDEX(Roster!$B$6:$B$108,MATCH(D712,Roster!$A$6:$A$108,0))="Associate Principal",INDEX(Inputs!$B$11:$D$11,1,MATCH(A712,Inputs!$B$6:$D$6,0)),IF(=INDEX(Roster!$B$6:$B$108,MATCH(D712,Roster!$A$6:$A$108,0))="Assistant Principal",INDEX(Inputs!$B$12:$D$12,1,MATCH(A712,Inputs!$B$6:$D$6,0)),0))))</x:f>
        <x:v>0</x:v>
      </x:c>
      <x:c r="L712" s="20" t="n">
        <x:f>IF(INDEX(Roster!$D$6:$D$108,MATCH(D712,Roster!$A$6:$A$108,0))&gt;=25,INDEX(Inputs!$B$19:$D$19,1,MATCH(A712,Inputs!$B$6:$D$6,0)),IF(INDEX(Roster!$D$6:$D$108,MATCH(D712,Roster!$A$6:$A$108,0))&gt;=20,INDEX(Inputs!$B$18:$D$18,1,MATCH(A712,Inputs!$B$6:$D$6,0)),IF(INDEX(Roster!$D$6:$D$108,MATCH(D712,Roster!$A$6:$A$108,0))&gt;=15,INDEX(Inputs!$B$17:$D$17,1,MATCH(A712,Inputs!$B$6:$D$6,0)),IF(INDEX(Roster!$D$6:$D$108,MATCH(D712,Roster!$A$6:$A$108,0))&gt;=10,INDEX(Inputs!$B$16:$D$16,1,MATCH(A712,Inputs!$B$6:$D$6,0)),IF(INDEX(Roster!$D$6:$D$108,MATCH(D712,Roster!$A$6:$A$108,0))&gt;=5,INDEX(Inputs!$B$15:$D$15,1,MATCH(A712,Inputs!$B$6:$D$6,0)),0)))))</x:f>
        <x:v>90</x:v>
      </x:c>
      <x:c r="M712" s="20" t="n">
        <x:f>G712*I712</x:f>
        <x:v>31135</x:v>
      </x:c>
      <x:c r="N712" s="20" t="n">
        <x:f>G712*J712</x:f>
        <x:v>975</x:v>
      </x:c>
      <x:c r="O712" s="20" t="n">
        <x:f>G712*K712</x:f>
        <x:v>0</x:v>
      </x:c>
      <x:c r="P712" s="20" t="n">
        <x:f>G712*L712</x:f>
        <x:v>1170</x:v>
      </x:c>
      <x:c r="Q712" s="20" t="n">
        <x:f>H712*INDEX(Inputs!$B$13:$D$13,1,MATCH(A712,Inputs!$B$6:$D$6,0))</x:f>
        <x:v>390</x:v>
      </x:c>
      <x:c r="R712" s="20" t="n">
        <x:f>SUM(M712:Q712)</x:f>
        <x:v>33670</x:v>
      </x:c>
      <x:c r="S712" s="20" t="n">
        <x:f>IF(AND(A711=A712,D711=D712),S711+R712,R712)</x:f>
        <x:v>101010</x:v>
      </x:c>
      <x:c r="T712" s="20" t="n">
        <x:f>MIN(S712,INDEX(Inputs!$B$20:$D$20,1,MATCH(A712,Inputs!$B$6:$D$6,0)))*INDEX(Inputs!$B$22:$D$22,1,MATCH(A712,Inputs!$B$6:$D$6,0))+MAX(MIN(S712,INDEX(Inputs!$B$21:$D$21,1,MATCH(A712,Inputs!$B$6:$D$6,0)))-INDEX(Inputs!$B$20:$D$20,1,MATCH(A712,Inputs!$B$6:$D$6,0)),0)*INDEX(Inputs!$B$23:$D$23,1,MATCH(A712,Inputs!$B$6:$D$6,0))+MAX(S712-INDEX(Inputs!$B$21:$D$21,1,MATCH(A712,Inputs!$B$6:$D$6,0)),0)*INDEX(Inputs!$B$24:$D$24,1,MATCH(A712,Inputs!$B$6:$D$6,0))</x:f>
        <x:v>8217.265</x:v>
      </x:c>
      <x:c r="U712" s="20" t="n">
        <x:f>IF(AND(A711=A712,D711=D712),T711,0)</x:f>
        <x:v>5641.51</x:v>
      </x:c>
      <x:c r="V712" s="20" t="n">
        <x:f>T712-U712</x:f>
        <x:v>2575.754999999999</x:v>
      </x:c>
      <x:c r="W712" s="20" t="n">
        <x:f>R712+V712</x:f>
        <x:v>36245.755</x:v>
      </x:c>
      <x:c r="X712" s="14" t="str">
        <x:f>IF(ABS(W712-SUM(M712:Q712)-V712)&lt;0.01,"OK","Check")</x:f>
        <x:v>OK</x:v>
      </x:c>
    </x:row>
    <x:row r="713">
      <x:c r="A713" s="14" t="n">
        <x:v>2027</x:v>
      </x:c>
      <x:c r="B713" s="14" t="str">
        <x:v>Q4</x:v>
      </x:c>
      <x:c r="C713" s="14" t="n">
        <x:v>4</x:v>
      </x:c>
      <x:c r="D713" s="14" t="n">
        <x:v>74</x:v>
      </x:c>
      <x:c r="E713" s="14" t="str">
        <x:f>INDEX(Roster!$B$6:$B$108,MATCH(D713,Roster!$A$6:$A$108,0))</x:f>
      </x:c>
      <x:c r="F713" s="14" t="str">
        <x:f>INDEX(Roster!$F$6:$F$108,MATCH(D713,Roster!$A$6:$A$108,0))</x:f>
        <x:v>No</x:v>
      </x:c>
      <x:c r="G713" s="14" t="n">
        <x:f>INDEX(Inputs!$B$7:$D$7,1,MATCH(A713,Inputs!$B$6:$D$6,0))</x:f>
        <x:v>13</x:v>
      </x:c>
      <x:c r="H713" s="14" t="n">
        <x:f>MIN(=INDEX(Inputs!$B$7:$D$7,1,MATCH(A713,Inputs!$B$6:$D$6,0)),MAX(0,INDEX(Inputs!$B$14:$D$14,1,MATCH(A713,Inputs!$B$6:$D$6,0))-(C713-1)*=INDEX(Inputs!$B$7:$D$7,1,MATCH(A713,Inputs!$B$6:$D$6,0))))</x:f>
        <x:v>0</x:v>
      </x:c>
      <x:c r="I713" s="20" t="n">
        <x:f>INDEX(Inputs!$B$8:$D$8,1,MATCH(A713,Inputs!$B$6:$D$6,0))</x:f>
        <x:v>2395</x:v>
      </x:c>
      <x:c r="J713" s="20" t="n">
        <x:f>INDEX(Roster!$C$6:$C$108,MATCH(D713,Roster!$A$6:$A$108,0))*(1+INDEX(Inputs!$B$9:$D$9,1,MATCH(A713,Inputs!$B$6:$D$6,0)))</x:f>
        <x:v>75</x:v>
      </x:c>
      <x:c r="K713" s="20" t="n">
        <x:f>IF(=INDEX(Roster!$F$6:$F$108,MATCH(D713,Roster!$A$6:$A$108,0))="Yes",0,=INDEX(Inputs!$B$8:$D$8,1,MATCH(A713,Inputs!$B$6:$D$6,0))*IF(=INDEX(Roster!$B$6:$B$108,MATCH(D713,Roster!$A$6:$A$108,0))="Principal",INDEX(Inputs!$B$10:$D$10,1,MATCH(A713,Inputs!$B$6:$D$6,0)),IF(=INDEX(Roster!$B$6:$B$108,MATCH(D713,Roster!$A$6:$A$108,0))="Associate Principal",INDEX(Inputs!$B$11:$D$11,1,MATCH(A713,Inputs!$B$6:$D$6,0)),IF(=INDEX(Roster!$B$6:$B$108,MATCH(D713,Roster!$A$6:$A$108,0))="Assistant Principal",INDEX(Inputs!$B$12:$D$12,1,MATCH(A713,Inputs!$B$6:$D$6,0)),0))))</x:f>
        <x:v>0</x:v>
      </x:c>
      <x:c r="L713" s="20" t="n">
        <x:f>IF(INDEX(Roster!$D$6:$D$108,MATCH(D713,Roster!$A$6:$A$108,0))&gt;=25,INDEX(Inputs!$B$19:$D$19,1,MATCH(A713,Inputs!$B$6:$D$6,0)),IF(INDEX(Roster!$D$6:$D$108,MATCH(D713,Roster!$A$6:$A$108,0))&gt;=20,INDEX(Inputs!$B$18:$D$18,1,MATCH(A713,Inputs!$B$6:$D$6,0)),IF(INDEX(Roster!$D$6:$D$108,MATCH(D713,Roster!$A$6:$A$108,0))&gt;=15,INDEX(Inputs!$B$17:$D$17,1,MATCH(A713,Inputs!$B$6:$D$6,0)),IF(INDEX(Roster!$D$6:$D$108,MATCH(D713,Roster!$A$6:$A$108,0))&gt;=10,INDEX(Inputs!$B$16:$D$16,1,MATCH(A713,Inputs!$B$6:$D$6,0)),IF(INDEX(Roster!$D$6:$D$108,MATCH(D713,Roster!$A$6:$A$108,0))&gt;=5,INDEX(Inputs!$B$15:$D$15,1,MATCH(A713,Inputs!$B$6:$D$6,0)),0)))))</x:f>
        <x:v>90</x:v>
      </x:c>
      <x:c r="M713" s="20" t="n">
        <x:f>G713*I713</x:f>
        <x:v>31135</x:v>
      </x:c>
      <x:c r="N713" s="20" t="n">
        <x:f>G713*J713</x:f>
        <x:v>975</x:v>
      </x:c>
      <x:c r="O713" s="20" t="n">
        <x:f>G713*K713</x:f>
        <x:v>0</x:v>
      </x:c>
      <x:c r="P713" s="20" t="n">
        <x:f>G713*L713</x:f>
        <x:v>1170</x:v>
      </x:c>
      <x:c r="Q713" s="20" t="n">
        <x:f>H713*INDEX(Inputs!$B$13:$D$13,1,MATCH(A713,Inputs!$B$6:$D$6,0))</x:f>
        <x:v>0</x:v>
      </x:c>
      <x:c r="R713" s="20" t="n">
        <x:f>SUM(M713:Q713)</x:f>
        <x:v>33280</x:v>
      </x:c>
      <x:c r="S713" s="20" t="n">
        <x:f>IF(AND(A712=A713,D712=D713),S712+R713,R713)</x:f>
        <x:v>134290</x:v>
      </x:c>
      <x:c r="T713" s="20" t="n">
        <x:f>MIN(S713,INDEX(Inputs!$B$20:$D$20,1,MATCH(A713,Inputs!$B$6:$D$6,0)))*INDEX(Inputs!$B$22:$D$22,1,MATCH(A713,Inputs!$B$6:$D$6,0))+MAX(MIN(S713,INDEX(Inputs!$B$21:$D$21,1,MATCH(A713,Inputs!$B$6:$D$6,0)))-INDEX(Inputs!$B$20:$D$20,1,MATCH(A713,Inputs!$B$6:$D$6,0)),0)*INDEX(Inputs!$B$23:$D$23,1,MATCH(A713,Inputs!$B$6:$D$6,0))+MAX(S713-INDEX(Inputs!$B$21:$D$21,1,MATCH(A713,Inputs!$B$6:$D$6,0)),0)*INDEX(Inputs!$B$24:$D$24,1,MATCH(A713,Inputs!$B$6:$D$6,0))</x:f>
        <x:v>9861.146999999999</x:v>
      </x:c>
      <x:c r="U713" s="20" t="n">
        <x:f>IF(AND(A712=A713,D712=D713),T712,0)</x:f>
        <x:v>8217.265</x:v>
      </x:c>
      <x:c r="V713" s="20" t="n">
        <x:f>T713-U713</x:f>
        <x:v>1643.8819999999996</x:v>
      </x:c>
      <x:c r="W713" s="20" t="n">
        <x:f>R713+V713</x:f>
        <x:v>34923.882</x:v>
      </x:c>
      <x:c r="X713" s="14" t="str">
        <x:f>IF(ABS(W713-SUM(M713:Q713)-V713)&lt;0.01,"OK","Check")</x:f>
        <x:v>OK</x:v>
      </x:c>
    </x:row>
    <x:row r="714">
      <x:c r="A714" s="14" t="n">
        <x:v>2027</x:v>
      </x:c>
      <x:c r="B714" s="14" t="str">
        <x:v>Q1</x:v>
      </x:c>
      <x:c r="C714" s="14" t="n">
        <x:v>1</x:v>
      </x:c>
      <x:c r="D714" s="14" t="n">
        <x:v>75</x:v>
      </x:c>
      <x:c r="E714" s="14" t="str">
        <x:f>INDEX(Roster!$B$6:$B$108,MATCH(D714,Roster!$A$6:$A$108,0))</x:f>
        <x:v>Associate Principal</x:v>
      </x:c>
      <x:c r="F714" s="14" t="str">
        <x:f>INDEX(Roster!$F$6:$F$108,MATCH(D714,Roster!$A$6:$A$108,0))</x:f>
        <x:v>Yes</x:v>
      </x:c>
      <x:c r="G714" s="14" t="n">
        <x:f>INDEX(Inputs!$B$7:$D$7,1,MATCH(A714,Inputs!$B$6:$D$6,0))</x:f>
        <x:v>13</x:v>
      </x:c>
      <x:c r="H714" s="14" t="n">
        <x:f>MIN(=INDEX(Inputs!$B$7:$D$7,1,MATCH(A714,Inputs!$B$6:$D$6,0)),MAX(0,INDEX(Inputs!$B$14:$D$14,1,MATCH(A714,Inputs!$B$6:$D$6,0))-(C714-1)*=INDEX(Inputs!$B$7:$D$7,1,MATCH(A714,Inputs!$B$6:$D$6,0))))</x:f>
        <x:v>13</x:v>
      </x:c>
      <x:c r="I714" s="20" t="n">
        <x:f>INDEX(Inputs!$B$8:$D$8,1,MATCH(A714,Inputs!$B$6:$D$6,0))</x:f>
        <x:v>2395</x:v>
      </x:c>
      <x:c r="J714" s="20" t="n">
        <x:f>INDEX(Roster!$C$6:$C$108,MATCH(D714,Roster!$A$6:$A$108,0))*(1+INDEX(Inputs!$B$9:$D$9,1,MATCH(A714,Inputs!$B$6:$D$6,0)))</x:f>
        <x:v>350</x:v>
      </x:c>
      <x:c r="K714" s="20" t="n">
        <x:f>IF(=INDEX(Roster!$F$6:$F$108,MATCH(D714,Roster!$A$6:$A$108,0))="Yes",0,=INDEX(Inputs!$B$8:$D$8,1,MATCH(A714,Inputs!$B$6:$D$6,0))*IF(=INDEX(Roster!$B$6:$B$108,MATCH(D714,Roster!$A$6:$A$108,0))="Principal",INDEX(Inputs!$B$10:$D$10,1,MATCH(A714,Inputs!$B$6:$D$6,0)),IF(=INDEX(Roster!$B$6:$B$108,MATCH(D714,Roster!$A$6:$A$108,0))="Associate Principal",INDEX(Inputs!$B$11:$D$11,1,MATCH(A714,Inputs!$B$6:$D$6,0)),IF(=INDEX(Roster!$B$6:$B$108,MATCH(D714,Roster!$A$6:$A$108,0))="Assistant Principal",INDEX(Inputs!$B$12:$D$12,1,MATCH(A714,Inputs!$B$6:$D$6,0)),0))))</x:f>
        <x:v>0</x:v>
      </x:c>
      <x:c r="L714" s="20" t="n">
        <x:f>IF(INDEX(Roster!$D$6:$D$108,MATCH(D714,Roster!$A$6:$A$108,0))&gt;=25,INDEX(Inputs!$B$19:$D$19,1,MATCH(A714,Inputs!$B$6:$D$6,0)),IF(INDEX(Roster!$D$6:$D$108,MATCH(D714,Roster!$A$6:$A$108,0))&gt;=20,INDEX(Inputs!$B$18:$D$18,1,MATCH(A714,Inputs!$B$6:$D$6,0)),IF(INDEX(Roster!$D$6:$D$108,MATCH(D714,Roster!$A$6:$A$108,0))&gt;=15,INDEX(Inputs!$B$17:$D$17,1,MATCH(A714,Inputs!$B$6:$D$6,0)),IF(INDEX(Roster!$D$6:$D$108,MATCH(D714,Roster!$A$6:$A$108,0))&gt;=10,INDEX(Inputs!$B$16:$D$16,1,MATCH(A714,Inputs!$B$6:$D$6,0)),IF(INDEX(Roster!$D$6:$D$108,MATCH(D714,Roster!$A$6:$A$108,0))&gt;=5,INDEX(Inputs!$B$15:$D$15,1,MATCH(A714,Inputs!$B$6:$D$6,0)),0)))))</x:f>
        <x:v>90</x:v>
      </x:c>
      <x:c r="M714" s="20" t="n">
        <x:f>G714*I714</x:f>
        <x:v>31135</x:v>
      </x:c>
      <x:c r="N714" s="20" t="n">
        <x:f>G714*J714</x:f>
        <x:v>4550</x:v>
      </x:c>
      <x:c r="O714" s="20" t="n">
        <x:f>G714*K714</x:f>
        <x:v>0</x:v>
      </x:c>
      <x:c r="P714" s="20" t="n">
        <x:f>G714*L714</x:f>
        <x:v>1170</x:v>
      </x:c>
      <x:c r="Q714" s="20" t="n">
        <x:f>H714*INDEX(Inputs!$B$13:$D$13,1,MATCH(A714,Inputs!$B$6:$D$6,0))</x:f>
        <x:v>390</x:v>
      </x:c>
      <x:c r="R714" s="20" t="n">
        <x:f>SUM(M714:Q714)</x:f>
        <x:v>37245</x:v>
      </x:c>
      <x:c r="S714" s="20" t="n">
        <x:f>IF(AND(A713=A714,D713=D714),S713+R714,R714)</x:f>
        <x:v>37245</x:v>
      </x:c>
      <x:c r="T714" s="20" t="n">
        <x:f>MIN(S714,INDEX(Inputs!$B$20:$D$20,1,MATCH(A714,Inputs!$B$6:$D$6,0)))*INDEX(Inputs!$B$22:$D$22,1,MATCH(A714,Inputs!$B$6:$D$6,0))+MAX(MIN(S714,INDEX(Inputs!$B$21:$D$21,1,MATCH(A714,Inputs!$B$6:$D$6,0)))-INDEX(Inputs!$B$20:$D$20,1,MATCH(A714,Inputs!$B$6:$D$6,0)),0)*INDEX(Inputs!$B$23:$D$23,1,MATCH(A714,Inputs!$B$6:$D$6,0))+MAX(S714-INDEX(Inputs!$B$21:$D$21,1,MATCH(A714,Inputs!$B$6:$D$6,0)),0)*INDEX(Inputs!$B$24:$D$24,1,MATCH(A714,Inputs!$B$6:$D$6,0))</x:f>
        <x:v>3339.2425</x:v>
      </x:c>
      <x:c r="U714" s="20" t="n">
        <x:f>IF(AND(A713=A714,D713=D714),T713,0)</x:f>
        <x:v>0</x:v>
      </x:c>
      <x:c r="V714" s="20" t="n">
        <x:f>T714-U714</x:f>
        <x:v>3339.2425</x:v>
      </x:c>
      <x:c r="W714" s="20" t="n">
        <x:f>R714+V714</x:f>
        <x:v>40584.2425</x:v>
      </x:c>
      <x:c r="X714" s="14" t="str">
        <x:f>IF(ABS(W714-SUM(M714:Q714)-V714)&lt;0.01,"OK","Check")</x:f>
        <x:v>OK</x:v>
      </x:c>
    </x:row>
    <x:row r="715">
      <x:c r="A715" s="14" t="n">
        <x:v>2027</x:v>
      </x:c>
      <x:c r="B715" s="14" t="str">
        <x:v>Q2</x:v>
      </x:c>
      <x:c r="C715" s="14" t="n">
        <x:v>2</x:v>
      </x:c>
      <x:c r="D715" s="14" t="n">
        <x:v>75</x:v>
      </x:c>
      <x:c r="E715" s="14" t="str">
        <x:f>INDEX(Roster!$B$6:$B$108,MATCH(D715,Roster!$A$6:$A$108,0))</x:f>
        <x:v>Associate Principal</x:v>
      </x:c>
      <x:c r="F715" s="14" t="str">
        <x:f>INDEX(Roster!$F$6:$F$108,MATCH(D715,Roster!$A$6:$A$108,0))</x:f>
        <x:v>Yes</x:v>
      </x:c>
      <x:c r="G715" s="14" t="n">
        <x:f>INDEX(Inputs!$B$7:$D$7,1,MATCH(A715,Inputs!$B$6:$D$6,0))</x:f>
        <x:v>13</x:v>
      </x:c>
      <x:c r="H715" s="14" t="n">
        <x:f>MIN(=INDEX(Inputs!$B$7:$D$7,1,MATCH(A715,Inputs!$B$6:$D$6,0)),MAX(0,INDEX(Inputs!$B$14:$D$14,1,MATCH(A715,Inputs!$B$6:$D$6,0))-(C715-1)*=INDEX(Inputs!$B$7:$D$7,1,MATCH(A715,Inputs!$B$6:$D$6,0))))</x:f>
        <x:v>13</x:v>
      </x:c>
      <x:c r="I715" s="20" t="n">
        <x:f>INDEX(Inputs!$B$8:$D$8,1,MATCH(A715,Inputs!$B$6:$D$6,0))</x:f>
        <x:v>2395</x:v>
      </x:c>
      <x:c r="J715" s="20" t="n">
        <x:f>INDEX(Roster!$C$6:$C$108,MATCH(D715,Roster!$A$6:$A$108,0))*(1+INDEX(Inputs!$B$9:$D$9,1,MATCH(A715,Inputs!$B$6:$D$6,0)))</x:f>
        <x:v>350</x:v>
      </x:c>
      <x:c r="K715" s="20" t="n">
        <x:f>IF(=INDEX(Roster!$F$6:$F$108,MATCH(D715,Roster!$A$6:$A$108,0))="Yes",0,=INDEX(Inputs!$B$8:$D$8,1,MATCH(A715,Inputs!$B$6:$D$6,0))*IF(=INDEX(Roster!$B$6:$B$108,MATCH(D715,Roster!$A$6:$A$108,0))="Principal",INDEX(Inputs!$B$10:$D$10,1,MATCH(A715,Inputs!$B$6:$D$6,0)),IF(=INDEX(Roster!$B$6:$B$108,MATCH(D715,Roster!$A$6:$A$108,0))="Associate Principal",INDEX(Inputs!$B$11:$D$11,1,MATCH(A715,Inputs!$B$6:$D$6,0)),IF(=INDEX(Roster!$B$6:$B$108,MATCH(D715,Roster!$A$6:$A$108,0))="Assistant Principal",INDEX(Inputs!$B$12:$D$12,1,MATCH(A715,Inputs!$B$6:$D$6,0)),0))))</x:f>
        <x:v>0</x:v>
      </x:c>
      <x:c r="L715" s="20" t="n">
        <x:f>IF(INDEX(Roster!$D$6:$D$108,MATCH(D715,Roster!$A$6:$A$108,0))&gt;=25,INDEX(Inputs!$B$19:$D$19,1,MATCH(A715,Inputs!$B$6:$D$6,0)),IF(INDEX(Roster!$D$6:$D$108,MATCH(D715,Roster!$A$6:$A$108,0))&gt;=20,INDEX(Inputs!$B$18:$D$18,1,MATCH(A715,Inputs!$B$6:$D$6,0)),IF(INDEX(Roster!$D$6:$D$108,MATCH(D715,Roster!$A$6:$A$108,0))&gt;=15,INDEX(Inputs!$B$17:$D$17,1,MATCH(A715,Inputs!$B$6:$D$6,0)),IF(INDEX(Roster!$D$6:$D$108,MATCH(D715,Roster!$A$6:$A$108,0))&gt;=10,INDEX(Inputs!$B$16:$D$16,1,MATCH(A715,Inputs!$B$6:$D$6,0)),IF(INDEX(Roster!$D$6:$D$108,MATCH(D715,Roster!$A$6:$A$108,0))&gt;=5,INDEX(Inputs!$B$15:$D$15,1,MATCH(A715,Inputs!$B$6:$D$6,0)),0)))))</x:f>
        <x:v>90</x:v>
      </x:c>
      <x:c r="M715" s="20" t="n">
        <x:f>G715*I715</x:f>
        <x:v>31135</x:v>
      </x:c>
      <x:c r="N715" s="20" t="n">
        <x:f>G715*J715</x:f>
        <x:v>4550</x:v>
      </x:c>
      <x:c r="O715" s="20" t="n">
        <x:f>G715*K715</x:f>
        <x:v>0</x:v>
      </x:c>
      <x:c r="P715" s="20" t="n">
        <x:f>G715*L715</x:f>
        <x:v>1170</x:v>
      </x:c>
      <x:c r="Q715" s="20" t="n">
        <x:f>H715*INDEX(Inputs!$B$13:$D$13,1,MATCH(A715,Inputs!$B$6:$D$6,0))</x:f>
        <x:v>390</x:v>
      </x:c>
      <x:c r="R715" s="20" t="n">
        <x:f>SUM(M715:Q715)</x:f>
        <x:v>37245</x:v>
      </x:c>
      <x:c r="S715" s="20" t="n">
        <x:f>IF(AND(A714=A715,D714=D715),S714+R715,R715)</x:f>
        <x:v>74490</x:v>
      </x:c>
      <x:c r="T715" s="20" t="n">
        <x:f>MIN(S715,INDEX(Inputs!$B$20:$D$20,1,MATCH(A715,Inputs!$B$6:$D$6,0)))*INDEX(Inputs!$B$22:$D$22,1,MATCH(A715,Inputs!$B$6:$D$6,0))+MAX(MIN(S715,INDEX(Inputs!$B$21:$D$21,1,MATCH(A715,Inputs!$B$6:$D$6,0)))-INDEX(Inputs!$B$20:$D$20,1,MATCH(A715,Inputs!$B$6:$D$6,0)),0)*INDEX(Inputs!$B$23:$D$23,1,MATCH(A715,Inputs!$B$6:$D$6,0))+MAX(S715-INDEX(Inputs!$B$21:$D$21,1,MATCH(A715,Inputs!$B$6:$D$6,0)),0)*INDEX(Inputs!$B$24:$D$24,1,MATCH(A715,Inputs!$B$6:$D$6,0))</x:f>
        <x:v>6188.485</x:v>
      </x:c>
      <x:c r="U715" s="20" t="n">
        <x:f>IF(AND(A714=A715,D714=D715),T714,0)</x:f>
        <x:v>3339.2425</x:v>
      </x:c>
      <x:c r="V715" s="20" t="n">
        <x:f>T715-U715</x:f>
        <x:v>2849.2425</x:v>
      </x:c>
      <x:c r="W715" s="20" t="n">
        <x:f>R715+V715</x:f>
        <x:v>40094.2425</x:v>
      </x:c>
      <x:c r="X715" s="14" t="str">
        <x:f>IF(ABS(W715-SUM(M715:Q715)-V715)&lt;0.01,"OK","Check")</x:f>
        <x:v>OK</x:v>
      </x:c>
    </x:row>
    <x:row r="716">
      <x:c r="A716" s="14" t="n">
        <x:v>2027</x:v>
      </x:c>
      <x:c r="B716" s="14" t="str">
        <x:v>Q3</x:v>
      </x:c>
      <x:c r="C716" s="14" t="n">
        <x:v>3</x:v>
      </x:c>
      <x:c r="D716" s="14" t="n">
        <x:v>75</x:v>
      </x:c>
      <x:c r="E716" s="14" t="str">
        <x:f>INDEX(Roster!$B$6:$B$108,MATCH(D716,Roster!$A$6:$A$108,0))</x:f>
        <x:v>Associate Principal</x:v>
      </x:c>
      <x:c r="F716" s="14" t="str">
        <x:f>INDEX(Roster!$F$6:$F$108,MATCH(D716,Roster!$A$6:$A$108,0))</x:f>
        <x:v>Yes</x:v>
      </x:c>
      <x:c r="G716" s="14" t="n">
        <x:f>INDEX(Inputs!$B$7:$D$7,1,MATCH(A716,Inputs!$B$6:$D$6,0))</x:f>
        <x:v>13</x:v>
      </x:c>
      <x:c r="H716" s="14" t="n">
        <x:f>MIN(=INDEX(Inputs!$B$7:$D$7,1,MATCH(A716,Inputs!$B$6:$D$6,0)),MAX(0,INDEX(Inputs!$B$14:$D$14,1,MATCH(A716,Inputs!$B$6:$D$6,0))-(C716-1)*=INDEX(Inputs!$B$7:$D$7,1,MATCH(A716,Inputs!$B$6:$D$6,0))))</x:f>
        <x:v>13</x:v>
      </x:c>
      <x:c r="I716" s="20" t="n">
        <x:f>INDEX(Inputs!$B$8:$D$8,1,MATCH(A716,Inputs!$B$6:$D$6,0))</x:f>
        <x:v>2395</x:v>
      </x:c>
      <x:c r="J716" s="20" t="n">
        <x:f>INDEX(Roster!$C$6:$C$108,MATCH(D716,Roster!$A$6:$A$108,0))*(1+INDEX(Inputs!$B$9:$D$9,1,MATCH(A716,Inputs!$B$6:$D$6,0)))</x:f>
        <x:v>350</x:v>
      </x:c>
      <x:c r="K716" s="20" t="n">
        <x:f>IF(=INDEX(Roster!$F$6:$F$108,MATCH(D716,Roster!$A$6:$A$108,0))="Yes",0,=INDEX(Inputs!$B$8:$D$8,1,MATCH(A716,Inputs!$B$6:$D$6,0))*IF(=INDEX(Roster!$B$6:$B$108,MATCH(D716,Roster!$A$6:$A$108,0))="Principal",INDEX(Inputs!$B$10:$D$10,1,MATCH(A716,Inputs!$B$6:$D$6,0)),IF(=INDEX(Roster!$B$6:$B$108,MATCH(D716,Roster!$A$6:$A$108,0))="Associate Principal",INDEX(Inputs!$B$11:$D$11,1,MATCH(A716,Inputs!$B$6:$D$6,0)),IF(=INDEX(Roster!$B$6:$B$108,MATCH(D716,Roster!$A$6:$A$108,0))="Assistant Principal",INDEX(Inputs!$B$12:$D$12,1,MATCH(A716,Inputs!$B$6:$D$6,0)),0))))</x:f>
        <x:v>0</x:v>
      </x:c>
      <x:c r="L716" s="20" t="n">
        <x:f>IF(INDEX(Roster!$D$6:$D$108,MATCH(D716,Roster!$A$6:$A$108,0))&gt;=25,INDEX(Inputs!$B$19:$D$19,1,MATCH(A716,Inputs!$B$6:$D$6,0)),IF(INDEX(Roster!$D$6:$D$108,MATCH(D716,Roster!$A$6:$A$108,0))&gt;=20,INDEX(Inputs!$B$18:$D$18,1,MATCH(A716,Inputs!$B$6:$D$6,0)),IF(INDEX(Roster!$D$6:$D$108,MATCH(D716,Roster!$A$6:$A$108,0))&gt;=15,INDEX(Inputs!$B$17:$D$17,1,MATCH(A716,Inputs!$B$6:$D$6,0)),IF(INDEX(Roster!$D$6:$D$108,MATCH(D716,Roster!$A$6:$A$108,0))&gt;=10,INDEX(Inputs!$B$16:$D$16,1,MATCH(A716,Inputs!$B$6:$D$6,0)),IF(INDEX(Roster!$D$6:$D$108,MATCH(D716,Roster!$A$6:$A$108,0))&gt;=5,INDEX(Inputs!$B$15:$D$15,1,MATCH(A716,Inputs!$B$6:$D$6,0)),0)))))</x:f>
        <x:v>90</x:v>
      </x:c>
      <x:c r="M716" s="20" t="n">
        <x:f>G716*I716</x:f>
        <x:v>31135</x:v>
      </x:c>
      <x:c r="N716" s="20" t="n">
        <x:f>G716*J716</x:f>
        <x:v>4550</x:v>
      </x:c>
      <x:c r="O716" s="20" t="n">
        <x:f>G716*K716</x:f>
        <x:v>0</x:v>
      </x:c>
      <x:c r="P716" s="20" t="n">
        <x:f>G716*L716</x:f>
        <x:v>1170</x:v>
      </x:c>
      <x:c r="Q716" s="20" t="n">
        <x:f>H716*INDEX(Inputs!$B$13:$D$13,1,MATCH(A716,Inputs!$B$6:$D$6,0))</x:f>
        <x:v>390</x:v>
      </x:c>
      <x:c r="R716" s="20" t="n">
        <x:f>SUM(M716:Q716)</x:f>
        <x:v>37245</x:v>
      </x:c>
      <x:c r="S716" s="20" t="n">
        <x:f>IF(AND(A715=A716,D715=D716),S715+R716,R716)</x:f>
        <x:v>111735</x:v>
      </x:c>
      <x:c r="T716" s="20" t="n">
        <x:f>MIN(S716,INDEX(Inputs!$B$20:$D$20,1,MATCH(A716,Inputs!$B$6:$D$6,0)))*INDEX(Inputs!$B$22:$D$22,1,MATCH(A716,Inputs!$B$6:$D$6,0))+MAX(MIN(S716,INDEX(Inputs!$B$21:$D$21,1,MATCH(A716,Inputs!$B$6:$D$6,0)))-INDEX(Inputs!$B$20:$D$20,1,MATCH(A716,Inputs!$B$6:$D$6,0)),0)*INDEX(Inputs!$B$23:$D$23,1,MATCH(A716,Inputs!$B$6:$D$6,0))+MAX(S716-INDEX(Inputs!$B$21:$D$21,1,MATCH(A716,Inputs!$B$6:$D$6,0)),0)*INDEX(Inputs!$B$24:$D$24,1,MATCH(A716,Inputs!$B$6:$D$6,0))</x:f>
        <x:v>9037.7275</x:v>
      </x:c>
      <x:c r="U716" s="20" t="n">
        <x:f>IF(AND(A715=A716,D715=D716),T715,0)</x:f>
        <x:v>6188.485</x:v>
      </x:c>
      <x:c r="V716" s="20" t="n">
        <x:f>T716-U716</x:f>
        <x:v>2849.242500000001</x:v>
      </x:c>
      <x:c r="W716" s="20" t="n">
        <x:f>R716+V716</x:f>
        <x:v>40094.2425</x:v>
      </x:c>
      <x:c r="X716" s="14" t="str">
        <x:f>IF(ABS(W716-SUM(M716:Q716)-V716)&lt;0.01,"OK","Check")</x:f>
        <x:v>OK</x:v>
      </x:c>
    </x:row>
    <x:row r="717">
      <x:c r="A717" s="14" t="n">
        <x:v>2027</x:v>
      </x:c>
      <x:c r="B717" s="14" t="str">
        <x:v>Q4</x:v>
      </x:c>
      <x:c r="C717" s="14" t="n">
        <x:v>4</x:v>
      </x:c>
      <x:c r="D717" s="14" t="n">
        <x:v>75</x:v>
      </x:c>
      <x:c r="E717" s="14" t="str">
        <x:f>INDEX(Roster!$B$6:$B$108,MATCH(D717,Roster!$A$6:$A$108,0))</x:f>
        <x:v>Associate Principal</x:v>
      </x:c>
      <x:c r="F717" s="14" t="str">
        <x:f>INDEX(Roster!$F$6:$F$108,MATCH(D717,Roster!$A$6:$A$108,0))</x:f>
        <x:v>Yes</x:v>
      </x:c>
      <x:c r="G717" s="14" t="n">
        <x:f>INDEX(Inputs!$B$7:$D$7,1,MATCH(A717,Inputs!$B$6:$D$6,0))</x:f>
        <x:v>13</x:v>
      </x:c>
      <x:c r="H717" s="14" t="n">
        <x:f>MIN(=INDEX(Inputs!$B$7:$D$7,1,MATCH(A717,Inputs!$B$6:$D$6,0)),MAX(0,INDEX(Inputs!$B$14:$D$14,1,MATCH(A717,Inputs!$B$6:$D$6,0))-(C717-1)*=INDEX(Inputs!$B$7:$D$7,1,MATCH(A717,Inputs!$B$6:$D$6,0))))</x:f>
        <x:v>0</x:v>
      </x:c>
      <x:c r="I717" s="20" t="n">
        <x:f>INDEX(Inputs!$B$8:$D$8,1,MATCH(A717,Inputs!$B$6:$D$6,0))</x:f>
        <x:v>2395</x:v>
      </x:c>
      <x:c r="J717" s="20" t="n">
        <x:f>INDEX(Roster!$C$6:$C$108,MATCH(D717,Roster!$A$6:$A$108,0))*(1+INDEX(Inputs!$B$9:$D$9,1,MATCH(A717,Inputs!$B$6:$D$6,0)))</x:f>
        <x:v>350</x:v>
      </x:c>
      <x:c r="K717" s="20" t="n">
        <x:f>IF(=INDEX(Roster!$F$6:$F$108,MATCH(D717,Roster!$A$6:$A$108,0))="Yes",0,=INDEX(Inputs!$B$8:$D$8,1,MATCH(A717,Inputs!$B$6:$D$6,0))*IF(=INDEX(Roster!$B$6:$B$108,MATCH(D717,Roster!$A$6:$A$108,0))="Principal",INDEX(Inputs!$B$10:$D$10,1,MATCH(A717,Inputs!$B$6:$D$6,0)),IF(=INDEX(Roster!$B$6:$B$108,MATCH(D717,Roster!$A$6:$A$108,0))="Associate Principal",INDEX(Inputs!$B$11:$D$11,1,MATCH(A717,Inputs!$B$6:$D$6,0)),IF(=INDEX(Roster!$B$6:$B$108,MATCH(D717,Roster!$A$6:$A$108,0))="Assistant Principal",INDEX(Inputs!$B$12:$D$12,1,MATCH(A717,Inputs!$B$6:$D$6,0)),0))))</x:f>
        <x:v>0</x:v>
      </x:c>
      <x:c r="L717" s="20" t="n">
        <x:f>IF(INDEX(Roster!$D$6:$D$108,MATCH(D717,Roster!$A$6:$A$108,0))&gt;=25,INDEX(Inputs!$B$19:$D$19,1,MATCH(A717,Inputs!$B$6:$D$6,0)),IF(INDEX(Roster!$D$6:$D$108,MATCH(D717,Roster!$A$6:$A$108,0))&gt;=20,INDEX(Inputs!$B$18:$D$18,1,MATCH(A717,Inputs!$B$6:$D$6,0)),IF(INDEX(Roster!$D$6:$D$108,MATCH(D717,Roster!$A$6:$A$108,0))&gt;=15,INDEX(Inputs!$B$17:$D$17,1,MATCH(A717,Inputs!$B$6:$D$6,0)),IF(INDEX(Roster!$D$6:$D$108,MATCH(D717,Roster!$A$6:$A$108,0))&gt;=10,INDEX(Inputs!$B$16:$D$16,1,MATCH(A717,Inputs!$B$6:$D$6,0)),IF(INDEX(Roster!$D$6:$D$108,MATCH(D717,Roster!$A$6:$A$108,0))&gt;=5,INDEX(Inputs!$B$15:$D$15,1,MATCH(A717,Inputs!$B$6:$D$6,0)),0)))))</x:f>
        <x:v>90</x:v>
      </x:c>
      <x:c r="M717" s="20" t="n">
        <x:f>G717*I717</x:f>
        <x:v>31135</x:v>
      </x:c>
      <x:c r="N717" s="20" t="n">
        <x:f>G717*J717</x:f>
        <x:v>4550</x:v>
      </x:c>
      <x:c r="O717" s="20" t="n">
        <x:f>G717*K717</x:f>
        <x:v>0</x:v>
      </x:c>
      <x:c r="P717" s="20" t="n">
        <x:f>G717*L717</x:f>
        <x:v>1170</x:v>
      </x:c>
      <x:c r="Q717" s="20" t="n">
        <x:f>H717*INDEX(Inputs!$B$13:$D$13,1,MATCH(A717,Inputs!$B$6:$D$6,0))</x:f>
        <x:v>0</x:v>
      </x:c>
      <x:c r="R717" s="20" t="n">
        <x:f>SUM(M717:Q717)</x:f>
        <x:v>36855</x:v>
      </x:c>
      <x:c r="S717" s="20" t="n">
        <x:f>IF(AND(A716=A717,D716=D717),S716+R717,R717)</x:f>
        <x:v>148590</x:v>
      </x:c>
      <x:c r="T717" s="20" t="n">
        <x:f>MIN(S717,INDEX(Inputs!$B$20:$D$20,1,MATCH(A717,Inputs!$B$6:$D$6,0)))*INDEX(Inputs!$B$22:$D$22,1,MATCH(A717,Inputs!$B$6:$D$6,0))+MAX(MIN(S717,INDEX(Inputs!$B$21:$D$21,1,MATCH(A717,Inputs!$B$6:$D$6,0)))-INDEX(Inputs!$B$20:$D$20,1,MATCH(A717,Inputs!$B$6:$D$6,0)),0)*INDEX(Inputs!$B$23:$D$23,1,MATCH(A717,Inputs!$B$6:$D$6,0))+MAX(S717-INDEX(Inputs!$B$21:$D$21,1,MATCH(A717,Inputs!$B$6:$D$6,0)),0)*INDEX(Inputs!$B$24:$D$24,1,MATCH(A717,Inputs!$B$6:$D$6,0))</x:f>
        <x:v>10068.497</x:v>
      </x:c>
      <x:c r="U717" s="20" t="n">
        <x:f>IF(AND(A716=A717,D716=D717),T716,0)</x:f>
        <x:v>9037.7275</x:v>
      </x:c>
      <x:c r="V717" s="20" t="n">
        <x:f>T717-U717</x:f>
        <x:v>1030.7694999999985</x:v>
      </x:c>
      <x:c r="W717" s="20" t="n">
        <x:f>R717+V717</x:f>
        <x:v>37885.769499999995</x:v>
      </x:c>
      <x:c r="X717" s="14" t="str">
        <x:f>IF(ABS(W717-SUM(M717:Q717)-V717)&lt;0.01,"OK","Check")</x:f>
        <x:v>OK</x:v>
      </x:c>
    </x:row>
    <x:row r="718">
      <x:c r="A718" s="14" t="n">
        <x:v>2027</x:v>
      </x:c>
      <x:c r="B718" s="14" t="str">
        <x:v>Q1</x:v>
      </x:c>
      <x:c r="C718" s="14" t="n">
        <x:v>1</x:v>
      </x:c>
      <x:c r="D718" s="14" t="n">
        <x:v>76</x:v>
      </x:c>
      <x:c r="E718" s="14" t="str">
        <x:f>INDEX(Roster!$B$6:$B$108,MATCH(D718,Roster!$A$6:$A$108,0))</x:f>
      </x:c>
      <x:c r="F718" s="14" t="str">
        <x:f>INDEX(Roster!$F$6:$F$108,MATCH(D718,Roster!$A$6:$A$108,0))</x:f>
        <x:v>No</x:v>
      </x:c>
      <x:c r="G718" s="14" t="n">
        <x:f>INDEX(Inputs!$B$7:$D$7,1,MATCH(A718,Inputs!$B$6:$D$6,0))</x:f>
        <x:v>13</x:v>
      </x:c>
      <x:c r="H718" s="14" t="n">
        <x:f>MIN(=INDEX(Inputs!$B$7:$D$7,1,MATCH(A718,Inputs!$B$6:$D$6,0)),MAX(0,INDEX(Inputs!$B$14:$D$14,1,MATCH(A718,Inputs!$B$6:$D$6,0))-(C718-1)*=INDEX(Inputs!$B$7:$D$7,1,MATCH(A718,Inputs!$B$6:$D$6,0))))</x:f>
        <x:v>13</x:v>
      </x:c>
      <x:c r="I718" s="20" t="n">
        <x:f>INDEX(Inputs!$B$8:$D$8,1,MATCH(A718,Inputs!$B$6:$D$6,0))</x:f>
        <x:v>2395</x:v>
      </x:c>
      <x:c r="J718" s="20" t="n">
        <x:f>INDEX(Roster!$C$6:$C$108,MATCH(D718,Roster!$A$6:$A$108,0))*(1+INDEX(Inputs!$B$9:$D$9,1,MATCH(A718,Inputs!$B$6:$D$6,0)))</x:f>
        <x:v>60</x:v>
      </x:c>
      <x:c r="K718" s="20" t="n">
        <x:f>IF(=INDEX(Roster!$F$6:$F$108,MATCH(D718,Roster!$A$6:$A$108,0))="Yes",0,=INDEX(Inputs!$B$8:$D$8,1,MATCH(A718,Inputs!$B$6:$D$6,0))*IF(=INDEX(Roster!$B$6:$B$108,MATCH(D718,Roster!$A$6:$A$108,0))="Principal",INDEX(Inputs!$B$10:$D$10,1,MATCH(A718,Inputs!$B$6:$D$6,0)),IF(=INDEX(Roster!$B$6:$B$108,MATCH(D718,Roster!$A$6:$A$108,0))="Associate Principal",INDEX(Inputs!$B$11:$D$11,1,MATCH(A718,Inputs!$B$6:$D$6,0)),IF(=INDEX(Roster!$B$6:$B$108,MATCH(D718,Roster!$A$6:$A$108,0))="Assistant Principal",INDEX(Inputs!$B$12:$D$12,1,MATCH(A718,Inputs!$B$6:$D$6,0)),0))))</x:f>
        <x:v>0</x:v>
      </x:c>
      <x:c r="L718" s="20" t="n">
        <x:f>IF(INDEX(Roster!$D$6:$D$108,MATCH(D718,Roster!$A$6:$A$108,0))&gt;=25,INDEX(Inputs!$B$19:$D$19,1,MATCH(A718,Inputs!$B$6:$D$6,0)),IF(INDEX(Roster!$D$6:$D$108,MATCH(D718,Roster!$A$6:$A$108,0))&gt;=20,INDEX(Inputs!$B$18:$D$18,1,MATCH(A718,Inputs!$B$6:$D$6,0)),IF(INDEX(Roster!$D$6:$D$108,MATCH(D718,Roster!$A$6:$A$108,0))&gt;=15,INDEX(Inputs!$B$17:$D$17,1,MATCH(A718,Inputs!$B$6:$D$6,0)),IF(INDEX(Roster!$D$6:$D$108,MATCH(D718,Roster!$A$6:$A$108,0))&gt;=10,INDEX(Inputs!$B$16:$D$16,1,MATCH(A718,Inputs!$B$6:$D$6,0)),IF(INDEX(Roster!$D$6:$D$108,MATCH(D718,Roster!$A$6:$A$108,0))&gt;=5,INDEX(Inputs!$B$15:$D$15,1,MATCH(A718,Inputs!$B$6:$D$6,0)),0)))))</x:f>
        <x:v>90</x:v>
      </x:c>
      <x:c r="M718" s="20" t="n">
        <x:f>G718*I718</x:f>
        <x:v>31135</x:v>
      </x:c>
      <x:c r="N718" s="20" t="n">
        <x:f>G718*J718</x:f>
        <x:v>780</x:v>
      </x:c>
      <x:c r="O718" s="20" t="n">
        <x:f>G718*K718</x:f>
        <x:v>0</x:v>
      </x:c>
      <x:c r="P718" s="20" t="n">
        <x:f>G718*L718</x:f>
        <x:v>1170</x:v>
      </x:c>
      <x:c r="Q718" s="20" t="n">
        <x:f>H718*INDEX(Inputs!$B$13:$D$13,1,MATCH(A718,Inputs!$B$6:$D$6,0))</x:f>
        <x:v>390</x:v>
      </x:c>
      <x:c r="R718" s="20" t="n">
        <x:f>SUM(M718:Q718)</x:f>
        <x:v>33475</x:v>
      </x:c>
      <x:c r="S718" s="20" t="n">
        <x:f>IF(AND(A717=A718,D717=D718),S717+R718,R718)</x:f>
        <x:v>33475</x:v>
      </x:c>
      <x:c r="T718" s="20" t="n">
        <x:f>MIN(S718,INDEX(Inputs!$B$20:$D$20,1,MATCH(A718,Inputs!$B$6:$D$6,0)))*INDEX(Inputs!$B$22:$D$22,1,MATCH(A718,Inputs!$B$6:$D$6,0))+MAX(MIN(S718,INDEX(Inputs!$B$21:$D$21,1,MATCH(A718,Inputs!$B$6:$D$6,0)))-INDEX(Inputs!$B$20:$D$20,1,MATCH(A718,Inputs!$B$6:$D$6,0)),0)*INDEX(Inputs!$B$23:$D$23,1,MATCH(A718,Inputs!$B$6:$D$6,0))+MAX(S718-INDEX(Inputs!$B$21:$D$21,1,MATCH(A718,Inputs!$B$6:$D$6,0)),0)*INDEX(Inputs!$B$24:$D$24,1,MATCH(A718,Inputs!$B$6:$D$6,0))</x:f>
        <x:v>3050.8374999999996</x:v>
      </x:c>
      <x:c r="U718" s="20" t="n">
        <x:f>IF(AND(A717=A718,D717=D718),T717,0)</x:f>
        <x:v>0</x:v>
      </x:c>
      <x:c r="V718" s="20" t="n">
        <x:f>T718-U718</x:f>
        <x:v>3050.8374999999996</x:v>
      </x:c>
      <x:c r="W718" s="20" t="n">
        <x:f>R718+V718</x:f>
        <x:v>36525.8375</x:v>
      </x:c>
      <x:c r="X718" s="14" t="str">
        <x:f>IF(ABS(W718-SUM(M718:Q718)-V718)&lt;0.01,"OK","Check")</x:f>
        <x:v>OK</x:v>
      </x:c>
    </x:row>
    <x:row r="719">
      <x:c r="A719" s="14" t="n">
        <x:v>2027</x:v>
      </x:c>
      <x:c r="B719" s="14" t="str">
        <x:v>Q2</x:v>
      </x:c>
      <x:c r="C719" s="14" t="n">
        <x:v>2</x:v>
      </x:c>
      <x:c r="D719" s="14" t="n">
        <x:v>76</x:v>
      </x:c>
      <x:c r="E719" s="14" t="str">
        <x:f>INDEX(Roster!$B$6:$B$108,MATCH(D719,Roster!$A$6:$A$108,0))</x:f>
      </x:c>
      <x:c r="F719" s="14" t="str">
        <x:f>INDEX(Roster!$F$6:$F$108,MATCH(D719,Roster!$A$6:$A$108,0))</x:f>
        <x:v>No</x:v>
      </x:c>
      <x:c r="G719" s="14" t="n">
        <x:f>INDEX(Inputs!$B$7:$D$7,1,MATCH(A719,Inputs!$B$6:$D$6,0))</x:f>
        <x:v>13</x:v>
      </x:c>
      <x:c r="H719" s="14" t="n">
        <x:f>MIN(=INDEX(Inputs!$B$7:$D$7,1,MATCH(A719,Inputs!$B$6:$D$6,0)),MAX(0,INDEX(Inputs!$B$14:$D$14,1,MATCH(A719,Inputs!$B$6:$D$6,0))-(C719-1)*=INDEX(Inputs!$B$7:$D$7,1,MATCH(A719,Inputs!$B$6:$D$6,0))))</x:f>
        <x:v>13</x:v>
      </x:c>
      <x:c r="I719" s="20" t="n">
        <x:f>INDEX(Inputs!$B$8:$D$8,1,MATCH(A719,Inputs!$B$6:$D$6,0))</x:f>
        <x:v>2395</x:v>
      </x:c>
      <x:c r="J719" s="20" t="n">
        <x:f>INDEX(Roster!$C$6:$C$108,MATCH(D719,Roster!$A$6:$A$108,0))*(1+INDEX(Inputs!$B$9:$D$9,1,MATCH(A719,Inputs!$B$6:$D$6,0)))</x:f>
        <x:v>60</x:v>
      </x:c>
      <x:c r="K719" s="20" t="n">
        <x:f>IF(=INDEX(Roster!$F$6:$F$108,MATCH(D719,Roster!$A$6:$A$108,0))="Yes",0,=INDEX(Inputs!$B$8:$D$8,1,MATCH(A719,Inputs!$B$6:$D$6,0))*IF(=INDEX(Roster!$B$6:$B$108,MATCH(D719,Roster!$A$6:$A$108,0))="Principal",INDEX(Inputs!$B$10:$D$10,1,MATCH(A719,Inputs!$B$6:$D$6,0)),IF(=INDEX(Roster!$B$6:$B$108,MATCH(D719,Roster!$A$6:$A$108,0))="Associate Principal",INDEX(Inputs!$B$11:$D$11,1,MATCH(A719,Inputs!$B$6:$D$6,0)),IF(=INDEX(Roster!$B$6:$B$108,MATCH(D719,Roster!$A$6:$A$108,0))="Assistant Principal",INDEX(Inputs!$B$12:$D$12,1,MATCH(A719,Inputs!$B$6:$D$6,0)),0))))</x:f>
        <x:v>0</x:v>
      </x:c>
      <x:c r="L719" s="20" t="n">
        <x:f>IF(INDEX(Roster!$D$6:$D$108,MATCH(D719,Roster!$A$6:$A$108,0))&gt;=25,INDEX(Inputs!$B$19:$D$19,1,MATCH(A719,Inputs!$B$6:$D$6,0)),IF(INDEX(Roster!$D$6:$D$108,MATCH(D719,Roster!$A$6:$A$108,0))&gt;=20,INDEX(Inputs!$B$18:$D$18,1,MATCH(A719,Inputs!$B$6:$D$6,0)),IF(INDEX(Roster!$D$6:$D$108,MATCH(D719,Roster!$A$6:$A$108,0))&gt;=15,INDEX(Inputs!$B$17:$D$17,1,MATCH(A719,Inputs!$B$6:$D$6,0)),IF(INDEX(Roster!$D$6:$D$108,MATCH(D719,Roster!$A$6:$A$108,0))&gt;=10,INDEX(Inputs!$B$16:$D$16,1,MATCH(A719,Inputs!$B$6:$D$6,0)),IF(INDEX(Roster!$D$6:$D$108,MATCH(D719,Roster!$A$6:$A$108,0))&gt;=5,INDEX(Inputs!$B$15:$D$15,1,MATCH(A719,Inputs!$B$6:$D$6,0)),0)))))</x:f>
        <x:v>90</x:v>
      </x:c>
      <x:c r="M719" s="20" t="n">
        <x:f>G719*I719</x:f>
        <x:v>31135</x:v>
      </x:c>
      <x:c r="N719" s="20" t="n">
        <x:f>G719*J719</x:f>
        <x:v>780</x:v>
      </x:c>
      <x:c r="O719" s="20" t="n">
        <x:f>G719*K719</x:f>
        <x:v>0</x:v>
      </x:c>
      <x:c r="P719" s="20" t="n">
        <x:f>G719*L719</x:f>
        <x:v>1170</x:v>
      </x:c>
      <x:c r="Q719" s="20" t="n">
        <x:f>H719*INDEX(Inputs!$B$13:$D$13,1,MATCH(A719,Inputs!$B$6:$D$6,0))</x:f>
        <x:v>390</x:v>
      </x:c>
      <x:c r="R719" s="20" t="n">
        <x:f>SUM(M719:Q719)</x:f>
        <x:v>33475</x:v>
      </x:c>
      <x:c r="S719" s="20" t="n">
        <x:f>IF(AND(A718=A719,D718=D719),S718+R719,R719)</x:f>
        <x:v>66950</x:v>
      </x:c>
      <x:c r="T719" s="20" t="n">
        <x:f>MIN(S719,INDEX(Inputs!$B$20:$D$20,1,MATCH(A719,Inputs!$B$6:$D$6,0)))*INDEX(Inputs!$B$22:$D$22,1,MATCH(A719,Inputs!$B$6:$D$6,0))+MAX(MIN(S719,INDEX(Inputs!$B$21:$D$21,1,MATCH(A719,Inputs!$B$6:$D$6,0)))-INDEX(Inputs!$B$20:$D$20,1,MATCH(A719,Inputs!$B$6:$D$6,0)),0)*INDEX(Inputs!$B$23:$D$23,1,MATCH(A719,Inputs!$B$6:$D$6,0))+MAX(S719-INDEX(Inputs!$B$21:$D$21,1,MATCH(A719,Inputs!$B$6:$D$6,0)),0)*INDEX(Inputs!$B$24:$D$24,1,MATCH(A719,Inputs!$B$6:$D$6,0))</x:f>
        <x:v>5611.675</x:v>
      </x:c>
      <x:c r="U719" s="20" t="n">
        <x:f>IF(AND(A718=A719,D718=D719),T718,0)</x:f>
        <x:v>3050.8374999999996</x:v>
      </x:c>
      <x:c r="V719" s="20" t="n">
        <x:f>T719-U719</x:f>
        <x:v>2560.8375000000005</x:v>
      </x:c>
      <x:c r="W719" s="20" t="n">
        <x:f>R719+V719</x:f>
        <x:v>36035.8375</x:v>
      </x:c>
      <x:c r="X719" s="14" t="str">
        <x:f>IF(ABS(W719-SUM(M719:Q719)-V719)&lt;0.01,"OK","Check")</x:f>
        <x:v>OK</x:v>
      </x:c>
    </x:row>
    <x:row r="720">
      <x:c r="A720" s="14" t="n">
        <x:v>2027</x:v>
      </x:c>
      <x:c r="B720" s="14" t="str">
        <x:v>Q3</x:v>
      </x:c>
      <x:c r="C720" s="14" t="n">
        <x:v>3</x:v>
      </x:c>
      <x:c r="D720" s="14" t="n">
        <x:v>76</x:v>
      </x:c>
      <x:c r="E720" s="14" t="str">
        <x:f>INDEX(Roster!$B$6:$B$108,MATCH(D720,Roster!$A$6:$A$108,0))</x:f>
      </x:c>
      <x:c r="F720" s="14" t="str">
        <x:f>INDEX(Roster!$F$6:$F$108,MATCH(D720,Roster!$A$6:$A$108,0))</x:f>
        <x:v>No</x:v>
      </x:c>
      <x:c r="G720" s="14" t="n">
        <x:f>INDEX(Inputs!$B$7:$D$7,1,MATCH(A720,Inputs!$B$6:$D$6,0))</x:f>
        <x:v>13</x:v>
      </x:c>
      <x:c r="H720" s="14" t="n">
        <x:f>MIN(=INDEX(Inputs!$B$7:$D$7,1,MATCH(A720,Inputs!$B$6:$D$6,0)),MAX(0,INDEX(Inputs!$B$14:$D$14,1,MATCH(A720,Inputs!$B$6:$D$6,0))-(C720-1)*=INDEX(Inputs!$B$7:$D$7,1,MATCH(A720,Inputs!$B$6:$D$6,0))))</x:f>
        <x:v>13</x:v>
      </x:c>
      <x:c r="I720" s="20" t="n">
        <x:f>INDEX(Inputs!$B$8:$D$8,1,MATCH(A720,Inputs!$B$6:$D$6,0))</x:f>
        <x:v>2395</x:v>
      </x:c>
      <x:c r="J720" s="20" t="n">
        <x:f>INDEX(Roster!$C$6:$C$108,MATCH(D720,Roster!$A$6:$A$108,0))*(1+INDEX(Inputs!$B$9:$D$9,1,MATCH(A720,Inputs!$B$6:$D$6,0)))</x:f>
        <x:v>60</x:v>
      </x:c>
      <x:c r="K720" s="20" t="n">
        <x:f>IF(=INDEX(Roster!$F$6:$F$108,MATCH(D720,Roster!$A$6:$A$108,0))="Yes",0,=INDEX(Inputs!$B$8:$D$8,1,MATCH(A720,Inputs!$B$6:$D$6,0))*IF(=INDEX(Roster!$B$6:$B$108,MATCH(D720,Roster!$A$6:$A$108,0))="Principal",INDEX(Inputs!$B$10:$D$10,1,MATCH(A720,Inputs!$B$6:$D$6,0)),IF(=INDEX(Roster!$B$6:$B$108,MATCH(D720,Roster!$A$6:$A$108,0))="Associate Principal",INDEX(Inputs!$B$11:$D$11,1,MATCH(A720,Inputs!$B$6:$D$6,0)),IF(=INDEX(Roster!$B$6:$B$108,MATCH(D720,Roster!$A$6:$A$108,0))="Assistant Principal",INDEX(Inputs!$B$12:$D$12,1,MATCH(A720,Inputs!$B$6:$D$6,0)),0))))</x:f>
        <x:v>0</x:v>
      </x:c>
      <x:c r="L720" s="20" t="n">
        <x:f>IF(INDEX(Roster!$D$6:$D$108,MATCH(D720,Roster!$A$6:$A$108,0))&gt;=25,INDEX(Inputs!$B$19:$D$19,1,MATCH(A720,Inputs!$B$6:$D$6,0)),IF(INDEX(Roster!$D$6:$D$108,MATCH(D720,Roster!$A$6:$A$108,0))&gt;=20,INDEX(Inputs!$B$18:$D$18,1,MATCH(A720,Inputs!$B$6:$D$6,0)),IF(INDEX(Roster!$D$6:$D$108,MATCH(D720,Roster!$A$6:$A$108,0))&gt;=15,INDEX(Inputs!$B$17:$D$17,1,MATCH(A720,Inputs!$B$6:$D$6,0)),IF(INDEX(Roster!$D$6:$D$108,MATCH(D720,Roster!$A$6:$A$108,0))&gt;=10,INDEX(Inputs!$B$16:$D$16,1,MATCH(A720,Inputs!$B$6:$D$6,0)),IF(INDEX(Roster!$D$6:$D$108,MATCH(D720,Roster!$A$6:$A$108,0))&gt;=5,INDEX(Inputs!$B$15:$D$15,1,MATCH(A720,Inputs!$B$6:$D$6,0)),0)))))</x:f>
        <x:v>90</x:v>
      </x:c>
      <x:c r="M720" s="20" t="n">
        <x:f>G720*I720</x:f>
        <x:v>31135</x:v>
      </x:c>
      <x:c r="N720" s="20" t="n">
        <x:f>G720*J720</x:f>
        <x:v>780</x:v>
      </x:c>
      <x:c r="O720" s="20" t="n">
        <x:f>G720*K720</x:f>
        <x:v>0</x:v>
      </x:c>
      <x:c r="P720" s="20" t="n">
        <x:f>G720*L720</x:f>
        <x:v>1170</x:v>
      </x:c>
      <x:c r="Q720" s="20" t="n">
        <x:f>H720*INDEX(Inputs!$B$13:$D$13,1,MATCH(A720,Inputs!$B$6:$D$6,0))</x:f>
        <x:v>390</x:v>
      </x:c>
      <x:c r="R720" s="20" t="n">
        <x:f>SUM(M720:Q720)</x:f>
        <x:v>33475</x:v>
      </x:c>
      <x:c r="S720" s="20" t="n">
        <x:f>IF(AND(A719=A720,D719=D720),S719+R720,R720)</x:f>
        <x:v>100425</x:v>
      </x:c>
      <x:c r="T720" s="20" t="n">
        <x:f>MIN(S720,INDEX(Inputs!$B$20:$D$20,1,MATCH(A720,Inputs!$B$6:$D$6,0)))*INDEX(Inputs!$B$22:$D$22,1,MATCH(A720,Inputs!$B$6:$D$6,0))+MAX(MIN(S720,INDEX(Inputs!$B$21:$D$21,1,MATCH(A720,Inputs!$B$6:$D$6,0)))-INDEX(Inputs!$B$20:$D$20,1,MATCH(A720,Inputs!$B$6:$D$6,0)),0)*INDEX(Inputs!$B$23:$D$23,1,MATCH(A720,Inputs!$B$6:$D$6,0))+MAX(S720-INDEX(Inputs!$B$21:$D$21,1,MATCH(A720,Inputs!$B$6:$D$6,0)),0)*INDEX(Inputs!$B$24:$D$24,1,MATCH(A720,Inputs!$B$6:$D$6,0))</x:f>
        <x:v>8172.5125</x:v>
      </x:c>
      <x:c r="U720" s="20" t="n">
        <x:f>IF(AND(A719=A720,D719=D720),T719,0)</x:f>
        <x:v>5611.675</x:v>
      </x:c>
      <x:c r="V720" s="20" t="n">
        <x:f>T720-U720</x:f>
        <x:v>2560.8374999999996</x:v>
      </x:c>
      <x:c r="W720" s="20" t="n">
        <x:f>R720+V720</x:f>
        <x:v>36035.8375</x:v>
      </x:c>
      <x:c r="X720" s="14" t="str">
        <x:f>IF(ABS(W720-SUM(M720:Q720)-V720)&lt;0.01,"OK","Check")</x:f>
        <x:v>OK</x:v>
      </x:c>
    </x:row>
    <x:row r="721">
      <x:c r="A721" s="14" t="n">
        <x:v>2027</x:v>
      </x:c>
      <x:c r="B721" s="14" t="str">
        <x:v>Q4</x:v>
      </x:c>
      <x:c r="C721" s="14" t="n">
        <x:v>4</x:v>
      </x:c>
      <x:c r="D721" s="14" t="n">
        <x:v>76</x:v>
      </x:c>
      <x:c r="E721" s="14" t="str">
        <x:f>INDEX(Roster!$B$6:$B$108,MATCH(D721,Roster!$A$6:$A$108,0))</x:f>
      </x:c>
      <x:c r="F721" s="14" t="str">
        <x:f>INDEX(Roster!$F$6:$F$108,MATCH(D721,Roster!$A$6:$A$108,0))</x:f>
        <x:v>No</x:v>
      </x:c>
      <x:c r="G721" s="14" t="n">
        <x:f>INDEX(Inputs!$B$7:$D$7,1,MATCH(A721,Inputs!$B$6:$D$6,0))</x:f>
        <x:v>13</x:v>
      </x:c>
      <x:c r="H721" s="14" t="n">
        <x:f>MIN(=INDEX(Inputs!$B$7:$D$7,1,MATCH(A721,Inputs!$B$6:$D$6,0)),MAX(0,INDEX(Inputs!$B$14:$D$14,1,MATCH(A721,Inputs!$B$6:$D$6,0))-(C721-1)*=INDEX(Inputs!$B$7:$D$7,1,MATCH(A721,Inputs!$B$6:$D$6,0))))</x:f>
        <x:v>0</x:v>
      </x:c>
      <x:c r="I721" s="20" t="n">
        <x:f>INDEX(Inputs!$B$8:$D$8,1,MATCH(A721,Inputs!$B$6:$D$6,0))</x:f>
        <x:v>2395</x:v>
      </x:c>
      <x:c r="J721" s="20" t="n">
        <x:f>INDEX(Roster!$C$6:$C$108,MATCH(D721,Roster!$A$6:$A$108,0))*(1+INDEX(Inputs!$B$9:$D$9,1,MATCH(A721,Inputs!$B$6:$D$6,0)))</x:f>
        <x:v>60</x:v>
      </x:c>
      <x:c r="K721" s="20" t="n">
        <x:f>IF(=INDEX(Roster!$F$6:$F$108,MATCH(D721,Roster!$A$6:$A$108,0))="Yes",0,=INDEX(Inputs!$B$8:$D$8,1,MATCH(A721,Inputs!$B$6:$D$6,0))*IF(=INDEX(Roster!$B$6:$B$108,MATCH(D721,Roster!$A$6:$A$108,0))="Principal",INDEX(Inputs!$B$10:$D$10,1,MATCH(A721,Inputs!$B$6:$D$6,0)),IF(=INDEX(Roster!$B$6:$B$108,MATCH(D721,Roster!$A$6:$A$108,0))="Associate Principal",INDEX(Inputs!$B$11:$D$11,1,MATCH(A721,Inputs!$B$6:$D$6,0)),IF(=INDEX(Roster!$B$6:$B$108,MATCH(D721,Roster!$A$6:$A$108,0))="Assistant Principal",INDEX(Inputs!$B$12:$D$12,1,MATCH(A721,Inputs!$B$6:$D$6,0)),0))))</x:f>
        <x:v>0</x:v>
      </x:c>
      <x:c r="L721" s="20" t="n">
        <x:f>IF(INDEX(Roster!$D$6:$D$108,MATCH(D721,Roster!$A$6:$A$108,0))&gt;=25,INDEX(Inputs!$B$19:$D$19,1,MATCH(A721,Inputs!$B$6:$D$6,0)),IF(INDEX(Roster!$D$6:$D$108,MATCH(D721,Roster!$A$6:$A$108,0))&gt;=20,INDEX(Inputs!$B$18:$D$18,1,MATCH(A721,Inputs!$B$6:$D$6,0)),IF(INDEX(Roster!$D$6:$D$108,MATCH(D721,Roster!$A$6:$A$108,0))&gt;=15,INDEX(Inputs!$B$17:$D$17,1,MATCH(A721,Inputs!$B$6:$D$6,0)),IF(INDEX(Roster!$D$6:$D$108,MATCH(D721,Roster!$A$6:$A$108,0))&gt;=10,INDEX(Inputs!$B$16:$D$16,1,MATCH(A721,Inputs!$B$6:$D$6,0)),IF(INDEX(Roster!$D$6:$D$108,MATCH(D721,Roster!$A$6:$A$108,0))&gt;=5,INDEX(Inputs!$B$15:$D$15,1,MATCH(A721,Inputs!$B$6:$D$6,0)),0)))))</x:f>
        <x:v>90</x:v>
      </x:c>
      <x:c r="M721" s="20" t="n">
        <x:f>G721*I721</x:f>
        <x:v>31135</x:v>
      </x:c>
      <x:c r="N721" s="20" t="n">
        <x:f>G721*J721</x:f>
        <x:v>780</x:v>
      </x:c>
      <x:c r="O721" s="20" t="n">
        <x:f>G721*K721</x:f>
        <x:v>0</x:v>
      </x:c>
      <x:c r="P721" s="20" t="n">
        <x:f>G721*L721</x:f>
        <x:v>1170</x:v>
      </x:c>
      <x:c r="Q721" s="20" t="n">
        <x:f>H721*INDEX(Inputs!$B$13:$D$13,1,MATCH(A721,Inputs!$B$6:$D$6,0))</x:f>
        <x:v>0</x:v>
      </x:c>
      <x:c r="R721" s="20" t="n">
        <x:f>SUM(M721:Q721)</x:f>
        <x:v>33085</x:v>
      </x:c>
      <x:c r="S721" s="20" t="n">
        <x:f>IF(AND(A720=A721,D720=D721),S720+R721,R721)</x:f>
        <x:v>133510</x:v>
      </x:c>
      <x:c r="T721" s="20" t="n">
        <x:f>MIN(S721,INDEX(Inputs!$B$20:$D$20,1,MATCH(A721,Inputs!$B$6:$D$6,0)))*INDEX(Inputs!$B$22:$D$22,1,MATCH(A721,Inputs!$B$6:$D$6,0))+MAX(MIN(S721,INDEX(Inputs!$B$21:$D$21,1,MATCH(A721,Inputs!$B$6:$D$6,0)))-INDEX(Inputs!$B$20:$D$20,1,MATCH(A721,Inputs!$B$6:$D$6,0)),0)*INDEX(Inputs!$B$23:$D$23,1,MATCH(A721,Inputs!$B$6:$D$6,0))+MAX(S721-INDEX(Inputs!$B$21:$D$21,1,MATCH(A721,Inputs!$B$6:$D$6,0)),0)*INDEX(Inputs!$B$24:$D$24,1,MATCH(A721,Inputs!$B$6:$D$6,0))</x:f>
        <x:v>9849.837</x:v>
      </x:c>
      <x:c r="U721" s="20" t="n">
        <x:f>IF(AND(A720=A721,D720=D721),T720,0)</x:f>
        <x:v>8172.5125</x:v>
      </x:c>
      <x:c r="V721" s="20" t="n">
        <x:f>T721-U721</x:f>
        <x:v>1677.3244999999997</x:v>
      </x:c>
      <x:c r="W721" s="20" t="n">
        <x:f>R721+V721</x:f>
        <x:v>34762.3245</x:v>
      </x:c>
      <x:c r="X721" s="14" t="str">
        <x:f>IF(ABS(W721-SUM(M721:Q721)-V721)&lt;0.01,"OK","Check")</x:f>
        <x:v>OK</x:v>
      </x:c>
    </x:row>
    <x:row r="722">
      <x:c r="A722" s="14" t="n">
        <x:v>2027</x:v>
      </x:c>
      <x:c r="B722" s="14" t="str">
        <x:v>Q1</x:v>
      </x:c>
      <x:c r="C722" s="14" t="n">
        <x:v>1</x:v>
      </x:c>
      <x:c r="D722" s="14" t="n">
        <x:v>77</x:v>
      </x:c>
      <x:c r="E722" s="14" t="str">
        <x:f>INDEX(Roster!$B$6:$B$108,MATCH(D722,Roster!$A$6:$A$108,0))</x:f>
      </x:c>
      <x:c r="F722" s="14" t="str">
        <x:f>INDEX(Roster!$F$6:$F$108,MATCH(D722,Roster!$A$6:$A$108,0))</x:f>
        <x:v>No</x:v>
      </x:c>
      <x:c r="G722" s="14" t="n">
        <x:f>INDEX(Inputs!$B$7:$D$7,1,MATCH(A722,Inputs!$B$6:$D$6,0))</x:f>
        <x:v>13</x:v>
      </x:c>
      <x:c r="H722" s="14" t="n">
        <x:f>MIN(=INDEX(Inputs!$B$7:$D$7,1,MATCH(A722,Inputs!$B$6:$D$6,0)),MAX(0,INDEX(Inputs!$B$14:$D$14,1,MATCH(A722,Inputs!$B$6:$D$6,0))-(C722-1)*=INDEX(Inputs!$B$7:$D$7,1,MATCH(A722,Inputs!$B$6:$D$6,0))))</x:f>
        <x:v>13</x:v>
      </x:c>
      <x:c r="I722" s="20" t="n">
        <x:f>INDEX(Inputs!$B$8:$D$8,1,MATCH(A722,Inputs!$B$6:$D$6,0))</x:f>
        <x:v>2395</x:v>
      </x:c>
      <x:c r="J722" s="20" t="n">
        <x:f>INDEX(Roster!$C$6:$C$108,MATCH(D722,Roster!$A$6:$A$108,0))*(1+INDEX(Inputs!$B$9:$D$9,1,MATCH(A722,Inputs!$B$6:$D$6,0)))</x:f>
        <x:v>50</x:v>
      </x:c>
      <x:c r="K722" s="20" t="n">
        <x:f>IF(=INDEX(Roster!$F$6:$F$108,MATCH(D722,Roster!$A$6:$A$108,0))="Yes",0,=INDEX(Inputs!$B$8:$D$8,1,MATCH(A722,Inputs!$B$6:$D$6,0))*IF(=INDEX(Roster!$B$6:$B$108,MATCH(D722,Roster!$A$6:$A$108,0))="Principal",INDEX(Inputs!$B$10:$D$10,1,MATCH(A722,Inputs!$B$6:$D$6,0)),IF(=INDEX(Roster!$B$6:$B$108,MATCH(D722,Roster!$A$6:$A$108,0))="Associate Principal",INDEX(Inputs!$B$11:$D$11,1,MATCH(A722,Inputs!$B$6:$D$6,0)),IF(=INDEX(Roster!$B$6:$B$108,MATCH(D722,Roster!$A$6:$A$108,0))="Assistant Principal",INDEX(Inputs!$B$12:$D$12,1,MATCH(A722,Inputs!$B$6:$D$6,0)),0))))</x:f>
        <x:v>0</x:v>
      </x:c>
      <x:c r="L722" s="20" t="n">
        <x:f>IF(INDEX(Roster!$D$6:$D$108,MATCH(D722,Roster!$A$6:$A$108,0))&gt;=25,INDEX(Inputs!$B$19:$D$19,1,MATCH(A722,Inputs!$B$6:$D$6,0)),IF(INDEX(Roster!$D$6:$D$108,MATCH(D722,Roster!$A$6:$A$108,0))&gt;=20,INDEX(Inputs!$B$18:$D$18,1,MATCH(A722,Inputs!$B$6:$D$6,0)),IF(INDEX(Roster!$D$6:$D$108,MATCH(D722,Roster!$A$6:$A$108,0))&gt;=15,INDEX(Inputs!$B$17:$D$17,1,MATCH(A722,Inputs!$B$6:$D$6,0)),IF(INDEX(Roster!$D$6:$D$108,MATCH(D722,Roster!$A$6:$A$108,0))&gt;=10,INDEX(Inputs!$B$16:$D$16,1,MATCH(A722,Inputs!$B$6:$D$6,0)),IF(INDEX(Roster!$D$6:$D$108,MATCH(D722,Roster!$A$6:$A$108,0))&gt;=5,INDEX(Inputs!$B$15:$D$15,1,MATCH(A722,Inputs!$B$6:$D$6,0)),0)))))</x:f>
        <x:v>90</x:v>
      </x:c>
      <x:c r="M722" s="20" t="n">
        <x:f>G722*I722</x:f>
        <x:v>31135</x:v>
      </x:c>
      <x:c r="N722" s="20" t="n">
        <x:f>G722*J722</x:f>
        <x:v>650</x:v>
      </x:c>
      <x:c r="O722" s="20" t="n">
        <x:f>G722*K722</x:f>
        <x:v>0</x:v>
      </x:c>
      <x:c r="P722" s="20" t="n">
        <x:f>G722*L722</x:f>
        <x:v>1170</x:v>
      </x:c>
      <x:c r="Q722" s="20" t="n">
        <x:f>H722*INDEX(Inputs!$B$13:$D$13,1,MATCH(A722,Inputs!$B$6:$D$6,0))</x:f>
        <x:v>390</x:v>
      </x:c>
      <x:c r="R722" s="20" t="n">
        <x:f>SUM(M722:Q722)</x:f>
        <x:v>33345</x:v>
      </x:c>
      <x:c r="S722" s="20" t="n">
        <x:f>IF(AND(A721=A722,D721=D722),S721+R722,R722)</x:f>
        <x:v>33345</x:v>
      </x:c>
      <x:c r="T722" s="20" t="n">
        <x:f>MIN(S722,INDEX(Inputs!$B$20:$D$20,1,MATCH(A722,Inputs!$B$6:$D$6,0)))*INDEX(Inputs!$B$22:$D$22,1,MATCH(A722,Inputs!$B$6:$D$6,0))+MAX(MIN(S722,INDEX(Inputs!$B$21:$D$21,1,MATCH(A722,Inputs!$B$6:$D$6,0)))-INDEX(Inputs!$B$20:$D$20,1,MATCH(A722,Inputs!$B$6:$D$6,0)),0)*INDEX(Inputs!$B$23:$D$23,1,MATCH(A722,Inputs!$B$6:$D$6,0))+MAX(S722-INDEX(Inputs!$B$21:$D$21,1,MATCH(A722,Inputs!$B$6:$D$6,0)),0)*INDEX(Inputs!$B$24:$D$24,1,MATCH(A722,Inputs!$B$6:$D$6,0))</x:f>
        <x:v>3040.8925</x:v>
      </x:c>
      <x:c r="U722" s="20" t="n">
        <x:f>IF(AND(A721=A722,D721=D722),T721,0)</x:f>
        <x:v>0</x:v>
      </x:c>
      <x:c r="V722" s="20" t="n">
        <x:f>T722-U722</x:f>
        <x:v>3040.8925</x:v>
      </x:c>
      <x:c r="W722" s="20" t="n">
        <x:f>R722+V722</x:f>
        <x:v>36385.8925</x:v>
      </x:c>
      <x:c r="X722" s="14" t="str">
        <x:f>IF(ABS(W722-SUM(M722:Q722)-V722)&lt;0.01,"OK","Check")</x:f>
        <x:v>OK</x:v>
      </x:c>
    </x:row>
    <x:row r="723">
      <x:c r="A723" s="14" t="n">
        <x:v>2027</x:v>
      </x:c>
      <x:c r="B723" s="14" t="str">
        <x:v>Q2</x:v>
      </x:c>
      <x:c r="C723" s="14" t="n">
        <x:v>2</x:v>
      </x:c>
      <x:c r="D723" s="14" t="n">
        <x:v>77</x:v>
      </x:c>
      <x:c r="E723" s="14" t="str">
        <x:f>INDEX(Roster!$B$6:$B$108,MATCH(D723,Roster!$A$6:$A$108,0))</x:f>
      </x:c>
      <x:c r="F723" s="14" t="str">
        <x:f>INDEX(Roster!$F$6:$F$108,MATCH(D723,Roster!$A$6:$A$108,0))</x:f>
        <x:v>No</x:v>
      </x:c>
      <x:c r="G723" s="14" t="n">
        <x:f>INDEX(Inputs!$B$7:$D$7,1,MATCH(A723,Inputs!$B$6:$D$6,0))</x:f>
        <x:v>13</x:v>
      </x:c>
      <x:c r="H723" s="14" t="n">
        <x:f>MIN(=INDEX(Inputs!$B$7:$D$7,1,MATCH(A723,Inputs!$B$6:$D$6,0)),MAX(0,INDEX(Inputs!$B$14:$D$14,1,MATCH(A723,Inputs!$B$6:$D$6,0))-(C723-1)*=INDEX(Inputs!$B$7:$D$7,1,MATCH(A723,Inputs!$B$6:$D$6,0))))</x:f>
        <x:v>13</x:v>
      </x:c>
      <x:c r="I723" s="20" t="n">
        <x:f>INDEX(Inputs!$B$8:$D$8,1,MATCH(A723,Inputs!$B$6:$D$6,0))</x:f>
        <x:v>2395</x:v>
      </x:c>
      <x:c r="J723" s="20" t="n">
        <x:f>INDEX(Roster!$C$6:$C$108,MATCH(D723,Roster!$A$6:$A$108,0))*(1+INDEX(Inputs!$B$9:$D$9,1,MATCH(A723,Inputs!$B$6:$D$6,0)))</x:f>
        <x:v>50</x:v>
      </x:c>
      <x:c r="K723" s="20" t="n">
        <x:f>IF(=INDEX(Roster!$F$6:$F$108,MATCH(D723,Roster!$A$6:$A$108,0))="Yes",0,=INDEX(Inputs!$B$8:$D$8,1,MATCH(A723,Inputs!$B$6:$D$6,0))*IF(=INDEX(Roster!$B$6:$B$108,MATCH(D723,Roster!$A$6:$A$108,0))="Principal",INDEX(Inputs!$B$10:$D$10,1,MATCH(A723,Inputs!$B$6:$D$6,0)),IF(=INDEX(Roster!$B$6:$B$108,MATCH(D723,Roster!$A$6:$A$108,0))="Associate Principal",INDEX(Inputs!$B$11:$D$11,1,MATCH(A723,Inputs!$B$6:$D$6,0)),IF(=INDEX(Roster!$B$6:$B$108,MATCH(D723,Roster!$A$6:$A$108,0))="Assistant Principal",INDEX(Inputs!$B$12:$D$12,1,MATCH(A723,Inputs!$B$6:$D$6,0)),0))))</x:f>
        <x:v>0</x:v>
      </x:c>
      <x:c r="L723" s="20" t="n">
        <x:f>IF(INDEX(Roster!$D$6:$D$108,MATCH(D723,Roster!$A$6:$A$108,0))&gt;=25,INDEX(Inputs!$B$19:$D$19,1,MATCH(A723,Inputs!$B$6:$D$6,0)),IF(INDEX(Roster!$D$6:$D$108,MATCH(D723,Roster!$A$6:$A$108,0))&gt;=20,INDEX(Inputs!$B$18:$D$18,1,MATCH(A723,Inputs!$B$6:$D$6,0)),IF(INDEX(Roster!$D$6:$D$108,MATCH(D723,Roster!$A$6:$A$108,0))&gt;=15,INDEX(Inputs!$B$17:$D$17,1,MATCH(A723,Inputs!$B$6:$D$6,0)),IF(INDEX(Roster!$D$6:$D$108,MATCH(D723,Roster!$A$6:$A$108,0))&gt;=10,INDEX(Inputs!$B$16:$D$16,1,MATCH(A723,Inputs!$B$6:$D$6,0)),IF(INDEX(Roster!$D$6:$D$108,MATCH(D723,Roster!$A$6:$A$108,0))&gt;=5,INDEX(Inputs!$B$15:$D$15,1,MATCH(A723,Inputs!$B$6:$D$6,0)),0)))))</x:f>
        <x:v>90</x:v>
      </x:c>
      <x:c r="M723" s="20" t="n">
        <x:f>G723*I723</x:f>
        <x:v>31135</x:v>
      </x:c>
      <x:c r="N723" s="20" t="n">
        <x:f>G723*J723</x:f>
        <x:v>650</x:v>
      </x:c>
      <x:c r="O723" s="20" t="n">
        <x:f>G723*K723</x:f>
        <x:v>0</x:v>
      </x:c>
      <x:c r="P723" s="20" t="n">
        <x:f>G723*L723</x:f>
        <x:v>1170</x:v>
      </x:c>
      <x:c r="Q723" s="20" t="n">
        <x:f>H723*INDEX(Inputs!$B$13:$D$13,1,MATCH(A723,Inputs!$B$6:$D$6,0))</x:f>
        <x:v>390</x:v>
      </x:c>
      <x:c r="R723" s="20" t="n">
        <x:f>SUM(M723:Q723)</x:f>
        <x:v>33345</x:v>
      </x:c>
      <x:c r="S723" s="20" t="n">
        <x:f>IF(AND(A722=A723,D722=D723),S722+R723,R723)</x:f>
        <x:v>66690</x:v>
      </x:c>
      <x:c r="T723" s="20" t="n">
        <x:f>MIN(S723,INDEX(Inputs!$B$20:$D$20,1,MATCH(A723,Inputs!$B$6:$D$6,0)))*INDEX(Inputs!$B$22:$D$22,1,MATCH(A723,Inputs!$B$6:$D$6,0))+MAX(MIN(S723,INDEX(Inputs!$B$21:$D$21,1,MATCH(A723,Inputs!$B$6:$D$6,0)))-INDEX(Inputs!$B$20:$D$20,1,MATCH(A723,Inputs!$B$6:$D$6,0)),0)*INDEX(Inputs!$B$23:$D$23,1,MATCH(A723,Inputs!$B$6:$D$6,0))+MAX(S723-INDEX(Inputs!$B$21:$D$21,1,MATCH(A723,Inputs!$B$6:$D$6,0)),0)*INDEX(Inputs!$B$24:$D$24,1,MATCH(A723,Inputs!$B$6:$D$6,0))</x:f>
        <x:v>5591.785</x:v>
      </x:c>
      <x:c r="U723" s="20" t="n">
        <x:f>IF(AND(A722=A723,D722=D723),T722,0)</x:f>
        <x:v>3040.8925</x:v>
      </x:c>
      <x:c r="V723" s="20" t="n">
        <x:f>T723-U723</x:f>
        <x:v>2550.8925</x:v>
      </x:c>
      <x:c r="W723" s="20" t="n">
        <x:f>R723+V723</x:f>
        <x:v>35895.8925</x:v>
      </x:c>
      <x:c r="X723" s="14" t="str">
        <x:f>IF(ABS(W723-SUM(M723:Q723)-V723)&lt;0.01,"OK","Check")</x:f>
        <x:v>OK</x:v>
      </x:c>
    </x:row>
    <x:row r="724">
      <x:c r="A724" s="14" t="n">
        <x:v>2027</x:v>
      </x:c>
      <x:c r="B724" s="14" t="str">
        <x:v>Q3</x:v>
      </x:c>
      <x:c r="C724" s="14" t="n">
        <x:v>3</x:v>
      </x:c>
      <x:c r="D724" s="14" t="n">
        <x:v>77</x:v>
      </x:c>
      <x:c r="E724" s="14" t="str">
        <x:f>INDEX(Roster!$B$6:$B$108,MATCH(D724,Roster!$A$6:$A$108,0))</x:f>
      </x:c>
      <x:c r="F724" s="14" t="str">
        <x:f>INDEX(Roster!$F$6:$F$108,MATCH(D724,Roster!$A$6:$A$108,0))</x:f>
        <x:v>No</x:v>
      </x:c>
      <x:c r="G724" s="14" t="n">
        <x:f>INDEX(Inputs!$B$7:$D$7,1,MATCH(A724,Inputs!$B$6:$D$6,0))</x:f>
        <x:v>13</x:v>
      </x:c>
      <x:c r="H724" s="14" t="n">
        <x:f>MIN(=INDEX(Inputs!$B$7:$D$7,1,MATCH(A724,Inputs!$B$6:$D$6,0)),MAX(0,INDEX(Inputs!$B$14:$D$14,1,MATCH(A724,Inputs!$B$6:$D$6,0))-(C724-1)*=INDEX(Inputs!$B$7:$D$7,1,MATCH(A724,Inputs!$B$6:$D$6,0))))</x:f>
        <x:v>13</x:v>
      </x:c>
      <x:c r="I724" s="20" t="n">
        <x:f>INDEX(Inputs!$B$8:$D$8,1,MATCH(A724,Inputs!$B$6:$D$6,0))</x:f>
        <x:v>2395</x:v>
      </x:c>
      <x:c r="J724" s="20" t="n">
        <x:f>INDEX(Roster!$C$6:$C$108,MATCH(D724,Roster!$A$6:$A$108,0))*(1+INDEX(Inputs!$B$9:$D$9,1,MATCH(A724,Inputs!$B$6:$D$6,0)))</x:f>
        <x:v>50</x:v>
      </x:c>
      <x:c r="K724" s="20" t="n">
        <x:f>IF(=INDEX(Roster!$F$6:$F$108,MATCH(D724,Roster!$A$6:$A$108,0))="Yes",0,=INDEX(Inputs!$B$8:$D$8,1,MATCH(A724,Inputs!$B$6:$D$6,0))*IF(=INDEX(Roster!$B$6:$B$108,MATCH(D724,Roster!$A$6:$A$108,0))="Principal",INDEX(Inputs!$B$10:$D$10,1,MATCH(A724,Inputs!$B$6:$D$6,0)),IF(=INDEX(Roster!$B$6:$B$108,MATCH(D724,Roster!$A$6:$A$108,0))="Associate Principal",INDEX(Inputs!$B$11:$D$11,1,MATCH(A724,Inputs!$B$6:$D$6,0)),IF(=INDEX(Roster!$B$6:$B$108,MATCH(D724,Roster!$A$6:$A$108,0))="Assistant Principal",INDEX(Inputs!$B$12:$D$12,1,MATCH(A724,Inputs!$B$6:$D$6,0)),0))))</x:f>
        <x:v>0</x:v>
      </x:c>
      <x:c r="L724" s="20" t="n">
        <x:f>IF(INDEX(Roster!$D$6:$D$108,MATCH(D724,Roster!$A$6:$A$108,0))&gt;=25,INDEX(Inputs!$B$19:$D$19,1,MATCH(A724,Inputs!$B$6:$D$6,0)),IF(INDEX(Roster!$D$6:$D$108,MATCH(D724,Roster!$A$6:$A$108,0))&gt;=20,INDEX(Inputs!$B$18:$D$18,1,MATCH(A724,Inputs!$B$6:$D$6,0)),IF(INDEX(Roster!$D$6:$D$108,MATCH(D724,Roster!$A$6:$A$108,0))&gt;=15,INDEX(Inputs!$B$17:$D$17,1,MATCH(A724,Inputs!$B$6:$D$6,0)),IF(INDEX(Roster!$D$6:$D$108,MATCH(D724,Roster!$A$6:$A$108,0))&gt;=10,INDEX(Inputs!$B$16:$D$16,1,MATCH(A724,Inputs!$B$6:$D$6,0)),IF(INDEX(Roster!$D$6:$D$108,MATCH(D724,Roster!$A$6:$A$108,0))&gt;=5,INDEX(Inputs!$B$15:$D$15,1,MATCH(A724,Inputs!$B$6:$D$6,0)),0)))))</x:f>
        <x:v>90</x:v>
      </x:c>
      <x:c r="M724" s="20" t="n">
        <x:f>G724*I724</x:f>
        <x:v>31135</x:v>
      </x:c>
      <x:c r="N724" s="20" t="n">
        <x:f>G724*J724</x:f>
        <x:v>650</x:v>
      </x:c>
      <x:c r="O724" s="20" t="n">
        <x:f>G724*K724</x:f>
        <x:v>0</x:v>
      </x:c>
      <x:c r="P724" s="20" t="n">
        <x:f>G724*L724</x:f>
        <x:v>1170</x:v>
      </x:c>
      <x:c r="Q724" s="20" t="n">
        <x:f>H724*INDEX(Inputs!$B$13:$D$13,1,MATCH(A724,Inputs!$B$6:$D$6,0))</x:f>
        <x:v>390</x:v>
      </x:c>
      <x:c r="R724" s="20" t="n">
        <x:f>SUM(M724:Q724)</x:f>
        <x:v>33345</x:v>
      </x:c>
      <x:c r="S724" s="20" t="n">
        <x:f>IF(AND(A723=A724,D723=D724),S723+R724,R724)</x:f>
        <x:v>100035</x:v>
      </x:c>
      <x:c r="T724" s="20" t="n">
        <x:f>MIN(S724,INDEX(Inputs!$B$20:$D$20,1,MATCH(A724,Inputs!$B$6:$D$6,0)))*INDEX(Inputs!$B$22:$D$22,1,MATCH(A724,Inputs!$B$6:$D$6,0))+MAX(MIN(S724,INDEX(Inputs!$B$21:$D$21,1,MATCH(A724,Inputs!$B$6:$D$6,0)))-INDEX(Inputs!$B$20:$D$20,1,MATCH(A724,Inputs!$B$6:$D$6,0)),0)*INDEX(Inputs!$B$23:$D$23,1,MATCH(A724,Inputs!$B$6:$D$6,0))+MAX(S724-INDEX(Inputs!$B$21:$D$21,1,MATCH(A724,Inputs!$B$6:$D$6,0)),0)*INDEX(Inputs!$B$24:$D$24,1,MATCH(A724,Inputs!$B$6:$D$6,0))</x:f>
        <x:v>8142.6775</x:v>
      </x:c>
      <x:c r="U724" s="20" t="n">
        <x:f>IF(AND(A723=A724,D723=D724),T723,0)</x:f>
        <x:v>5591.785</x:v>
      </x:c>
      <x:c r="V724" s="20" t="n">
        <x:f>T724-U724</x:f>
        <x:v>2550.8925</x:v>
      </x:c>
      <x:c r="W724" s="20" t="n">
        <x:f>R724+V724</x:f>
        <x:v>35895.8925</x:v>
      </x:c>
      <x:c r="X724" s="14" t="str">
        <x:f>IF(ABS(W724-SUM(M724:Q724)-V724)&lt;0.01,"OK","Check")</x:f>
        <x:v>OK</x:v>
      </x:c>
    </x:row>
    <x:row r="725">
      <x:c r="A725" s="14" t="n">
        <x:v>2027</x:v>
      </x:c>
      <x:c r="B725" s="14" t="str">
        <x:v>Q4</x:v>
      </x:c>
      <x:c r="C725" s="14" t="n">
        <x:v>4</x:v>
      </x:c>
      <x:c r="D725" s="14" t="n">
        <x:v>77</x:v>
      </x:c>
      <x:c r="E725" s="14" t="str">
        <x:f>INDEX(Roster!$B$6:$B$108,MATCH(D725,Roster!$A$6:$A$108,0))</x:f>
      </x:c>
      <x:c r="F725" s="14" t="str">
        <x:f>INDEX(Roster!$F$6:$F$108,MATCH(D725,Roster!$A$6:$A$108,0))</x:f>
        <x:v>No</x:v>
      </x:c>
      <x:c r="G725" s="14" t="n">
        <x:f>INDEX(Inputs!$B$7:$D$7,1,MATCH(A725,Inputs!$B$6:$D$6,0))</x:f>
        <x:v>13</x:v>
      </x:c>
      <x:c r="H725" s="14" t="n">
        <x:f>MIN(=INDEX(Inputs!$B$7:$D$7,1,MATCH(A725,Inputs!$B$6:$D$6,0)),MAX(0,INDEX(Inputs!$B$14:$D$14,1,MATCH(A725,Inputs!$B$6:$D$6,0))-(C725-1)*=INDEX(Inputs!$B$7:$D$7,1,MATCH(A725,Inputs!$B$6:$D$6,0))))</x:f>
        <x:v>0</x:v>
      </x:c>
      <x:c r="I725" s="20" t="n">
        <x:f>INDEX(Inputs!$B$8:$D$8,1,MATCH(A725,Inputs!$B$6:$D$6,0))</x:f>
        <x:v>2395</x:v>
      </x:c>
      <x:c r="J725" s="20" t="n">
        <x:f>INDEX(Roster!$C$6:$C$108,MATCH(D725,Roster!$A$6:$A$108,0))*(1+INDEX(Inputs!$B$9:$D$9,1,MATCH(A725,Inputs!$B$6:$D$6,0)))</x:f>
        <x:v>50</x:v>
      </x:c>
      <x:c r="K725" s="20" t="n">
        <x:f>IF(=INDEX(Roster!$F$6:$F$108,MATCH(D725,Roster!$A$6:$A$108,0))="Yes",0,=INDEX(Inputs!$B$8:$D$8,1,MATCH(A725,Inputs!$B$6:$D$6,0))*IF(=INDEX(Roster!$B$6:$B$108,MATCH(D725,Roster!$A$6:$A$108,0))="Principal",INDEX(Inputs!$B$10:$D$10,1,MATCH(A725,Inputs!$B$6:$D$6,0)),IF(=INDEX(Roster!$B$6:$B$108,MATCH(D725,Roster!$A$6:$A$108,0))="Associate Principal",INDEX(Inputs!$B$11:$D$11,1,MATCH(A725,Inputs!$B$6:$D$6,0)),IF(=INDEX(Roster!$B$6:$B$108,MATCH(D725,Roster!$A$6:$A$108,0))="Assistant Principal",INDEX(Inputs!$B$12:$D$12,1,MATCH(A725,Inputs!$B$6:$D$6,0)),0))))</x:f>
        <x:v>0</x:v>
      </x:c>
      <x:c r="L725" s="20" t="n">
        <x:f>IF(INDEX(Roster!$D$6:$D$108,MATCH(D725,Roster!$A$6:$A$108,0))&gt;=25,INDEX(Inputs!$B$19:$D$19,1,MATCH(A725,Inputs!$B$6:$D$6,0)),IF(INDEX(Roster!$D$6:$D$108,MATCH(D725,Roster!$A$6:$A$108,0))&gt;=20,INDEX(Inputs!$B$18:$D$18,1,MATCH(A725,Inputs!$B$6:$D$6,0)),IF(INDEX(Roster!$D$6:$D$108,MATCH(D725,Roster!$A$6:$A$108,0))&gt;=15,INDEX(Inputs!$B$17:$D$17,1,MATCH(A725,Inputs!$B$6:$D$6,0)),IF(INDEX(Roster!$D$6:$D$108,MATCH(D725,Roster!$A$6:$A$108,0))&gt;=10,INDEX(Inputs!$B$16:$D$16,1,MATCH(A725,Inputs!$B$6:$D$6,0)),IF(INDEX(Roster!$D$6:$D$108,MATCH(D725,Roster!$A$6:$A$108,0))&gt;=5,INDEX(Inputs!$B$15:$D$15,1,MATCH(A725,Inputs!$B$6:$D$6,0)),0)))))</x:f>
        <x:v>90</x:v>
      </x:c>
      <x:c r="M725" s="20" t="n">
        <x:f>G725*I725</x:f>
        <x:v>31135</x:v>
      </x:c>
      <x:c r="N725" s="20" t="n">
        <x:f>G725*J725</x:f>
        <x:v>650</x:v>
      </x:c>
      <x:c r="O725" s="20" t="n">
        <x:f>G725*K725</x:f>
        <x:v>0</x:v>
      </x:c>
      <x:c r="P725" s="20" t="n">
        <x:f>G725*L725</x:f>
        <x:v>1170</x:v>
      </x:c>
      <x:c r="Q725" s="20" t="n">
        <x:f>H725*INDEX(Inputs!$B$13:$D$13,1,MATCH(A725,Inputs!$B$6:$D$6,0))</x:f>
        <x:v>0</x:v>
      </x:c>
      <x:c r="R725" s="20" t="n">
        <x:f>SUM(M725:Q725)</x:f>
        <x:v>32955</x:v>
      </x:c>
      <x:c r="S725" s="20" t="n">
        <x:f>IF(AND(A724=A725,D724=D725),S724+R725,R725)</x:f>
        <x:v>132990</x:v>
      </x:c>
      <x:c r="T725" s="20" t="n">
        <x:f>MIN(S725,INDEX(Inputs!$B$20:$D$20,1,MATCH(A725,Inputs!$B$6:$D$6,0)))*INDEX(Inputs!$B$22:$D$22,1,MATCH(A725,Inputs!$B$6:$D$6,0))+MAX(MIN(S725,INDEX(Inputs!$B$21:$D$21,1,MATCH(A725,Inputs!$B$6:$D$6,0)))-INDEX(Inputs!$B$20:$D$20,1,MATCH(A725,Inputs!$B$6:$D$6,0)),0)*INDEX(Inputs!$B$23:$D$23,1,MATCH(A725,Inputs!$B$6:$D$6,0))+MAX(S725-INDEX(Inputs!$B$21:$D$21,1,MATCH(A725,Inputs!$B$6:$D$6,0)),0)*INDEX(Inputs!$B$24:$D$24,1,MATCH(A725,Inputs!$B$6:$D$6,0))</x:f>
        <x:v>9842.297</x:v>
      </x:c>
      <x:c r="U725" s="20" t="n">
        <x:f>IF(AND(A724=A725,D724=D725),T724,0)</x:f>
        <x:v>8142.6775</x:v>
      </x:c>
      <x:c r="V725" s="20" t="n">
        <x:f>T725-U725</x:f>
        <x:v>1699.6195000000007</x:v>
      </x:c>
      <x:c r="W725" s="20" t="n">
        <x:f>R725+V725</x:f>
        <x:v>34654.6195</x:v>
      </x:c>
      <x:c r="X725" s="14" t="str">
        <x:f>IF(ABS(W725-SUM(M725:Q725)-V725)&lt;0.01,"OK","Check")</x:f>
        <x:v>OK</x:v>
      </x:c>
    </x:row>
    <x:row r="726">
      <x:c r="A726" s="14" t="n">
        <x:v>2027</x:v>
      </x:c>
      <x:c r="B726" s="14" t="str">
        <x:v>Q1</x:v>
      </x:c>
      <x:c r="C726" s="14" t="n">
        <x:v>1</x:v>
      </x:c>
      <x:c r="D726" s="14" t="n">
        <x:v>78</x:v>
      </x:c>
      <x:c r="E726" s="14" t="str">
        <x:f>INDEX(Roster!$B$6:$B$108,MATCH(D726,Roster!$A$6:$A$108,0))</x:f>
      </x:c>
      <x:c r="F726" s="14" t="str">
        <x:f>INDEX(Roster!$F$6:$F$108,MATCH(D726,Roster!$A$6:$A$108,0))</x:f>
        <x:v>No</x:v>
      </x:c>
      <x:c r="G726" s="14" t="n">
        <x:f>INDEX(Inputs!$B$7:$D$7,1,MATCH(A726,Inputs!$B$6:$D$6,0))</x:f>
        <x:v>13</x:v>
      </x:c>
      <x:c r="H726" s="14" t="n">
        <x:f>MIN(=INDEX(Inputs!$B$7:$D$7,1,MATCH(A726,Inputs!$B$6:$D$6,0)),MAX(0,INDEX(Inputs!$B$14:$D$14,1,MATCH(A726,Inputs!$B$6:$D$6,0))-(C726-1)*=INDEX(Inputs!$B$7:$D$7,1,MATCH(A726,Inputs!$B$6:$D$6,0))))</x:f>
        <x:v>13</x:v>
      </x:c>
      <x:c r="I726" s="20" t="n">
        <x:f>INDEX(Inputs!$B$8:$D$8,1,MATCH(A726,Inputs!$B$6:$D$6,0))</x:f>
        <x:v>2395</x:v>
      </x:c>
      <x:c r="J726" s="20" t="n">
        <x:f>INDEX(Roster!$C$6:$C$108,MATCH(D726,Roster!$A$6:$A$108,0))*(1+INDEX(Inputs!$B$9:$D$9,1,MATCH(A726,Inputs!$B$6:$D$6,0)))</x:f>
        <x:v>75</x:v>
      </x:c>
      <x:c r="K726" s="20" t="n">
        <x:f>IF(=INDEX(Roster!$F$6:$F$108,MATCH(D726,Roster!$A$6:$A$108,0))="Yes",0,=INDEX(Inputs!$B$8:$D$8,1,MATCH(A726,Inputs!$B$6:$D$6,0))*IF(=INDEX(Roster!$B$6:$B$108,MATCH(D726,Roster!$A$6:$A$108,0))="Principal",INDEX(Inputs!$B$10:$D$10,1,MATCH(A726,Inputs!$B$6:$D$6,0)),IF(=INDEX(Roster!$B$6:$B$108,MATCH(D726,Roster!$A$6:$A$108,0))="Associate Principal",INDEX(Inputs!$B$11:$D$11,1,MATCH(A726,Inputs!$B$6:$D$6,0)),IF(=INDEX(Roster!$B$6:$B$108,MATCH(D726,Roster!$A$6:$A$108,0))="Assistant Principal",INDEX(Inputs!$B$12:$D$12,1,MATCH(A726,Inputs!$B$6:$D$6,0)),0))))</x:f>
        <x:v>0</x:v>
      </x:c>
      <x:c r="L726" s="20" t="n">
        <x:f>IF(INDEX(Roster!$D$6:$D$108,MATCH(D726,Roster!$A$6:$A$108,0))&gt;=25,INDEX(Inputs!$B$19:$D$19,1,MATCH(A726,Inputs!$B$6:$D$6,0)),IF(INDEX(Roster!$D$6:$D$108,MATCH(D726,Roster!$A$6:$A$108,0))&gt;=20,INDEX(Inputs!$B$18:$D$18,1,MATCH(A726,Inputs!$B$6:$D$6,0)),IF(INDEX(Roster!$D$6:$D$108,MATCH(D726,Roster!$A$6:$A$108,0))&gt;=15,INDEX(Inputs!$B$17:$D$17,1,MATCH(A726,Inputs!$B$6:$D$6,0)),IF(INDEX(Roster!$D$6:$D$108,MATCH(D726,Roster!$A$6:$A$108,0))&gt;=10,INDEX(Inputs!$B$16:$D$16,1,MATCH(A726,Inputs!$B$6:$D$6,0)),IF(INDEX(Roster!$D$6:$D$108,MATCH(D726,Roster!$A$6:$A$108,0))&gt;=5,INDEX(Inputs!$B$15:$D$15,1,MATCH(A726,Inputs!$B$6:$D$6,0)),0)))))</x:f>
        <x:v>90</x:v>
      </x:c>
      <x:c r="M726" s="20" t="n">
        <x:f>G726*I726</x:f>
        <x:v>31135</x:v>
      </x:c>
      <x:c r="N726" s="20" t="n">
        <x:f>G726*J726</x:f>
        <x:v>975</x:v>
      </x:c>
      <x:c r="O726" s="20" t="n">
        <x:f>G726*K726</x:f>
        <x:v>0</x:v>
      </x:c>
      <x:c r="P726" s="20" t="n">
        <x:f>G726*L726</x:f>
        <x:v>1170</x:v>
      </x:c>
      <x:c r="Q726" s="20" t="n">
        <x:f>H726*INDEX(Inputs!$B$13:$D$13,1,MATCH(A726,Inputs!$B$6:$D$6,0))</x:f>
        <x:v>390</x:v>
      </x:c>
      <x:c r="R726" s="20" t="n">
        <x:f>SUM(M726:Q726)</x:f>
        <x:v>33670</x:v>
      </x:c>
      <x:c r="S726" s="20" t="n">
        <x:f>IF(AND(A725=A726,D725=D726),S725+R726,R726)</x:f>
        <x:v>33670</x:v>
      </x:c>
      <x:c r="T726" s="20" t="n">
        <x:f>MIN(S726,INDEX(Inputs!$B$20:$D$20,1,MATCH(A726,Inputs!$B$6:$D$6,0)))*INDEX(Inputs!$B$22:$D$22,1,MATCH(A726,Inputs!$B$6:$D$6,0))+MAX(MIN(S726,INDEX(Inputs!$B$21:$D$21,1,MATCH(A726,Inputs!$B$6:$D$6,0)))-INDEX(Inputs!$B$20:$D$20,1,MATCH(A726,Inputs!$B$6:$D$6,0)),0)*INDEX(Inputs!$B$23:$D$23,1,MATCH(A726,Inputs!$B$6:$D$6,0))+MAX(S726-INDEX(Inputs!$B$21:$D$21,1,MATCH(A726,Inputs!$B$6:$D$6,0)),0)*INDEX(Inputs!$B$24:$D$24,1,MATCH(A726,Inputs!$B$6:$D$6,0))</x:f>
        <x:v>3065.755</x:v>
      </x:c>
      <x:c r="U726" s="20" t="n">
        <x:f>IF(AND(A725=A726,D725=D726),T725,0)</x:f>
        <x:v>0</x:v>
      </x:c>
      <x:c r="V726" s="20" t="n">
        <x:f>T726-U726</x:f>
        <x:v>3065.755</x:v>
      </x:c>
      <x:c r="W726" s="20" t="n">
        <x:f>R726+V726</x:f>
        <x:v>36735.755</x:v>
      </x:c>
      <x:c r="X726" s="14" t="str">
        <x:f>IF(ABS(W726-SUM(M726:Q726)-V726)&lt;0.01,"OK","Check")</x:f>
        <x:v>OK</x:v>
      </x:c>
    </x:row>
    <x:row r="727">
      <x:c r="A727" s="14" t="n">
        <x:v>2027</x:v>
      </x:c>
      <x:c r="B727" s="14" t="str">
        <x:v>Q2</x:v>
      </x:c>
      <x:c r="C727" s="14" t="n">
        <x:v>2</x:v>
      </x:c>
      <x:c r="D727" s="14" t="n">
        <x:v>78</x:v>
      </x:c>
      <x:c r="E727" s="14" t="str">
        <x:f>INDEX(Roster!$B$6:$B$108,MATCH(D727,Roster!$A$6:$A$108,0))</x:f>
      </x:c>
      <x:c r="F727" s="14" t="str">
        <x:f>INDEX(Roster!$F$6:$F$108,MATCH(D727,Roster!$A$6:$A$108,0))</x:f>
        <x:v>No</x:v>
      </x:c>
      <x:c r="G727" s="14" t="n">
        <x:f>INDEX(Inputs!$B$7:$D$7,1,MATCH(A727,Inputs!$B$6:$D$6,0))</x:f>
        <x:v>13</x:v>
      </x:c>
      <x:c r="H727" s="14" t="n">
        <x:f>MIN(=INDEX(Inputs!$B$7:$D$7,1,MATCH(A727,Inputs!$B$6:$D$6,0)),MAX(0,INDEX(Inputs!$B$14:$D$14,1,MATCH(A727,Inputs!$B$6:$D$6,0))-(C727-1)*=INDEX(Inputs!$B$7:$D$7,1,MATCH(A727,Inputs!$B$6:$D$6,0))))</x:f>
        <x:v>13</x:v>
      </x:c>
      <x:c r="I727" s="20" t="n">
        <x:f>INDEX(Inputs!$B$8:$D$8,1,MATCH(A727,Inputs!$B$6:$D$6,0))</x:f>
        <x:v>2395</x:v>
      </x:c>
      <x:c r="J727" s="20" t="n">
        <x:f>INDEX(Roster!$C$6:$C$108,MATCH(D727,Roster!$A$6:$A$108,0))*(1+INDEX(Inputs!$B$9:$D$9,1,MATCH(A727,Inputs!$B$6:$D$6,0)))</x:f>
        <x:v>75</x:v>
      </x:c>
      <x:c r="K727" s="20" t="n">
        <x:f>IF(=INDEX(Roster!$F$6:$F$108,MATCH(D727,Roster!$A$6:$A$108,0))="Yes",0,=INDEX(Inputs!$B$8:$D$8,1,MATCH(A727,Inputs!$B$6:$D$6,0))*IF(=INDEX(Roster!$B$6:$B$108,MATCH(D727,Roster!$A$6:$A$108,0))="Principal",INDEX(Inputs!$B$10:$D$10,1,MATCH(A727,Inputs!$B$6:$D$6,0)),IF(=INDEX(Roster!$B$6:$B$108,MATCH(D727,Roster!$A$6:$A$108,0))="Associate Principal",INDEX(Inputs!$B$11:$D$11,1,MATCH(A727,Inputs!$B$6:$D$6,0)),IF(=INDEX(Roster!$B$6:$B$108,MATCH(D727,Roster!$A$6:$A$108,0))="Assistant Principal",INDEX(Inputs!$B$12:$D$12,1,MATCH(A727,Inputs!$B$6:$D$6,0)),0))))</x:f>
        <x:v>0</x:v>
      </x:c>
      <x:c r="L727" s="20" t="n">
        <x:f>IF(INDEX(Roster!$D$6:$D$108,MATCH(D727,Roster!$A$6:$A$108,0))&gt;=25,INDEX(Inputs!$B$19:$D$19,1,MATCH(A727,Inputs!$B$6:$D$6,0)),IF(INDEX(Roster!$D$6:$D$108,MATCH(D727,Roster!$A$6:$A$108,0))&gt;=20,INDEX(Inputs!$B$18:$D$18,1,MATCH(A727,Inputs!$B$6:$D$6,0)),IF(INDEX(Roster!$D$6:$D$108,MATCH(D727,Roster!$A$6:$A$108,0))&gt;=15,INDEX(Inputs!$B$17:$D$17,1,MATCH(A727,Inputs!$B$6:$D$6,0)),IF(INDEX(Roster!$D$6:$D$108,MATCH(D727,Roster!$A$6:$A$108,0))&gt;=10,INDEX(Inputs!$B$16:$D$16,1,MATCH(A727,Inputs!$B$6:$D$6,0)),IF(INDEX(Roster!$D$6:$D$108,MATCH(D727,Roster!$A$6:$A$108,0))&gt;=5,INDEX(Inputs!$B$15:$D$15,1,MATCH(A727,Inputs!$B$6:$D$6,0)),0)))))</x:f>
        <x:v>90</x:v>
      </x:c>
      <x:c r="M727" s="20" t="n">
        <x:f>G727*I727</x:f>
        <x:v>31135</x:v>
      </x:c>
      <x:c r="N727" s="20" t="n">
        <x:f>G727*J727</x:f>
        <x:v>975</x:v>
      </x:c>
      <x:c r="O727" s="20" t="n">
        <x:f>G727*K727</x:f>
        <x:v>0</x:v>
      </x:c>
      <x:c r="P727" s="20" t="n">
        <x:f>G727*L727</x:f>
        <x:v>1170</x:v>
      </x:c>
      <x:c r="Q727" s="20" t="n">
        <x:f>H727*INDEX(Inputs!$B$13:$D$13,1,MATCH(A727,Inputs!$B$6:$D$6,0))</x:f>
        <x:v>390</x:v>
      </x:c>
      <x:c r="R727" s="20" t="n">
        <x:f>SUM(M727:Q727)</x:f>
        <x:v>33670</x:v>
      </x:c>
      <x:c r="S727" s="20" t="n">
        <x:f>IF(AND(A726=A727,D726=D727),S726+R727,R727)</x:f>
        <x:v>67340</x:v>
      </x:c>
      <x:c r="T727" s="20" t="n">
        <x:f>MIN(S727,INDEX(Inputs!$B$20:$D$20,1,MATCH(A727,Inputs!$B$6:$D$6,0)))*INDEX(Inputs!$B$22:$D$22,1,MATCH(A727,Inputs!$B$6:$D$6,0))+MAX(MIN(S727,INDEX(Inputs!$B$21:$D$21,1,MATCH(A727,Inputs!$B$6:$D$6,0)))-INDEX(Inputs!$B$20:$D$20,1,MATCH(A727,Inputs!$B$6:$D$6,0)),0)*INDEX(Inputs!$B$23:$D$23,1,MATCH(A727,Inputs!$B$6:$D$6,0))+MAX(S727-INDEX(Inputs!$B$21:$D$21,1,MATCH(A727,Inputs!$B$6:$D$6,0)),0)*INDEX(Inputs!$B$24:$D$24,1,MATCH(A727,Inputs!$B$6:$D$6,0))</x:f>
        <x:v>5641.51</x:v>
      </x:c>
      <x:c r="U727" s="20" t="n">
        <x:f>IF(AND(A726=A727,D726=D727),T726,0)</x:f>
        <x:v>3065.755</x:v>
      </x:c>
      <x:c r="V727" s="20" t="n">
        <x:f>T727-U727</x:f>
        <x:v>2575.755</x:v>
      </x:c>
      <x:c r="W727" s="20" t="n">
        <x:f>R727+V727</x:f>
        <x:v>36245.755</x:v>
      </x:c>
      <x:c r="X727" s="14" t="str">
        <x:f>IF(ABS(W727-SUM(M727:Q727)-V727)&lt;0.01,"OK","Check")</x:f>
        <x:v>OK</x:v>
      </x:c>
    </x:row>
    <x:row r="728">
      <x:c r="A728" s="14" t="n">
        <x:v>2027</x:v>
      </x:c>
      <x:c r="B728" s="14" t="str">
        <x:v>Q3</x:v>
      </x:c>
      <x:c r="C728" s="14" t="n">
        <x:v>3</x:v>
      </x:c>
      <x:c r="D728" s="14" t="n">
        <x:v>78</x:v>
      </x:c>
      <x:c r="E728" s="14" t="str">
        <x:f>INDEX(Roster!$B$6:$B$108,MATCH(D728,Roster!$A$6:$A$108,0))</x:f>
      </x:c>
      <x:c r="F728" s="14" t="str">
        <x:f>INDEX(Roster!$F$6:$F$108,MATCH(D728,Roster!$A$6:$A$108,0))</x:f>
        <x:v>No</x:v>
      </x:c>
      <x:c r="G728" s="14" t="n">
        <x:f>INDEX(Inputs!$B$7:$D$7,1,MATCH(A728,Inputs!$B$6:$D$6,0))</x:f>
        <x:v>13</x:v>
      </x:c>
      <x:c r="H728" s="14" t="n">
        <x:f>MIN(=INDEX(Inputs!$B$7:$D$7,1,MATCH(A728,Inputs!$B$6:$D$6,0)),MAX(0,INDEX(Inputs!$B$14:$D$14,1,MATCH(A728,Inputs!$B$6:$D$6,0))-(C728-1)*=INDEX(Inputs!$B$7:$D$7,1,MATCH(A728,Inputs!$B$6:$D$6,0))))</x:f>
        <x:v>13</x:v>
      </x:c>
      <x:c r="I728" s="20" t="n">
        <x:f>INDEX(Inputs!$B$8:$D$8,1,MATCH(A728,Inputs!$B$6:$D$6,0))</x:f>
        <x:v>2395</x:v>
      </x:c>
      <x:c r="J728" s="20" t="n">
        <x:f>INDEX(Roster!$C$6:$C$108,MATCH(D728,Roster!$A$6:$A$108,0))*(1+INDEX(Inputs!$B$9:$D$9,1,MATCH(A728,Inputs!$B$6:$D$6,0)))</x:f>
        <x:v>75</x:v>
      </x:c>
      <x:c r="K728" s="20" t="n">
        <x:f>IF(=INDEX(Roster!$F$6:$F$108,MATCH(D728,Roster!$A$6:$A$108,0))="Yes",0,=INDEX(Inputs!$B$8:$D$8,1,MATCH(A728,Inputs!$B$6:$D$6,0))*IF(=INDEX(Roster!$B$6:$B$108,MATCH(D728,Roster!$A$6:$A$108,0))="Principal",INDEX(Inputs!$B$10:$D$10,1,MATCH(A728,Inputs!$B$6:$D$6,0)),IF(=INDEX(Roster!$B$6:$B$108,MATCH(D728,Roster!$A$6:$A$108,0))="Associate Principal",INDEX(Inputs!$B$11:$D$11,1,MATCH(A728,Inputs!$B$6:$D$6,0)),IF(=INDEX(Roster!$B$6:$B$108,MATCH(D728,Roster!$A$6:$A$108,0))="Assistant Principal",INDEX(Inputs!$B$12:$D$12,1,MATCH(A728,Inputs!$B$6:$D$6,0)),0))))</x:f>
        <x:v>0</x:v>
      </x:c>
      <x:c r="L728" s="20" t="n">
        <x:f>IF(INDEX(Roster!$D$6:$D$108,MATCH(D728,Roster!$A$6:$A$108,0))&gt;=25,INDEX(Inputs!$B$19:$D$19,1,MATCH(A728,Inputs!$B$6:$D$6,0)),IF(INDEX(Roster!$D$6:$D$108,MATCH(D728,Roster!$A$6:$A$108,0))&gt;=20,INDEX(Inputs!$B$18:$D$18,1,MATCH(A728,Inputs!$B$6:$D$6,0)),IF(INDEX(Roster!$D$6:$D$108,MATCH(D728,Roster!$A$6:$A$108,0))&gt;=15,INDEX(Inputs!$B$17:$D$17,1,MATCH(A728,Inputs!$B$6:$D$6,0)),IF(INDEX(Roster!$D$6:$D$108,MATCH(D728,Roster!$A$6:$A$108,0))&gt;=10,INDEX(Inputs!$B$16:$D$16,1,MATCH(A728,Inputs!$B$6:$D$6,0)),IF(INDEX(Roster!$D$6:$D$108,MATCH(D728,Roster!$A$6:$A$108,0))&gt;=5,INDEX(Inputs!$B$15:$D$15,1,MATCH(A728,Inputs!$B$6:$D$6,0)),0)))))</x:f>
        <x:v>90</x:v>
      </x:c>
      <x:c r="M728" s="20" t="n">
        <x:f>G728*I728</x:f>
        <x:v>31135</x:v>
      </x:c>
      <x:c r="N728" s="20" t="n">
        <x:f>G728*J728</x:f>
        <x:v>975</x:v>
      </x:c>
      <x:c r="O728" s="20" t="n">
        <x:f>G728*K728</x:f>
        <x:v>0</x:v>
      </x:c>
      <x:c r="P728" s="20" t="n">
        <x:f>G728*L728</x:f>
        <x:v>1170</x:v>
      </x:c>
      <x:c r="Q728" s="20" t="n">
        <x:f>H728*INDEX(Inputs!$B$13:$D$13,1,MATCH(A728,Inputs!$B$6:$D$6,0))</x:f>
        <x:v>390</x:v>
      </x:c>
      <x:c r="R728" s="20" t="n">
        <x:f>SUM(M728:Q728)</x:f>
        <x:v>33670</x:v>
      </x:c>
      <x:c r="S728" s="20" t="n">
        <x:f>IF(AND(A727=A728,D727=D728),S727+R728,R728)</x:f>
        <x:v>101010</x:v>
      </x:c>
      <x:c r="T728" s="20" t="n">
        <x:f>MIN(S728,INDEX(Inputs!$B$20:$D$20,1,MATCH(A728,Inputs!$B$6:$D$6,0)))*INDEX(Inputs!$B$22:$D$22,1,MATCH(A728,Inputs!$B$6:$D$6,0))+MAX(MIN(S728,INDEX(Inputs!$B$21:$D$21,1,MATCH(A728,Inputs!$B$6:$D$6,0)))-INDEX(Inputs!$B$20:$D$20,1,MATCH(A728,Inputs!$B$6:$D$6,0)),0)*INDEX(Inputs!$B$23:$D$23,1,MATCH(A728,Inputs!$B$6:$D$6,0))+MAX(S728-INDEX(Inputs!$B$21:$D$21,1,MATCH(A728,Inputs!$B$6:$D$6,0)),0)*INDEX(Inputs!$B$24:$D$24,1,MATCH(A728,Inputs!$B$6:$D$6,0))</x:f>
        <x:v>8217.265</x:v>
      </x:c>
      <x:c r="U728" s="20" t="n">
        <x:f>IF(AND(A727=A728,D727=D728),T727,0)</x:f>
        <x:v>5641.51</x:v>
      </x:c>
      <x:c r="V728" s="20" t="n">
        <x:f>T728-U728</x:f>
        <x:v>2575.754999999999</x:v>
      </x:c>
      <x:c r="W728" s="20" t="n">
        <x:f>R728+V728</x:f>
        <x:v>36245.755</x:v>
      </x:c>
      <x:c r="X728" s="14" t="str">
        <x:f>IF(ABS(W728-SUM(M728:Q728)-V728)&lt;0.01,"OK","Check")</x:f>
        <x:v>OK</x:v>
      </x:c>
    </x:row>
    <x:row r="729">
      <x:c r="A729" s="14" t="n">
        <x:v>2027</x:v>
      </x:c>
      <x:c r="B729" s="14" t="str">
        <x:v>Q4</x:v>
      </x:c>
      <x:c r="C729" s="14" t="n">
        <x:v>4</x:v>
      </x:c>
      <x:c r="D729" s="14" t="n">
        <x:v>78</x:v>
      </x:c>
      <x:c r="E729" s="14" t="str">
        <x:f>INDEX(Roster!$B$6:$B$108,MATCH(D729,Roster!$A$6:$A$108,0))</x:f>
      </x:c>
      <x:c r="F729" s="14" t="str">
        <x:f>INDEX(Roster!$F$6:$F$108,MATCH(D729,Roster!$A$6:$A$108,0))</x:f>
        <x:v>No</x:v>
      </x:c>
      <x:c r="G729" s="14" t="n">
        <x:f>INDEX(Inputs!$B$7:$D$7,1,MATCH(A729,Inputs!$B$6:$D$6,0))</x:f>
        <x:v>13</x:v>
      </x:c>
      <x:c r="H729" s="14" t="n">
        <x:f>MIN(=INDEX(Inputs!$B$7:$D$7,1,MATCH(A729,Inputs!$B$6:$D$6,0)),MAX(0,INDEX(Inputs!$B$14:$D$14,1,MATCH(A729,Inputs!$B$6:$D$6,0))-(C729-1)*=INDEX(Inputs!$B$7:$D$7,1,MATCH(A729,Inputs!$B$6:$D$6,0))))</x:f>
        <x:v>0</x:v>
      </x:c>
      <x:c r="I729" s="20" t="n">
        <x:f>INDEX(Inputs!$B$8:$D$8,1,MATCH(A729,Inputs!$B$6:$D$6,0))</x:f>
        <x:v>2395</x:v>
      </x:c>
      <x:c r="J729" s="20" t="n">
        <x:f>INDEX(Roster!$C$6:$C$108,MATCH(D729,Roster!$A$6:$A$108,0))*(1+INDEX(Inputs!$B$9:$D$9,1,MATCH(A729,Inputs!$B$6:$D$6,0)))</x:f>
        <x:v>75</x:v>
      </x:c>
      <x:c r="K729" s="20" t="n">
        <x:f>IF(=INDEX(Roster!$F$6:$F$108,MATCH(D729,Roster!$A$6:$A$108,0))="Yes",0,=INDEX(Inputs!$B$8:$D$8,1,MATCH(A729,Inputs!$B$6:$D$6,0))*IF(=INDEX(Roster!$B$6:$B$108,MATCH(D729,Roster!$A$6:$A$108,0))="Principal",INDEX(Inputs!$B$10:$D$10,1,MATCH(A729,Inputs!$B$6:$D$6,0)),IF(=INDEX(Roster!$B$6:$B$108,MATCH(D729,Roster!$A$6:$A$108,0))="Associate Principal",INDEX(Inputs!$B$11:$D$11,1,MATCH(A729,Inputs!$B$6:$D$6,0)),IF(=INDEX(Roster!$B$6:$B$108,MATCH(D729,Roster!$A$6:$A$108,0))="Assistant Principal",INDEX(Inputs!$B$12:$D$12,1,MATCH(A729,Inputs!$B$6:$D$6,0)),0))))</x:f>
        <x:v>0</x:v>
      </x:c>
      <x:c r="L729" s="20" t="n">
        <x:f>IF(INDEX(Roster!$D$6:$D$108,MATCH(D729,Roster!$A$6:$A$108,0))&gt;=25,INDEX(Inputs!$B$19:$D$19,1,MATCH(A729,Inputs!$B$6:$D$6,0)),IF(INDEX(Roster!$D$6:$D$108,MATCH(D729,Roster!$A$6:$A$108,0))&gt;=20,INDEX(Inputs!$B$18:$D$18,1,MATCH(A729,Inputs!$B$6:$D$6,0)),IF(INDEX(Roster!$D$6:$D$108,MATCH(D729,Roster!$A$6:$A$108,0))&gt;=15,INDEX(Inputs!$B$17:$D$17,1,MATCH(A729,Inputs!$B$6:$D$6,0)),IF(INDEX(Roster!$D$6:$D$108,MATCH(D729,Roster!$A$6:$A$108,0))&gt;=10,INDEX(Inputs!$B$16:$D$16,1,MATCH(A729,Inputs!$B$6:$D$6,0)),IF(INDEX(Roster!$D$6:$D$108,MATCH(D729,Roster!$A$6:$A$108,0))&gt;=5,INDEX(Inputs!$B$15:$D$15,1,MATCH(A729,Inputs!$B$6:$D$6,0)),0)))))</x:f>
        <x:v>90</x:v>
      </x:c>
      <x:c r="M729" s="20" t="n">
        <x:f>G729*I729</x:f>
        <x:v>31135</x:v>
      </x:c>
      <x:c r="N729" s="20" t="n">
        <x:f>G729*J729</x:f>
        <x:v>975</x:v>
      </x:c>
      <x:c r="O729" s="20" t="n">
        <x:f>G729*K729</x:f>
        <x:v>0</x:v>
      </x:c>
      <x:c r="P729" s="20" t="n">
        <x:f>G729*L729</x:f>
        <x:v>1170</x:v>
      </x:c>
      <x:c r="Q729" s="20" t="n">
        <x:f>H729*INDEX(Inputs!$B$13:$D$13,1,MATCH(A729,Inputs!$B$6:$D$6,0))</x:f>
        <x:v>0</x:v>
      </x:c>
      <x:c r="R729" s="20" t="n">
        <x:f>SUM(M729:Q729)</x:f>
        <x:v>33280</x:v>
      </x:c>
      <x:c r="S729" s="20" t="n">
        <x:f>IF(AND(A728=A729,D728=D729),S728+R729,R729)</x:f>
        <x:v>134290</x:v>
      </x:c>
      <x:c r="T729" s="20" t="n">
        <x:f>MIN(S729,INDEX(Inputs!$B$20:$D$20,1,MATCH(A729,Inputs!$B$6:$D$6,0)))*INDEX(Inputs!$B$22:$D$22,1,MATCH(A729,Inputs!$B$6:$D$6,0))+MAX(MIN(S729,INDEX(Inputs!$B$21:$D$21,1,MATCH(A729,Inputs!$B$6:$D$6,0)))-INDEX(Inputs!$B$20:$D$20,1,MATCH(A729,Inputs!$B$6:$D$6,0)),0)*INDEX(Inputs!$B$23:$D$23,1,MATCH(A729,Inputs!$B$6:$D$6,0))+MAX(S729-INDEX(Inputs!$B$21:$D$21,1,MATCH(A729,Inputs!$B$6:$D$6,0)),0)*INDEX(Inputs!$B$24:$D$24,1,MATCH(A729,Inputs!$B$6:$D$6,0))</x:f>
        <x:v>9861.146999999999</x:v>
      </x:c>
      <x:c r="U729" s="20" t="n">
        <x:f>IF(AND(A728=A729,D728=D729),T728,0)</x:f>
        <x:v>8217.265</x:v>
      </x:c>
      <x:c r="V729" s="20" t="n">
        <x:f>T729-U729</x:f>
        <x:v>1643.8819999999996</x:v>
      </x:c>
      <x:c r="W729" s="20" t="n">
        <x:f>R729+V729</x:f>
        <x:v>34923.882</x:v>
      </x:c>
      <x:c r="X729" s="14" t="str">
        <x:f>IF(ABS(W729-SUM(M729:Q729)-V729)&lt;0.01,"OK","Check")</x:f>
        <x:v>OK</x:v>
      </x:c>
    </x:row>
    <x:row r="730">
      <x:c r="A730" s="14" t="n">
        <x:v>2027</x:v>
      </x:c>
      <x:c r="B730" s="14" t="str">
        <x:v>Q1</x:v>
      </x:c>
      <x:c r="C730" s="14" t="n">
        <x:v>1</x:v>
      </x:c>
      <x:c r="D730" s="14" t="n">
        <x:v>79</x:v>
      </x:c>
      <x:c r="E730" s="14" t="str">
        <x:f>INDEX(Roster!$B$6:$B$108,MATCH(D730,Roster!$A$6:$A$108,0))</x:f>
      </x:c>
      <x:c r="F730" s="14" t="str">
        <x:f>INDEX(Roster!$F$6:$F$108,MATCH(D730,Roster!$A$6:$A$108,0))</x:f>
        <x:v>No</x:v>
      </x:c>
      <x:c r="G730" s="14" t="n">
        <x:f>INDEX(Inputs!$B$7:$D$7,1,MATCH(A730,Inputs!$B$6:$D$6,0))</x:f>
        <x:v>13</x:v>
      </x:c>
      <x:c r="H730" s="14" t="n">
        <x:f>MIN(=INDEX(Inputs!$B$7:$D$7,1,MATCH(A730,Inputs!$B$6:$D$6,0)),MAX(0,INDEX(Inputs!$B$14:$D$14,1,MATCH(A730,Inputs!$B$6:$D$6,0))-(C730-1)*=INDEX(Inputs!$B$7:$D$7,1,MATCH(A730,Inputs!$B$6:$D$6,0))))</x:f>
        <x:v>13</x:v>
      </x:c>
      <x:c r="I730" s="20" t="n">
        <x:f>INDEX(Inputs!$B$8:$D$8,1,MATCH(A730,Inputs!$B$6:$D$6,0))</x:f>
        <x:v>2395</x:v>
      </x:c>
      <x:c r="J730" s="20" t="n">
        <x:f>INDEX(Roster!$C$6:$C$108,MATCH(D730,Roster!$A$6:$A$108,0))*(1+INDEX(Inputs!$B$9:$D$9,1,MATCH(A730,Inputs!$B$6:$D$6,0)))</x:f>
        <x:v>20</x:v>
      </x:c>
      <x:c r="K730" s="20" t="n">
        <x:f>IF(=INDEX(Roster!$F$6:$F$108,MATCH(D730,Roster!$A$6:$A$108,0))="Yes",0,=INDEX(Inputs!$B$8:$D$8,1,MATCH(A730,Inputs!$B$6:$D$6,0))*IF(=INDEX(Roster!$B$6:$B$108,MATCH(D730,Roster!$A$6:$A$108,0))="Principal",INDEX(Inputs!$B$10:$D$10,1,MATCH(A730,Inputs!$B$6:$D$6,0)),IF(=INDEX(Roster!$B$6:$B$108,MATCH(D730,Roster!$A$6:$A$108,0))="Associate Principal",INDEX(Inputs!$B$11:$D$11,1,MATCH(A730,Inputs!$B$6:$D$6,0)),IF(=INDEX(Roster!$B$6:$B$108,MATCH(D730,Roster!$A$6:$A$108,0))="Assistant Principal",INDEX(Inputs!$B$12:$D$12,1,MATCH(A730,Inputs!$B$6:$D$6,0)),0))))</x:f>
        <x:v>0</x:v>
      </x:c>
      <x:c r="L730" s="20" t="n">
        <x:f>IF(INDEX(Roster!$D$6:$D$108,MATCH(D730,Roster!$A$6:$A$108,0))&gt;=25,INDEX(Inputs!$B$19:$D$19,1,MATCH(A730,Inputs!$B$6:$D$6,0)),IF(INDEX(Roster!$D$6:$D$108,MATCH(D730,Roster!$A$6:$A$108,0))&gt;=20,INDEX(Inputs!$B$18:$D$18,1,MATCH(A730,Inputs!$B$6:$D$6,0)),IF(INDEX(Roster!$D$6:$D$108,MATCH(D730,Roster!$A$6:$A$108,0))&gt;=15,INDEX(Inputs!$B$17:$D$17,1,MATCH(A730,Inputs!$B$6:$D$6,0)),IF(INDEX(Roster!$D$6:$D$108,MATCH(D730,Roster!$A$6:$A$108,0))&gt;=10,INDEX(Inputs!$B$16:$D$16,1,MATCH(A730,Inputs!$B$6:$D$6,0)),IF(INDEX(Roster!$D$6:$D$108,MATCH(D730,Roster!$A$6:$A$108,0))&gt;=5,INDEX(Inputs!$B$15:$D$15,1,MATCH(A730,Inputs!$B$6:$D$6,0)),0)))))</x:f>
        <x:v>50</x:v>
      </x:c>
      <x:c r="M730" s="20" t="n">
        <x:f>G730*I730</x:f>
        <x:v>31135</x:v>
      </x:c>
      <x:c r="N730" s="20" t="n">
        <x:f>G730*J730</x:f>
        <x:v>260</x:v>
      </x:c>
      <x:c r="O730" s="20" t="n">
        <x:f>G730*K730</x:f>
        <x:v>0</x:v>
      </x:c>
      <x:c r="P730" s="20" t="n">
        <x:f>G730*L730</x:f>
        <x:v>650</x:v>
      </x:c>
      <x:c r="Q730" s="20" t="n">
        <x:f>H730*INDEX(Inputs!$B$13:$D$13,1,MATCH(A730,Inputs!$B$6:$D$6,0))</x:f>
        <x:v>390</x:v>
      </x:c>
      <x:c r="R730" s="20" t="n">
        <x:f>SUM(M730:Q730)</x:f>
        <x:v>32435</x:v>
      </x:c>
      <x:c r="S730" s="20" t="n">
        <x:f>IF(AND(A729=A730,D729=D730),S729+R730,R730)</x:f>
        <x:v>32435</x:v>
      </x:c>
      <x:c r="T730" s="20" t="n">
        <x:f>MIN(S730,INDEX(Inputs!$B$20:$D$20,1,MATCH(A730,Inputs!$B$6:$D$6,0)))*INDEX(Inputs!$B$22:$D$22,1,MATCH(A730,Inputs!$B$6:$D$6,0))+MAX(MIN(S730,INDEX(Inputs!$B$21:$D$21,1,MATCH(A730,Inputs!$B$6:$D$6,0)))-INDEX(Inputs!$B$20:$D$20,1,MATCH(A730,Inputs!$B$6:$D$6,0)),0)*INDEX(Inputs!$B$23:$D$23,1,MATCH(A730,Inputs!$B$6:$D$6,0))+MAX(S730-INDEX(Inputs!$B$21:$D$21,1,MATCH(A730,Inputs!$B$6:$D$6,0)),0)*INDEX(Inputs!$B$24:$D$24,1,MATCH(A730,Inputs!$B$6:$D$6,0))</x:f>
        <x:v>2971.2775</x:v>
      </x:c>
      <x:c r="U730" s="20" t="n">
        <x:f>IF(AND(A729=A730,D729=D730),T729,0)</x:f>
        <x:v>0</x:v>
      </x:c>
      <x:c r="V730" s="20" t="n">
        <x:f>T730-U730</x:f>
        <x:v>2971.2775</x:v>
      </x:c>
      <x:c r="W730" s="20" t="n">
        <x:f>R730+V730</x:f>
        <x:v>35406.2775</x:v>
      </x:c>
      <x:c r="X730" s="14" t="str">
        <x:f>IF(ABS(W730-SUM(M730:Q730)-V730)&lt;0.01,"OK","Check")</x:f>
        <x:v>OK</x:v>
      </x:c>
    </x:row>
    <x:row r="731">
      <x:c r="A731" s="14" t="n">
        <x:v>2027</x:v>
      </x:c>
      <x:c r="B731" s="14" t="str">
        <x:v>Q2</x:v>
      </x:c>
      <x:c r="C731" s="14" t="n">
        <x:v>2</x:v>
      </x:c>
      <x:c r="D731" s="14" t="n">
        <x:v>79</x:v>
      </x:c>
      <x:c r="E731" s="14" t="str">
        <x:f>INDEX(Roster!$B$6:$B$108,MATCH(D731,Roster!$A$6:$A$108,0))</x:f>
      </x:c>
      <x:c r="F731" s="14" t="str">
        <x:f>INDEX(Roster!$F$6:$F$108,MATCH(D731,Roster!$A$6:$A$108,0))</x:f>
        <x:v>No</x:v>
      </x:c>
      <x:c r="G731" s="14" t="n">
        <x:f>INDEX(Inputs!$B$7:$D$7,1,MATCH(A731,Inputs!$B$6:$D$6,0))</x:f>
        <x:v>13</x:v>
      </x:c>
      <x:c r="H731" s="14" t="n">
        <x:f>MIN(=INDEX(Inputs!$B$7:$D$7,1,MATCH(A731,Inputs!$B$6:$D$6,0)),MAX(0,INDEX(Inputs!$B$14:$D$14,1,MATCH(A731,Inputs!$B$6:$D$6,0))-(C731-1)*=INDEX(Inputs!$B$7:$D$7,1,MATCH(A731,Inputs!$B$6:$D$6,0))))</x:f>
        <x:v>13</x:v>
      </x:c>
      <x:c r="I731" s="20" t="n">
        <x:f>INDEX(Inputs!$B$8:$D$8,1,MATCH(A731,Inputs!$B$6:$D$6,0))</x:f>
        <x:v>2395</x:v>
      </x:c>
      <x:c r="J731" s="20" t="n">
        <x:f>INDEX(Roster!$C$6:$C$108,MATCH(D731,Roster!$A$6:$A$108,0))*(1+INDEX(Inputs!$B$9:$D$9,1,MATCH(A731,Inputs!$B$6:$D$6,0)))</x:f>
        <x:v>20</x:v>
      </x:c>
      <x:c r="K731" s="20" t="n">
        <x:f>IF(=INDEX(Roster!$F$6:$F$108,MATCH(D731,Roster!$A$6:$A$108,0))="Yes",0,=INDEX(Inputs!$B$8:$D$8,1,MATCH(A731,Inputs!$B$6:$D$6,0))*IF(=INDEX(Roster!$B$6:$B$108,MATCH(D731,Roster!$A$6:$A$108,0))="Principal",INDEX(Inputs!$B$10:$D$10,1,MATCH(A731,Inputs!$B$6:$D$6,0)),IF(=INDEX(Roster!$B$6:$B$108,MATCH(D731,Roster!$A$6:$A$108,0))="Associate Principal",INDEX(Inputs!$B$11:$D$11,1,MATCH(A731,Inputs!$B$6:$D$6,0)),IF(=INDEX(Roster!$B$6:$B$108,MATCH(D731,Roster!$A$6:$A$108,0))="Assistant Principal",INDEX(Inputs!$B$12:$D$12,1,MATCH(A731,Inputs!$B$6:$D$6,0)),0))))</x:f>
        <x:v>0</x:v>
      </x:c>
      <x:c r="L731" s="20" t="n">
        <x:f>IF(INDEX(Roster!$D$6:$D$108,MATCH(D731,Roster!$A$6:$A$108,0))&gt;=25,INDEX(Inputs!$B$19:$D$19,1,MATCH(A731,Inputs!$B$6:$D$6,0)),IF(INDEX(Roster!$D$6:$D$108,MATCH(D731,Roster!$A$6:$A$108,0))&gt;=20,INDEX(Inputs!$B$18:$D$18,1,MATCH(A731,Inputs!$B$6:$D$6,0)),IF(INDEX(Roster!$D$6:$D$108,MATCH(D731,Roster!$A$6:$A$108,0))&gt;=15,INDEX(Inputs!$B$17:$D$17,1,MATCH(A731,Inputs!$B$6:$D$6,0)),IF(INDEX(Roster!$D$6:$D$108,MATCH(D731,Roster!$A$6:$A$108,0))&gt;=10,INDEX(Inputs!$B$16:$D$16,1,MATCH(A731,Inputs!$B$6:$D$6,0)),IF(INDEX(Roster!$D$6:$D$108,MATCH(D731,Roster!$A$6:$A$108,0))&gt;=5,INDEX(Inputs!$B$15:$D$15,1,MATCH(A731,Inputs!$B$6:$D$6,0)),0)))))</x:f>
        <x:v>50</x:v>
      </x:c>
      <x:c r="M731" s="20" t="n">
        <x:f>G731*I731</x:f>
        <x:v>31135</x:v>
      </x:c>
      <x:c r="N731" s="20" t="n">
        <x:f>G731*J731</x:f>
        <x:v>260</x:v>
      </x:c>
      <x:c r="O731" s="20" t="n">
        <x:f>G731*K731</x:f>
        <x:v>0</x:v>
      </x:c>
      <x:c r="P731" s="20" t="n">
        <x:f>G731*L731</x:f>
        <x:v>650</x:v>
      </x:c>
      <x:c r="Q731" s="20" t="n">
        <x:f>H731*INDEX(Inputs!$B$13:$D$13,1,MATCH(A731,Inputs!$B$6:$D$6,0))</x:f>
        <x:v>390</x:v>
      </x:c>
      <x:c r="R731" s="20" t="n">
        <x:f>SUM(M731:Q731)</x:f>
        <x:v>32435</x:v>
      </x:c>
      <x:c r="S731" s="20" t="n">
        <x:f>IF(AND(A730=A731,D730=D731),S730+R731,R731)</x:f>
        <x:v>64870</x:v>
      </x:c>
      <x:c r="T731" s="20" t="n">
        <x:f>MIN(S731,INDEX(Inputs!$B$20:$D$20,1,MATCH(A731,Inputs!$B$6:$D$6,0)))*INDEX(Inputs!$B$22:$D$22,1,MATCH(A731,Inputs!$B$6:$D$6,0))+MAX(MIN(S731,INDEX(Inputs!$B$21:$D$21,1,MATCH(A731,Inputs!$B$6:$D$6,0)))-INDEX(Inputs!$B$20:$D$20,1,MATCH(A731,Inputs!$B$6:$D$6,0)),0)*INDEX(Inputs!$B$23:$D$23,1,MATCH(A731,Inputs!$B$6:$D$6,0))+MAX(S731-INDEX(Inputs!$B$21:$D$21,1,MATCH(A731,Inputs!$B$6:$D$6,0)),0)*INDEX(Inputs!$B$24:$D$24,1,MATCH(A731,Inputs!$B$6:$D$6,0))</x:f>
        <x:v>5452.555</x:v>
      </x:c>
      <x:c r="U731" s="20" t="n">
        <x:f>IF(AND(A730=A731,D730=D731),T730,0)</x:f>
        <x:v>2971.2775</x:v>
      </x:c>
      <x:c r="V731" s="20" t="n">
        <x:f>T731-U731</x:f>
        <x:v>2481.2775</x:v>
      </x:c>
      <x:c r="W731" s="20" t="n">
        <x:f>R731+V731</x:f>
        <x:v>34916.2775</x:v>
      </x:c>
      <x:c r="X731" s="14" t="str">
        <x:f>IF(ABS(W731-SUM(M731:Q731)-V731)&lt;0.01,"OK","Check")</x:f>
        <x:v>OK</x:v>
      </x:c>
    </x:row>
    <x:row r="732">
      <x:c r="A732" s="14" t="n">
        <x:v>2027</x:v>
      </x:c>
      <x:c r="B732" s="14" t="str">
        <x:v>Q3</x:v>
      </x:c>
      <x:c r="C732" s="14" t="n">
        <x:v>3</x:v>
      </x:c>
      <x:c r="D732" s="14" t="n">
        <x:v>79</x:v>
      </x:c>
      <x:c r="E732" s="14" t="str">
        <x:f>INDEX(Roster!$B$6:$B$108,MATCH(D732,Roster!$A$6:$A$108,0))</x:f>
      </x:c>
      <x:c r="F732" s="14" t="str">
        <x:f>INDEX(Roster!$F$6:$F$108,MATCH(D732,Roster!$A$6:$A$108,0))</x:f>
        <x:v>No</x:v>
      </x:c>
      <x:c r="G732" s="14" t="n">
        <x:f>INDEX(Inputs!$B$7:$D$7,1,MATCH(A732,Inputs!$B$6:$D$6,0))</x:f>
        <x:v>13</x:v>
      </x:c>
      <x:c r="H732" s="14" t="n">
        <x:f>MIN(=INDEX(Inputs!$B$7:$D$7,1,MATCH(A732,Inputs!$B$6:$D$6,0)),MAX(0,INDEX(Inputs!$B$14:$D$14,1,MATCH(A732,Inputs!$B$6:$D$6,0))-(C732-1)*=INDEX(Inputs!$B$7:$D$7,1,MATCH(A732,Inputs!$B$6:$D$6,0))))</x:f>
        <x:v>13</x:v>
      </x:c>
      <x:c r="I732" s="20" t="n">
        <x:f>INDEX(Inputs!$B$8:$D$8,1,MATCH(A732,Inputs!$B$6:$D$6,0))</x:f>
        <x:v>2395</x:v>
      </x:c>
      <x:c r="J732" s="20" t="n">
        <x:f>INDEX(Roster!$C$6:$C$108,MATCH(D732,Roster!$A$6:$A$108,0))*(1+INDEX(Inputs!$B$9:$D$9,1,MATCH(A732,Inputs!$B$6:$D$6,0)))</x:f>
        <x:v>20</x:v>
      </x:c>
      <x:c r="K732" s="20" t="n">
        <x:f>IF(=INDEX(Roster!$F$6:$F$108,MATCH(D732,Roster!$A$6:$A$108,0))="Yes",0,=INDEX(Inputs!$B$8:$D$8,1,MATCH(A732,Inputs!$B$6:$D$6,0))*IF(=INDEX(Roster!$B$6:$B$108,MATCH(D732,Roster!$A$6:$A$108,0))="Principal",INDEX(Inputs!$B$10:$D$10,1,MATCH(A732,Inputs!$B$6:$D$6,0)),IF(=INDEX(Roster!$B$6:$B$108,MATCH(D732,Roster!$A$6:$A$108,0))="Associate Principal",INDEX(Inputs!$B$11:$D$11,1,MATCH(A732,Inputs!$B$6:$D$6,0)),IF(=INDEX(Roster!$B$6:$B$108,MATCH(D732,Roster!$A$6:$A$108,0))="Assistant Principal",INDEX(Inputs!$B$12:$D$12,1,MATCH(A732,Inputs!$B$6:$D$6,0)),0))))</x:f>
        <x:v>0</x:v>
      </x:c>
      <x:c r="L732" s="20" t="n">
        <x:f>IF(INDEX(Roster!$D$6:$D$108,MATCH(D732,Roster!$A$6:$A$108,0))&gt;=25,INDEX(Inputs!$B$19:$D$19,1,MATCH(A732,Inputs!$B$6:$D$6,0)),IF(INDEX(Roster!$D$6:$D$108,MATCH(D732,Roster!$A$6:$A$108,0))&gt;=20,INDEX(Inputs!$B$18:$D$18,1,MATCH(A732,Inputs!$B$6:$D$6,0)),IF(INDEX(Roster!$D$6:$D$108,MATCH(D732,Roster!$A$6:$A$108,0))&gt;=15,INDEX(Inputs!$B$17:$D$17,1,MATCH(A732,Inputs!$B$6:$D$6,0)),IF(INDEX(Roster!$D$6:$D$108,MATCH(D732,Roster!$A$6:$A$108,0))&gt;=10,INDEX(Inputs!$B$16:$D$16,1,MATCH(A732,Inputs!$B$6:$D$6,0)),IF(INDEX(Roster!$D$6:$D$108,MATCH(D732,Roster!$A$6:$A$108,0))&gt;=5,INDEX(Inputs!$B$15:$D$15,1,MATCH(A732,Inputs!$B$6:$D$6,0)),0)))))</x:f>
        <x:v>50</x:v>
      </x:c>
      <x:c r="M732" s="20" t="n">
        <x:f>G732*I732</x:f>
        <x:v>31135</x:v>
      </x:c>
      <x:c r="N732" s="20" t="n">
        <x:f>G732*J732</x:f>
        <x:v>260</x:v>
      </x:c>
      <x:c r="O732" s="20" t="n">
        <x:f>G732*K732</x:f>
        <x:v>0</x:v>
      </x:c>
      <x:c r="P732" s="20" t="n">
        <x:f>G732*L732</x:f>
        <x:v>650</x:v>
      </x:c>
      <x:c r="Q732" s="20" t="n">
        <x:f>H732*INDEX(Inputs!$B$13:$D$13,1,MATCH(A732,Inputs!$B$6:$D$6,0))</x:f>
        <x:v>390</x:v>
      </x:c>
      <x:c r="R732" s="20" t="n">
        <x:f>SUM(M732:Q732)</x:f>
        <x:v>32435</x:v>
      </x:c>
      <x:c r="S732" s="20" t="n">
        <x:f>IF(AND(A731=A732,D731=D732),S731+R732,R732)</x:f>
        <x:v>97305</x:v>
      </x:c>
      <x:c r="T732" s="20" t="n">
        <x:f>MIN(S732,INDEX(Inputs!$B$20:$D$20,1,MATCH(A732,Inputs!$B$6:$D$6,0)))*INDEX(Inputs!$B$22:$D$22,1,MATCH(A732,Inputs!$B$6:$D$6,0))+MAX(MIN(S732,INDEX(Inputs!$B$21:$D$21,1,MATCH(A732,Inputs!$B$6:$D$6,0)))-INDEX(Inputs!$B$20:$D$20,1,MATCH(A732,Inputs!$B$6:$D$6,0)),0)*INDEX(Inputs!$B$23:$D$23,1,MATCH(A732,Inputs!$B$6:$D$6,0))+MAX(S732-INDEX(Inputs!$B$21:$D$21,1,MATCH(A732,Inputs!$B$6:$D$6,0)),0)*INDEX(Inputs!$B$24:$D$24,1,MATCH(A732,Inputs!$B$6:$D$6,0))</x:f>
        <x:v>7933.8324999999995</x:v>
      </x:c>
      <x:c r="U732" s="20" t="n">
        <x:f>IF(AND(A731=A732,D731=D732),T731,0)</x:f>
        <x:v>5452.555</x:v>
      </x:c>
      <x:c r="V732" s="20" t="n">
        <x:f>T732-U732</x:f>
        <x:v>2481.2774999999992</x:v>
      </x:c>
      <x:c r="W732" s="20" t="n">
        <x:f>R732+V732</x:f>
        <x:v>34916.2775</x:v>
      </x:c>
      <x:c r="X732" s="14" t="str">
        <x:f>IF(ABS(W732-SUM(M732:Q732)-V732)&lt;0.01,"OK","Check")</x:f>
        <x:v>OK</x:v>
      </x:c>
    </x:row>
    <x:row r="733">
      <x:c r="A733" s="14" t="n">
        <x:v>2027</x:v>
      </x:c>
      <x:c r="B733" s="14" t="str">
        <x:v>Q4</x:v>
      </x:c>
      <x:c r="C733" s="14" t="n">
        <x:v>4</x:v>
      </x:c>
      <x:c r="D733" s="14" t="n">
        <x:v>79</x:v>
      </x:c>
      <x:c r="E733" s="14" t="str">
        <x:f>INDEX(Roster!$B$6:$B$108,MATCH(D733,Roster!$A$6:$A$108,0))</x:f>
      </x:c>
      <x:c r="F733" s="14" t="str">
        <x:f>INDEX(Roster!$F$6:$F$108,MATCH(D733,Roster!$A$6:$A$108,0))</x:f>
        <x:v>No</x:v>
      </x:c>
      <x:c r="G733" s="14" t="n">
        <x:f>INDEX(Inputs!$B$7:$D$7,1,MATCH(A733,Inputs!$B$6:$D$6,0))</x:f>
        <x:v>13</x:v>
      </x:c>
      <x:c r="H733" s="14" t="n">
        <x:f>MIN(=INDEX(Inputs!$B$7:$D$7,1,MATCH(A733,Inputs!$B$6:$D$6,0)),MAX(0,INDEX(Inputs!$B$14:$D$14,1,MATCH(A733,Inputs!$B$6:$D$6,0))-(C733-1)*=INDEX(Inputs!$B$7:$D$7,1,MATCH(A733,Inputs!$B$6:$D$6,0))))</x:f>
        <x:v>0</x:v>
      </x:c>
      <x:c r="I733" s="20" t="n">
        <x:f>INDEX(Inputs!$B$8:$D$8,1,MATCH(A733,Inputs!$B$6:$D$6,0))</x:f>
        <x:v>2395</x:v>
      </x:c>
      <x:c r="J733" s="20" t="n">
        <x:f>INDEX(Roster!$C$6:$C$108,MATCH(D733,Roster!$A$6:$A$108,0))*(1+INDEX(Inputs!$B$9:$D$9,1,MATCH(A733,Inputs!$B$6:$D$6,0)))</x:f>
        <x:v>20</x:v>
      </x:c>
      <x:c r="K733" s="20" t="n">
        <x:f>IF(=INDEX(Roster!$F$6:$F$108,MATCH(D733,Roster!$A$6:$A$108,0))="Yes",0,=INDEX(Inputs!$B$8:$D$8,1,MATCH(A733,Inputs!$B$6:$D$6,0))*IF(=INDEX(Roster!$B$6:$B$108,MATCH(D733,Roster!$A$6:$A$108,0))="Principal",INDEX(Inputs!$B$10:$D$10,1,MATCH(A733,Inputs!$B$6:$D$6,0)),IF(=INDEX(Roster!$B$6:$B$108,MATCH(D733,Roster!$A$6:$A$108,0))="Associate Principal",INDEX(Inputs!$B$11:$D$11,1,MATCH(A733,Inputs!$B$6:$D$6,0)),IF(=INDEX(Roster!$B$6:$B$108,MATCH(D733,Roster!$A$6:$A$108,0))="Assistant Principal",INDEX(Inputs!$B$12:$D$12,1,MATCH(A733,Inputs!$B$6:$D$6,0)),0))))</x:f>
        <x:v>0</x:v>
      </x:c>
      <x:c r="L733" s="20" t="n">
        <x:f>IF(INDEX(Roster!$D$6:$D$108,MATCH(D733,Roster!$A$6:$A$108,0))&gt;=25,INDEX(Inputs!$B$19:$D$19,1,MATCH(A733,Inputs!$B$6:$D$6,0)),IF(INDEX(Roster!$D$6:$D$108,MATCH(D733,Roster!$A$6:$A$108,0))&gt;=20,INDEX(Inputs!$B$18:$D$18,1,MATCH(A733,Inputs!$B$6:$D$6,0)),IF(INDEX(Roster!$D$6:$D$108,MATCH(D733,Roster!$A$6:$A$108,0))&gt;=15,INDEX(Inputs!$B$17:$D$17,1,MATCH(A733,Inputs!$B$6:$D$6,0)),IF(INDEX(Roster!$D$6:$D$108,MATCH(D733,Roster!$A$6:$A$108,0))&gt;=10,INDEX(Inputs!$B$16:$D$16,1,MATCH(A733,Inputs!$B$6:$D$6,0)),IF(INDEX(Roster!$D$6:$D$108,MATCH(D733,Roster!$A$6:$A$108,0))&gt;=5,INDEX(Inputs!$B$15:$D$15,1,MATCH(A733,Inputs!$B$6:$D$6,0)),0)))))</x:f>
        <x:v>50</x:v>
      </x:c>
      <x:c r="M733" s="20" t="n">
        <x:f>G733*I733</x:f>
        <x:v>31135</x:v>
      </x:c>
      <x:c r="N733" s="20" t="n">
        <x:f>G733*J733</x:f>
        <x:v>260</x:v>
      </x:c>
      <x:c r="O733" s="20" t="n">
        <x:f>G733*K733</x:f>
        <x:v>0</x:v>
      </x:c>
      <x:c r="P733" s="20" t="n">
        <x:f>G733*L733</x:f>
        <x:v>650</x:v>
      </x:c>
      <x:c r="Q733" s="20" t="n">
        <x:f>H733*INDEX(Inputs!$B$13:$D$13,1,MATCH(A733,Inputs!$B$6:$D$6,0))</x:f>
        <x:v>0</x:v>
      </x:c>
      <x:c r="R733" s="20" t="n">
        <x:f>SUM(M733:Q733)</x:f>
        <x:v>32045</x:v>
      </x:c>
      <x:c r="S733" s="20" t="n">
        <x:f>IF(AND(A732=A733,D732=D733),S732+R733,R733)</x:f>
        <x:v>129350</x:v>
      </x:c>
      <x:c r="T733" s="20" t="n">
        <x:f>MIN(S733,INDEX(Inputs!$B$20:$D$20,1,MATCH(A733,Inputs!$B$6:$D$6,0)))*INDEX(Inputs!$B$22:$D$22,1,MATCH(A733,Inputs!$B$6:$D$6,0))+MAX(MIN(S733,INDEX(Inputs!$B$21:$D$21,1,MATCH(A733,Inputs!$B$6:$D$6,0)))-INDEX(Inputs!$B$20:$D$20,1,MATCH(A733,Inputs!$B$6:$D$6,0)),0)*INDEX(Inputs!$B$23:$D$23,1,MATCH(A733,Inputs!$B$6:$D$6,0))+MAX(S733-INDEX(Inputs!$B$21:$D$21,1,MATCH(A733,Inputs!$B$6:$D$6,0)),0)*INDEX(Inputs!$B$24:$D$24,1,MATCH(A733,Inputs!$B$6:$D$6,0))</x:f>
        <x:v>9789.517</x:v>
      </x:c>
      <x:c r="U733" s="20" t="n">
        <x:f>IF(AND(A732=A733,D732=D733),T732,0)</x:f>
        <x:v>7933.8324999999995</x:v>
      </x:c>
      <x:c r="V733" s="20" t="n">
        <x:f>T733-U733</x:f>
        <x:v>1855.6845000000003</x:v>
      </x:c>
      <x:c r="W733" s="20" t="n">
        <x:f>R733+V733</x:f>
        <x:v>33900.6845</x:v>
      </x:c>
      <x:c r="X733" s="14" t="str">
        <x:f>IF(ABS(W733-SUM(M733:Q733)-V733)&lt;0.01,"OK","Check")</x:f>
        <x:v>OK</x:v>
      </x:c>
    </x:row>
    <x:row r="734">
      <x:c r="A734" s="14" t="n">
        <x:v>2027</x:v>
      </x:c>
      <x:c r="B734" s="14" t="str">
        <x:v>Q1</x:v>
      </x:c>
      <x:c r="C734" s="14" t="n">
        <x:v>1</x:v>
      </x:c>
      <x:c r="D734" s="14" t="n">
        <x:v>80</x:v>
      </x:c>
      <x:c r="E734" s="14" t="str">
        <x:f>INDEX(Roster!$B$6:$B$108,MATCH(D734,Roster!$A$6:$A$108,0))</x:f>
      </x:c>
      <x:c r="F734" s="14" t="str">
        <x:f>INDEX(Roster!$F$6:$F$108,MATCH(D734,Roster!$A$6:$A$108,0))</x:f>
        <x:v>No</x:v>
      </x:c>
      <x:c r="G734" s="14" t="n">
        <x:f>INDEX(Inputs!$B$7:$D$7,1,MATCH(A734,Inputs!$B$6:$D$6,0))</x:f>
        <x:v>13</x:v>
      </x:c>
      <x:c r="H734" s="14" t="n">
        <x:f>MIN(=INDEX(Inputs!$B$7:$D$7,1,MATCH(A734,Inputs!$B$6:$D$6,0)),MAX(0,INDEX(Inputs!$B$14:$D$14,1,MATCH(A734,Inputs!$B$6:$D$6,0))-(C734-1)*=INDEX(Inputs!$B$7:$D$7,1,MATCH(A734,Inputs!$B$6:$D$6,0))))</x:f>
        <x:v>13</x:v>
      </x:c>
      <x:c r="I734" s="20" t="n">
        <x:f>INDEX(Inputs!$B$8:$D$8,1,MATCH(A734,Inputs!$B$6:$D$6,0))</x:f>
        <x:v>2395</x:v>
      </x:c>
      <x:c r="J734" s="20" t="n">
        <x:f>INDEX(Roster!$C$6:$C$108,MATCH(D734,Roster!$A$6:$A$108,0))*(1+INDEX(Inputs!$B$9:$D$9,1,MATCH(A734,Inputs!$B$6:$D$6,0)))</x:f>
        <x:v>60</x:v>
      </x:c>
      <x:c r="K734" s="20" t="n">
        <x:f>IF(=INDEX(Roster!$F$6:$F$108,MATCH(D734,Roster!$A$6:$A$108,0))="Yes",0,=INDEX(Inputs!$B$8:$D$8,1,MATCH(A734,Inputs!$B$6:$D$6,0))*IF(=INDEX(Roster!$B$6:$B$108,MATCH(D734,Roster!$A$6:$A$108,0))="Principal",INDEX(Inputs!$B$10:$D$10,1,MATCH(A734,Inputs!$B$6:$D$6,0)),IF(=INDEX(Roster!$B$6:$B$108,MATCH(D734,Roster!$A$6:$A$108,0))="Associate Principal",INDEX(Inputs!$B$11:$D$11,1,MATCH(A734,Inputs!$B$6:$D$6,0)),IF(=INDEX(Roster!$B$6:$B$108,MATCH(D734,Roster!$A$6:$A$108,0))="Assistant Principal",INDEX(Inputs!$B$12:$D$12,1,MATCH(A734,Inputs!$B$6:$D$6,0)),0))))</x:f>
        <x:v>0</x:v>
      </x:c>
      <x:c r="L734" s="20" t="n">
        <x:f>IF(INDEX(Roster!$D$6:$D$108,MATCH(D734,Roster!$A$6:$A$108,0))&gt;=25,INDEX(Inputs!$B$19:$D$19,1,MATCH(A734,Inputs!$B$6:$D$6,0)),IF(INDEX(Roster!$D$6:$D$108,MATCH(D734,Roster!$A$6:$A$108,0))&gt;=20,INDEX(Inputs!$B$18:$D$18,1,MATCH(A734,Inputs!$B$6:$D$6,0)),IF(INDEX(Roster!$D$6:$D$108,MATCH(D734,Roster!$A$6:$A$108,0))&gt;=15,INDEX(Inputs!$B$17:$D$17,1,MATCH(A734,Inputs!$B$6:$D$6,0)),IF(INDEX(Roster!$D$6:$D$108,MATCH(D734,Roster!$A$6:$A$108,0))&gt;=10,INDEX(Inputs!$B$16:$D$16,1,MATCH(A734,Inputs!$B$6:$D$6,0)),IF(INDEX(Roster!$D$6:$D$108,MATCH(D734,Roster!$A$6:$A$108,0))&gt;=5,INDEX(Inputs!$B$15:$D$15,1,MATCH(A734,Inputs!$B$6:$D$6,0)),0)))))</x:f>
        <x:v>90</x:v>
      </x:c>
      <x:c r="M734" s="20" t="n">
        <x:f>G734*I734</x:f>
        <x:v>31135</x:v>
      </x:c>
      <x:c r="N734" s="20" t="n">
        <x:f>G734*J734</x:f>
        <x:v>780</x:v>
      </x:c>
      <x:c r="O734" s="20" t="n">
        <x:f>G734*K734</x:f>
        <x:v>0</x:v>
      </x:c>
      <x:c r="P734" s="20" t="n">
        <x:f>G734*L734</x:f>
        <x:v>1170</x:v>
      </x:c>
      <x:c r="Q734" s="20" t="n">
        <x:f>H734*INDEX(Inputs!$B$13:$D$13,1,MATCH(A734,Inputs!$B$6:$D$6,0))</x:f>
        <x:v>390</x:v>
      </x:c>
      <x:c r="R734" s="20" t="n">
        <x:f>SUM(M734:Q734)</x:f>
        <x:v>33475</x:v>
      </x:c>
      <x:c r="S734" s="20" t="n">
        <x:f>IF(AND(A733=A734,D733=D734),S733+R734,R734)</x:f>
        <x:v>33475</x:v>
      </x:c>
      <x:c r="T734" s="20" t="n">
        <x:f>MIN(S734,INDEX(Inputs!$B$20:$D$20,1,MATCH(A734,Inputs!$B$6:$D$6,0)))*INDEX(Inputs!$B$22:$D$22,1,MATCH(A734,Inputs!$B$6:$D$6,0))+MAX(MIN(S734,INDEX(Inputs!$B$21:$D$21,1,MATCH(A734,Inputs!$B$6:$D$6,0)))-INDEX(Inputs!$B$20:$D$20,1,MATCH(A734,Inputs!$B$6:$D$6,0)),0)*INDEX(Inputs!$B$23:$D$23,1,MATCH(A734,Inputs!$B$6:$D$6,0))+MAX(S734-INDEX(Inputs!$B$21:$D$21,1,MATCH(A734,Inputs!$B$6:$D$6,0)),0)*INDEX(Inputs!$B$24:$D$24,1,MATCH(A734,Inputs!$B$6:$D$6,0))</x:f>
        <x:v>3050.8374999999996</x:v>
      </x:c>
      <x:c r="U734" s="20" t="n">
        <x:f>IF(AND(A733=A734,D733=D734),T733,0)</x:f>
        <x:v>0</x:v>
      </x:c>
      <x:c r="V734" s="20" t="n">
        <x:f>T734-U734</x:f>
        <x:v>3050.8374999999996</x:v>
      </x:c>
      <x:c r="W734" s="20" t="n">
        <x:f>R734+V734</x:f>
        <x:v>36525.8375</x:v>
      </x:c>
      <x:c r="X734" s="14" t="str">
        <x:f>IF(ABS(W734-SUM(M734:Q734)-V734)&lt;0.01,"OK","Check")</x:f>
        <x:v>OK</x:v>
      </x:c>
    </x:row>
    <x:row r="735">
      <x:c r="A735" s="14" t="n">
        <x:v>2027</x:v>
      </x:c>
      <x:c r="B735" s="14" t="str">
        <x:v>Q2</x:v>
      </x:c>
      <x:c r="C735" s="14" t="n">
        <x:v>2</x:v>
      </x:c>
      <x:c r="D735" s="14" t="n">
        <x:v>80</x:v>
      </x:c>
      <x:c r="E735" s="14" t="str">
        <x:f>INDEX(Roster!$B$6:$B$108,MATCH(D735,Roster!$A$6:$A$108,0))</x:f>
      </x:c>
      <x:c r="F735" s="14" t="str">
        <x:f>INDEX(Roster!$F$6:$F$108,MATCH(D735,Roster!$A$6:$A$108,0))</x:f>
        <x:v>No</x:v>
      </x:c>
      <x:c r="G735" s="14" t="n">
        <x:f>INDEX(Inputs!$B$7:$D$7,1,MATCH(A735,Inputs!$B$6:$D$6,0))</x:f>
        <x:v>13</x:v>
      </x:c>
      <x:c r="H735" s="14" t="n">
        <x:f>MIN(=INDEX(Inputs!$B$7:$D$7,1,MATCH(A735,Inputs!$B$6:$D$6,0)),MAX(0,INDEX(Inputs!$B$14:$D$14,1,MATCH(A735,Inputs!$B$6:$D$6,0))-(C735-1)*=INDEX(Inputs!$B$7:$D$7,1,MATCH(A735,Inputs!$B$6:$D$6,0))))</x:f>
        <x:v>13</x:v>
      </x:c>
      <x:c r="I735" s="20" t="n">
        <x:f>INDEX(Inputs!$B$8:$D$8,1,MATCH(A735,Inputs!$B$6:$D$6,0))</x:f>
        <x:v>2395</x:v>
      </x:c>
      <x:c r="J735" s="20" t="n">
        <x:f>INDEX(Roster!$C$6:$C$108,MATCH(D735,Roster!$A$6:$A$108,0))*(1+INDEX(Inputs!$B$9:$D$9,1,MATCH(A735,Inputs!$B$6:$D$6,0)))</x:f>
        <x:v>60</x:v>
      </x:c>
      <x:c r="K735" s="20" t="n">
        <x:f>IF(=INDEX(Roster!$F$6:$F$108,MATCH(D735,Roster!$A$6:$A$108,0))="Yes",0,=INDEX(Inputs!$B$8:$D$8,1,MATCH(A735,Inputs!$B$6:$D$6,0))*IF(=INDEX(Roster!$B$6:$B$108,MATCH(D735,Roster!$A$6:$A$108,0))="Principal",INDEX(Inputs!$B$10:$D$10,1,MATCH(A735,Inputs!$B$6:$D$6,0)),IF(=INDEX(Roster!$B$6:$B$108,MATCH(D735,Roster!$A$6:$A$108,0))="Associate Principal",INDEX(Inputs!$B$11:$D$11,1,MATCH(A735,Inputs!$B$6:$D$6,0)),IF(=INDEX(Roster!$B$6:$B$108,MATCH(D735,Roster!$A$6:$A$108,0))="Assistant Principal",INDEX(Inputs!$B$12:$D$12,1,MATCH(A735,Inputs!$B$6:$D$6,0)),0))))</x:f>
        <x:v>0</x:v>
      </x:c>
      <x:c r="L735" s="20" t="n">
        <x:f>IF(INDEX(Roster!$D$6:$D$108,MATCH(D735,Roster!$A$6:$A$108,0))&gt;=25,INDEX(Inputs!$B$19:$D$19,1,MATCH(A735,Inputs!$B$6:$D$6,0)),IF(INDEX(Roster!$D$6:$D$108,MATCH(D735,Roster!$A$6:$A$108,0))&gt;=20,INDEX(Inputs!$B$18:$D$18,1,MATCH(A735,Inputs!$B$6:$D$6,0)),IF(INDEX(Roster!$D$6:$D$108,MATCH(D735,Roster!$A$6:$A$108,0))&gt;=15,INDEX(Inputs!$B$17:$D$17,1,MATCH(A735,Inputs!$B$6:$D$6,0)),IF(INDEX(Roster!$D$6:$D$108,MATCH(D735,Roster!$A$6:$A$108,0))&gt;=10,INDEX(Inputs!$B$16:$D$16,1,MATCH(A735,Inputs!$B$6:$D$6,0)),IF(INDEX(Roster!$D$6:$D$108,MATCH(D735,Roster!$A$6:$A$108,0))&gt;=5,INDEX(Inputs!$B$15:$D$15,1,MATCH(A735,Inputs!$B$6:$D$6,0)),0)))))</x:f>
        <x:v>90</x:v>
      </x:c>
      <x:c r="M735" s="20" t="n">
        <x:f>G735*I735</x:f>
        <x:v>31135</x:v>
      </x:c>
      <x:c r="N735" s="20" t="n">
        <x:f>G735*J735</x:f>
        <x:v>780</x:v>
      </x:c>
      <x:c r="O735" s="20" t="n">
        <x:f>G735*K735</x:f>
        <x:v>0</x:v>
      </x:c>
      <x:c r="P735" s="20" t="n">
        <x:f>G735*L735</x:f>
        <x:v>1170</x:v>
      </x:c>
      <x:c r="Q735" s="20" t="n">
        <x:f>H735*INDEX(Inputs!$B$13:$D$13,1,MATCH(A735,Inputs!$B$6:$D$6,0))</x:f>
        <x:v>390</x:v>
      </x:c>
      <x:c r="R735" s="20" t="n">
        <x:f>SUM(M735:Q735)</x:f>
        <x:v>33475</x:v>
      </x:c>
      <x:c r="S735" s="20" t="n">
        <x:f>IF(AND(A734=A735,D734=D735),S734+R735,R735)</x:f>
        <x:v>66950</x:v>
      </x:c>
      <x:c r="T735" s="20" t="n">
        <x:f>MIN(S735,INDEX(Inputs!$B$20:$D$20,1,MATCH(A735,Inputs!$B$6:$D$6,0)))*INDEX(Inputs!$B$22:$D$22,1,MATCH(A735,Inputs!$B$6:$D$6,0))+MAX(MIN(S735,INDEX(Inputs!$B$21:$D$21,1,MATCH(A735,Inputs!$B$6:$D$6,0)))-INDEX(Inputs!$B$20:$D$20,1,MATCH(A735,Inputs!$B$6:$D$6,0)),0)*INDEX(Inputs!$B$23:$D$23,1,MATCH(A735,Inputs!$B$6:$D$6,0))+MAX(S735-INDEX(Inputs!$B$21:$D$21,1,MATCH(A735,Inputs!$B$6:$D$6,0)),0)*INDEX(Inputs!$B$24:$D$24,1,MATCH(A735,Inputs!$B$6:$D$6,0))</x:f>
        <x:v>5611.675</x:v>
      </x:c>
      <x:c r="U735" s="20" t="n">
        <x:f>IF(AND(A734=A735,D734=D735),T734,0)</x:f>
        <x:v>3050.8374999999996</x:v>
      </x:c>
      <x:c r="V735" s="20" t="n">
        <x:f>T735-U735</x:f>
        <x:v>2560.8375000000005</x:v>
      </x:c>
      <x:c r="W735" s="20" t="n">
        <x:f>R735+V735</x:f>
        <x:v>36035.8375</x:v>
      </x:c>
      <x:c r="X735" s="14" t="str">
        <x:f>IF(ABS(W735-SUM(M735:Q735)-V735)&lt;0.01,"OK","Check")</x:f>
        <x:v>OK</x:v>
      </x:c>
    </x:row>
    <x:row r="736">
      <x:c r="A736" s="14" t="n">
        <x:v>2027</x:v>
      </x:c>
      <x:c r="B736" s="14" t="str">
        <x:v>Q3</x:v>
      </x:c>
      <x:c r="C736" s="14" t="n">
        <x:v>3</x:v>
      </x:c>
      <x:c r="D736" s="14" t="n">
        <x:v>80</x:v>
      </x:c>
      <x:c r="E736" s="14" t="str">
        <x:f>INDEX(Roster!$B$6:$B$108,MATCH(D736,Roster!$A$6:$A$108,0))</x:f>
      </x:c>
      <x:c r="F736" s="14" t="str">
        <x:f>INDEX(Roster!$F$6:$F$108,MATCH(D736,Roster!$A$6:$A$108,0))</x:f>
        <x:v>No</x:v>
      </x:c>
      <x:c r="G736" s="14" t="n">
        <x:f>INDEX(Inputs!$B$7:$D$7,1,MATCH(A736,Inputs!$B$6:$D$6,0))</x:f>
        <x:v>13</x:v>
      </x:c>
      <x:c r="H736" s="14" t="n">
        <x:f>MIN(=INDEX(Inputs!$B$7:$D$7,1,MATCH(A736,Inputs!$B$6:$D$6,0)),MAX(0,INDEX(Inputs!$B$14:$D$14,1,MATCH(A736,Inputs!$B$6:$D$6,0))-(C736-1)*=INDEX(Inputs!$B$7:$D$7,1,MATCH(A736,Inputs!$B$6:$D$6,0))))</x:f>
        <x:v>13</x:v>
      </x:c>
      <x:c r="I736" s="20" t="n">
        <x:f>INDEX(Inputs!$B$8:$D$8,1,MATCH(A736,Inputs!$B$6:$D$6,0))</x:f>
        <x:v>2395</x:v>
      </x:c>
      <x:c r="J736" s="20" t="n">
        <x:f>INDEX(Roster!$C$6:$C$108,MATCH(D736,Roster!$A$6:$A$108,0))*(1+INDEX(Inputs!$B$9:$D$9,1,MATCH(A736,Inputs!$B$6:$D$6,0)))</x:f>
        <x:v>60</x:v>
      </x:c>
      <x:c r="K736" s="20" t="n">
        <x:f>IF(=INDEX(Roster!$F$6:$F$108,MATCH(D736,Roster!$A$6:$A$108,0))="Yes",0,=INDEX(Inputs!$B$8:$D$8,1,MATCH(A736,Inputs!$B$6:$D$6,0))*IF(=INDEX(Roster!$B$6:$B$108,MATCH(D736,Roster!$A$6:$A$108,0))="Principal",INDEX(Inputs!$B$10:$D$10,1,MATCH(A736,Inputs!$B$6:$D$6,0)),IF(=INDEX(Roster!$B$6:$B$108,MATCH(D736,Roster!$A$6:$A$108,0))="Associate Principal",INDEX(Inputs!$B$11:$D$11,1,MATCH(A736,Inputs!$B$6:$D$6,0)),IF(=INDEX(Roster!$B$6:$B$108,MATCH(D736,Roster!$A$6:$A$108,0))="Assistant Principal",INDEX(Inputs!$B$12:$D$12,1,MATCH(A736,Inputs!$B$6:$D$6,0)),0))))</x:f>
        <x:v>0</x:v>
      </x:c>
      <x:c r="L736" s="20" t="n">
        <x:f>IF(INDEX(Roster!$D$6:$D$108,MATCH(D736,Roster!$A$6:$A$108,0))&gt;=25,INDEX(Inputs!$B$19:$D$19,1,MATCH(A736,Inputs!$B$6:$D$6,0)),IF(INDEX(Roster!$D$6:$D$108,MATCH(D736,Roster!$A$6:$A$108,0))&gt;=20,INDEX(Inputs!$B$18:$D$18,1,MATCH(A736,Inputs!$B$6:$D$6,0)),IF(INDEX(Roster!$D$6:$D$108,MATCH(D736,Roster!$A$6:$A$108,0))&gt;=15,INDEX(Inputs!$B$17:$D$17,1,MATCH(A736,Inputs!$B$6:$D$6,0)),IF(INDEX(Roster!$D$6:$D$108,MATCH(D736,Roster!$A$6:$A$108,0))&gt;=10,INDEX(Inputs!$B$16:$D$16,1,MATCH(A736,Inputs!$B$6:$D$6,0)),IF(INDEX(Roster!$D$6:$D$108,MATCH(D736,Roster!$A$6:$A$108,0))&gt;=5,INDEX(Inputs!$B$15:$D$15,1,MATCH(A736,Inputs!$B$6:$D$6,0)),0)))))</x:f>
        <x:v>90</x:v>
      </x:c>
      <x:c r="M736" s="20" t="n">
        <x:f>G736*I736</x:f>
        <x:v>31135</x:v>
      </x:c>
      <x:c r="N736" s="20" t="n">
        <x:f>G736*J736</x:f>
        <x:v>780</x:v>
      </x:c>
      <x:c r="O736" s="20" t="n">
        <x:f>G736*K736</x:f>
        <x:v>0</x:v>
      </x:c>
      <x:c r="P736" s="20" t="n">
        <x:f>G736*L736</x:f>
        <x:v>1170</x:v>
      </x:c>
      <x:c r="Q736" s="20" t="n">
        <x:f>H736*INDEX(Inputs!$B$13:$D$13,1,MATCH(A736,Inputs!$B$6:$D$6,0))</x:f>
        <x:v>390</x:v>
      </x:c>
      <x:c r="R736" s="20" t="n">
        <x:f>SUM(M736:Q736)</x:f>
        <x:v>33475</x:v>
      </x:c>
      <x:c r="S736" s="20" t="n">
        <x:f>IF(AND(A735=A736,D735=D736),S735+R736,R736)</x:f>
        <x:v>100425</x:v>
      </x:c>
      <x:c r="T736" s="20" t="n">
        <x:f>MIN(S736,INDEX(Inputs!$B$20:$D$20,1,MATCH(A736,Inputs!$B$6:$D$6,0)))*INDEX(Inputs!$B$22:$D$22,1,MATCH(A736,Inputs!$B$6:$D$6,0))+MAX(MIN(S736,INDEX(Inputs!$B$21:$D$21,1,MATCH(A736,Inputs!$B$6:$D$6,0)))-INDEX(Inputs!$B$20:$D$20,1,MATCH(A736,Inputs!$B$6:$D$6,0)),0)*INDEX(Inputs!$B$23:$D$23,1,MATCH(A736,Inputs!$B$6:$D$6,0))+MAX(S736-INDEX(Inputs!$B$21:$D$21,1,MATCH(A736,Inputs!$B$6:$D$6,0)),0)*INDEX(Inputs!$B$24:$D$24,1,MATCH(A736,Inputs!$B$6:$D$6,0))</x:f>
        <x:v>8172.5125</x:v>
      </x:c>
      <x:c r="U736" s="20" t="n">
        <x:f>IF(AND(A735=A736,D735=D736),T735,0)</x:f>
        <x:v>5611.675</x:v>
      </x:c>
      <x:c r="V736" s="20" t="n">
        <x:f>T736-U736</x:f>
        <x:v>2560.8374999999996</x:v>
      </x:c>
      <x:c r="W736" s="20" t="n">
        <x:f>R736+V736</x:f>
        <x:v>36035.8375</x:v>
      </x:c>
      <x:c r="X736" s="14" t="str">
        <x:f>IF(ABS(W736-SUM(M736:Q736)-V736)&lt;0.01,"OK","Check")</x:f>
        <x:v>OK</x:v>
      </x:c>
    </x:row>
    <x:row r="737">
      <x:c r="A737" s="14" t="n">
        <x:v>2027</x:v>
      </x:c>
      <x:c r="B737" s="14" t="str">
        <x:v>Q4</x:v>
      </x:c>
      <x:c r="C737" s="14" t="n">
        <x:v>4</x:v>
      </x:c>
      <x:c r="D737" s="14" t="n">
        <x:v>80</x:v>
      </x:c>
      <x:c r="E737" s="14" t="str">
        <x:f>INDEX(Roster!$B$6:$B$108,MATCH(D737,Roster!$A$6:$A$108,0))</x:f>
      </x:c>
      <x:c r="F737" s="14" t="str">
        <x:f>INDEX(Roster!$F$6:$F$108,MATCH(D737,Roster!$A$6:$A$108,0))</x:f>
        <x:v>No</x:v>
      </x:c>
      <x:c r="G737" s="14" t="n">
        <x:f>INDEX(Inputs!$B$7:$D$7,1,MATCH(A737,Inputs!$B$6:$D$6,0))</x:f>
        <x:v>13</x:v>
      </x:c>
      <x:c r="H737" s="14" t="n">
        <x:f>MIN(=INDEX(Inputs!$B$7:$D$7,1,MATCH(A737,Inputs!$B$6:$D$6,0)),MAX(0,INDEX(Inputs!$B$14:$D$14,1,MATCH(A737,Inputs!$B$6:$D$6,0))-(C737-1)*=INDEX(Inputs!$B$7:$D$7,1,MATCH(A737,Inputs!$B$6:$D$6,0))))</x:f>
        <x:v>0</x:v>
      </x:c>
      <x:c r="I737" s="20" t="n">
        <x:f>INDEX(Inputs!$B$8:$D$8,1,MATCH(A737,Inputs!$B$6:$D$6,0))</x:f>
        <x:v>2395</x:v>
      </x:c>
      <x:c r="J737" s="20" t="n">
        <x:f>INDEX(Roster!$C$6:$C$108,MATCH(D737,Roster!$A$6:$A$108,0))*(1+INDEX(Inputs!$B$9:$D$9,1,MATCH(A737,Inputs!$B$6:$D$6,0)))</x:f>
        <x:v>60</x:v>
      </x:c>
      <x:c r="K737" s="20" t="n">
        <x:f>IF(=INDEX(Roster!$F$6:$F$108,MATCH(D737,Roster!$A$6:$A$108,0))="Yes",0,=INDEX(Inputs!$B$8:$D$8,1,MATCH(A737,Inputs!$B$6:$D$6,0))*IF(=INDEX(Roster!$B$6:$B$108,MATCH(D737,Roster!$A$6:$A$108,0))="Principal",INDEX(Inputs!$B$10:$D$10,1,MATCH(A737,Inputs!$B$6:$D$6,0)),IF(=INDEX(Roster!$B$6:$B$108,MATCH(D737,Roster!$A$6:$A$108,0))="Associate Principal",INDEX(Inputs!$B$11:$D$11,1,MATCH(A737,Inputs!$B$6:$D$6,0)),IF(=INDEX(Roster!$B$6:$B$108,MATCH(D737,Roster!$A$6:$A$108,0))="Assistant Principal",INDEX(Inputs!$B$12:$D$12,1,MATCH(A737,Inputs!$B$6:$D$6,0)),0))))</x:f>
        <x:v>0</x:v>
      </x:c>
      <x:c r="L737" s="20" t="n">
        <x:f>IF(INDEX(Roster!$D$6:$D$108,MATCH(D737,Roster!$A$6:$A$108,0))&gt;=25,INDEX(Inputs!$B$19:$D$19,1,MATCH(A737,Inputs!$B$6:$D$6,0)),IF(INDEX(Roster!$D$6:$D$108,MATCH(D737,Roster!$A$6:$A$108,0))&gt;=20,INDEX(Inputs!$B$18:$D$18,1,MATCH(A737,Inputs!$B$6:$D$6,0)),IF(INDEX(Roster!$D$6:$D$108,MATCH(D737,Roster!$A$6:$A$108,0))&gt;=15,INDEX(Inputs!$B$17:$D$17,1,MATCH(A737,Inputs!$B$6:$D$6,0)),IF(INDEX(Roster!$D$6:$D$108,MATCH(D737,Roster!$A$6:$A$108,0))&gt;=10,INDEX(Inputs!$B$16:$D$16,1,MATCH(A737,Inputs!$B$6:$D$6,0)),IF(INDEX(Roster!$D$6:$D$108,MATCH(D737,Roster!$A$6:$A$108,0))&gt;=5,INDEX(Inputs!$B$15:$D$15,1,MATCH(A737,Inputs!$B$6:$D$6,0)),0)))))</x:f>
        <x:v>90</x:v>
      </x:c>
      <x:c r="M737" s="20" t="n">
        <x:f>G737*I737</x:f>
        <x:v>31135</x:v>
      </x:c>
      <x:c r="N737" s="20" t="n">
        <x:f>G737*J737</x:f>
        <x:v>780</x:v>
      </x:c>
      <x:c r="O737" s="20" t="n">
        <x:f>G737*K737</x:f>
        <x:v>0</x:v>
      </x:c>
      <x:c r="P737" s="20" t="n">
        <x:f>G737*L737</x:f>
        <x:v>1170</x:v>
      </x:c>
      <x:c r="Q737" s="20" t="n">
        <x:f>H737*INDEX(Inputs!$B$13:$D$13,1,MATCH(A737,Inputs!$B$6:$D$6,0))</x:f>
        <x:v>0</x:v>
      </x:c>
      <x:c r="R737" s="20" t="n">
        <x:f>SUM(M737:Q737)</x:f>
        <x:v>33085</x:v>
      </x:c>
      <x:c r="S737" s="20" t="n">
        <x:f>IF(AND(A736=A737,D736=D737),S736+R737,R737)</x:f>
        <x:v>133510</x:v>
      </x:c>
      <x:c r="T737" s="20" t="n">
        <x:f>MIN(S737,INDEX(Inputs!$B$20:$D$20,1,MATCH(A737,Inputs!$B$6:$D$6,0)))*INDEX(Inputs!$B$22:$D$22,1,MATCH(A737,Inputs!$B$6:$D$6,0))+MAX(MIN(S737,INDEX(Inputs!$B$21:$D$21,1,MATCH(A737,Inputs!$B$6:$D$6,0)))-INDEX(Inputs!$B$20:$D$20,1,MATCH(A737,Inputs!$B$6:$D$6,0)),0)*INDEX(Inputs!$B$23:$D$23,1,MATCH(A737,Inputs!$B$6:$D$6,0))+MAX(S737-INDEX(Inputs!$B$21:$D$21,1,MATCH(A737,Inputs!$B$6:$D$6,0)),0)*INDEX(Inputs!$B$24:$D$24,1,MATCH(A737,Inputs!$B$6:$D$6,0))</x:f>
        <x:v>9849.837</x:v>
      </x:c>
      <x:c r="U737" s="20" t="n">
        <x:f>IF(AND(A736=A737,D736=D737),T736,0)</x:f>
        <x:v>8172.5125</x:v>
      </x:c>
      <x:c r="V737" s="20" t="n">
        <x:f>T737-U737</x:f>
        <x:v>1677.3244999999997</x:v>
      </x:c>
      <x:c r="W737" s="20" t="n">
        <x:f>R737+V737</x:f>
        <x:v>34762.3245</x:v>
      </x:c>
      <x:c r="X737" s="14" t="str">
        <x:f>IF(ABS(W737-SUM(M737:Q737)-V737)&lt;0.01,"OK","Check")</x:f>
        <x:v>OK</x:v>
      </x:c>
    </x:row>
    <x:row r="738">
      <x:c r="A738" s="14" t="n">
        <x:v>2027</x:v>
      </x:c>
      <x:c r="B738" s="14" t="str">
        <x:v>Q1</x:v>
      </x:c>
      <x:c r="C738" s="14" t="n">
        <x:v>1</x:v>
      </x:c>
      <x:c r="D738" s="14" t="n">
        <x:v>81</x:v>
      </x:c>
      <x:c r="E738" s="14" t="str">
        <x:f>INDEX(Roster!$B$6:$B$108,MATCH(D738,Roster!$A$6:$A$108,0))</x:f>
      </x:c>
      <x:c r="F738" s="14" t="str">
        <x:f>INDEX(Roster!$F$6:$F$108,MATCH(D738,Roster!$A$6:$A$108,0))</x:f>
        <x:v>No</x:v>
      </x:c>
      <x:c r="G738" s="14" t="n">
        <x:f>INDEX(Inputs!$B$7:$D$7,1,MATCH(A738,Inputs!$B$6:$D$6,0))</x:f>
        <x:v>13</x:v>
      </x:c>
      <x:c r="H738" s="14" t="n">
        <x:f>MIN(=INDEX(Inputs!$B$7:$D$7,1,MATCH(A738,Inputs!$B$6:$D$6,0)),MAX(0,INDEX(Inputs!$B$14:$D$14,1,MATCH(A738,Inputs!$B$6:$D$6,0))-(C738-1)*=INDEX(Inputs!$B$7:$D$7,1,MATCH(A738,Inputs!$B$6:$D$6,0))))</x:f>
        <x:v>13</x:v>
      </x:c>
      <x:c r="I738" s="20" t="n">
        <x:f>INDEX(Inputs!$B$8:$D$8,1,MATCH(A738,Inputs!$B$6:$D$6,0))</x:f>
        <x:v>2395</x:v>
      </x:c>
      <x:c r="J738" s="20" t="n">
        <x:f>INDEX(Roster!$C$6:$C$108,MATCH(D738,Roster!$A$6:$A$108,0))*(1+INDEX(Inputs!$B$9:$D$9,1,MATCH(A738,Inputs!$B$6:$D$6,0)))</x:f>
        <x:v>400</x:v>
      </x:c>
      <x:c r="K738" s="20" t="n">
        <x:f>IF(=INDEX(Roster!$F$6:$F$108,MATCH(D738,Roster!$A$6:$A$108,0))="Yes",0,=INDEX(Inputs!$B$8:$D$8,1,MATCH(A738,Inputs!$B$6:$D$6,0))*IF(=INDEX(Roster!$B$6:$B$108,MATCH(D738,Roster!$A$6:$A$108,0))="Principal",INDEX(Inputs!$B$10:$D$10,1,MATCH(A738,Inputs!$B$6:$D$6,0)),IF(=INDEX(Roster!$B$6:$B$108,MATCH(D738,Roster!$A$6:$A$108,0))="Associate Principal",INDEX(Inputs!$B$11:$D$11,1,MATCH(A738,Inputs!$B$6:$D$6,0)),IF(=INDEX(Roster!$B$6:$B$108,MATCH(D738,Roster!$A$6:$A$108,0))="Assistant Principal",INDEX(Inputs!$B$12:$D$12,1,MATCH(A738,Inputs!$B$6:$D$6,0)),0))))</x:f>
        <x:v>0</x:v>
      </x:c>
      <x:c r="L738" s="20" t="n">
        <x:f>IF(INDEX(Roster!$D$6:$D$108,MATCH(D738,Roster!$A$6:$A$108,0))&gt;=25,INDEX(Inputs!$B$19:$D$19,1,MATCH(A738,Inputs!$B$6:$D$6,0)),IF(INDEX(Roster!$D$6:$D$108,MATCH(D738,Roster!$A$6:$A$108,0))&gt;=20,INDEX(Inputs!$B$18:$D$18,1,MATCH(A738,Inputs!$B$6:$D$6,0)),IF(INDEX(Roster!$D$6:$D$108,MATCH(D738,Roster!$A$6:$A$108,0))&gt;=15,INDEX(Inputs!$B$17:$D$17,1,MATCH(A738,Inputs!$B$6:$D$6,0)),IF(INDEX(Roster!$D$6:$D$108,MATCH(D738,Roster!$A$6:$A$108,0))&gt;=10,INDEX(Inputs!$B$16:$D$16,1,MATCH(A738,Inputs!$B$6:$D$6,0)),IF(INDEX(Roster!$D$6:$D$108,MATCH(D738,Roster!$A$6:$A$108,0))&gt;=5,INDEX(Inputs!$B$15:$D$15,1,MATCH(A738,Inputs!$B$6:$D$6,0)),0)))))</x:f>
        <x:v>90</x:v>
      </x:c>
      <x:c r="M738" s="20" t="n">
        <x:f>G738*I738</x:f>
        <x:v>31135</x:v>
      </x:c>
      <x:c r="N738" s="20" t="n">
        <x:f>G738*J738</x:f>
        <x:v>5200</x:v>
      </x:c>
      <x:c r="O738" s="20" t="n">
        <x:f>G738*K738</x:f>
        <x:v>0</x:v>
      </x:c>
      <x:c r="P738" s="20" t="n">
        <x:f>G738*L738</x:f>
        <x:v>1170</x:v>
      </x:c>
      <x:c r="Q738" s="20" t="n">
        <x:f>H738*INDEX(Inputs!$B$13:$D$13,1,MATCH(A738,Inputs!$B$6:$D$6,0))</x:f>
        <x:v>390</x:v>
      </x:c>
      <x:c r="R738" s="20" t="n">
        <x:f>SUM(M738:Q738)</x:f>
        <x:v>37895</x:v>
      </x:c>
      <x:c r="S738" s="20" t="n">
        <x:f>IF(AND(A737=A738,D737=D738),S737+R738,R738)</x:f>
        <x:v>37895</x:v>
      </x:c>
      <x:c r="T738" s="20" t="n">
        <x:f>MIN(S738,INDEX(Inputs!$B$20:$D$20,1,MATCH(A738,Inputs!$B$6:$D$6,0)))*INDEX(Inputs!$B$22:$D$22,1,MATCH(A738,Inputs!$B$6:$D$6,0))+MAX(MIN(S738,INDEX(Inputs!$B$21:$D$21,1,MATCH(A738,Inputs!$B$6:$D$6,0)))-INDEX(Inputs!$B$20:$D$20,1,MATCH(A738,Inputs!$B$6:$D$6,0)),0)*INDEX(Inputs!$B$23:$D$23,1,MATCH(A738,Inputs!$B$6:$D$6,0))+MAX(S738-INDEX(Inputs!$B$21:$D$21,1,MATCH(A738,Inputs!$B$6:$D$6,0)),0)*INDEX(Inputs!$B$24:$D$24,1,MATCH(A738,Inputs!$B$6:$D$6,0))</x:f>
        <x:v>3388.9674999999997</x:v>
      </x:c>
      <x:c r="U738" s="20" t="n">
        <x:f>IF(AND(A737=A738,D737=D738),T737,0)</x:f>
        <x:v>0</x:v>
      </x:c>
      <x:c r="V738" s="20" t="n">
        <x:f>T738-U738</x:f>
        <x:v>3388.9674999999997</x:v>
      </x:c>
      <x:c r="W738" s="20" t="n">
        <x:f>R738+V738</x:f>
        <x:v>41283.9675</x:v>
      </x:c>
      <x:c r="X738" s="14" t="str">
        <x:f>IF(ABS(W738-SUM(M738:Q738)-V738)&lt;0.01,"OK","Check")</x:f>
        <x:v>OK</x:v>
      </x:c>
    </x:row>
    <x:row r="739">
      <x:c r="A739" s="14" t="n">
        <x:v>2027</x:v>
      </x:c>
      <x:c r="B739" s="14" t="str">
        <x:v>Q2</x:v>
      </x:c>
      <x:c r="C739" s="14" t="n">
        <x:v>2</x:v>
      </x:c>
      <x:c r="D739" s="14" t="n">
        <x:v>81</x:v>
      </x:c>
      <x:c r="E739" s="14" t="str">
        <x:f>INDEX(Roster!$B$6:$B$108,MATCH(D739,Roster!$A$6:$A$108,0))</x:f>
      </x:c>
      <x:c r="F739" s="14" t="str">
        <x:f>INDEX(Roster!$F$6:$F$108,MATCH(D739,Roster!$A$6:$A$108,0))</x:f>
        <x:v>No</x:v>
      </x:c>
      <x:c r="G739" s="14" t="n">
        <x:f>INDEX(Inputs!$B$7:$D$7,1,MATCH(A739,Inputs!$B$6:$D$6,0))</x:f>
        <x:v>13</x:v>
      </x:c>
      <x:c r="H739" s="14" t="n">
        <x:f>MIN(=INDEX(Inputs!$B$7:$D$7,1,MATCH(A739,Inputs!$B$6:$D$6,0)),MAX(0,INDEX(Inputs!$B$14:$D$14,1,MATCH(A739,Inputs!$B$6:$D$6,0))-(C739-1)*=INDEX(Inputs!$B$7:$D$7,1,MATCH(A739,Inputs!$B$6:$D$6,0))))</x:f>
        <x:v>13</x:v>
      </x:c>
      <x:c r="I739" s="20" t="n">
        <x:f>INDEX(Inputs!$B$8:$D$8,1,MATCH(A739,Inputs!$B$6:$D$6,0))</x:f>
        <x:v>2395</x:v>
      </x:c>
      <x:c r="J739" s="20" t="n">
        <x:f>INDEX(Roster!$C$6:$C$108,MATCH(D739,Roster!$A$6:$A$108,0))*(1+INDEX(Inputs!$B$9:$D$9,1,MATCH(A739,Inputs!$B$6:$D$6,0)))</x:f>
        <x:v>400</x:v>
      </x:c>
      <x:c r="K739" s="20" t="n">
        <x:f>IF(=INDEX(Roster!$F$6:$F$108,MATCH(D739,Roster!$A$6:$A$108,0))="Yes",0,=INDEX(Inputs!$B$8:$D$8,1,MATCH(A739,Inputs!$B$6:$D$6,0))*IF(=INDEX(Roster!$B$6:$B$108,MATCH(D739,Roster!$A$6:$A$108,0))="Principal",INDEX(Inputs!$B$10:$D$10,1,MATCH(A739,Inputs!$B$6:$D$6,0)),IF(=INDEX(Roster!$B$6:$B$108,MATCH(D739,Roster!$A$6:$A$108,0))="Associate Principal",INDEX(Inputs!$B$11:$D$11,1,MATCH(A739,Inputs!$B$6:$D$6,0)),IF(=INDEX(Roster!$B$6:$B$108,MATCH(D739,Roster!$A$6:$A$108,0))="Assistant Principal",INDEX(Inputs!$B$12:$D$12,1,MATCH(A739,Inputs!$B$6:$D$6,0)),0))))</x:f>
        <x:v>0</x:v>
      </x:c>
      <x:c r="L739" s="20" t="n">
        <x:f>IF(INDEX(Roster!$D$6:$D$108,MATCH(D739,Roster!$A$6:$A$108,0))&gt;=25,INDEX(Inputs!$B$19:$D$19,1,MATCH(A739,Inputs!$B$6:$D$6,0)),IF(INDEX(Roster!$D$6:$D$108,MATCH(D739,Roster!$A$6:$A$108,0))&gt;=20,INDEX(Inputs!$B$18:$D$18,1,MATCH(A739,Inputs!$B$6:$D$6,0)),IF(INDEX(Roster!$D$6:$D$108,MATCH(D739,Roster!$A$6:$A$108,0))&gt;=15,INDEX(Inputs!$B$17:$D$17,1,MATCH(A739,Inputs!$B$6:$D$6,0)),IF(INDEX(Roster!$D$6:$D$108,MATCH(D739,Roster!$A$6:$A$108,0))&gt;=10,INDEX(Inputs!$B$16:$D$16,1,MATCH(A739,Inputs!$B$6:$D$6,0)),IF(INDEX(Roster!$D$6:$D$108,MATCH(D739,Roster!$A$6:$A$108,0))&gt;=5,INDEX(Inputs!$B$15:$D$15,1,MATCH(A739,Inputs!$B$6:$D$6,0)),0)))))</x:f>
        <x:v>90</x:v>
      </x:c>
      <x:c r="M739" s="20" t="n">
        <x:f>G739*I739</x:f>
        <x:v>31135</x:v>
      </x:c>
      <x:c r="N739" s="20" t="n">
        <x:f>G739*J739</x:f>
        <x:v>5200</x:v>
      </x:c>
      <x:c r="O739" s="20" t="n">
        <x:f>G739*K739</x:f>
        <x:v>0</x:v>
      </x:c>
      <x:c r="P739" s="20" t="n">
        <x:f>G739*L739</x:f>
        <x:v>1170</x:v>
      </x:c>
      <x:c r="Q739" s="20" t="n">
        <x:f>H739*INDEX(Inputs!$B$13:$D$13,1,MATCH(A739,Inputs!$B$6:$D$6,0))</x:f>
        <x:v>390</x:v>
      </x:c>
      <x:c r="R739" s="20" t="n">
        <x:f>SUM(M739:Q739)</x:f>
        <x:v>37895</x:v>
      </x:c>
      <x:c r="S739" s="20" t="n">
        <x:f>IF(AND(A738=A739,D738=D739),S738+R739,R739)</x:f>
        <x:v>75790</x:v>
      </x:c>
      <x:c r="T739" s="20" t="n">
        <x:f>MIN(S739,INDEX(Inputs!$B$20:$D$20,1,MATCH(A739,Inputs!$B$6:$D$6,0)))*INDEX(Inputs!$B$22:$D$22,1,MATCH(A739,Inputs!$B$6:$D$6,0))+MAX(MIN(S739,INDEX(Inputs!$B$21:$D$21,1,MATCH(A739,Inputs!$B$6:$D$6,0)))-INDEX(Inputs!$B$20:$D$20,1,MATCH(A739,Inputs!$B$6:$D$6,0)),0)*INDEX(Inputs!$B$23:$D$23,1,MATCH(A739,Inputs!$B$6:$D$6,0))+MAX(S739-INDEX(Inputs!$B$21:$D$21,1,MATCH(A739,Inputs!$B$6:$D$6,0)),0)*INDEX(Inputs!$B$24:$D$24,1,MATCH(A739,Inputs!$B$6:$D$6,0))</x:f>
        <x:v>6287.9349999999995</x:v>
      </x:c>
      <x:c r="U739" s="20" t="n">
        <x:f>IF(AND(A738=A739,D738=D739),T738,0)</x:f>
        <x:v>3388.9674999999997</x:v>
      </x:c>
      <x:c r="V739" s="20" t="n">
        <x:f>T739-U739</x:f>
        <x:v>2898.9674999999997</x:v>
      </x:c>
      <x:c r="W739" s="20" t="n">
        <x:f>R739+V739</x:f>
        <x:v>40793.9675</x:v>
      </x:c>
      <x:c r="X739" s="14" t="str">
        <x:f>IF(ABS(W739-SUM(M739:Q739)-V739)&lt;0.01,"OK","Check")</x:f>
        <x:v>OK</x:v>
      </x:c>
    </x:row>
    <x:row r="740">
      <x:c r="A740" s="14" t="n">
        <x:v>2027</x:v>
      </x:c>
      <x:c r="B740" s="14" t="str">
        <x:v>Q3</x:v>
      </x:c>
      <x:c r="C740" s="14" t="n">
        <x:v>3</x:v>
      </x:c>
      <x:c r="D740" s="14" t="n">
        <x:v>81</x:v>
      </x:c>
      <x:c r="E740" s="14" t="str">
        <x:f>INDEX(Roster!$B$6:$B$108,MATCH(D740,Roster!$A$6:$A$108,0))</x:f>
      </x:c>
      <x:c r="F740" s="14" t="str">
        <x:f>INDEX(Roster!$F$6:$F$108,MATCH(D740,Roster!$A$6:$A$108,0))</x:f>
        <x:v>No</x:v>
      </x:c>
      <x:c r="G740" s="14" t="n">
        <x:f>INDEX(Inputs!$B$7:$D$7,1,MATCH(A740,Inputs!$B$6:$D$6,0))</x:f>
        <x:v>13</x:v>
      </x:c>
      <x:c r="H740" s="14" t="n">
        <x:f>MIN(=INDEX(Inputs!$B$7:$D$7,1,MATCH(A740,Inputs!$B$6:$D$6,0)),MAX(0,INDEX(Inputs!$B$14:$D$14,1,MATCH(A740,Inputs!$B$6:$D$6,0))-(C740-1)*=INDEX(Inputs!$B$7:$D$7,1,MATCH(A740,Inputs!$B$6:$D$6,0))))</x:f>
        <x:v>13</x:v>
      </x:c>
      <x:c r="I740" s="20" t="n">
        <x:f>INDEX(Inputs!$B$8:$D$8,1,MATCH(A740,Inputs!$B$6:$D$6,0))</x:f>
        <x:v>2395</x:v>
      </x:c>
      <x:c r="J740" s="20" t="n">
        <x:f>INDEX(Roster!$C$6:$C$108,MATCH(D740,Roster!$A$6:$A$108,0))*(1+INDEX(Inputs!$B$9:$D$9,1,MATCH(A740,Inputs!$B$6:$D$6,0)))</x:f>
        <x:v>400</x:v>
      </x:c>
      <x:c r="K740" s="20" t="n">
        <x:f>IF(=INDEX(Roster!$F$6:$F$108,MATCH(D740,Roster!$A$6:$A$108,0))="Yes",0,=INDEX(Inputs!$B$8:$D$8,1,MATCH(A740,Inputs!$B$6:$D$6,0))*IF(=INDEX(Roster!$B$6:$B$108,MATCH(D740,Roster!$A$6:$A$108,0))="Principal",INDEX(Inputs!$B$10:$D$10,1,MATCH(A740,Inputs!$B$6:$D$6,0)),IF(=INDEX(Roster!$B$6:$B$108,MATCH(D740,Roster!$A$6:$A$108,0))="Associate Principal",INDEX(Inputs!$B$11:$D$11,1,MATCH(A740,Inputs!$B$6:$D$6,0)),IF(=INDEX(Roster!$B$6:$B$108,MATCH(D740,Roster!$A$6:$A$108,0))="Assistant Principal",INDEX(Inputs!$B$12:$D$12,1,MATCH(A740,Inputs!$B$6:$D$6,0)),0))))</x:f>
        <x:v>0</x:v>
      </x:c>
      <x:c r="L740" s="20" t="n">
        <x:f>IF(INDEX(Roster!$D$6:$D$108,MATCH(D740,Roster!$A$6:$A$108,0))&gt;=25,INDEX(Inputs!$B$19:$D$19,1,MATCH(A740,Inputs!$B$6:$D$6,0)),IF(INDEX(Roster!$D$6:$D$108,MATCH(D740,Roster!$A$6:$A$108,0))&gt;=20,INDEX(Inputs!$B$18:$D$18,1,MATCH(A740,Inputs!$B$6:$D$6,0)),IF(INDEX(Roster!$D$6:$D$108,MATCH(D740,Roster!$A$6:$A$108,0))&gt;=15,INDEX(Inputs!$B$17:$D$17,1,MATCH(A740,Inputs!$B$6:$D$6,0)),IF(INDEX(Roster!$D$6:$D$108,MATCH(D740,Roster!$A$6:$A$108,0))&gt;=10,INDEX(Inputs!$B$16:$D$16,1,MATCH(A740,Inputs!$B$6:$D$6,0)),IF(INDEX(Roster!$D$6:$D$108,MATCH(D740,Roster!$A$6:$A$108,0))&gt;=5,INDEX(Inputs!$B$15:$D$15,1,MATCH(A740,Inputs!$B$6:$D$6,0)),0)))))</x:f>
        <x:v>90</x:v>
      </x:c>
      <x:c r="M740" s="20" t="n">
        <x:f>G740*I740</x:f>
        <x:v>31135</x:v>
      </x:c>
      <x:c r="N740" s="20" t="n">
        <x:f>G740*J740</x:f>
        <x:v>5200</x:v>
      </x:c>
      <x:c r="O740" s="20" t="n">
        <x:f>G740*K740</x:f>
        <x:v>0</x:v>
      </x:c>
      <x:c r="P740" s="20" t="n">
        <x:f>G740*L740</x:f>
        <x:v>1170</x:v>
      </x:c>
      <x:c r="Q740" s="20" t="n">
        <x:f>H740*INDEX(Inputs!$B$13:$D$13,1,MATCH(A740,Inputs!$B$6:$D$6,0))</x:f>
        <x:v>390</x:v>
      </x:c>
      <x:c r="R740" s="20" t="n">
        <x:f>SUM(M740:Q740)</x:f>
        <x:v>37895</x:v>
      </x:c>
      <x:c r="S740" s="20" t="n">
        <x:f>IF(AND(A739=A740,D739=D740),S739+R740,R740)</x:f>
        <x:v>113685</x:v>
      </x:c>
      <x:c r="T740" s="20" t="n">
        <x:f>MIN(S740,INDEX(Inputs!$B$20:$D$20,1,MATCH(A740,Inputs!$B$6:$D$6,0)))*INDEX(Inputs!$B$22:$D$22,1,MATCH(A740,Inputs!$B$6:$D$6,0))+MAX(MIN(S740,INDEX(Inputs!$B$21:$D$21,1,MATCH(A740,Inputs!$B$6:$D$6,0)))-INDEX(Inputs!$B$20:$D$20,1,MATCH(A740,Inputs!$B$6:$D$6,0)),0)*INDEX(Inputs!$B$23:$D$23,1,MATCH(A740,Inputs!$B$6:$D$6,0))+MAX(S740-INDEX(Inputs!$B$21:$D$21,1,MATCH(A740,Inputs!$B$6:$D$6,0)),0)*INDEX(Inputs!$B$24:$D$24,1,MATCH(A740,Inputs!$B$6:$D$6,0))</x:f>
        <x:v>9186.9025</x:v>
      </x:c>
      <x:c r="U740" s="20" t="n">
        <x:f>IF(AND(A739=A740,D739=D740),T739,0)</x:f>
        <x:v>6287.9349999999995</x:v>
      </x:c>
      <x:c r="V740" s="20" t="n">
        <x:f>T740-U740</x:f>
        <x:v>2898.9675000000007</x:v>
      </x:c>
      <x:c r="W740" s="20" t="n">
        <x:f>R740+V740</x:f>
        <x:v>40793.9675</x:v>
      </x:c>
      <x:c r="X740" s="14" t="str">
        <x:f>IF(ABS(W740-SUM(M740:Q740)-V740)&lt;0.01,"OK","Check")</x:f>
        <x:v>OK</x:v>
      </x:c>
    </x:row>
    <x:row r="741">
      <x:c r="A741" s="14" t="n">
        <x:v>2027</x:v>
      </x:c>
      <x:c r="B741" s="14" t="str">
        <x:v>Q4</x:v>
      </x:c>
      <x:c r="C741" s="14" t="n">
        <x:v>4</x:v>
      </x:c>
      <x:c r="D741" s="14" t="n">
        <x:v>81</x:v>
      </x:c>
      <x:c r="E741" s="14" t="str">
        <x:f>INDEX(Roster!$B$6:$B$108,MATCH(D741,Roster!$A$6:$A$108,0))</x:f>
      </x:c>
      <x:c r="F741" s="14" t="str">
        <x:f>INDEX(Roster!$F$6:$F$108,MATCH(D741,Roster!$A$6:$A$108,0))</x:f>
        <x:v>No</x:v>
      </x:c>
      <x:c r="G741" s="14" t="n">
        <x:f>INDEX(Inputs!$B$7:$D$7,1,MATCH(A741,Inputs!$B$6:$D$6,0))</x:f>
        <x:v>13</x:v>
      </x:c>
      <x:c r="H741" s="14" t="n">
        <x:f>MIN(=INDEX(Inputs!$B$7:$D$7,1,MATCH(A741,Inputs!$B$6:$D$6,0)),MAX(0,INDEX(Inputs!$B$14:$D$14,1,MATCH(A741,Inputs!$B$6:$D$6,0))-(C741-1)*=INDEX(Inputs!$B$7:$D$7,1,MATCH(A741,Inputs!$B$6:$D$6,0))))</x:f>
        <x:v>0</x:v>
      </x:c>
      <x:c r="I741" s="20" t="n">
        <x:f>INDEX(Inputs!$B$8:$D$8,1,MATCH(A741,Inputs!$B$6:$D$6,0))</x:f>
        <x:v>2395</x:v>
      </x:c>
      <x:c r="J741" s="20" t="n">
        <x:f>INDEX(Roster!$C$6:$C$108,MATCH(D741,Roster!$A$6:$A$108,0))*(1+INDEX(Inputs!$B$9:$D$9,1,MATCH(A741,Inputs!$B$6:$D$6,0)))</x:f>
        <x:v>400</x:v>
      </x:c>
      <x:c r="K741" s="20" t="n">
        <x:f>IF(=INDEX(Roster!$F$6:$F$108,MATCH(D741,Roster!$A$6:$A$108,0))="Yes",0,=INDEX(Inputs!$B$8:$D$8,1,MATCH(A741,Inputs!$B$6:$D$6,0))*IF(=INDEX(Roster!$B$6:$B$108,MATCH(D741,Roster!$A$6:$A$108,0))="Principal",INDEX(Inputs!$B$10:$D$10,1,MATCH(A741,Inputs!$B$6:$D$6,0)),IF(=INDEX(Roster!$B$6:$B$108,MATCH(D741,Roster!$A$6:$A$108,0))="Associate Principal",INDEX(Inputs!$B$11:$D$11,1,MATCH(A741,Inputs!$B$6:$D$6,0)),IF(=INDEX(Roster!$B$6:$B$108,MATCH(D741,Roster!$A$6:$A$108,0))="Assistant Principal",INDEX(Inputs!$B$12:$D$12,1,MATCH(A741,Inputs!$B$6:$D$6,0)),0))))</x:f>
        <x:v>0</x:v>
      </x:c>
      <x:c r="L741" s="20" t="n">
        <x:f>IF(INDEX(Roster!$D$6:$D$108,MATCH(D741,Roster!$A$6:$A$108,0))&gt;=25,INDEX(Inputs!$B$19:$D$19,1,MATCH(A741,Inputs!$B$6:$D$6,0)),IF(INDEX(Roster!$D$6:$D$108,MATCH(D741,Roster!$A$6:$A$108,0))&gt;=20,INDEX(Inputs!$B$18:$D$18,1,MATCH(A741,Inputs!$B$6:$D$6,0)),IF(INDEX(Roster!$D$6:$D$108,MATCH(D741,Roster!$A$6:$A$108,0))&gt;=15,INDEX(Inputs!$B$17:$D$17,1,MATCH(A741,Inputs!$B$6:$D$6,0)),IF(INDEX(Roster!$D$6:$D$108,MATCH(D741,Roster!$A$6:$A$108,0))&gt;=10,INDEX(Inputs!$B$16:$D$16,1,MATCH(A741,Inputs!$B$6:$D$6,0)),IF(INDEX(Roster!$D$6:$D$108,MATCH(D741,Roster!$A$6:$A$108,0))&gt;=5,INDEX(Inputs!$B$15:$D$15,1,MATCH(A741,Inputs!$B$6:$D$6,0)),0)))))</x:f>
        <x:v>90</x:v>
      </x:c>
      <x:c r="M741" s="20" t="n">
        <x:f>G741*I741</x:f>
        <x:v>31135</x:v>
      </x:c>
      <x:c r="N741" s="20" t="n">
        <x:f>G741*J741</x:f>
        <x:v>5200</x:v>
      </x:c>
      <x:c r="O741" s="20" t="n">
        <x:f>G741*K741</x:f>
        <x:v>0</x:v>
      </x:c>
      <x:c r="P741" s="20" t="n">
        <x:f>G741*L741</x:f>
        <x:v>1170</x:v>
      </x:c>
      <x:c r="Q741" s="20" t="n">
        <x:f>H741*INDEX(Inputs!$B$13:$D$13,1,MATCH(A741,Inputs!$B$6:$D$6,0))</x:f>
        <x:v>0</x:v>
      </x:c>
      <x:c r="R741" s="20" t="n">
        <x:f>SUM(M741:Q741)</x:f>
        <x:v>37505</x:v>
      </x:c>
      <x:c r="S741" s="20" t="n">
        <x:f>IF(AND(A740=A741,D740=D741),S740+R741,R741)</x:f>
        <x:v>151190</x:v>
      </x:c>
      <x:c r="T741" s="20" t="n">
        <x:f>MIN(S741,INDEX(Inputs!$B$20:$D$20,1,MATCH(A741,Inputs!$B$6:$D$6,0)))*INDEX(Inputs!$B$22:$D$22,1,MATCH(A741,Inputs!$B$6:$D$6,0))+MAX(MIN(S741,INDEX(Inputs!$B$21:$D$21,1,MATCH(A741,Inputs!$B$6:$D$6,0)))-INDEX(Inputs!$B$20:$D$20,1,MATCH(A741,Inputs!$B$6:$D$6,0)),0)*INDEX(Inputs!$B$23:$D$23,1,MATCH(A741,Inputs!$B$6:$D$6,0))+MAX(S741-INDEX(Inputs!$B$21:$D$21,1,MATCH(A741,Inputs!$B$6:$D$6,0)),0)*INDEX(Inputs!$B$24:$D$24,1,MATCH(A741,Inputs!$B$6:$D$6,0))</x:f>
        <x:v>10106.197</x:v>
      </x:c>
      <x:c r="U741" s="20" t="n">
        <x:f>IF(AND(A740=A741,D740=D741),T740,0)</x:f>
        <x:v>9186.9025</x:v>
      </x:c>
      <x:c r="V741" s="20" t="n">
        <x:f>T741-U741</x:f>
        <x:v>919.2945</x:v>
      </x:c>
      <x:c r="W741" s="20" t="n">
        <x:f>R741+V741</x:f>
        <x:v>38424.2945</x:v>
      </x:c>
      <x:c r="X741" s="14" t="str">
        <x:f>IF(ABS(W741-SUM(M741:Q741)-V741)&lt;0.01,"OK","Check")</x:f>
        <x:v>OK</x:v>
      </x:c>
    </x:row>
    <x:row r="742">
      <x:c r="A742" s="14" t="n">
        <x:v>2027</x:v>
      </x:c>
      <x:c r="B742" s="14" t="str">
        <x:v>Q1</x:v>
      </x:c>
      <x:c r="C742" s="14" t="n">
        <x:v>1</x:v>
      </x:c>
      <x:c r="D742" s="14" t="n">
        <x:v>82</x:v>
      </x:c>
      <x:c r="E742" s="14" t="str">
        <x:f>INDEX(Roster!$B$6:$B$108,MATCH(D742,Roster!$A$6:$A$108,0))</x:f>
      </x:c>
      <x:c r="F742" s="14" t="str">
        <x:f>INDEX(Roster!$F$6:$F$108,MATCH(D742,Roster!$A$6:$A$108,0))</x:f>
        <x:v>No</x:v>
      </x:c>
      <x:c r="G742" s="14" t="n">
        <x:f>INDEX(Inputs!$B$7:$D$7,1,MATCH(A742,Inputs!$B$6:$D$6,0))</x:f>
        <x:v>13</x:v>
      </x:c>
      <x:c r="H742" s="14" t="n">
        <x:f>MIN(=INDEX(Inputs!$B$7:$D$7,1,MATCH(A742,Inputs!$B$6:$D$6,0)),MAX(0,INDEX(Inputs!$B$14:$D$14,1,MATCH(A742,Inputs!$B$6:$D$6,0))-(C742-1)*=INDEX(Inputs!$B$7:$D$7,1,MATCH(A742,Inputs!$B$6:$D$6,0))))</x:f>
        <x:v>13</x:v>
      </x:c>
      <x:c r="I742" s="20" t="n">
        <x:f>INDEX(Inputs!$B$8:$D$8,1,MATCH(A742,Inputs!$B$6:$D$6,0))</x:f>
        <x:v>2395</x:v>
      </x:c>
      <x:c r="J742" s="20" t="n">
        <x:f>INDEX(Roster!$C$6:$C$108,MATCH(D742,Roster!$A$6:$A$108,0))*(1+INDEX(Inputs!$B$9:$D$9,1,MATCH(A742,Inputs!$B$6:$D$6,0)))</x:f>
        <x:v>100</x:v>
      </x:c>
      <x:c r="K742" s="20" t="n">
        <x:f>IF(=INDEX(Roster!$F$6:$F$108,MATCH(D742,Roster!$A$6:$A$108,0))="Yes",0,=INDEX(Inputs!$B$8:$D$8,1,MATCH(A742,Inputs!$B$6:$D$6,0))*IF(=INDEX(Roster!$B$6:$B$108,MATCH(D742,Roster!$A$6:$A$108,0))="Principal",INDEX(Inputs!$B$10:$D$10,1,MATCH(A742,Inputs!$B$6:$D$6,0)),IF(=INDEX(Roster!$B$6:$B$108,MATCH(D742,Roster!$A$6:$A$108,0))="Associate Principal",INDEX(Inputs!$B$11:$D$11,1,MATCH(A742,Inputs!$B$6:$D$6,0)),IF(=INDEX(Roster!$B$6:$B$108,MATCH(D742,Roster!$A$6:$A$108,0))="Assistant Principal",INDEX(Inputs!$B$12:$D$12,1,MATCH(A742,Inputs!$B$6:$D$6,0)),0))))</x:f>
        <x:v>0</x:v>
      </x:c>
      <x:c r="L742" s="20" t="n">
        <x:f>IF(INDEX(Roster!$D$6:$D$108,MATCH(D742,Roster!$A$6:$A$108,0))&gt;=25,INDEX(Inputs!$B$19:$D$19,1,MATCH(A742,Inputs!$B$6:$D$6,0)),IF(INDEX(Roster!$D$6:$D$108,MATCH(D742,Roster!$A$6:$A$108,0))&gt;=20,INDEX(Inputs!$B$18:$D$18,1,MATCH(A742,Inputs!$B$6:$D$6,0)),IF(INDEX(Roster!$D$6:$D$108,MATCH(D742,Roster!$A$6:$A$108,0))&gt;=15,INDEX(Inputs!$B$17:$D$17,1,MATCH(A742,Inputs!$B$6:$D$6,0)),IF(INDEX(Roster!$D$6:$D$108,MATCH(D742,Roster!$A$6:$A$108,0))&gt;=10,INDEX(Inputs!$B$16:$D$16,1,MATCH(A742,Inputs!$B$6:$D$6,0)),IF(INDEX(Roster!$D$6:$D$108,MATCH(D742,Roster!$A$6:$A$108,0))&gt;=5,INDEX(Inputs!$B$15:$D$15,1,MATCH(A742,Inputs!$B$6:$D$6,0)),0)))))</x:f>
        <x:v>90</x:v>
      </x:c>
      <x:c r="M742" s="20" t="n">
        <x:f>G742*I742</x:f>
        <x:v>31135</x:v>
      </x:c>
      <x:c r="N742" s="20" t="n">
        <x:f>G742*J742</x:f>
        <x:v>1300</x:v>
      </x:c>
      <x:c r="O742" s="20" t="n">
        <x:f>G742*K742</x:f>
        <x:v>0</x:v>
      </x:c>
      <x:c r="P742" s="20" t="n">
        <x:f>G742*L742</x:f>
        <x:v>1170</x:v>
      </x:c>
      <x:c r="Q742" s="20" t="n">
        <x:f>H742*INDEX(Inputs!$B$13:$D$13,1,MATCH(A742,Inputs!$B$6:$D$6,0))</x:f>
        <x:v>390</x:v>
      </x:c>
      <x:c r="R742" s="20" t="n">
        <x:f>SUM(M742:Q742)</x:f>
        <x:v>33995</x:v>
      </x:c>
      <x:c r="S742" s="20" t="n">
        <x:f>IF(AND(A741=A742,D741=D742),S741+R742,R742)</x:f>
        <x:v>33995</x:v>
      </x:c>
      <x:c r="T742" s="20" t="n">
        <x:f>MIN(S742,INDEX(Inputs!$B$20:$D$20,1,MATCH(A742,Inputs!$B$6:$D$6,0)))*INDEX(Inputs!$B$22:$D$22,1,MATCH(A742,Inputs!$B$6:$D$6,0))+MAX(MIN(S742,INDEX(Inputs!$B$21:$D$21,1,MATCH(A742,Inputs!$B$6:$D$6,0)))-INDEX(Inputs!$B$20:$D$20,1,MATCH(A742,Inputs!$B$6:$D$6,0)),0)*INDEX(Inputs!$B$23:$D$23,1,MATCH(A742,Inputs!$B$6:$D$6,0))+MAX(S742-INDEX(Inputs!$B$21:$D$21,1,MATCH(A742,Inputs!$B$6:$D$6,0)),0)*INDEX(Inputs!$B$24:$D$24,1,MATCH(A742,Inputs!$B$6:$D$6,0))</x:f>
        <x:v>3090.6175</x:v>
      </x:c>
      <x:c r="U742" s="20" t="n">
        <x:f>IF(AND(A741=A742,D741=D742),T741,0)</x:f>
        <x:v>0</x:v>
      </x:c>
      <x:c r="V742" s="20" t="n">
        <x:f>T742-U742</x:f>
        <x:v>3090.6175</x:v>
      </x:c>
      <x:c r="W742" s="20" t="n">
        <x:f>R742+V742</x:f>
        <x:v>37085.6175</x:v>
      </x:c>
      <x:c r="X742" s="14" t="str">
        <x:f>IF(ABS(W742-SUM(M742:Q742)-V742)&lt;0.01,"OK","Check")</x:f>
        <x:v>OK</x:v>
      </x:c>
    </x:row>
    <x:row r="743">
      <x:c r="A743" s="14" t="n">
        <x:v>2027</x:v>
      </x:c>
      <x:c r="B743" s="14" t="str">
        <x:v>Q2</x:v>
      </x:c>
      <x:c r="C743" s="14" t="n">
        <x:v>2</x:v>
      </x:c>
      <x:c r="D743" s="14" t="n">
        <x:v>82</x:v>
      </x:c>
      <x:c r="E743" s="14" t="str">
        <x:f>INDEX(Roster!$B$6:$B$108,MATCH(D743,Roster!$A$6:$A$108,0))</x:f>
      </x:c>
      <x:c r="F743" s="14" t="str">
        <x:f>INDEX(Roster!$F$6:$F$108,MATCH(D743,Roster!$A$6:$A$108,0))</x:f>
        <x:v>No</x:v>
      </x:c>
      <x:c r="G743" s="14" t="n">
        <x:f>INDEX(Inputs!$B$7:$D$7,1,MATCH(A743,Inputs!$B$6:$D$6,0))</x:f>
        <x:v>13</x:v>
      </x:c>
      <x:c r="H743" s="14" t="n">
        <x:f>MIN(=INDEX(Inputs!$B$7:$D$7,1,MATCH(A743,Inputs!$B$6:$D$6,0)),MAX(0,INDEX(Inputs!$B$14:$D$14,1,MATCH(A743,Inputs!$B$6:$D$6,0))-(C743-1)*=INDEX(Inputs!$B$7:$D$7,1,MATCH(A743,Inputs!$B$6:$D$6,0))))</x:f>
        <x:v>13</x:v>
      </x:c>
      <x:c r="I743" s="20" t="n">
        <x:f>INDEX(Inputs!$B$8:$D$8,1,MATCH(A743,Inputs!$B$6:$D$6,0))</x:f>
        <x:v>2395</x:v>
      </x:c>
      <x:c r="J743" s="20" t="n">
        <x:f>INDEX(Roster!$C$6:$C$108,MATCH(D743,Roster!$A$6:$A$108,0))*(1+INDEX(Inputs!$B$9:$D$9,1,MATCH(A743,Inputs!$B$6:$D$6,0)))</x:f>
        <x:v>100</x:v>
      </x:c>
      <x:c r="K743" s="20" t="n">
        <x:f>IF(=INDEX(Roster!$F$6:$F$108,MATCH(D743,Roster!$A$6:$A$108,0))="Yes",0,=INDEX(Inputs!$B$8:$D$8,1,MATCH(A743,Inputs!$B$6:$D$6,0))*IF(=INDEX(Roster!$B$6:$B$108,MATCH(D743,Roster!$A$6:$A$108,0))="Principal",INDEX(Inputs!$B$10:$D$10,1,MATCH(A743,Inputs!$B$6:$D$6,0)),IF(=INDEX(Roster!$B$6:$B$108,MATCH(D743,Roster!$A$6:$A$108,0))="Associate Principal",INDEX(Inputs!$B$11:$D$11,1,MATCH(A743,Inputs!$B$6:$D$6,0)),IF(=INDEX(Roster!$B$6:$B$108,MATCH(D743,Roster!$A$6:$A$108,0))="Assistant Principal",INDEX(Inputs!$B$12:$D$12,1,MATCH(A743,Inputs!$B$6:$D$6,0)),0))))</x:f>
        <x:v>0</x:v>
      </x:c>
      <x:c r="L743" s="20" t="n">
        <x:f>IF(INDEX(Roster!$D$6:$D$108,MATCH(D743,Roster!$A$6:$A$108,0))&gt;=25,INDEX(Inputs!$B$19:$D$19,1,MATCH(A743,Inputs!$B$6:$D$6,0)),IF(INDEX(Roster!$D$6:$D$108,MATCH(D743,Roster!$A$6:$A$108,0))&gt;=20,INDEX(Inputs!$B$18:$D$18,1,MATCH(A743,Inputs!$B$6:$D$6,0)),IF(INDEX(Roster!$D$6:$D$108,MATCH(D743,Roster!$A$6:$A$108,0))&gt;=15,INDEX(Inputs!$B$17:$D$17,1,MATCH(A743,Inputs!$B$6:$D$6,0)),IF(INDEX(Roster!$D$6:$D$108,MATCH(D743,Roster!$A$6:$A$108,0))&gt;=10,INDEX(Inputs!$B$16:$D$16,1,MATCH(A743,Inputs!$B$6:$D$6,0)),IF(INDEX(Roster!$D$6:$D$108,MATCH(D743,Roster!$A$6:$A$108,0))&gt;=5,INDEX(Inputs!$B$15:$D$15,1,MATCH(A743,Inputs!$B$6:$D$6,0)),0)))))</x:f>
        <x:v>90</x:v>
      </x:c>
      <x:c r="M743" s="20" t="n">
        <x:f>G743*I743</x:f>
        <x:v>31135</x:v>
      </x:c>
      <x:c r="N743" s="20" t="n">
        <x:f>G743*J743</x:f>
        <x:v>1300</x:v>
      </x:c>
      <x:c r="O743" s="20" t="n">
        <x:f>G743*K743</x:f>
        <x:v>0</x:v>
      </x:c>
      <x:c r="P743" s="20" t="n">
        <x:f>G743*L743</x:f>
        <x:v>1170</x:v>
      </x:c>
      <x:c r="Q743" s="20" t="n">
        <x:f>H743*INDEX(Inputs!$B$13:$D$13,1,MATCH(A743,Inputs!$B$6:$D$6,0))</x:f>
        <x:v>390</x:v>
      </x:c>
      <x:c r="R743" s="20" t="n">
        <x:f>SUM(M743:Q743)</x:f>
        <x:v>33995</x:v>
      </x:c>
      <x:c r="S743" s="20" t="n">
        <x:f>IF(AND(A742=A743,D742=D743),S742+R743,R743)</x:f>
        <x:v>67990</x:v>
      </x:c>
      <x:c r="T743" s="20" t="n">
        <x:f>MIN(S743,INDEX(Inputs!$B$20:$D$20,1,MATCH(A743,Inputs!$B$6:$D$6,0)))*INDEX(Inputs!$B$22:$D$22,1,MATCH(A743,Inputs!$B$6:$D$6,0))+MAX(MIN(S743,INDEX(Inputs!$B$21:$D$21,1,MATCH(A743,Inputs!$B$6:$D$6,0)))-INDEX(Inputs!$B$20:$D$20,1,MATCH(A743,Inputs!$B$6:$D$6,0)),0)*INDEX(Inputs!$B$23:$D$23,1,MATCH(A743,Inputs!$B$6:$D$6,0))+MAX(S743-INDEX(Inputs!$B$21:$D$21,1,MATCH(A743,Inputs!$B$6:$D$6,0)),0)*INDEX(Inputs!$B$24:$D$24,1,MATCH(A743,Inputs!$B$6:$D$6,0))</x:f>
        <x:v>5691.235</x:v>
      </x:c>
      <x:c r="U743" s="20" t="n">
        <x:f>IF(AND(A742=A743,D742=D743),T742,0)</x:f>
        <x:v>3090.6175</x:v>
      </x:c>
      <x:c r="V743" s="20" t="n">
        <x:f>T743-U743</x:f>
        <x:v>2600.6175</x:v>
      </x:c>
      <x:c r="W743" s="20" t="n">
        <x:f>R743+V743</x:f>
        <x:v>36595.6175</x:v>
      </x:c>
      <x:c r="X743" s="14" t="str">
        <x:f>IF(ABS(W743-SUM(M743:Q743)-V743)&lt;0.01,"OK","Check")</x:f>
        <x:v>OK</x:v>
      </x:c>
    </x:row>
    <x:row r="744">
      <x:c r="A744" s="14" t="n">
        <x:v>2027</x:v>
      </x:c>
      <x:c r="B744" s="14" t="str">
        <x:v>Q3</x:v>
      </x:c>
      <x:c r="C744" s="14" t="n">
        <x:v>3</x:v>
      </x:c>
      <x:c r="D744" s="14" t="n">
        <x:v>82</x:v>
      </x:c>
      <x:c r="E744" s="14" t="str">
        <x:f>INDEX(Roster!$B$6:$B$108,MATCH(D744,Roster!$A$6:$A$108,0))</x:f>
      </x:c>
      <x:c r="F744" s="14" t="str">
        <x:f>INDEX(Roster!$F$6:$F$108,MATCH(D744,Roster!$A$6:$A$108,0))</x:f>
        <x:v>No</x:v>
      </x:c>
      <x:c r="G744" s="14" t="n">
        <x:f>INDEX(Inputs!$B$7:$D$7,1,MATCH(A744,Inputs!$B$6:$D$6,0))</x:f>
        <x:v>13</x:v>
      </x:c>
      <x:c r="H744" s="14" t="n">
        <x:f>MIN(=INDEX(Inputs!$B$7:$D$7,1,MATCH(A744,Inputs!$B$6:$D$6,0)),MAX(0,INDEX(Inputs!$B$14:$D$14,1,MATCH(A744,Inputs!$B$6:$D$6,0))-(C744-1)*=INDEX(Inputs!$B$7:$D$7,1,MATCH(A744,Inputs!$B$6:$D$6,0))))</x:f>
        <x:v>13</x:v>
      </x:c>
      <x:c r="I744" s="20" t="n">
        <x:f>INDEX(Inputs!$B$8:$D$8,1,MATCH(A744,Inputs!$B$6:$D$6,0))</x:f>
        <x:v>2395</x:v>
      </x:c>
      <x:c r="J744" s="20" t="n">
        <x:f>INDEX(Roster!$C$6:$C$108,MATCH(D744,Roster!$A$6:$A$108,0))*(1+INDEX(Inputs!$B$9:$D$9,1,MATCH(A744,Inputs!$B$6:$D$6,0)))</x:f>
        <x:v>100</x:v>
      </x:c>
      <x:c r="K744" s="20" t="n">
        <x:f>IF(=INDEX(Roster!$F$6:$F$108,MATCH(D744,Roster!$A$6:$A$108,0))="Yes",0,=INDEX(Inputs!$B$8:$D$8,1,MATCH(A744,Inputs!$B$6:$D$6,0))*IF(=INDEX(Roster!$B$6:$B$108,MATCH(D744,Roster!$A$6:$A$108,0))="Principal",INDEX(Inputs!$B$10:$D$10,1,MATCH(A744,Inputs!$B$6:$D$6,0)),IF(=INDEX(Roster!$B$6:$B$108,MATCH(D744,Roster!$A$6:$A$108,0))="Associate Principal",INDEX(Inputs!$B$11:$D$11,1,MATCH(A744,Inputs!$B$6:$D$6,0)),IF(=INDEX(Roster!$B$6:$B$108,MATCH(D744,Roster!$A$6:$A$108,0))="Assistant Principal",INDEX(Inputs!$B$12:$D$12,1,MATCH(A744,Inputs!$B$6:$D$6,0)),0))))</x:f>
        <x:v>0</x:v>
      </x:c>
      <x:c r="L744" s="20" t="n">
        <x:f>IF(INDEX(Roster!$D$6:$D$108,MATCH(D744,Roster!$A$6:$A$108,0))&gt;=25,INDEX(Inputs!$B$19:$D$19,1,MATCH(A744,Inputs!$B$6:$D$6,0)),IF(INDEX(Roster!$D$6:$D$108,MATCH(D744,Roster!$A$6:$A$108,0))&gt;=20,INDEX(Inputs!$B$18:$D$18,1,MATCH(A744,Inputs!$B$6:$D$6,0)),IF(INDEX(Roster!$D$6:$D$108,MATCH(D744,Roster!$A$6:$A$108,0))&gt;=15,INDEX(Inputs!$B$17:$D$17,1,MATCH(A744,Inputs!$B$6:$D$6,0)),IF(INDEX(Roster!$D$6:$D$108,MATCH(D744,Roster!$A$6:$A$108,0))&gt;=10,INDEX(Inputs!$B$16:$D$16,1,MATCH(A744,Inputs!$B$6:$D$6,0)),IF(INDEX(Roster!$D$6:$D$108,MATCH(D744,Roster!$A$6:$A$108,0))&gt;=5,INDEX(Inputs!$B$15:$D$15,1,MATCH(A744,Inputs!$B$6:$D$6,0)),0)))))</x:f>
        <x:v>90</x:v>
      </x:c>
      <x:c r="M744" s="20" t="n">
        <x:f>G744*I744</x:f>
        <x:v>31135</x:v>
      </x:c>
      <x:c r="N744" s="20" t="n">
        <x:f>G744*J744</x:f>
        <x:v>1300</x:v>
      </x:c>
      <x:c r="O744" s="20" t="n">
        <x:f>G744*K744</x:f>
        <x:v>0</x:v>
      </x:c>
      <x:c r="P744" s="20" t="n">
        <x:f>G744*L744</x:f>
        <x:v>1170</x:v>
      </x:c>
      <x:c r="Q744" s="20" t="n">
        <x:f>H744*INDEX(Inputs!$B$13:$D$13,1,MATCH(A744,Inputs!$B$6:$D$6,0))</x:f>
        <x:v>390</x:v>
      </x:c>
      <x:c r="R744" s="20" t="n">
        <x:f>SUM(M744:Q744)</x:f>
        <x:v>33995</x:v>
      </x:c>
      <x:c r="S744" s="20" t="n">
        <x:f>IF(AND(A743=A744,D743=D744),S743+R744,R744)</x:f>
        <x:v>101985</x:v>
      </x:c>
      <x:c r="T744" s="20" t="n">
        <x:f>MIN(S744,INDEX(Inputs!$B$20:$D$20,1,MATCH(A744,Inputs!$B$6:$D$6,0)))*INDEX(Inputs!$B$22:$D$22,1,MATCH(A744,Inputs!$B$6:$D$6,0))+MAX(MIN(S744,INDEX(Inputs!$B$21:$D$21,1,MATCH(A744,Inputs!$B$6:$D$6,0)))-INDEX(Inputs!$B$20:$D$20,1,MATCH(A744,Inputs!$B$6:$D$6,0)),0)*INDEX(Inputs!$B$23:$D$23,1,MATCH(A744,Inputs!$B$6:$D$6,0))+MAX(S744-INDEX(Inputs!$B$21:$D$21,1,MATCH(A744,Inputs!$B$6:$D$6,0)),0)*INDEX(Inputs!$B$24:$D$24,1,MATCH(A744,Inputs!$B$6:$D$6,0))</x:f>
        <x:v>8291.8525</x:v>
      </x:c>
      <x:c r="U744" s="20" t="n">
        <x:f>IF(AND(A743=A744,D743=D744),T743,0)</x:f>
        <x:v>5691.235</x:v>
      </x:c>
      <x:c r="V744" s="20" t="n">
        <x:f>T744-U744</x:f>
        <x:v>2600.617500000001</x:v>
      </x:c>
      <x:c r="W744" s="20" t="n">
        <x:f>R744+V744</x:f>
        <x:v>36595.6175</x:v>
      </x:c>
      <x:c r="X744" s="14" t="str">
        <x:f>IF(ABS(W744-SUM(M744:Q744)-V744)&lt;0.01,"OK","Check")</x:f>
        <x:v>OK</x:v>
      </x:c>
    </x:row>
    <x:row r="745">
      <x:c r="A745" s="14" t="n">
        <x:v>2027</x:v>
      </x:c>
      <x:c r="B745" s="14" t="str">
        <x:v>Q4</x:v>
      </x:c>
      <x:c r="C745" s="14" t="n">
        <x:v>4</x:v>
      </x:c>
      <x:c r="D745" s="14" t="n">
        <x:v>82</x:v>
      </x:c>
      <x:c r="E745" s="14" t="str">
        <x:f>INDEX(Roster!$B$6:$B$108,MATCH(D745,Roster!$A$6:$A$108,0))</x:f>
      </x:c>
      <x:c r="F745" s="14" t="str">
        <x:f>INDEX(Roster!$F$6:$F$108,MATCH(D745,Roster!$A$6:$A$108,0))</x:f>
        <x:v>No</x:v>
      </x:c>
      <x:c r="G745" s="14" t="n">
        <x:f>INDEX(Inputs!$B$7:$D$7,1,MATCH(A745,Inputs!$B$6:$D$6,0))</x:f>
        <x:v>13</x:v>
      </x:c>
      <x:c r="H745" s="14" t="n">
        <x:f>MIN(=INDEX(Inputs!$B$7:$D$7,1,MATCH(A745,Inputs!$B$6:$D$6,0)),MAX(0,INDEX(Inputs!$B$14:$D$14,1,MATCH(A745,Inputs!$B$6:$D$6,0))-(C745-1)*=INDEX(Inputs!$B$7:$D$7,1,MATCH(A745,Inputs!$B$6:$D$6,0))))</x:f>
        <x:v>0</x:v>
      </x:c>
      <x:c r="I745" s="20" t="n">
        <x:f>INDEX(Inputs!$B$8:$D$8,1,MATCH(A745,Inputs!$B$6:$D$6,0))</x:f>
        <x:v>2395</x:v>
      </x:c>
      <x:c r="J745" s="20" t="n">
        <x:f>INDEX(Roster!$C$6:$C$108,MATCH(D745,Roster!$A$6:$A$108,0))*(1+INDEX(Inputs!$B$9:$D$9,1,MATCH(A745,Inputs!$B$6:$D$6,0)))</x:f>
        <x:v>100</x:v>
      </x:c>
      <x:c r="K745" s="20" t="n">
        <x:f>IF(=INDEX(Roster!$F$6:$F$108,MATCH(D745,Roster!$A$6:$A$108,0))="Yes",0,=INDEX(Inputs!$B$8:$D$8,1,MATCH(A745,Inputs!$B$6:$D$6,0))*IF(=INDEX(Roster!$B$6:$B$108,MATCH(D745,Roster!$A$6:$A$108,0))="Principal",INDEX(Inputs!$B$10:$D$10,1,MATCH(A745,Inputs!$B$6:$D$6,0)),IF(=INDEX(Roster!$B$6:$B$108,MATCH(D745,Roster!$A$6:$A$108,0))="Associate Principal",INDEX(Inputs!$B$11:$D$11,1,MATCH(A745,Inputs!$B$6:$D$6,0)),IF(=INDEX(Roster!$B$6:$B$108,MATCH(D745,Roster!$A$6:$A$108,0))="Assistant Principal",INDEX(Inputs!$B$12:$D$12,1,MATCH(A745,Inputs!$B$6:$D$6,0)),0))))</x:f>
        <x:v>0</x:v>
      </x:c>
      <x:c r="L745" s="20" t="n">
        <x:f>IF(INDEX(Roster!$D$6:$D$108,MATCH(D745,Roster!$A$6:$A$108,0))&gt;=25,INDEX(Inputs!$B$19:$D$19,1,MATCH(A745,Inputs!$B$6:$D$6,0)),IF(INDEX(Roster!$D$6:$D$108,MATCH(D745,Roster!$A$6:$A$108,0))&gt;=20,INDEX(Inputs!$B$18:$D$18,1,MATCH(A745,Inputs!$B$6:$D$6,0)),IF(INDEX(Roster!$D$6:$D$108,MATCH(D745,Roster!$A$6:$A$108,0))&gt;=15,INDEX(Inputs!$B$17:$D$17,1,MATCH(A745,Inputs!$B$6:$D$6,0)),IF(INDEX(Roster!$D$6:$D$108,MATCH(D745,Roster!$A$6:$A$108,0))&gt;=10,INDEX(Inputs!$B$16:$D$16,1,MATCH(A745,Inputs!$B$6:$D$6,0)),IF(INDEX(Roster!$D$6:$D$108,MATCH(D745,Roster!$A$6:$A$108,0))&gt;=5,INDEX(Inputs!$B$15:$D$15,1,MATCH(A745,Inputs!$B$6:$D$6,0)),0)))))</x:f>
        <x:v>90</x:v>
      </x:c>
      <x:c r="M745" s="20" t="n">
        <x:f>G745*I745</x:f>
        <x:v>31135</x:v>
      </x:c>
      <x:c r="N745" s="20" t="n">
        <x:f>G745*J745</x:f>
        <x:v>1300</x:v>
      </x:c>
      <x:c r="O745" s="20" t="n">
        <x:f>G745*K745</x:f>
        <x:v>0</x:v>
      </x:c>
      <x:c r="P745" s="20" t="n">
        <x:f>G745*L745</x:f>
        <x:v>1170</x:v>
      </x:c>
      <x:c r="Q745" s="20" t="n">
        <x:f>H745*INDEX(Inputs!$B$13:$D$13,1,MATCH(A745,Inputs!$B$6:$D$6,0))</x:f>
        <x:v>0</x:v>
      </x:c>
      <x:c r="R745" s="20" t="n">
        <x:f>SUM(M745:Q745)</x:f>
        <x:v>33605</x:v>
      </x:c>
      <x:c r="S745" s="20" t="n">
        <x:f>IF(AND(A744=A745,D744=D745),S744+R745,R745)</x:f>
        <x:v>135590</x:v>
      </x:c>
      <x:c r="T745" s="20" t="n">
        <x:f>MIN(S745,INDEX(Inputs!$B$20:$D$20,1,MATCH(A745,Inputs!$B$6:$D$6,0)))*INDEX(Inputs!$B$22:$D$22,1,MATCH(A745,Inputs!$B$6:$D$6,0))+MAX(MIN(S745,INDEX(Inputs!$B$21:$D$21,1,MATCH(A745,Inputs!$B$6:$D$6,0)))-INDEX(Inputs!$B$20:$D$20,1,MATCH(A745,Inputs!$B$6:$D$6,0)),0)*INDEX(Inputs!$B$23:$D$23,1,MATCH(A745,Inputs!$B$6:$D$6,0))+MAX(S745-INDEX(Inputs!$B$21:$D$21,1,MATCH(A745,Inputs!$B$6:$D$6,0)),0)*INDEX(Inputs!$B$24:$D$24,1,MATCH(A745,Inputs!$B$6:$D$6,0))</x:f>
        <x:v>9879.997</x:v>
      </x:c>
      <x:c r="U745" s="20" t="n">
        <x:f>IF(AND(A744=A745,D744=D745),T744,0)</x:f>
        <x:v>8291.8525</x:v>
      </x:c>
      <x:c r="V745" s="20" t="n">
        <x:f>T745-U745</x:f>
        <x:v>1588.1444999999985</x:v>
      </x:c>
      <x:c r="W745" s="20" t="n">
        <x:f>R745+V745</x:f>
        <x:v>35193.144499999995</x:v>
      </x:c>
      <x:c r="X745" s="14" t="str">
        <x:f>IF(ABS(W745-SUM(M745:Q745)-V745)&lt;0.01,"OK","Check")</x:f>
        <x:v>OK</x:v>
      </x:c>
    </x:row>
    <x:row r="746">
      <x:c r="A746" s="14" t="n">
        <x:v>2027</x:v>
      </x:c>
      <x:c r="B746" s="14" t="str">
        <x:v>Q1</x:v>
      </x:c>
      <x:c r="C746" s="14" t="n">
        <x:v>1</x:v>
      </x:c>
      <x:c r="D746" s="14" t="n">
        <x:v>83</x:v>
      </x:c>
      <x:c r="E746" s="14" t="str">
        <x:f>INDEX(Roster!$B$6:$B$108,MATCH(D746,Roster!$A$6:$A$108,0))</x:f>
      </x:c>
      <x:c r="F746" s="14" t="str">
        <x:f>INDEX(Roster!$F$6:$F$108,MATCH(D746,Roster!$A$6:$A$108,0))</x:f>
        <x:v>No</x:v>
      </x:c>
      <x:c r="G746" s="14" t="n">
        <x:f>INDEX(Inputs!$B$7:$D$7,1,MATCH(A746,Inputs!$B$6:$D$6,0))</x:f>
        <x:v>13</x:v>
      </x:c>
      <x:c r="H746" s="14" t="n">
        <x:f>MIN(=INDEX(Inputs!$B$7:$D$7,1,MATCH(A746,Inputs!$B$6:$D$6,0)),MAX(0,INDEX(Inputs!$B$14:$D$14,1,MATCH(A746,Inputs!$B$6:$D$6,0))-(C746-1)*=INDEX(Inputs!$B$7:$D$7,1,MATCH(A746,Inputs!$B$6:$D$6,0))))</x:f>
        <x:v>13</x:v>
      </x:c>
      <x:c r="I746" s="20" t="n">
        <x:f>INDEX(Inputs!$B$8:$D$8,1,MATCH(A746,Inputs!$B$6:$D$6,0))</x:f>
        <x:v>2395</x:v>
      </x:c>
      <x:c r="J746" s="20" t="n">
        <x:f>INDEX(Roster!$C$6:$C$108,MATCH(D746,Roster!$A$6:$A$108,0))*(1+INDEX(Inputs!$B$9:$D$9,1,MATCH(A746,Inputs!$B$6:$D$6,0)))</x:f>
        <x:v>125</x:v>
      </x:c>
      <x:c r="K746" s="20" t="n">
        <x:f>IF(=INDEX(Roster!$F$6:$F$108,MATCH(D746,Roster!$A$6:$A$108,0))="Yes",0,=INDEX(Inputs!$B$8:$D$8,1,MATCH(A746,Inputs!$B$6:$D$6,0))*IF(=INDEX(Roster!$B$6:$B$108,MATCH(D746,Roster!$A$6:$A$108,0))="Principal",INDEX(Inputs!$B$10:$D$10,1,MATCH(A746,Inputs!$B$6:$D$6,0)),IF(=INDEX(Roster!$B$6:$B$108,MATCH(D746,Roster!$A$6:$A$108,0))="Associate Principal",INDEX(Inputs!$B$11:$D$11,1,MATCH(A746,Inputs!$B$6:$D$6,0)),IF(=INDEX(Roster!$B$6:$B$108,MATCH(D746,Roster!$A$6:$A$108,0))="Assistant Principal",INDEX(Inputs!$B$12:$D$12,1,MATCH(A746,Inputs!$B$6:$D$6,0)),0))))</x:f>
        <x:v>0</x:v>
      </x:c>
      <x:c r="L746" s="20" t="n">
        <x:f>IF(INDEX(Roster!$D$6:$D$108,MATCH(D746,Roster!$A$6:$A$108,0))&gt;=25,INDEX(Inputs!$B$19:$D$19,1,MATCH(A746,Inputs!$B$6:$D$6,0)),IF(INDEX(Roster!$D$6:$D$108,MATCH(D746,Roster!$A$6:$A$108,0))&gt;=20,INDEX(Inputs!$B$18:$D$18,1,MATCH(A746,Inputs!$B$6:$D$6,0)),IF(INDEX(Roster!$D$6:$D$108,MATCH(D746,Roster!$A$6:$A$108,0))&gt;=15,INDEX(Inputs!$B$17:$D$17,1,MATCH(A746,Inputs!$B$6:$D$6,0)),IF(INDEX(Roster!$D$6:$D$108,MATCH(D746,Roster!$A$6:$A$108,0))&gt;=10,INDEX(Inputs!$B$16:$D$16,1,MATCH(A746,Inputs!$B$6:$D$6,0)),IF(INDEX(Roster!$D$6:$D$108,MATCH(D746,Roster!$A$6:$A$108,0))&gt;=5,INDEX(Inputs!$B$15:$D$15,1,MATCH(A746,Inputs!$B$6:$D$6,0)),0)))))</x:f>
        <x:v>90</x:v>
      </x:c>
      <x:c r="M746" s="20" t="n">
        <x:f>G746*I746</x:f>
        <x:v>31135</x:v>
      </x:c>
      <x:c r="N746" s="20" t="n">
        <x:f>G746*J746</x:f>
        <x:v>1625</x:v>
      </x:c>
      <x:c r="O746" s="20" t="n">
        <x:f>G746*K746</x:f>
        <x:v>0</x:v>
      </x:c>
      <x:c r="P746" s="20" t="n">
        <x:f>G746*L746</x:f>
        <x:v>1170</x:v>
      </x:c>
      <x:c r="Q746" s="20" t="n">
        <x:f>H746*INDEX(Inputs!$B$13:$D$13,1,MATCH(A746,Inputs!$B$6:$D$6,0))</x:f>
        <x:v>390</x:v>
      </x:c>
      <x:c r="R746" s="20" t="n">
        <x:f>SUM(M746:Q746)</x:f>
        <x:v>34320</x:v>
      </x:c>
      <x:c r="S746" s="20" t="n">
        <x:f>IF(AND(A745=A746,D745=D746),S745+R746,R746)</x:f>
        <x:v>34320</x:v>
      </x:c>
      <x:c r="T746" s="20" t="n">
        <x:f>MIN(S746,INDEX(Inputs!$B$20:$D$20,1,MATCH(A746,Inputs!$B$6:$D$6,0)))*INDEX(Inputs!$B$22:$D$22,1,MATCH(A746,Inputs!$B$6:$D$6,0))+MAX(MIN(S746,INDEX(Inputs!$B$21:$D$21,1,MATCH(A746,Inputs!$B$6:$D$6,0)))-INDEX(Inputs!$B$20:$D$20,1,MATCH(A746,Inputs!$B$6:$D$6,0)),0)*INDEX(Inputs!$B$23:$D$23,1,MATCH(A746,Inputs!$B$6:$D$6,0))+MAX(S746-INDEX(Inputs!$B$21:$D$21,1,MATCH(A746,Inputs!$B$6:$D$6,0)),0)*INDEX(Inputs!$B$24:$D$24,1,MATCH(A746,Inputs!$B$6:$D$6,0))</x:f>
        <x:v>3115.48</x:v>
      </x:c>
      <x:c r="U746" s="20" t="n">
        <x:f>IF(AND(A745=A746,D745=D746),T745,0)</x:f>
        <x:v>0</x:v>
      </x:c>
      <x:c r="V746" s="20" t="n">
        <x:f>T746-U746</x:f>
        <x:v>3115.48</x:v>
      </x:c>
      <x:c r="W746" s="20" t="n">
        <x:f>R746+V746</x:f>
        <x:v>37435.48</x:v>
      </x:c>
      <x:c r="X746" s="14" t="str">
        <x:f>IF(ABS(W746-SUM(M746:Q746)-V746)&lt;0.01,"OK","Check")</x:f>
        <x:v>OK</x:v>
      </x:c>
    </x:row>
    <x:row r="747">
      <x:c r="A747" s="14" t="n">
        <x:v>2027</x:v>
      </x:c>
      <x:c r="B747" s="14" t="str">
        <x:v>Q2</x:v>
      </x:c>
      <x:c r="C747" s="14" t="n">
        <x:v>2</x:v>
      </x:c>
      <x:c r="D747" s="14" t="n">
        <x:v>83</x:v>
      </x:c>
      <x:c r="E747" s="14" t="str">
        <x:f>INDEX(Roster!$B$6:$B$108,MATCH(D747,Roster!$A$6:$A$108,0))</x:f>
      </x:c>
      <x:c r="F747" s="14" t="str">
        <x:f>INDEX(Roster!$F$6:$F$108,MATCH(D747,Roster!$A$6:$A$108,0))</x:f>
        <x:v>No</x:v>
      </x:c>
      <x:c r="G747" s="14" t="n">
        <x:f>INDEX(Inputs!$B$7:$D$7,1,MATCH(A747,Inputs!$B$6:$D$6,0))</x:f>
        <x:v>13</x:v>
      </x:c>
      <x:c r="H747" s="14" t="n">
        <x:f>MIN(=INDEX(Inputs!$B$7:$D$7,1,MATCH(A747,Inputs!$B$6:$D$6,0)),MAX(0,INDEX(Inputs!$B$14:$D$14,1,MATCH(A747,Inputs!$B$6:$D$6,0))-(C747-1)*=INDEX(Inputs!$B$7:$D$7,1,MATCH(A747,Inputs!$B$6:$D$6,0))))</x:f>
        <x:v>13</x:v>
      </x:c>
      <x:c r="I747" s="20" t="n">
        <x:f>INDEX(Inputs!$B$8:$D$8,1,MATCH(A747,Inputs!$B$6:$D$6,0))</x:f>
        <x:v>2395</x:v>
      </x:c>
      <x:c r="J747" s="20" t="n">
        <x:f>INDEX(Roster!$C$6:$C$108,MATCH(D747,Roster!$A$6:$A$108,0))*(1+INDEX(Inputs!$B$9:$D$9,1,MATCH(A747,Inputs!$B$6:$D$6,0)))</x:f>
        <x:v>125</x:v>
      </x:c>
      <x:c r="K747" s="20" t="n">
        <x:f>IF(=INDEX(Roster!$F$6:$F$108,MATCH(D747,Roster!$A$6:$A$108,0))="Yes",0,=INDEX(Inputs!$B$8:$D$8,1,MATCH(A747,Inputs!$B$6:$D$6,0))*IF(=INDEX(Roster!$B$6:$B$108,MATCH(D747,Roster!$A$6:$A$108,0))="Principal",INDEX(Inputs!$B$10:$D$10,1,MATCH(A747,Inputs!$B$6:$D$6,0)),IF(=INDEX(Roster!$B$6:$B$108,MATCH(D747,Roster!$A$6:$A$108,0))="Associate Principal",INDEX(Inputs!$B$11:$D$11,1,MATCH(A747,Inputs!$B$6:$D$6,0)),IF(=INDEX(Roster!$B$6:$B$108,MATCH(D747,Roster!$A$6:$A$108,0))="Assistant Principal",INDEX(Inputs!$B$12:$D$12,1,MATCH(A747,Inputs!$B$6:$D$6,0)),0))))</x:f>
        <x:v>0</x:v>
      </x:c>
      <x:c r="L747" s="20" t="n">
        <x:f>IF(INDEX(Roster!$D$6:$D$108,MATCH(D747,Roster!$A$6:$A$108,0))&gt;=25,INDEX(Inputs!$B$19:$D$19,1,MATCH(A747,Inputs!$B$6:$D$6,0)),IF(INDEX(Roster!$D$6:$D$108,MATCH(D747,Roster!$A$6:$A$108,0))&gt;=20,INDEX(Inputs!$B$18:$D$18,1,MATCH(A747,Inputs!$B$6:$D$6,0)),IF(INDEX(Roster!$D$6:$D$108,MATCH(D747,Roster!$A$6:$A$108,0))&gt;=15,INDEX(Inputs!$B$17:$D$17,1,MATCH(A747,Inputs!$B$6:$D$6,0)),IF(INDEX(Roster!$D$6:$D$108,MATCH(D747,Roster!$A$6:$A$108,0))&gt;=10,INDEX(Inputs!$B$16:$D$16,1,MATCH(A747,Inputs!$B$6:$D$6,0)),IF(INDEX(Roster!$D$6:$D$108,MATCH(D747,Roster!$A$6:$A$108,0))&gt;=5,INDEX(Inputs!$B$15:$D$15,1,MATCH(A747,Inputs!$B$6:$D$6,0)),0)))))</x:f>
        <x:v>90</x:v>
      </x:c>
      <x:c r="M747" s="20" t="n">
        <x:f>G747*I747</x:f>
        <x:v>31135</x:v>
      </x:c>
      <x:c r="N747" s="20" t="n">
        <x:f>G747*J747</x:f>
        <x:v>1625</x:v>
      </x:c>
      <x:c r="O747" s="20" t="n">
        <x:f>G747*K747</x:f>
        <x:v>0</x:v>
      </x:c>
      <x:c r="P747" s="20" t="n">
        <x:f>G747*L747</x:f>
        <x:v>1170</x:v>
      </x:c>
      <x:c r="Q747" s="20" t="n">
        <x:f>H747*INDEX(Inputs!$B$13:$D$13,1,MATCH(A747,Inputs!$B$6:$D$6,0))</x:f>
        <x:v>390</x:v>
      </x:c>
      <x:c r="R747" s="20" t="n">
        <x:f>SUM(M747:Q747)</x:f>
        <x:v>34320</x:v>
      </x:c>
      <x:c r="S747" s="20" t="n">
        <x:f>IF(AND(A746=A747,D746=D747),S746+R747,R747)</x:f>
        <x:v>68640</x:v>
      </x:c>
      <x:c r="T747" s="20" t="n">
        <x:f>MIN(S747,INDEX(Inputs!$B$20:$D$20,1,MATCH(A747,Inputs!$B$6:$D$6,0)))*INDEX(Inputs!$B$22:$D$22,1,MATCH(A747,Inputs!$B$6:$D$6,0))+MAX(MIN(S747,INDEX(Inputs!$B$21:$D$21,1,MATCH(A747,Inputs!$B$6:$D$6,0)))-INDEX(Inputs!$B$20:$D$20,1,MATCH(A747,Inputs!$B$6:$D$6,0)),0)*INDEX(Inputs!$B$23:$D$23,1,MATCH(A747,Inputs!$B$6:$D$6,0))+MAX(S747-INDEX(Inputs!$B$21:$D$21,1,MATCH(A747,Inputs!$B$6:$D$6,0)),0)*INDEX(Inputs!$B$24:$D$24,1,MATCH(A747,Inputs!$B$6:$D$6,0))</x:f>
        <x:v>5740.96</x:v>
      </x:c>
      <x:c r="U747" s="20" t="n">
        <x:f>IF(AND(A746=A747,D746=D747),T746,0)</x:f>
        <x:v>3115.48</x:v>
      </x:c>
      <x:c r="V747" s="20" t="n">
        <x:f>T747-U747</x:f>
        <x:v>2625.48</x:v>
      </x:c>
      <x:c r="W747" s="20" t="n">
        <x:f>R747+V747</x:f>
        <x:v>36945.48</x:v>
      </x:c>
      <x:c r="X747" s="14" t="str">
        <x:f>IF(ABS(W747-SUM(M747:Q747)-V747)&lt;0.01,"OK","Check")</x:f>
        <x:v>OK</x:v>
      </x:c>
    </x:row>
    <x:row r="748">
      <x:c r="A748" s="14" t="n">
        <x:v>2027</x:v>
      </x:c>
      <x:c r="B748" s="14" t="str">
        <x:v>Q3</x:v>
      </x:c>
      <x:c r="C748" s="14" t="n">
        <x:v>3</x:v>
      </x:c>
      <x:c r="D748" s="14" t="n">
        <x:v>83</x:v>
      </x:c>
      <x:c r="E748" s="14" t="str">
        <x:f>INDEX(Roster!$B$6:$B$108,MATCH(D748,Roster!$A$6:$A$108,0))</x:f>
      </x:c>
      <x:c r="F748" s="14" t="str">
        <x:f>INDEX(Roster!$F$6:$F$108,MATCH(D748,Roster!$A$6:$A$108,0))</x:f>
        <x:v>No</x:v>
      </x:c>
      <x:c r="G748" s="14" t="n">
        <x:f>INDEX(Inputs!$B$7:$D$7,1,MATCH(A748,Inputs!$B$6:$D$6,0))</x:f>
        <x:v>13</x:v>
      </x:c>
      <x:c r="H748" s="14" t="n">
        <x:f>MIN(=INDEX(Inputs!$B$7:$D$7,1,MATCH(A748,Inputs!$B$6:$D$6,0)),MAX(0,INDEX(Inputs!$B$14:$D$14,1,MATCH(A748,Inputs!$B$6:$D$6,0))-(C748-1)*=INDEX(Inputs!$B$7:$D$7,1,MATCH(A748,Inputs!$B$6:$D$6,0))))</x:f>
        <x:v>13</x:v>
      </x:c>
      <x:c r="I748" s="20" t="n">
        <x:f>INDEX(Inputs!$B$8:$D$8,1,MATCH(A748,Inputs!$B$6:$D$6,0))</x:f>
        <x:v>2395</x:v>
      </x:c>
      <x:c r="J748" s="20" t="n">
        <x:f>INDEX(Roster!$C$6:$C$108,MATCH(D748,Roster!$A$6:$A$108,0))*(1+INDEX(Inputs!$B$9:$D$9,1,MATCH(A748,Inputs!$B$6:$D$6,0)))</x:f>
        <x:v>125</x:v>
      </x:c>
      <x:c r="K748" s="20" t="n">
        <x:f>IF(=INDEX(Roster!$F$6:$F$108,MATCH(D748,Roster!$A$6:$A$108,0))="Yes",0,=INDEX(Inputs!$B$8:$D$8,1,MATCH(A748,Inputs!$B$6:$D$6,0))*IF(=INDEX(Roster!$B$6:$B$108,MATCH(D748,Roster!$A$6:$A$108,0))="Principal",INDEX(Inputs!$B$10:$D$10,1,MATCH(A748,Inputs!$B$6:$D$6,0)),IF(=INDEX(Roster!$B$6:$B$108,MATCH(D748,Roster!$A$6:$A$108,0))="Associate Principal",INDEX(Inputs!$B$11:$D$11,1,MATCH(A748,Inputs!$B$6:$D$6,0)),IF(=INDEX(Roster!$B$6:$B$108,MATCH(D748,Roster!$A$6:$A$108,0))="Assistant Principal",INDEX(Inputs!$B$12:$D$12,1,MATCH(A748,Inputs!$B$6:$D$6,0)),0))))</x:f>
        <x:v>0</x:v>
      </x:c>
      <x:c r="L748" s="20" t="n">
        <x:f>IF(INDEX(Roster!$D$6:$D$108,MATCH(D748,Roster!$A$6:$A$108,0))&gt;=25,INDEX(Inputs!$B$19:$D$19,1,MATCH(A748,Inputs!$B$6:$D$6,0)),IF(INDEX(Roster!$D$6:$D$108,MATCH(D748,Roster!$A$6:$A$108,0))&gt;=20,INDEX(Inputs!$B$18:$D$18,1,MATCH(A748,Inputs!$B$6:$D$6,0)),IF(INDEX(Roster!$D$6:$D$108,MATCH(D748,Roster!$A$6:$A$108,0))&gt;=15,INDEX(Inputs!$B$17:$D$17,1,MATCH(A748,Inputs!$B$6:$D$6,0)),IF(INDEX(Roster!$D$6:$D$108,MATCH(D748,Roster!$A$6:$A$108,0))&gt;=10,INDEX(Inputs!$B$16:$D$16,1,MATCH(A748,Inputs!$B$6:$D$6,0)),IF(INDEX(Roster!$D$6:$D$108,MATCH(D748,Roster!$A$6:$A$108,0))&gt;=5,INDEX(Inputs!$B$15:$D$15,1,MATCH(A748,Inputs!$B$6:$D$6,0)),0)))))</x:f>
        <x:v>90</x:v>
      </x:c>
      <x:c r="M748" s="20" t="n">
        <x:f>G748*I748</x:f>
        <x:v>31135</x:v>
      </x:c>
      <x:c r="N748" s="20" t="n">
        <x:f>G748*J748</x:f>
        <x:v>1625</x:v>
      </x:c>
      <x:c r="O748" s="20" t="n">
        <x:f>G748*K748</x:f>
        <x:v>0</x:v>
      </x:c>
      <x:c r="P748" s="20" t="n">
        <x:f>G748*L748</x:f>
        <x:v>1170</x:v>
      </x:c>
      <x:c r="Q748" s="20" t="n">
        <x:f>H748*INDEX(Inputs!$B$13:$D$13,1,MATCH(A748,Inputs!$B$6:$D$6,0))</x:f>
        <x:v>390</x:v>
      </x:c>
      <x:c r="R748" s="20" t="n">
        <x:f>SUM(M748:Q748)</x:f>
        <x:v>34320</x:v>
      </x:c>
      <x:c r="S748" s="20" t="n">
        <x:f>IF(AND(A747=A748,D747=D748),S747+R748,R748)</x:f>
        <x:v>102960</x:v>
      </x:c>
      <x:c r="T748" s="20" t="n">
        <x:f>MIN(S748,INDEX(Inputs!$B$20:$D$20,1,MATCH(A748,Inputs!$B$6:$D$6,0)))*INDEX(Inputs!$B$22:$D$22,1,MATCH(A748,Inputs!$B$6:$D$6,0))+MAX(MIN(S748,INDEX(Inputs!$B$21:$D$21,1,MATCH(A748,Inputs!$B$6:$D$6,0)))-INDEX(Inputs!$B$20:$D$20,1,MATCH(A748,Inputs!$B$6:$D$6,0)),0)*INDEX(Inputs!$B$23:$D$23,1,MATCH(A748,Inputs!$B$6:$D$6,0))+MAX(S748-INDEX(Inputs!$B$21:$D$21,1,MATCH(A748,Inputs!$B$6:$D$6,0)),0)*INDEX(Inputs!$B$24:$D$24,1,MATCH(A748,Inputs!$B$6:$D$6,0))</x:f>
        <x:v>8366.439999999999</x:v>
      </x:c>
      <x:c r="U748" s="20" t="n">
        <x:f>IF(AND(A747=A748,D747=D748),T747,0)</x:f>
        <x:v>5740.96</x:v>
      </x:c>
      <x:c r="V748" s="20" t="n">
        <x:f>T748-U748</x:f>
        <x:v>2625.4799999999987</x:v>
      </x:c>
      <x:c r="W748" s="20" t="n">
        <x:f>R748+V748</x:f>
        <x:v>36945.479999999996</x:v>
      </x:c>
      <x:c r="X748" s="14" t="str">
        <x:f>IF(ABS(W748-SUM(M748:Q748)-V748)&lt;0.01,"OK","Check")</x:f>
        <x:v>OK</x:v>
      </x:c>
    </x:row>
    <x:row r="749">
      <x:c r="A749" s="14" t="n">
        <x:v>2027</x:v>
      </x:c>
      <x:c r="B749" s="14" t="str">
        <x:v>Q4</x:v>
      </x:c>
      <x:c r="C749" s="14" t="n">
        <x:v>4</x:v>
      </x:c>
      <x:c r="D749" s="14" t="n">
        <x:v>83</x:v>
      </x:c>
      <x:c r="E749" s="14" t="str">
        <x:f>INDEX(Roster!$B$6:$B$108,MATCH(D749,Roster!$A$6:$A$108,0))</x:f>
      </x:c>
      <x:c r="F749" s="14" t="str">
        <x:f>INDEX(Roster!$F$6:$F$108,MATCH(D749,Roster!$A$6:$A$108,0))</x:f>
        <x:v>No</x:v>
      </x:c>
      <x:c r="G749" s="14" t="n">
        <x:f>INDEX(Inputs!$B$7:$D$7,1,MATCH(A749,Inputs!$B$6:$D$6,0))</x:f>
        <x:v>13</x:v>
      </x:c>
      <x:c r="H749" s="14" t="n">
        <x:f>MIN(=INDEX(Inputs!$B$7:$D$7,1,MATCH(A749,Inputs!$B$6:$D$6,0)),MAX(0,INDEX(Inputs!$B$14:$D$14,1,MATCH(A749,Inputs!$B$6:$D$6,0))-(C749-1)*=INDEX(Inputs!$B$7:$D$7,1,MATCH(A749,Inputs!$B$6:$D$6,0))))</x:f>
        <x:v>0</x:v>
      </x:c>
      <x:c r="I749" s="20" t="n">
        <x:f>INDEX(Inputs!$B$8:$D$8,1,MATCH(A749,Inputs!$B$6:$D$6,0))</x:f>
        <x:v>2395</x:v>
      </x:c>
      <x:c r="J749" s="20" t="n">
        <x:f>INDEX(Roster!$C$6:$C$108,MATCH(D749,Roster!$A$6:$A$108,0))*(1+INDEX(Inputs!$B$9:$D$9,1,MATCH(A749,Inputs!$B$6:$D$6,0)))</x:f>
        <x:v>125</x:v>
      </x:c>
      <x:c r="K749" s="20" t="n">
        <x:f>IF(=INDEX(Roster!$F$6:$F$108,MATCH(D749,Roster!$A$6:$A$108,0))="Yes",0,=INDEX(Inputs!$B$8:$D$8,1,MATCH(A749,Inputs!$B$6:$D$6,0))*IF(=INDEX(Roster!$B$6:$B$108,MATCH(D749,Roster!$A$6:$A$108,0))="Principal",INDEX(Inputs!$B$10:$D$10,1,MATCH(A749,Inputs!$B$6:$D$6,0)),IF(=INDEX(Roster!$B$6:$B$108,MATCH(D749,Roster!$A$6:$A$108,0))="Associate Principal",INDEX(Inputs!$B$11:$D$11,1,MATCH(A749,Inputs!$B$6:$D$6,0)),IF(=INDEX(Roster!$B$6:$B$108,MATCH(D749,Roster!$A$6:$A$108,0))="Assistant Principal",INDEX(Inputs!$B$12:$D$12,1,MATCH(A749,Inputs!$B$6:$D$6,0)),0))))</x:f>
        <x:v>0</x:v>
      </x:c>
      <x:c r="L749" s="20" t="n">
        <x:f>IF(INDEX(Roster!$D$6:$D$108,MATCH(D749,Roster!$A$6:$A$108,0))&gt;=25,INDEX(Inputs!$B$19:$D$19,1,MATCH(A749,Inputs!$B$6:$D$6,0)),IF(INDEX(Roster!$D$6:$D$108,MATCH(D749,Roster!$A$6:$A$108,0))&gt;=20,INDEX(Inputs!$B$18:$D$18,1,MATCH(A749,Inputs!$B$6:$D$6,0)),IF(INDEX(Roster!$D$6:$D$108,MATCH(D749,Roster!$A$6:$A$108,0))&gt;=15,INDEX(Inputs!$B$17:$D$17,1,MATCH(A749,Inputs!$B$6:$D$6,0)),IF(INDEX(Roster!$D$6:$D$108,MATCH(D749,Roster!$A$6:$A$108,0))&gt;=10,INDEX(Inputs!$B$16:$D$16,1,MATCH(A749,Inputs!$B$6:$D$6,0)),IF(INDEX(Roster!$D$6:$D$108,MATCH(D749,Roster!$A$6:$A$108,0))&gt;=5,INDEX(Inputs!$B$15:$D$15,1,MATCH(A749,Inputs!$B$6:$D$6,0)),0)))))</x:f>
        <x:v>90</x:v>
      </x:c>
      <x:c r="M749" s="20" t="n">
        <x:f>G749*I749</x:f>
        <x:v>31135</x:v>
      </x:c>
      <x:c r="N749" s="20" t="n">
        <x:f>G749*J749</x:f>
        <x:v>1625</x:v>
      </x:c>
      <x:c r="O749" s="20" t="n">
        <x:f>G749*K749</x:f>
        <x:v>0</x:v>
      </x:c>
      <x:c r="P749" s="20" t="n">
        <x:f>G749*L749</x:f>
        <x:v>1170</x:v>
      </x:c>
      <x:c r="Q749" s="20" t="n">
        <x:f>H749*INDEX(Inputs!$B$13:$D$13,1,MATCH(A749,Inputs!$B$6:$D$6,0))</x:f>
        <x:v>0</x:v>
      </x:c>
      <x:c r="R749" s="20" t="n">
        <x:f>SUM(M749:Q749)</x:f>
        <x:v>33930</x:v>
      </x:c>
      <x:c r="S749" s="20" t="n">
        <x:f>IF(AND(A748=A749,D748=D749),S748+R749,R749)</x:f>
        <x:v>136890</x:v>
      </x:c>
      <x:c r="T749" s="20" t="n">
        <x:f>MIN(S749,INDEX(Inputs!$B$20:$D$20,1,MATCH(A749,Inputs!$B$6:$D$6,0)))*INDEX(Inputs!$B$22:$D$22,1,MATCH(A749,Inputs!$B$6:$D$6,0))+MAX(MIN(S749,INDEX(Inputs!$B$21:$D$21,1,MATCH(A749,Inputs!$B$6:$D$6,0)))-INDEX(Inputs!$B$20:$D$20,1,MATCH(A749,Inputs!$B$6:$D$6,0)),0)*INDEX(Inputs!$B$23:$D$23,1,MATCH(A749,Inputs!$B$6:$D$6,0))+MAX(S749-INDEX(Inputs!$B$21:$D$21,1,MATCH(A749,Inputs!$B$6:$D$6,0)),0)*INDEX(Inputs!$B$24:$D$24,1,MATCH(A749,Inputs!$B$6:$D$6,0))</x:f>
        <x:v>9898.847</x:v>
      </x:c>
      <x:c r="U749" s="20" t="n">
        <x:f>IF(AND(A748=A749,D748=D749),T748,0)</x:f>
        <x:v>8366.439999999999</x:v>
      </x:c>
      <x:c r="V749" s="20" t="n">
        <x:f>T749-U749</x:f>
        <x:v>1532.407000000001</x:v>
      </x:c>
      <x:c r="W749" s="20" t="n">
        <x:f>R749+V749</x:f>
        <x:v>35462.407</x:v>
      </x:c>
      <x:c r="X749" s="14" t="str">
        <x:f>IF(ABS(W749-SUM(M749:Q749)-V749)&lt;0.01,"OK","Check")</x:f>
        <x:v>OK</x:v>
      </x:c>
    </x:row>
    <x:row r="750">
      <x:c r="A750" s="14" t="n">
        <x:v>2027</x:v>
      </x:c>
      <x:c r="B750" s="14" t="str">
        <x:v>Q1</x:v>
      </x:c>
      <x:c r="C750" s="14" t="n">
        <x:v>1</x:v>
      </x:c>
      <x:c r="D750" s="14" t="n">
        <x:v>84</x:v>
      </x:c>
      <x:c r="E750" s="14" t="str">
        <x:f>INDEX(Roster!$B$6:$B$108,MATCH(D750,Roster!$A$6:$A$108,0))</x:f>
      </x:c>
      <x:c r="F750" s="14" t="str">
        <x:f>INDEX(Roster!$F$6:$F$108,MATCH(D750,Roster!$A$6:$A$108,0))</x:f>
        <x:v>No</x:v>
      </x:c>
      <x:c r="G750" s="14" t="n">
        <x:f>INDEX(Inputs!$B$7:$D$7,1,MATCH(A750,Inputs!$B$6:$D$6,0))</x:f>
        <x:v>13</x:v>
      </x:c>
      <x:c r="H750" s="14" t="n">
        <x:f>MIN(=INDEX(Inputs!$B$7:$D$7,1,MATCH(A750,Inputs!$B$6:$D$6,0)),MAX(0,INDEX(Inputs!$B$14:$D$14,1,MATCH(A750,Inputs!$B$6:$D$6,0))-(C750-1)*=INDEX(Inputs!$B$7:$D$7,1,MATCH(A750,Inputs!$B$6:$D$6,0))))</x:f>
        <x:v>13</x:v>
      </x:c>
      <x:c r="I750" s="20" t="n">
        <x:f>INDEX(Inputs!$B$8:$D$8,1,MATCH(A750,Inputs!$B$6:$D$6,0))</x:f>
        <x:v>2395</x:v>
      </x:c>
      <x:c r="J750" s="20" t="n">
        <x:f>INDEX(Roster!$C$6:$C$108,MATCH(D750,Roster!$A$6:$A$108,0))*(1+INDEX(Inputs!$B$9:$D$9,1,MATCH(A750,Inputs!$B$6:$D$6,0)))</x:f>
        <x:v>60</x:v>
      </x:c>
      <x:c r="K750" s="20" t="n">
        <x:f>IF(=INDEX(Roster!$F$6:$F$108,MATCH(D750,Roster!$A$6:$A$108,0))="Yes",0,=INDEX(Inputs!$B$8:$D$8,1,MATCH(A750,Inputs!$B$6:$D$6,0))*IF(=INDEX(Roster!$B$6:$B$108,MATCH(D750,Roster!$A$6:$A$108,0))="Principal",INDEX(Inputs!$B$10:$D$10,1,MATCH(A750,Inputs!$B$6:$D$6,0)),IF(=INDEX(Roster!$B$6:$B$108,MATCH(D750,Roster!$A$6:$A$108,0))="Associate Principal",INDEX(Inputs!$B$11:$D$11,1,MATCH(A750,Inputs!$B$6:$D$6,0)),IF(=INDEX(Roster!$B$6:$B$108,MATCH(D750,Roster!$A$6:$A$108,0))="Assistant Principal",INDEX(Inputs!$B$12:$D$12,1,MATCH(A750,Inputs!$B$6:$D$6,0)),0))))</x:f>
        <x:v>0</x:v>
      </x:c>
      <x:c r="L750" s="20" t="n">
        <x:f>IF(INDEX(Roster!$D$6:$D$108,MATCH(D750,Roster!$A$6:$A$108,0))&gt;=25,INDEX(Inputs!$B$19:$D$19,1,MATCH(A750,Inputs!$B$6:$D$6,0)),IF(INDEX(Roster!$D$6:$D$108,MATCH(D750,Roster!$A$6:$A$108,0))&gt;=20,INDEX(Inputs!$B$18:$D$18,1,MATCH(A750,Inputs!$B$6:$D$6,0)),IF(INDEX(Roster!$D$6:$D$108,MATCH(D750,Roster!$A$6:$A$108,0))&gt;=15,INDEX(Inputs!$B$17:$D$17,1,MATCH(A750,Inputs!$B$6:$D$6,0)),IF(INDEX(Roster!$D$6:$D$108,MATCH(D750,Roster!$A$6:$A$108,0))&gt;=10,INDEX(Inputs!$B$16:$D$16,1,MATCH(A750,Inputs!$B$6:$D$6,0)),IF(INDEX(Roster!$D$6:$D$108,MATCH(D750,Roster!$A$6:$A$108,0))&gt;=5,INDEX(Inputs!$B$15:$D$15,1,MATCH(A750,Inputs!$B$6:$D$6,0)),0)))))</x:f>
        <x:v>60</x:v>
      </x:c>
      <x:c r="M750" s="20" t="n">
        <x:f>G750*I750</x:f>
        <x:v>31135</x:v>
      </x:c>
      <x:c r="N750" s="20" t="n">
        <x:f>G750*J750</x:f>
        <x:v>780</x:v>
      </x:c>
      <x:c r="O750" s="20" t="n">
        <x:f>G750*K750</x:f>
        <x:v>0</x:v>
      </x:c>
      <x:c r="P750" s="20" t="n">
        <x:f>G750*L750</x:f>
        <x:v>780</x:v>
      </x:c>
      <x:c r="Q750" s="20" t="n">
        <x:f>H750*INDEX(Inputs!$B$13:$D$13,1,MATCH(A750,Inputs!$B$6:$D$6,0))</x:f>
        <x:v>390</x:v>
      </x:c>
      <x:c r="R750" s="20" t="n">
        <x:f>SUM(M750:Q750)</x:f>
        <x:v>33085</x:v>
      </x:c>
      <x:c r="S750" s="20" t="n">
        <x:f>IF(AND(A749=A750,D749=D750),S749+R750,R750)</x:f>
        <x:v>33085</x:v>
      </x:c>
      <x:c r="T750" s="20" t="n">
        <x:f>MIN(S750,INDEX(Inputs!$B$20:$D$20,1,MATCH(A750,Inputs!$B$6:$D$6,0)))*INDEX(Inputs!$B$22:$D$22,1,MATCH(A750,Inputs!$B$6:$D$6,0))+MAX(MIN(S750,INDEX(Inputs!$B$21:$D$21,1,MATCH(A750,Inputs!$B$6:$D$6,0)))-INDEX(Inputs!$B$20:$D$20,1,MATCH(A750,Inputs!$B$6:$D$6,0)),0)*INDEX(Inputs!$B$23:$D$23,1,MATCH(A750,Inputs!$B$6:$D$6,0))+MAX(S750-INDEX(Inputs!$B$21:$D$21,1,MATCH(A750,Inputs!$B$6:$D$6,0)),0)*INDEX(Inputs!$B$24:$D$24,1,MATCH(A750,Inputs!$B$6:$D$6,0))</x:f>
        <x:v>3021.0025</x:v>
      </x:c>
      <x:c r="U750" s="20" t="n">
        <x:f>IF(AND(A749=A750,D749=D750),T749,0)</x:f>
        <x:v>0</x:v>
      </x:c>
      <x:c r="V750" s="20" t="n">
        <x:f>T750-U750</x:f>
        <x:v>3021.0025</x:v>
      </x:c>
      <x:c r="W750" s="20" t="n">
        <x:f>R750+V750</x:f>
        <x:v>36106.0025</x:v>
      </x:c>
      <x:c r="X750" s="14" t="str">
        <x:f>IF(ABS(W750-SUM(M750:Q750)-V750)&lt;0.01,"OK","Check")</x:f>
        <x:v>OK</x:v>
      </x:c>
    </x:row>
    <x:row r="751">
      <x:c r="A751" s="14" t="n">
        <x:v>2027</x:v>
      </x:c>
      <x:c r="B751" s="14" t="str">
        <x:v>Q2</x:v>
      </x:c>
      <x:c r="C751" s="14" t="n">
        <x:v>2</x:v>
      </x:c>
      <x:c r="D751" s="14" t="n">
        <x:v>84</x:v>
      </x:c>
      <x:c r="E751" s="14" t="str">
        <x:f>INDEX(Roster!$B$6:$B$108,MATCH(D751,Roster!$A$6:$A$108,0))</x:f>
      </x:c>
      <x:c r="F751" s="14" t="str">
        <x:f>INDEX(Roster!$F$6:$F$108,MATCH(D751,Roster!$A$6:$A$108,0))</x:f>
        <x:v>No</x:v>
      </x:c>
      <x:c r="G751" s="14" t="n">
        <x:f>INDEX(Inputs!$B$7:$D$7,1,MATCH(A751,Inputs!$B$6:$D$6,0))</x:f>
        <x:v>13</x:v>
      </x:c>
      <x:c r="H751" s="14" t="n">
        <x:f>MIN(=INDEX(Inputs!$B$7:$D$7,1,MATCH(A751,Inputs!$B$6:$D$6,0)),MAX(0,INDEX(Inputs!$B$14:$D$14,1,MATCH(A751,Inputs!$B$6:$D$6,0))-(C751-1)*=INDEX(Inputs!$B$7:$D$7,1,MATCH(A751,Inputs!$B$6:$D$6,0))))</x:f>
        <x:v>13</x:v>
      </x:c>
      <x:c r="I751" s="20" t="n">
        <x:f>INDEX(Inputs!$B$8:$D$8,1,MATCH(A751,Inputs!$B$6:$D$6,0))</x:f>
        <x:v>2395</x:v>
      </x:c>
      <x:c r="J751" s="20" t="n">
        <x:f>INDEX(Roster!$C$6:$C$108,MATCH(D751,Roster!$A$6:$A$108,0))*(1+INDEX(Inputs!$B$9:$D$9,1,MATCH(A751,Inputs!$B$6:$D$6,0)))</x:f>
        <x:v>60</x:v>
      </x:c>
      <x:c r="K751" s="20" t="n">
        <x:f>IF(=INDEX(Roster!$F$6:$F$108,MATCH(D751,Roster!$A$6:$A$108,0))="Yes",0,=INDEX(Inputs!$B$8:$D$8,1,MATCH(A751,Inputs!$B$6:$D$6,0))*IF(=INDEX(Roster!$B$6:$B$108,MATCH(D751,Roster!$A$6:$A$108,0))="Principal",INDEX(Inputs!$B$10:$D$10,1,MATCH(A751,Inputs!$B$6:$D$6,0)),IF(=INDEX(Roster!$B$6:$B$108,MATCH(D751,Roster!$A$6:$A$108,0))="Associate Principal",INDEX(Inputs!$B$11:$D$11,1,MATCH(A751,Inputs!$B$6:$D$6,0)),IF(=INDEX(Roster!$B$6:$B$108,MATCH(D751,Roster!$A$6:$A$108,0))="Assistant Principal",INDEX(Inputs!$B$12:$D$12,1,MATCH(A751,Inputs!$B$6:$D$6,0)),0))))</x:f>
        <x:v>0</x:v>
      </x:c>
      <x:c r="L751" s="20" t="n">
        <x:f>IF(INDEX(Roster!$D$6:$D$108,MATCH(D751,Roster!$A$6:$A$108,0))&gt;=25,INDEX(Inputs!$B$19:$D$19,1,MATCH(A751,Inputs!$B$6:$D$6,0)),IF(INDEX(Roster!$D$6:$D$108,MATCH(D751,Roster!$A$6:$A$108,0))&gt;=20,INDEX(Inputs!$B$18:$D$18,1,MATCH(A751,Inputs!$B$6:$D$6,0)),IF(INDEX(Roster!$D$6:$D$108,MATCH(D751,Roster!$A$6:$A$108,0))&gt;=15,INDEX(Inputs!$B$17:$D$17,1,MATCH(A751,Inputs!$B$6:$D$6,0)),IF(INDEX(Roster!$D$6:$D$108,MATCH(D751,Roster!$A$6:$A$108,0))&gt;=10,INDEX(Inputs!$B$16:$D$16,1,MATCH(A751,Inputs!$B$6:$D$6,0)),IF(INDEX(Roster!$D$6:$D$108,MATCH(D751,Roster!$A$6:$A$108,0))&gt;=5,INDEX(Inputs!$B$15:$D$15,1,MATCH(A751,Inputs!$B$6:$D$6,0)),0)))))</x:f>
        <x:v>60</x:v>
      </x:c>
      <x:c r="M751" s="20" t="n">
        <x:f>G751*I751</x:f>
        <x:v>31135</x:v>
      </x:c>
      <x:c r="N751" s="20" t="n">
        <x:f>G751*J751</x:f>
        <x:v>780</x:v>
      </x:c>
      <x:c r="O751" s="20" t="n">
        <x:f>G751*K751</x:f>
        <x:v>0</x:v>
      </x:c>
      <x:c r="P751" s="20" t="n">
        <x:f>G751*L751</x:f>
        <x:v>780</x:v>
      </x:c>
      <x:c r="Q751" s="20" t="n">
        <x:f>H751*INDEX(Inputs!$B$13:$D$13,1,MATCH(A751,Inputs!$B$6:$D$6,0))</x:f>
        <x:v>390</x:v>
      </x:c>
      <x:c r="R751" s="20" t="n">
        <x:f>SUM(M751:Q751)</x:f>
        <x:v>33085</x:v>
      </x:c>
      <x:c r="S751" s="20" t="n">
        <x:f>IF(AND(A750=A751,D750=D751),S750+R751,R751)</x:f>
        <x:v>66170</x:v>
      </x:c>
      <x:c r="T751" s="20" t="n">
        <x:f>MIN(S751,INDEX(Inputs!$B$20:$D$20,1,MATCH(A751,Inputs!$B$6:$D$6,0)))*INDEX(Inputs!$B$22:$D$22,1,MATCH(A751,Inputs!$B$6:$D$6,0))+MAX(MIN(S751,INDEX(Inputs!$B$21:$D$21,1,MATCH(A751,Inputs!$B$6:$D$6,0)))-INDEX(Inputs!$B$20:$D$20,1,MATCH(A751,Inputs!$B$6:$D$6,0)),0)*INDEX(Inputs!$B$23:$D$23,1,MATCH(A751,Inputs!$B$6:$D$6,0))+MAX(S751-INDEX(Inputs!$B$21:$D$21,1,MATCH(A751,Inputs!$B$6:$D$6,0)),0)*INDEX(Inputs!$B$24:$D$24,1,MATCH(A751,Inputs!$B$6:$D$6,0))</x:f>
        <x:v>5552.005</x:v>
      </x:c>
      <x:c r="U751" s="20" t="n">
        <x:f>IF(AND(A750=A751,D750=D751),T750,0)</x:f>
        <x:v>3021.0025</x:v>
      </x:c>
      <x:c r="V751" s="20" t="n">
        <x:f>T751-U751</x:f>
        <x:v>2531.0025</x:v>
      </x:c>
      <x:c r="W751" s="20" t="n">
        <x:f>R751+V751</x:f>
        <x:v>35616.0025</x:v>
      </x:c>
      <x:c r="X751" s="14" t="str">
        <x:f>IF(ABS(W751-SUM(M751:Q751)-V751)&lt;0.01,"OK","Check")</x:f>
        <x:v>OK</x:v>
      </x:c>
    </x:row>
    <x:row r="752">
      <x:c r="A752" s="14" t="n">
        <x:v>2027</x:v>
      </x:c>
      <x:c r="B752" s="14" t="str">
        <x:v>Q3</x:v>
      </x:c>
      <x:c r="C752" s="14" t="n">
        <x:v>3</x:v>
      </x:c>
      <x:c r="D752" s="14" t="n">
        <x:v>84</x:v>
      </x:c>
      <x:c r="E752" s="14" t="str">
        <x:f>INDEX(Roster!$B$6:$B$108,MATCH(D752,Roster!$A$6:$A$108,0))</x:f>
      </x:c>
      <x:c r="F752" s="14" t="str">
        <x:f>INDEX(Roster!$F$6:$F$108,MATCH(D752,Roster!$A$6:$A$108,0))</x:f>
        <x:v>No</x:v>
      </x:c>
      <x:c r="G752" s="14" t="n">
        <x:f>INDEX(Inputs!$B$7:$D$7,1,MATCH(A752,Inputs!$B$6:$D$6,0))</x:f>
        <x:v>13</x:v>
      </x:c>
      <x:c r="H752" s="14" t="n">
        <x:f>MIN(=INDEX(Inputs!$B$7:$D$7,1,MATCH(A752,Inputs!$B$6:$D$6,0)),MAX(0,INDEX(Inputs!$B$14:$D$14,1,MATCH(A752,Inputs!$B$6:$D$6,0))-(C752-1)*=INDEX(Inputs!$B$7:$D$7,1,MATCH(A752,Inputs!$B$6:$D$6,0))))</x:f>
        <x:v>13</x:v>
      </x:c>
      <x:c r="I752" s="20" t="n">
        <x:f>INDEX(Inputs!$B$8:$D$8,1,MATCH(A752,Inputs!$B$6:$D$6,0))</x:f>
        <x:v>2395</x:v>
      </x:c>
      <x:c r="J752" s="20" t="n">
        <x:f>INDEX(Roster!$C$6:$C$108,MATCH(D752,Roster!$A$6:$A$108,0))*(1+INDEX(Inputs!$B$9:$D$9,1,MATCH(A752,Inputs!$B$6:$D$6,0)))</x:f>
        <x:v>60</x:v>
      </x:c>
      <x:c r="K752" s="20" t="n">
        <x:f>IF(=INDEX(Roster!$F$6:$F$108,MATCH(D752,Roster!$A$6:$A$108,0))="Yes",0,=INDEX(Inputs!$B$8:$D$8,1,MATCH(A752,Inputs!$B$6:$D$6,0))*IF(=INDEX(Roster!$B$6:$B$108,MATCH(D752,Roster!$A$6:$A$108,0))="Principal",INDEX(Inputs!$B$10:$D$10,1,MATCH(A752,Inputs!$B$6:$D$6,0)),IF(=INDEX(Roster!$B$6:$B$108,MATCH(D752,Roster!$A$6:$A$108,0))="Associate Principal",INDEX(Inputs!$B$11:$D$11,1,MATCH(A752,Inputs!$B$6:$D$6,0)),IF(=INDEX(Roster!$B$6:$B$108,MATCH(D752,Roster!$A$6:$A$108,0))="Assistant Principal",INDEX(Inputs!$B$12:$D$12,1,MATCH(A752,Inputs!$B$6:$D$6,0)),0))))</x:f>
        <x:v>0</x:v>
      </x:c>
      <x:c r="L752" s="20" t="n">
        <x:f>IF(INDEX(Roster!$D$6:$D$108,MATCH(D752,Roster!$A$6:$A$108,0))&gt;=25,INDEX(Inputs!$B$19:$D$19,1,MATCH(A752,Inputs!$B$6:$D$6,0)),IF(INDEX(Roster!$D$6:$D$108,MATCH(D752,Roster!$A$6:$A$108,0))&gt;=20,INDEX(Inputs!$B$18:$D$18,1,MATCH(A752,Inputs!$B$6:$D$6,0)),IF(INDEX(Roster!$D$6:$D$108,MATCH(D752,Roster!$A$6:$A$108,0))&gt;=15,INDEX(Inputs!$B$17:$D$17,1,MATCH(A752,Inputs!$B$6:$D$6,0)),IF(INDEX(Roster!$D$6:$D$108,MATCH(D752,Roster!$A$6:$A$108,0))&gt;=10,INDEX(Inputs!$B$16:$D$16,1,MATCH(A752,Inputs!$B$6:$D$6,0)),IF(INDEX(Roster!$D$6:$D$108,MATCH(D752,Roster!$A$6:$A$108,0))&gt;=5,INDEX(Inputs!$B$15:$D$15,1,MATCH(A752,Inputs!$B$6:$D$6,0)),0)))))</x:f>
        <x:v>60</x:v>
      </x:c>
      <x:c r="M752" s="20" t="n">
        <x:f>G752*I752</x:f>
        <x:v>31135</x:v>
      </x:c>
      <x:c r="N752" s="20" t="n">
        <x:f>G752*J752</x:f>
        <x:v>780</x:v>
      </x:c>
      <x:c r="O752" s="20" t="n">
        <x:f>G752*K752</x:f>
        <x:v>0</x:v>
      </x:c>
      <x:c r="P752" s="20" t="n">
        <x:f>G752*L752</x:f>
        <x:v>780</x:v>
      </x:c>
      <x:c r="Q752" s="20" t="n">
        <x:f>H752*INDEX(Inputs!$B$13:$D$13,1,MATCH(A752,Inputs!$B$6:$D$6,0))</x:f>
        <x:v>390</x:v>
      </x:c>
      <x:c r="R752" s="20" t="n">
        <x:f>SUM(M752:Q752)</x:f>
        <x:v>33085</x:v>
      </x:c>
      <x:c r="S752" s="20" t="n">
        <x:f>IF(AND(A751=A752,D751=D752),S751+R752,R752)</x:f>
        <x:v>99255</x:v>
      </x:c>
      <x:c r="T752" s="20" t="n">
        <x:f>MIN(S752,INDEX(Inputs!$B$20:$D$20,1,MATCH(A752,Inputs!$B$6:$D$6,0)))*INDEX(Inputs!$B$22:$D$22,1,MATCH(A752,Inputs!$B$6:$D$6,0))+MAX(MIN(S752,INDEX(Inputs!$B$21:$D$21,1,MATCH(A752,Inputs!$B$6:$D$6,0)))-INDEX(Inputs!$B$20:$D$20,1,MATCH(A752,Inputs!$B$6:$D$6,0)),0)*INDEX(Inputs!$B$23:$D$23,1,MATCH(A752,Inputs!$B$6:$D$6,0))+MAX(S752-INDEX(Inputs!$B$21:$D$21,1,MATCH(A752,Inputs!$B$6:$D$6,0)),0)*INDEX(Inputs!$B$24:$D$24,1,MATCH(A752,Inputs!$B$6:$D$6,0))</x:f>
        <x:v>8083.0075</x:v>
      </x:c>
      <x:c r="U752" s="20" t="n">
        <x:f>IF(AND(A751=A752,D751=D752),T751,0)</x:f>
        <x:v>5552.005</x:v>
      </x:c>
      <x:c r="V752" s="20" t="n">
        <x:f>T752-U752</x:f>
        <x:v>2531.0024999999996</x:v>
      </x:c>
      <x:c r="W752" s="20" t="n">
        <x:f>R752+V752</x:f>
        <x:v>35616.0025</x:v>
      </x:c>
      <x:c r="X752" s="14" t="str">
        <x:f>IF(ABS(W752-SUM(M752:Q752)-V752)&lt;0.01,"OK","Check")</x:f>
        <x:v>OK</x:v>
      </x:c>
    </x:row>
    <x:row r="753">
      <x:c r="A753" s="14" t="n">
        <x:v>2027</x:v>
      </x:c>
      <x:c r="B753" s="14" t="str">
        <x:v>Q4</x:v>
      </x:c>
      <x:c r="C753" s="14" t="n">
        <x:v>4</x:v>
      </x:c>
      <x:c r="D753" s="14" t="n">
        <x:v>84</x:v>
      </x:c>
      <x:c r="E753" s="14" t="str">
        <x:f>INDEX(Roster!$B$6:$B$108,MATCH(D753,Roster!$A$6:$A$108,0))</x:f>
      </x:c>
      <x:c r="F753" s="14" t="str">
        <x:f>INDEX(Roster!$F$6:$F$108,MATCH(D753,Roster!$A$6:$A$108,0))</x:f>
        <x:v>No</x:v>
      </x:c>
      <x:c r="G753" s="14" t="n">
        <x:f>INDEX(Inputs!$B$7:$D$7,1,MATCH(A753,Inputs!$B$6:$D$6,0))</x:f>
        <x:v>13</x:v>
      </x:c>
      <x:c r="H753" s="14" t="n">
        <x:f>MIN(=INDEX(Inputs!$B$7:$D$7,1,MATCH(A753,Inputs!$B$6:$D$6,0)),MAX(0,INDEX(Inputs!$B$14:$D$14,1,MATCH(A753,Inputs!$B$6:$D$6,0))-(C753-1)*=INDEX(Inputs!$B$7:$D$7,1,MATCH(A753,Inputs!$B$6:$D$6,0))))</x:f>
        <x:v>0</x:v>
      </x:c>
      <x:c r="I753" s="20" t="n">
        <x:f>INDEX(Inputs!$B$8:$D$8,1,MATCH(A753,Inputs!$B$6:$D$6,0))</x:f>
        <x:v>2395</x:v>
      </x:c>
      <x:c r="J753" s="20" t="n">
        <x:f>INDEX(Roster!$C$6:$C$108,MATCH(D753,Roster!$A$6:$A$108,0))*(1+INDEX(Inputs!$B$9:$D$9,1,MATCH(A753,Inputs!$B$6:$D$6,0)))</x:f>
        <x:v>60</x:v>
      </x:c>
      <x:c r="K753" s="20" t="n">
        <x:f>IF(=INDEX(Roster!$F$6:$F$108,MATCH(D753,Roster!$A$6:$A$108,0))="Yes",0,=INDEX(Inputs!$B$8:$D$8,1,MATCH(A753,Inputs!$B$6:$D$6,0))*IF(=INDEX(Roster!$B$6:$B$108,MATCH(D753,Roster!$A$6:$A$108,0))="Principal",INDEX(Inputs!$B$10:$D$10,1,MATCH(A753,Inputs!$B$6:$D$6,0)),IF(=INDEX(Roster!$B$6:$B$108,MATCH(D753,Roster!$A$6:$A$108,0))="Associate Principal",INDEX(Inputs!$B$11:$D$11,1,MATCH(A753,Inputs!$B$6:$D$6,0)),IF(=INDEX(Roster!$B$6:$B$108,MATCH(D753,Roster!$A$6:$A$108,0))="Assistant Principal",INDEX(Inputs!$B$12:$D$12,1,MATCH(A753,Inputs!$B$6:$D$6,0)),0))))</x:f>
        <x:v>0</x:v>
      </x:c>
      <x:c r="L753" s="20" t="n">
        <x:f>IF(INDEX(Roster!$D$6:$D$108,MATCH(D753,Roster!$A$6:$A$108,0))&gt;=25,INDEX(Inputs!$B$19:$D$19,1,MATCH(A753,Inputs!$B$6:$D$6,0)),IF(INDEX(Roster!$D$6:$D$108,MATCH(D753,Roster!$A$6:$A$108,0))&gt;=20,INDEX(Inputs!$B$18:$D$18,1,MATCH(A753,Inputs!$B$6:$D$6,0)),IF(INDEX(Roster!$D$6:$D$108,MATCH(D753,Roster!$A$6:$A$108,0))&gt;=15,INDEX(Inputs!$B$17:$D$17,1,MATCH(A753,Inputs!$B$6:$D$6,0)),IF(INDEX(Roster!$D$6:$D$108,MATCH(D753,Roster!$A$6:$A$108,0))&gt;=10,INDEX(Inputs!$B$16:$D$16,1,MATCH(A753,Inputs!$B$6:$D$6,0)),IF(INDEX(Roster!$D$6:$D$108,MATCH(D753,Roster!$A$6:$A$108,0))&gt;=5,INDEX(Inputs!$B$15:$D$15,1,MATCH(A753,Inputs!$B$6:$D$6,0)),0)))))</x:f>
        <x:v>60</x:v>
      </x:c>
      <x:c r="M753" s="20" t="n">
        <x:f>G753*I753</x:f>
        <x:v>31135</x:v>
      </x:c>
      <x:c r="N753" s="20" t="n">
        <x:f>G753*J753</x:f>
        <x:v>780</x:v>
      </x:c>
      <x:c r="O753" s="20" t="n">
        <x:f>G753*K753</x:f>
        <x:v>0</x:v>
      </x:c>
      <x:c r="P753" s="20" t="n">
        <x:f>G753*L753</x:f>
        <x:v>780</x:v>
      </x:c>
      <x:c r="Q753" s="20" t="n">
        <x:f>H753*INDEX(Inputs!$B$13:$D$13,1,MATCH(A753,Inputs!$B$6:$D$6,0))</x:f>
        <x:v>0</x:v>
      </x:c>
      <x:c r="R753" s="20" t="n">
        <x:f>SUM(M753:Q753)</x:f>
        <x:v>32695</x:v>
      </x:c>
      <x:c r="S753" s="20" t="n">
        <x:f>IF(AND(A752=A753,D752=D753),S752+R753,R753)</x:f>
        <x:v>131950</x:v>
      </x:c>
      <x:c r="T753" s="20" t="n">
        <x:f>MIN(S753,INDEX(Inputs!$B$20:$D$20,1,MATCH(A753,Inputs!$B$6:$D$6,0)))*INDEX(Inputs!$B$22:$D$22,1,MATCH(A753,Inputs!$B$6:$D$6,0))+MAX(MIN(S753,INDEX(Inputs!$B$21:$D$21,1,MATCH(A753,Inputs!$B$6:$D$6,0)))-INDEX(Inputs!$B$20:$D$20,1,MATCH(A753,Inputs!$B$6:$D$6,0)),0)*INDEX(Inputs!$B$23:$D$23,1,MATCH(A753,Inputs!$B$6:$D$6,0))+MAX(S753-INDEX(Inputs!$B$21:$D$21,1,MATCH(A753,Inputs!$B$6:$D$6,0)),0)*INDEX(Inputs!$B$24:$D$24,1,MATCH(A753,Inputs!$B$6:$D$6,0))</x:f>
        <x:v>9827.217</x:v>
      </x:c>
      <x:c r="U753" s="20" t="n">
        <x:f>IF(AND(A752=A753,D752=D753),T752,0)</x:f>
        <x:v>8083.0075</x:v>
      </x:c>
      <x:c r="V753" s="20" t="n">
        <x:f>T753-U753</x:f>
        <x:v>1744.2095000000008</x:v>
      </x:c>
      <x:c r="W753" s="20" t="n">
        <x:f>R753+V753</x:f>
        <x:v>34439.2095</x:v>
      </x:c>
      <x:c r="X753" s="14" t="str">
        <x:f>IF(ABS(W753-SUM(M753:Q753)-V753)&lt;0.01,"OK","Check")</x:f>
        <x:v>OK</x:v>
      </x:c>
    </x:row>
    <x:row r="754">
      <x:c r="A754" s="14" t="n">
        <x:v>2027</x:v>
      </x:c>
      <x:c r="B754" s="14" t="str">
        <x:v>Q1</x:v>
      </x:c>
      <x:c r="C754" s="14" t="n">
        <x:v>1</x:v>
      </x:c>
      <x:c r="D754" s="14" t="n">
        <x:v>85</x:v>
      </x:c>
      <x:c r="E754" s="14" t="str">
        <x:f>INDEX(Roster!$B$6:$B$108,MATCH(D754,Roster!$A$6:$A$108,0))</x:f>
      </x:c>
      <x:c r="F754" s="14" t="str">
        <x:f>INDEX(Roster!$F$6:$F$108,MATCH(D754,Roster!$A$6:$A$108,0))</x:f>
        <x:v>No</x:v>
      </x:c>
      <x:c r="G754" s="14" t="n">
        <x:f>INDEX(Inputs!$B$7:$D$7,1,MATCH(A754,Inputs!$B$6:$D$6,0))</x:f>
        <x:v>13</x:v>
      </x:c>
      <x:c r="H754" s="14" t="n">
        <x:f>MIN(=INDEX(Inputs!$B$7:$D$7,1,MATCH(A754,Inputs!$B$6:$D$6,0)),MAX(0,INDEX(Inputs!$B$14:$D$14,1,MATCH(A754,Inputs!$B$6:$D$6,0))-(C754-1)*=INDEX(Inputs!$B$7:$D$7,1,MATCH(A754,Inputs!$B$6:$D$6,0))))</x:f>
        <x:v>13</x:v>
      </x:c>
      <x:c r="I754" s="20" t="n">
        <x:f>INDEX(Inputs!$B$8:$D$8,1,MATCH(A754,Inputs!$B$6:$D$6,0))</x:f>
        <x:v>2395</x:v>
      </x:c>
      <x:c r="J754" s="20" t="n">
        <x:f>INDEX(Roster!$C$6:$C$108,MATCH(D754,Roster!$A$6:$A$108,0))*(1+INDEX(Inputs!$B$9:$D$9,1,MATCH(A754,Inputs!$B$6:$D$6,0)))</x:f>
        <x:v>204</x:v>
      </x:c>
      <x:c r="K754" s="20" t="n">
        <x:f>IF(=INDEX(Roster!$F$6:$F$108,MATCH(D754,Roster!$A$6:$A$108,0))="Yes",0,=INDEX(Inputs!$B$8:$D$8,1,MATCH(A754,Inputs!$B$6:$D$6,0))*IF(=INDEX(Roster!$B$6:$B$108,MATCH(D754,Roster!$A$6:$A$108,0))="Principal",INDEX(Inputs!$B$10:$D$10,1,MATCH(A754,Inputs!$B$6:$D$6,0)),IF(=INDEX(Roster!$B$6:$B$108,MATCH(D754,Roster!$A$6:$A$108,0))="Associate Principal",INDEX(Inputs!$B$11:$D$11,1,MATCH(A754,Inputs!$B$6:$D$6,0)),IF(=INDEX(Roster!$B$6:$B$108,MATCH(D754,Roster!$A$6:$A$108,0))="Assistant Principal",INDEX(Inputs!$B$12:$D$12,1,MATCH(A754,Inputs!$B$6:$D$6,0)),0))))</x:f>
        <x:v>0</x:v>
      </x:c>
      <x:c r="L754" s="20" t="n">
        <x:f>IF(INDEX(Roster!$D$6:$D$108,MATCH(D754,Roster!$A$6:$A$108,0))&gt;=25,INDEX(Inputs!$B$19:$D$19,1,MATCH(A754,Inputs!$B$6:$D$6,0)),IF(INDEX(Roster!$D$6:$D$108,MATCH(D754,Roster!$A$6:$A$108,0))&gt;=20,INDEX(Inputs!$B$18:$D$18,1,MATCH(A754,Inputs!$B$6:$D$6,0)),IF(INDEX(Roster!$D$6:$D$108,MATCH(D754,Roster!$A$6:$A$108,0))&gt;=15,INDEX(Inputs!$B$17:$D$17,1,MATCH(A754,Inputs!$B$6:$D$6,0)),IF(INDEX(Roster!$D$6:$D$108,MATCH(D754,Roster!$A$6:$A$108,0))&gt;=10,INDEX(Inputs!$B$16:$D$16,1,MATCH(A754,Inputs!$B$6:$D$6,0)),IF(INDEX(Roster!$D$6:$D$108,MATCH(D754,Roster!$A$6:$A$108,0))&gt;=5,INDEX(Inputs!$B$15:$D$15,1,MATCH(A754,Inputs!$B$6:$D$6,0)),0)))))</x:f>
        <x:v>90</x:v>
      </x:c>
      <x:c r="M754" s="20" t="n">
        <x:f>G754*I754</x:f>
        <x:v>31135</x:v>
      </x:c>
      <x:c r="N754" s="20" t="n">
        <x:f>G754*J754</x:f>
        <x:v>2652</x:v>
      </x:c>
      <x:c r="O754" s="20" t="n">
        <x:f>G754*K754</x:f>
        <x:v>0</x:v>
      </x:c>
      <x:c r="P754" s="20" t="n">
        <x:f>G754*L754</x:f>
        <x:v>1170</x:v>
      </x:c>
      <x:c r="Q754" s="20" t="n">
        <x:f>H754*INDEX(Inputs!$B$13:$D$13,1,MATCH(A754,Inputs!$B$6:$D$6,0))</x:f>
        <x:v>390</x:v>
      </x:c>
      <x:c r="R754" s="20" t="n">
        <x:f>SUM(M754:Q754)</x:f>
        <x:v>35347</x:v>
      </x:c>
      <x:c r="S754" s="20" t="n">
        <x:f>IF(AND(A753=A754,D753=D754),S753+R754,R754)</x:f>
        <x:v>35347</x:v>
      </x:c>
      <x:c r="T754" s="20" t="n">
        <x:f>MIN(S754,INDEX(Inputs!$B$20:$D$20,1,MATCH(A754,Inputs!$B$6:$D$6,0)))*INDEX(Inputs!$B$22:$D$22,1,MATCH(A754,Inputs!$B$6:$D$6,0))+MAX(MIN(S754,INDEX(Inputs!$B$21:$D$21,1,MATCH(A754,Inputs!$B$6:$D$6,0)))-INDEX(Inputs!$B$20:$D$20,1,MATCH(A754,Inputs!$B$6:$D$6,0)),0)*INDEX(Inputs!$B$23:$D$23,1,MATCH(A754,Inputs!$B$6:$D$6,0))+MAX(S754-INDEX(Inputs!$B$21:$D$21,1,MATCH(A754,Inputs!$B$6:$D$6,0)),0)*INDEX(Inputs!$B$24:$D$24,1,MATCH(A754,Inputs!$B$6:$D$6,0))</x:f>
        <x:v>3194.0455</x:v>
      </x:c>
      <x:c r="U754" s="20" t="n">
        <x:f>IF(AND(A753=A754,D753=D754),T753,0)</x:f>
        <x:v>0</x:v>
      </x:c>
      <x:c r="V754" s="20" t="n">
        <x:f>T754-U754</x:f>
        <x:v>3194.0455</x:v>
      </x:c>
      <x:c r="W754" s="20" t="n">
        <x:f>R754+V754</x:f>
        <x:v>38541.0455</x:v>
      </x:c>
      <x:c r="X754" s="14" t="str">
        <x:f>IF(ABS(W754-SUM(M754:Q754)-V754)&lt;0.01,"OK","Check")</x:f>
        <x:v>OK</x:v>
      </x:c>
    </x:row>
    <x:row r="755">
      <x:c r="A755" s="14" t="n">
        <x:v>2027</x:v>
      </x:c>
      <x:c r="B755" s="14" t="str">
        <x:v>Q2</x:v>
      </x:c>
      <x:c r="C755" s="14" t="n">
        <x:v>2</x:v>
      </x:c>
      <x:c r="D755" s="14" t="n">
        <x:v>85</x:v>
      </x:c>
      <x:c r="E755" s="14" t="str">
        <x:f>INDEX(Roster!$B$6:$B$108,MATCH(D755,Roster!$A$6:$A$108,0))</x:f>
      </x:c>
      <x:c r="F755" s="14" t="str">
        <x:f>INDEX(Roster!$F$6:$F$108,MATCH(D755,Roster!$A$6:$A$108,0))</x:f>
        <x:v>No</x:v>
      </x:c>
      <x:c r="G755" s="14" t="n">
        <x:f>INDEX(Inputs!$B$7:$D$7,1,MATCH(A755,Inputs!$B$6:$D$6,0))</x:f>
        <x:v>13</x:v>
      </x:c>
      <x:c r="H755" s="14" t="n">
        <x:f>MIN(=INDEX(Inputs!$B$7:$D$7,1,MATCH(A755,Inputs!$B$6:$D$6,0)),MAX(0,INDEX(Inputs!$B$14:$D$14,1,MATCH(A755,Inputs!$B$6:$D$6,0))-(C755-1)*=INDEX(Inputs!$B$7:$D$7,1,MATCH(A755,Inputs!$B$6:$D$6,0))))</x:f>
        <x:v>13</x:v>
      </x:c>
      <x:c r="I755" s="20" t="n">
        <x:f>INDEX(Inputs!$B$8:$D$8,1,MATCH(A755,Inputs!$B$6:$D$6,0))</x:f>
        <x:v>2395</x:v>
      </x:c>
      <x:c r="J755" s="20" t="n">
        <x:f>INDEX(Roster!$C$6:$C$108,MATCH(D755,Roster!$A$6:$A$108,0))*(1+INDEX(Inputs!$B$9:$D$9,1,MATCH(A755,Inputs!$B$6:$D$6,0)))</x:f>
        <x:v>204</x:v>
      </x:c>
      <x:c r="K755" s="20" t="n">
        <x:f>IF(=INDEX(Roster!$F$6:$F$108,MATCH(D755,Roster!$A$6:$A$108,0))="Yes",0,=INDEX(Inputs!$B$8:$D$8,1,MATCH(A755,Inputs!$B$6:$D$6,0))*IF(=INDEX(Roster!$B$6:$B$108,MATCH(D755,Roster!$A$6:$A$108,0))="Principal",INDEX(Inputs!$B$10:$D$10,1,MATCH(A755,Inputs!$B$6:$D$6,0)),IF(=INDEX(Roster!$B$6:$B$108,MATCH(D755,Roster!$A$6:$A$108,0))="Associate Principal",INDEX(Inputs!$B$11:$D$11,1,MATCH(A755,Inputs!$B$6:$D$6,0)),IF(=INDEX(Roster!$B$6:$B$108,MATCH(D755,Roster!$A$6:$A$108,0))="Assistant Principal",INDEX(Inputs!$B$12:$D$12,1,MATCH(A755,Inputs!$B$6:$D$6,0)),0))))</x:f>
        <x:v>0</x:v>
      </x:c>
      <x:c r="L755" s="20" t="n">
        <x:f>IF(INDEX(Roster!$D$6:$D$108,MATCH(D755,Roster!$A$6:$A$108,0))&gt;=25,INDEX(Inputs!$B$19:$D$19,1,MATCH(A755,Inputs!$B$6:$D$6,0)),IF(INDEX(Roster!$D$6:$D$108,MATCH(D755,Roster!$A$6:$A$108,0))&gt;=20,INDEX(Inputs!$B$18:$D$18,1,MATCH(A755,Inputs!$B$6:$D$6,0)),IF(INDEX(Roster!$D$6:$D$108,MATCH(D755,Roster!$A$6:$A$108,0))&gt;=15,INDEX(Inputs!$B$17:$D$17,1,MATCH(A755,Inputs!$B$6:$D$6,0)),IF(INDEX(Roster!$D$6:$D$108,MATCH(D755,Roster!$A$6:$A$108,0))&gt;=10,INDEX(Inputs!$B$16:$D$16,1,MATCH(A755,Inputs!$B$6:$D$6,0)),IF(INDEX(Roster!$D$6:$D$108,MATCH(D755,Roster!$A$6:$A$108,0))&gt;=5,INDEX(Inputs!$B$15:$D$15,1,MATCH(A755,Inputs!$B$6:$D$6,0)),0)))))</x:f>
        <x:v>90</x:v>
      </x:c>
      <x:c r="M755" s="20" t="n">
        <x:f>G755*I755</x:f>
        <x:v>31135</x:v>
      </x:c>
      <x:c r="N755" s="20" t="n">
        <x:f>G755*J755</x:f>
        <x:v>2652</x:v>
      </x:c>
      <x:c r="O755" s="20" t="n">
        <x:f>G755*K755</x:f>
        <x:v>0</x:v>
      </x:c>
      <x:c r="P755" s="20" t="n">
        <x:f>G755*L755</x:f>
        <x:v>1170</x:v>
      </x:c>
      <x:c r="Q755" s="20" t="n">
        <x:f>H755*INDEX(Inputs!$B$13:$D$13,1,MATCH(A755,Inputs!$B$6:$D$6,0))</x:f>
        <x:v>390</x:v>
      </x:c>
      <x:c r="R755" s="20" t="n">
        <x:f>SUM(M755:Q755)</x:f>
        <x:v>35347</x:v>
      </x:c>
      <x:c r="S755" s="20" t="n">
        <x:f>IF(AND(A754=A755,D754=D755),S754+R755,R755)</x:f>
        <x:v>70694</x:v>
      </x:c>
      <x:c r="T755" s="20" t="n">
        <x:f>MIN(S755,INDEX(Inputs!$B$20:$D$20,1,MATCH(A755,Inputs!$B$6:$D$6,0)))*INDEX(Inputs!$B$22:$D$22,1,MATCH(A755,Inputs!$B$6:$D$6,0))+MAX(MIN(S755,INDEX(Inputs!$B$21:$D$21,1,MATCH(A755,Inputs!$B$6:$D$6,0)))-INDEX(Inputs!$B$20:$D$20,1,MATCH(A755,Inputs!$B$6:$D$6,0)),0)*INDEX(Inputs!$B$23:$D$23,1,MATCH(A755,Inputs!$B$6:$D$6,0))+MAX(S755-INDEX(Inputs!$B$21:$D$21,1,MATCH(A755,Inputs!$B$6:$D$6,0)),0)*INDEX(Inputs!$B$24:$D$24,1,MATCH(A755,Inputs!$B$6:$D$6,0))</x:f>
        <x:v>5898.091</x:v>
      </x:c>
      <x:c r="U755" s="20" t="n">
        <x:f>IF(AND(A754=A755,D754=D755),T754,0)</x:f>
        <x:v>3194.0455</x:v>
      </x:c>
      <x:c r="V755" s="20" t="n">
        <x:f>T755-U755</x:f>
        <x:v>2704.0455</x:v>
      </x:c>
      <x:c r="W755" s="20" t="n">
        <x:f>R755+V755</x:f>
        <x:v>38051.0455</x:v>
      </x:c>
      <x:c r="X755" s="14" t="str">
        <x:f>IF(ABS(W755-SUM(M755:Q755)-V755)&lt;0.01,"OK","Check")</x:f>
        <x:v>OK</x:v>
      </x:c>
    </x:row>
    <x:row r="756">
      <x:c r="A756" s="14" t="n">
        <x:v>2027</x:v>
      </x:c>
      <x:c r="B756" s="14" t="str">
        <x:v>Q3</x:v>
      </x:c>
      <x:c r="C756" s="14" t="n">
        <x:v>3</x:v>
      </x:c>
      <x:c r="D756" s="14" t="n">
        <x:v>85</x:v>
      </x:c>
      <x:c r="E756" s="14" t="str">
        <x:f>INDEX(Roster!$B$6:$B$108,MATCH(D756,Roster!$A$6:$A$108,0))</x:f>
      </x:c>
      <x:c r="F756" s="14" t="str">
        <x:f>INDEX(Roster!$F$6:$F$108,MATCH(D756,Roster!$A$6:$A$108,0))</x:f>
        <x:v>No</x:v>
      </x:c>
      <x:c r="G756" s="14" t="n">
        <x:f>INDEX(Inputs!$B$7:$D$7,1,MATCH(A756,Inputs!$B$6:$D$6,0))</x:f>
        <x:v>13</x:v>
      </x:c>
      <x:c r="H756" s="14" t="n">
        <x:f>MIN(=INDEX(Inputs!$B$7:$D$7,1,MATCH(A756,Inputs!$B$6:$D$6,0)),MAX(0,INDEX(Inputs!$B$14:$D$14,1,MATCH(A756,Inputs!$B$6:$D$6,0))-(C756-1)*=INDEX(Inputs!$B$7:$D$7,1,MATCH(A756,Inputs!$B$6:$D$6,0))))</x:f>
        <x:v>13</x:v>
      </x:c>
      <x:c r="I756" s="20" t="n">
        <x:f>INDEX(Inputs!$B$8:$D$8,1,MATCH(A756,Inputs!$B$6:$D$6,0))</x:f>
        <x:v>2395</x:v>
      </x:c>
      <x:c r="J756" s="20" t="n">
        <x:f>INDEX(Roster!$C$6:$C$108,MATCH(D756,Roster!$A$6:$A$108,0))*(1+INDEX(Inputs!$B$9:$D$9,1,MATCH(A756,Inputs!$B$6:$D$6,0)))</x:f>
        <x:v>204</x:v>
      </x:c>
      <x:c r="K756" s="20" t="n">
        <x:f>IF(=INDEX(Roster!$F$6:$F$108,MATCH(D756,Roster!$A$6:$A$108,0))="Yes",0,=INDEX(Inputs!$B$8:$D$8,1,MATCH(A756,Inputs!$B$6:$D$6,0))*IF(=INDEX(Roster!$B$6:$B$108,MATCH(D756,Roster!$A$6:$A$108,0))="Principal",INDEX(Inputs!$B$10:$D$10,1,MATCH(A756,Inputs!$B$6:$D$6,0)),IF(=INDEX(Roster!$B$6:$B$108,MATCH(D756,Roster!$A$6:$A$108,0))="Associate Principal",INDEX(Inputs!$B$11:$D$11,1,MATCH(A756,Inputs!$B$6:$D$6,0)),IF(=INDEX(Roster!$B$6:$B$108,MATCH(D756,Roster!$A$6:$A$108,0))="Assistant Principal",INDEX(Inputs!$B$12:$D$12,1,MATCH(A756,Inputs!$B$6:$D$6,0)),0))))</x:f>
        <x:v>0</x:v>
      </x:c>
      <x:c r="L756" s="20" t="n">
        <x:f>IF(INDEX(Roster!$D$6:$D$108,MATCH(D756,Roster!$A$6:$A$108,0))&gt;=25,INDEX(Inputs!$B$19:$D$19,1,MATCH(A756,Inputs!$B$6:$D$6,0)),IF(INDEX(Roster!$D$6:$D$108,MATCH(D756,Roster!$A$6:$A$108,0))&gt;=20,INDEX(Inputs!$B$18:$D$18,1,MATCH(A756,Inputs!$B$6:$D$6,0)),IF(INDEX(Roster!$D$6:$D$108,MATCH(D756,Roster!$A$6:$A$108,0))&gt;=15,INDEX(Inputs!$B$17:$D$17,1,MATCH(A756,Inputs!$B$6:$D$6,0)),IF(INDEX(Roster!$D$6:$D$108,MATCH(D756,Roster!$A$6:$A$108,0))&gt;=10,INDEX(Inputs!$B$16:$D$16,1,MATCH(A756,Inputs!$B$6:$D$6,0)),IF(INDEX(Roster!$D$6:$D$108,MATCH(D756,Roster!$A$6:$A$108,0))&gt;=5,INDEX(Inputs!$B$15:$D$15,1,MATCH(A756,Inputs!$B$6:$D$6,0)),0)))))</x:f>
        <x:v>90</x:v>
      </x:c>
      <x:c r="M756" s="20" t="n">
        <x:f>G756*I756</x:f>
        <x:v>31135</x:v>
      </x:c>
      <x:c r="N756" s="20" t="n">
        <x:f>G756*J756</x:f>
        <x:v>2652</x:v>
      </x:c>
      <x:c r="O756" s="20" t="n">
        <x:f>G756*K756</x:f>
        <x:v>0</x:v>
      </x:c>
      <x:c r="P756" s="20" t="n">
        <x:f>G756*L756</x:f>
        <x:v>1170</x:v>
      </x:c>
      <x:c r="Q756" s="20" t="n">
        <x:f>H756*INDEX(Inputs!$B$13:$D$13,1,MATCH(A756,Inputs!$B$6:$D$6,0))</x:f>
        <x:v>390</x:v>
      </x:c>
      <x:c r="R756" s="20" t="n">
        <x:f>SUM(M756:Q756)</x:f>
        <x:v>35347</x:v>
      </x:c>
      <x:c r="S756" s="20" t="n">
        <x:f>IF(AND(A755=A756,D755=D756),S755+R756,R756)</x:f>
        <x:v>106041</x:v>
      </x:c>
      <x:c r="T756" s="20" t="n">
        <x:f>MIN(S756,INDEX(Inputs!$B$20:$D$20,1,MATCH(A756,Inputs!$B$6:$D$6,0)))*INDEX(Inputs!$B$22:$D$22,1,MATCH(A756,Inputs!$B$6:$D$6,0))+MAX(MIN(S756,INDEX(Inputs!$B$21:$D$21,1,MATCH(A756,Inputs!$B$6:$D$6,0)))-INDEX(Inputs!$B$20:$D$20,1,MATCH(A756,Inputs!$B$6:$D$6,0)),0)*INDEX(Inputs!$B$23:$D$23,1,MATCH(A756,Inputs!$B$6:$D$6,0))+MAX(S756-INDEX(Inputs!$B$21:$D$21,1,MATCH(A756,Inputs!$B$6:$D$6,0)),0)*INDEX(Inputs!$B$24:$D$24,1,MATCH(A756,Inputs!$B$6:$D$6,0))</x:f>
        <x:v>8602.1365</x:v>
      </x:c>
      <x:c r="U756" s="20" t="n">
        <x:f>IF(AND(A755=A756,D755=D756),T755,0)</x:f>
        <x:v>5898.091</x:v>
      </x:c>
      <x:c r="V756" s="20" t="n">
        <x:f>T756-U756</x:f>
        <x:v>2704.0455</x:v>
      </x:c>
      <x:c r="W756" s="20" t="n">
        <x:f>R756+V756</x:f>
        <x:v>38051.0455</x:v>
      </x:c>
      <x:c r="X756" s="14" t="str">
        <x:f>IF(ABS(W756-SUM(M756:Q756)-V756)&lt;0.01,"OK","Check")</x:f>
        <x:v>OK</x:v>
      </x:c>
    </x:row>
    <x:row r="757">
      <x:c r="A757" s="14" t="n">
        <x:v>2027</x:v>
      </x:c>
      <x:c r="B757" s="14" t="str">
        <x:v>Q4</x:v>
      </x:c>
      <x:c r="C757" s="14" t="n">
        <x:v>4</x:v>
      </x:c>
      <x:c r="D757" s="14" t="n">
        <x:v>85</x:v>
      </x:c>
      <x:c r="E757" s="14" t="str">
        <x:f>INDEX(Roster!$B$6:$B$108,MATCH(D757,Roster!$A$6:$A$108,0))</x:f>
      </x:c>
      <x:c r="F757" s="14" t="str">
        <x:f>INDEX(Roster!$F$6:$F$108,MATCH(D757,Roster!$A$6:$A$108,0))</x:f>
        <x:v>No</x:v>
      </x:c>
      <x:c r="G757" s="14" t="n">
        <x:f>INDEX(Inputs!$B$7:$D$7,1,MATCH(A757,Inputs!$B$6:$D$6,0))</x:f>
        <x:v>13</x:v>
      </x:c>
      <x:c r="H757" s="14" t="n">
        <x:f>MIN(=INDEX(Inputs!$B$7:$D$7,1,MATCH(A757,Inputs!$B$6:$D$6,0)),MAX(0,INDEX(Inputs!$B$14:$D$14,1,MATCH(A757,Inputs!$B$6:$D$6,0))-(C757-1)*=INDEX(Inputs!$B$7:$D$7,1,MATCH(A757,Inputs!$B$6:$D$6,0))))</x:f>
        <x:v>0</x:v>
      </x:c>
      <x:c r="I757" s="20" t="n">
        <x:f>INDEX(Inputs!$B$8:$D$8,1,MATCH(A757,Inputs!$B$6:$D$6,0))</x:f>
        <x:v>2395</x:v>
      </x:c>
      <x:c r="J757" s="20" t="n">
        <x:f>INDEX(Roster!$C$6:$C$108,MATCH(D757,Roster!$A$6:$A$108,0))*(1+INDEX(Inputs!$B$9:$D$9,1,MATCH(A757,Inputs!$B$6:$D$6,0)))</x:f>
        <x:v>204</x:v>
      </x:c>
      <x:c r="K757" s="20" t="n">
        <x:f>IF(=INDEX(Roster!$F$6:$F$108,MATCH(D757,Roster!$A$6:$A$108,0))="Yes",0,=INDEX(Inputs!$B$8:$D$8,1,MATCH(A757,Inputs!$B$6:$D$6,0))*IF(=INDEX(Roster!$B$6:$B$108,MATCH(D757,Roster!$A$6:$A$108,0))="Principal",INDEX(Inputs!$B$10:$D$10,1,MATCH(A757,Inputs!$B$6:$D$6,0)),IF(=INDEX(Roster!$B$6:$B$108,MATCH(D757,Roster!$A$6:$A$108,0))="Associate Principal",INDEX(Inputs!$B$11:$D$11,1,MATCH(A757,Inputs!$B$6:$D$6,0)),IF(=INDEX(Roster!$B$6:$B$108,MATCH(D757,Roster!$A$6:$A$108,0))="Assistant Principal",INDEX(Inputs!$B$12:$D$12,1,MATCH(A757,Inputs!$B$6:$D$6,0)),0))))</x:f>
        <x:v>0</x:v>
      </x:c>
      <x:c r="L757" s="20" t="n">
        <x:f>IF(INDEX(Roster!$D$6:$D$108,MATCH(D757,Roster!$A$6:$A$108,0))&gt;=25,INDEX(Inputs!$B$19:$D$19,1,MATCH(A757,Inputs!$B$6:$D$6,0)),IF(INDEX(Roster!$D$6:$D$108,MATCH(D757,Roster!$A$6:$A$108,0))&gt;=20,INDEX(Inputs!$B$18:$D$18,1,MATCH(A757,Inputs!$B$6:$D$6,0)),IF(INDEX(Roster!$D$6:$D$108,MATCH(D757,Roster!$A$6:$A$108,0))&gt;=15,INDEX(Inputs!$B$17:$D$17,1,MATCH(A757,Inputs!$B$6:$D$6,0)),IF(INDEX(Roster!$D$6:$D$108,MATCH(D757,Roster!$A$6:$A$108,0))&gt;=10,INDEX(Inputs!$B$16:$D$16,1,MATCH(A757,Inputs!$B$6:$D$6,0)),IF(INDEX(Roster!$D$6:$D$108,MATCH(D757,Roster!$A$6:$A$108,0))&gt;=5,INDEX(Inputs!$B$15:$D$15,1,MATCH(A757,Inputs!$B$6:$D$6,0)),0)))))</x:f>
        <x:v>90</x:v>
      </x:c>
      <x:c r="M757" s="20" t="n">
        <x:f>G757*I757</x:f>
        <x:v>31135</x:v>
      </x:c>
      <x:c r="N757" s="20" t="n">
        <x:f>G757*J757</x:f>
        <x:v>2652</x:v>
      </x:c>
      <x:c r="O757" s="20" t="n">
        <x:f>G757*K757</x:f>
        <x:v>0</x:v>
      </x:c>
      <x:c r="P757" s="20" t="n">
        <x:f>G757*L757</x:f>
        <x:v>1170</x:v>
      </x:c>
      <x:c r="Q757" s="20" t="n">
        <x:f>H757*INDEX(Inputs!$B$13:$D$13,1,MATCH(A757,Inputs!$B$6:$D$6,0))</x:f>
        <x:v>0</x:v>
      </x:c>
      <x:c r="R757" s="20" t="n">
        <x:f>SUM(M757:Q757)</x:f>
        <x:v>34957</x:v>
      </x:c>
      <x:c r="S757" s="20" t="n">
        <x:f>IF(AND(A756=A757,D756=D757),S756+R757,R757)</x:f>
        <x:v>140998</x:v>
      </x:c>
      <x:c r="T757" s="20" t="n">
        <x:f>MIN(S757,INDEX(Inputs!$B$20:$D$20,1,MATCH(A757,Inputs!$B$6:$D$6,0)))*INDEX(Inputs!$B$22:$D$22,1,MATCH(A757,Inputs!$B$6:$D$6,0))+MAX(MIN(S757,INDEX(Inputs!$B$21:$D$21,1,MATCH(A757,Inputs!$B$6:$D$6,0)))-INDEX(Inputs!$B$20:$D$20,1,MATCH(A757,Inputs!$B$6:$D$6,0)),0)*INDEX(Inputs!$B$23:$D$23,1,MATCH(A757,Inputs!$B$6:$D$6,0))+MAX(S757-INDEX(Inputs!$B$21:$D$21,1,MATCH(A757,Inputs!$B$6:$D$6,0)),0)*INDEX(Inputs!$B$24:$D$24,1,MATCH(A757,Inputs!$B$6:$D$6,0))</x:f>
        <x:v>9958.413</x:v>
      </x:c>
      <x:c r="U757" s="20" t="n">
        <x:f>IF(AND(A756=A757,D756=D757),T756,0)</x:f>
        <x:v>8602.1365</x:v>
      </x:c>
      <x:c r="V757" s="20" t="n">
        <x:f>T757-U757</x:f>
        <x:v>1356.2765</x:v>
      </x:c>
      <x:c r="W757" s="20" t="n">
        <x:f>R757+V757</x:f>
        <x:v>36313.2765</x:v>
      </x:c>
      <x:c r="X757" s="14" t="str">
        <x:f>IF(ABS(W757-SUM(M757:Q757)-V757)&lt;0.01,"OK","Check")</x:f>
        <x:v>OK</x:v>
      </x:c>
    </x:row>
    <x:row r="758">
      <x:c r="A758" s="14" t="n">
        <x:v>2027</x:v>
      </x:c>
      <x:c r="B758" s="14" t="str">
        <x:v>Q1</x:v>
      </x:c>
      <x:c r="C758" s="14" t="n">
        <x:v>1</x:v>
      </x:c>
      <x:c r="D758" s="14" t="n">
        <x:v>86</x:v>
      </x:c>
      <x:c r="E758" s="14" t="str">
        <x:f>INDEX(Roster!$B$6:$B$108,MATCH(D758,Roster!$A$6:$A$108,0))</x:f>
      </x:c>
      <x:c r="F758" s="14" t="str">
        <x:f>INDEX(Roster!$F$6:$F$108,MATCH(D758,Roster!$A$6:$A$108,0))</x:f>
        <x:v>No</x:v>
      </x:c>
      <x:c r="G758" s="14" t="n">
        <x:f>INDEX(Inputs!$B$7:$D$7,1,MATCH(A758,Inputs!$B$6:$D$6,0))</x:f>
        <x:v>13</x:v>
      </x:c>
      <x:c r="H758" s="14" t="n">
        <x:f>MIN(=INDEX(Inputs!$B$7:$D$7,1,MATCH(A758,Inputs!$B$6:$D$6,0)),MAX(0,INDEX(Inputs!$B$14:$D$14,1,MATCH(A758,Inputs!$B$6:$D$6,0))-(C758-1)*=INDEX(Inputs!$B$7:$D$7,1,MATCH(A758,Inputs!$B$6:$D$6,0))))</x:f>
        <x:v>13</x:v>
      </x:c>
      <x:c r="I758" s="20" t="n">
        <x:f>INDEX(Inputs!$B$8:$D$8,1,MATCH(A758,Inputs!$B$6:$D$6,0))</x:f>
        <x:v>2395</x:v>
      </x:c>
      <x:c r="J758" s="20" t="n">
        <x:f>INDEX(Roster!$C$6:$C$108,MATCH(D758,Roster!$A$6:$A$108,0))*(1+INDEX(Inputs!$B$9:$D$9,1,MATCH(A758,Inputs!$B$6:$D$6,0)))</x:f>
        <x:v>75</x:v>
      </x:c>
      <x:c r="K758" s="20" t="n">
        <x:f>IF(=INDEX(Roster!$F$6:$F$108,MATCH(D758,Roster!$A$6:$A$108,0))="Yes",0,=INDEX(Inputs!$B$8:$D$8,1,MATCH(A758,Inputs!$B$6:$D$6,0))*IF(=INDEX(Roster!$B$6:$B$108,MATCH(D758,Roster!$A$6:$A$108,0))="Principal",INDEX(Inputs!$B$10:$D$10,1,MATCH(A758,Inputs!$B$6:$D$6,0)),IF(=INDEX(Roster!$B$6:$B$108,MATCH(D758,Roster!$A$6:$A$108,0))="Associate Principal",INDEX(Inputs!$B$11:$D$11,1,MATCH(A758,Inputs!$B$6:$D$6,0)),IF(=INDEX(Roster!$B$6:$B$108,MATCH(D758,Roster!$A$6:$A$108,0))="Assistant Principal",INDEX(Inputs!$B$12:$D$12,1,MATCH(A758,Inputs!$B$6:$D$6,0)),0))))</x:f>
        <x:v>0</x:v>
      </x:c>
      <x:c r="L758" s="20" t="n">
        <x:f>IF(INDEX(Roster!$D$6:$D$108,MATCH(D758,Roster!$A$6:$A$108,0))&gt;=25,INDEX(Inputs!$B$19:$D$19,1,MATCH(A758,Inputs!$B$6:$D$6,0)),IF(INDEX(Roster!$D$6:$D$108,MATCH(D758,Roster!$A$6:$A$108,0))&gt;=20,INDEX(Inputs!$B$18:$D$18,1,MATCH(A758,Inputs!$B$6:$D$6,0)),IF(INDEX(Roster!$D$6:$D$108,MATCH(D758,Roster!$A$6:$A$108,0))&gt;=15,INDEX(Inputs!$B$17:$D$17,1,MATCH(A758,Inputs!$B$6:$D$6,0)),IF(INDEX(Roster!$D$6:$D$108,MATCH(D758,Roster!$A$6:$A$108,0))&gt;=10,INDEX(Inputs!$B$16:$D$16,1,MATCH(A758,Inputs!$B$6:$D$6,0)),IF(INDEX(Roster!$D$6:$D$108,MATCH(D758,Roster!$A$6:$A$108,0))&gt;=5,INDEX(Inputs!$B$15:$D$15,1,MATCH(A758,Inputs!$B$6:$D$6,0)),0)))))</x:f>
        <x:v>90</x:v>
      </x:c>
      <x:c r="M758" s="20" t="n">
        <x:f>G758*I758</x:f>
        <x:v>31135</x:v>
      </x:c>
      <x:c r="N758" s="20" t="n">
        <x:f>G758*J758</x:f>
        <x:v>975</x:v>
      </x:c>
      <x:c r="O758" s="20" t="n">
        <x:f>G758*K758</x:f>
        <x:v>0</x:v>
      </x:c>
      <x:c r="P758" s="20" t="n">
        <x:f>G758*L758</x:f>
        <x:v>1170</x:v>
      </x:c>
      <x:c r="Q758" s="20" t="n">
        <x:f>H758*INDEX(Inputs!$B$13:$D$13,1,MATCH(A758,Inputs!$B$6:$D$6,0))</x:f>
        <x:v>390</x:v>
      </x:c>
      <x:c r="R758" s="20" t="n">
        <x:f>SUM(M758:Q758)</x:f>
        <x:v>33670</x:v>
      </x:c>
      <x:c r="S758" s="20" t="n">
        <x:f>IF(AND(A757=A758,D757=D758),S757+R758,R758)</x:f>
        <x:v>33670</x:v>
      </x:c>
      <x:c r="T758" s="20" t="n">
        <x:f>MIN(S758,INDEX(Inputs!$B$20:$D$20,1,MATCH(A758,Inputs!$B$6:$D$6,0)))*INDEX(Inputs!$B$22:$D$22,1,MATCH(A758,Inputs!$B$6:$D$6,0))+MAX(MIN(S758,INDEX(Inputs!$B$21:$D$21,1,MATCH(A758,Inputs!$B$6:$D$6,0)))-INDEX(Inputs!$B$20:$D$20,1,MATCH(A758,Inputs!$B$6:$D$6,0)),0)*INDEX(Inputs!$B$23:$D$23,1,MATCH(A758,Inputs!$B$6:$D$6,0))+MAX(S758-INDEX(Inputs!$B$21:$D$21,1,MATCH(A758,Inputs!$B$6:$D$6,0)),0)*INDEX(Inputs!$B$24:$D$24,1,MATCH(A758,Inputs!$B$6:$D$6,0))</x:f>
        <x:v>3065.755</x:v>
      </x:c>
      <x:c r="U758" s="20" t="n">
        <x:f>IF(AND(A757=A758,D757=D758),T757,0)</x:f>
        <x:v>0</x:v>
      </x:c>
      <x:c r="V758" s="20" t="n">
        <x:f>T758-U758</x:f>
        <x:v>3065.755</x:v>
      </x:c>
      <x:c r="W758" s="20" t="n">
        <x:f>R758+V758</x:f>
        <x:v>36735.755</x:v>
      </x:c>
      <x:c r="X758" s="14" t="str">
        <x:f>IF(ABS(W758-SUM(M758:Q758)-V758)&lt;0.01,"OK","Check")</x:f>
        <x:v>OK</x:v>
      </x:c>
    </x:row>
    <x:row r="759">
      <x:c r="A759" s="14" t="n">
        <x:v>2027</x:v>
      </x:c>
      <x:c r="B759" s="14" t="str">
        <x:v>Q2</x:v>
      </x:c>
      <x:c r="C759" s="14" t="n">
        <x:v>2</x:v>
      </x:c>
      <x:c r="D759" s="14" t="n">
        <x:v>86</x:v>
      </x:c>
      <x:c r="E759" s="14" t="str">
        <x:f>INDEX(Roster!$B$6:$B$108,MATCH(D759,Roster!$A$6:$A$108,0))</x:f>
      </x:c>
      <x:c r="F759" s="14" t="str">
        <x:f>INDEX(Roster!$F$6:$F$108,MATCH(D759,Roster!$A$6:$A$108,0))</x:f>
        <x:v>No</x:v>
      </x:c>
      <x:c r="G759" s="14" t="n">
        <x:f>INDEX(Inputs!$B$7:$D$7,1,MATCH(A759,Inputs!$B$6:$D$6,0))</x:f>
        <x:v>13</x:v>
      </x:c>
      <x:c r="H759" s="14" t="n">
        <x:f>MIN(=INDEX(Inputs!$B$7:$D$7,1,MATCH(A759,Inputs!$B$6:$D$6,0)),MAX(0,INDEX(Inputs!$B$14:$D$14,1,MATCH(A759,Inputs!$B$6:$D$6,0))-(C759-1)*=INDEX(Inputs!$B$7:$D$7,1,MATCH(A759,Inputs!$B$6:$D$6,0))))</x:f>
        <x:v>13</x:v>
      </x:c>
      <x:c r="I759" s="20" t="n">
        <x:f>INDEX(Inputs!$B$8:$D$8,1,MATCH(A759,Inputs!$B$6:$D$6,0))</x:f>
        <x:v>2395</x:v>
      </x:c>
      <x:c r="J759" s="20" t="n">
        <x:f>INDEX(Roster!$C$6:$C$108,MATCH(D759,Roster!$A$6:$A$108,0))*(1+INDEX(Inputs!$B$9:$D$9,1,MATCH(A759,Inputs!$B$6:$D$6,0)))</x:f>
        <x:v>75</x:v>
      </x:c>
      <x:c r="K759" s="20" t="n">
        <x:f>IF(=INDEX(Roster!$F$6:$F$108,MATCH(D759,Roster!$A$6:$A$108,0))="Yes",0,=INDEX(Inputs!$B$8:$D$8,1,MATCH(A759,Inputs!$B$6:$D$6,0))*IF(=INDEX(Roster!$B$6:$B$108,MATCH(D759,Roster!$A$6:$A$108,0))="Principal",INDEX(Inputs!$B$10:$D$10,1,MATCH(A759,Inputs!$B$6:$D$6,0)),IF(=INDEX(Roster!$B$6:$B$108,MATCH(D759,Roster!$A$6:$A$108,0))="Associate Principal",INDEX(Inputs!$B$11:$D$11,1,MATCH(A759,Inputs!$B$6:$D$6,0)),IF(=INDEX(Roster!$B$6:$B$108,MATCH(D759,Roster!$A$6:$A$108,0))="Assistant Principal",INDEX(Inputs!$B$12:$D$12,1,MATCH(A759,Inputs!$B$6:$D$6,0)),0))))</x:f>
        <x:v>0</x:v>
      </x:c>
      <x:c r="L759" s="20" t="n">
        <x:f>IF(INDEX(Roster!$D$6:$D$108,MATCH(D759,Roster!$A$6:$A$108,0))&gt;=25,INDEX(Inputs!$B$19:$D$19,1,MATCH(A759,Inputs!$B$6:$D$6,0)),IF(INDEX(Roster!$D$6:$D$108,MATCH(D759,Roster!$A$6:$A$108,0))&gt;=20,INDEX(Inputs!$B$18:$D$18,1,MATCH(A759,Inputs!$B$6:$D$6,0)),IF(INDEX(Roster!$D$6:$D$108,MATCH(D759,Roster!$A$6:$A$108,0))&gt;=15,INDEX(Inputs!$B$17:$D$17,1,MATCH(A759,Inputs!$B$6:$D$6,0)),IF(INDEX(Roster!$D$6:$D$108,MATCH(D759,Roster!$A$6:$A$108,0))&gt;=10,INDEX(Inputs!$B$16:$D$16,1,MATCH(A759,Inputs!$B$6:$D$6,0)),IF(INDEX(Roster!$D$6:$D$108,MATCH(D759,Roster!$A$6:$A$108,0))&gt;=5,INDEX(Inputs!$B$15:$D$15,1,MATCH(A759,Inputs!$B$6:$D$6,0)),0)))))</x:f>
        <x:v>90</x:v>
      </x:c>
      <x:c r="M759" s="20" t="n">
        <x:f>G759*I759</x:f>
        <x:v>31135</x:v>
      </x:c>
      <x:c r="N759" s="20" t="n">
        <x:f>G759*J759</x:f>
        <x:v>975</x:v>
      </x:c>
      <x:c r="O759" s="20" t="n">
        <x:f>G759*K759</x:f>
        <x:v>0</x:v>
      </x:c>
      <x:c r="P759" s="20" t="n">
        <x:f>G759*L759</x:f>
        <x:v>1170</x:v>
      </x:c>
      <x:c r="Q759" s="20" t="n">
        <x:f>H759*INDEX(Inputs!$B$13:$D$13,1,MATCH(A759,Inputs!$B$6:$D$6,0))</x:f>
        <x:v>390</x:v>
      </x:c>
      <x:c r="R759" s="20" t="n">
        <x:f>SUM(M759:Q759)</x:f>
        <x:v>33670</x:v>
      </x:c>
      <x:c r="S759" s="20" t="n">
        <x:f>IF(AND(A758=A759,D758=D759),S758+R759,R759)</x:f>
        <x:v>67340</x:v>
      </x:c>
      <x:c r="T759" s="20" t="n">
        <x:f>MIN(S759,INDEX(Inputs!$B$20:$D$20,1,MATCH(A759,Inputs!$B$6:$D$6,0)))*INDEX(Inputs!$B$22:$D$22,1,MATCH(A759,Inputs!$B$6:$D$6,0))+MAX(MIN(S759,INDEX(Inputs!$B$21:$D$21,1,MATCH(A759,Inputs!$B$6:$D$6,0)))-INDEX(Inputs!$B$20:$D$20,1,MATCH(A759,Inputs!$B$6:$D$6,0)),0)*INDEX(Inputs!$B$23:$D$23,1,MATCH(A759,Inputs!$B$6:$D$6,0))+MAX(S759-INDEX(Inputs!$B$21:$D$21,1,MATCH(A759,Inputs!$B$6:$D$6,0)),0)*INDEX(Inputs!$B$24:$D$24,1,MATCH(A759,Inputs!$B$6:$D$6,0))</x:f>
        <x:v>5641.51</x:v>
      </x:c>
      <x:c r="U759" s="20" t="n">
        <x:f>IF(AND(A758=A759,D758=D759),T758,0)</x:f>
        <x:v>3065.755</x:v>
      </x:c>
      <x:c r="V759" s="20" t="n">
        <x:f>T759-U759</x:f>
        <x:v>2575.755</x:v>
      </x:c>
      <x:c r="W759" s="20" t="n">
        <x:f>R759+V759</x:f>
        <x:v>36245.755</x:v>
      </x:c>
      <x:c r="X759" s="14" t="str">
        <x:f>IF(ABS(W759-SUM(M759:Q759)-V759)&lt;0.01,"OK","Check")</x:f>
        <x:v>OK</x:v>
      </x:c>
    </x:row>
    <x:row r="760">
      <x:c r="A760" s="14" t="n">
        <x:v>2027</x:v>
      </x:c>
      <x:c r="B760" s="14" t="str">
        <x:v>Q3</x:v>
      </x:c>
      <x:c r="C760" s="14" t="n">
        <x:v>3</x:v>
      </x:c>
      <x:c r="D760" s="14" t="n">
        <x:v>86</x:v>
      </x:c>
      <x:c r="E760" s="14" t="str">
        <x:f>INDEX(Roster!$B$6:$B$108,MATCH(D760,Roster!$A$6:$A$108,0))</x:f>
      </x:c>
      <x:c r="F760" s="14" t="str">
        <x:f>INDEX(Roster!$F$6:$F$108,MATCH(D760,Roster!$A$6:$A$108,0))</x:f>
        <x:v>No</x:v>
      </x:c>
      <x:c r="G760" s="14" t="n">
        <x:f>INDEX(Inputs!$B$7:$D$7,1,MATCH(A760,Inputs!$B$6:$D$6,0))</x:f>
        <x:v>13</x:v>
      </x:c>
      <x:c r="H760" s="14" t="n">
        <x:f>MIN(=INDEX(Inputs!$B$7:$D$7,1,MATCH(A760,Inputs!$B$6:$D$6,0)),MAX(0,INDEX(Inputs!$B$14:$D$14,1,MATCH(A760,Inputs!$B$6:$D$6,0))-(C760-1)*=INDEX(Inputs!$B$7:$D$7,1,MATCH(A760,Inputs!$B$6:$D$6,0))))</x:f>
        <x:v>13</x:v>
      </x:c>
      <x:c r="I760" s="20" t="n">
        <x:f>INDEX(Inputs!$B$8:$D$8,1,MATCH(A760,Inputs!$B$6:$D$6,0))</x:f>
        <x:v>2395</x:v>
      </x:c>
      <x:c r="J760" s="20" t="n">
        <x:f>INDEX(Roster!$C$6:$C$108,MATCH(D760,Roster!$A$6:$A$108,0))*(1+INDEX(Inputs!$B$9:$D$9,1,MATCH(A760,Inputs!$B$6:$D$6,0)))</x:f>
        <x:v>75</x:v>
      </x:c>
      <x:c r="K760" s="20" t="n">
        <x:f>IF(=INDEX(Roster!$F$6:$F$108,MATCH(D760,Roster!$A$6:$A$108,0))="Yes",0,=INDEX(Inputs!$B$8:$D$8,1,MATCH(A760,Inputs!$B$6:$D$6,0))*IF(=INDEX(Roster!$B$6:$B$108,MATCH(D760,Roster!$A$6:$A$108,0))="Principal",INDEX(Inputs!$B$10:$D$10,1,MATCH(A760,Inputs!$B$6:$D$6,0)),IF(=INDEX(Roster!$B$6:$B$108,MATCH(D760,Roster!$A$6:$A$108,0))="Associate Principal",INDEX(Inputs!$B$11:$D$11,1,MATCH(A760,Inputs!$B$6:$D$6,0)),IF(=INDEX(Roster!$B$6:$B$108,MATCH(D760,Roster!$A$6:$A$108,0))="Assistant Principal",INDEX(Inputs!$B$12:$D$12,1,MATCH(A760,Inputs!$B$6:$D$6,0)),0))))</x:f>
        <x:v>0</x:v>
      </x:c>
      <x:c r="L760" s="20" t="n">
        <x:f>IF(INDEX(Roster!$D$6:$D$108,MATCH(D760,Roster!$A$6:$A$108,0))&gt;=25,INDEX(Inputs!$B$19:$D$19,1,MATCH(A760,Inputs!$B$6:$D$6,0)),IF(INDEX(Roster!$D$6:$D$108,MATCH(D760,Roster!$A$6:$A$108,0))&gt;=20,INDEX(Inputs!$B$18:$D$18,1,MATCH(A760,Inputs!$B$6:$D$6,0)),IF(INDEX(Roster!$D$6:$D$108,MATCH(D760,Roster!$A$6:$A$108,0))&gt;=15,INDEX(Inputs!$B$17:$D$17,1,MATCH(A760,Inputs!$B$6:$D$6,0)),IF(INDEX(Roster!$D$6:$D$108,MATCH(D760,Roster!$A$6:$A$108,0))&gt;=10,INDEX(Inputs!$B$16:$D$16,1,MATCH(A760,Inputs!$B$6:$D$6,0)),IF(INDEX(Roster!$D$6:$D$108,MATCH(D760,Roster!$A$6:$A$108,0))&gt;=5,INDEX(Inputs!$B$15:$D$15,1,MATCH(A760,Inputs!$B$6:$D$6,0)),0)))))</x:f>
        <x:v>90</x:v>
      </x:c>
      <x:c r="M760" s="20" t="n">
        <x:f>G760*I760</x:f>
        <x:v>31135</x:v>
      </x:c>
      <x:c r="N760" s="20" t="n">
        <x:f>G760*J760</x:f>
        <x:v>975</x:v>
      </x:c>
      <x:c r="O760" s="20" t="n">
        <x:f>G760*K760</x:f>
        <x:v>0</x:v>
      </x:c>
      <x:c r="P760" s="20" t="n">
        <x:f>G760*L760</x:f>
        <x:v>1170</x:v>
      </x:c>
      <x:c r="Q760" s="20" t="n">
        <x:f>H760*INDEX(Inputs!$B$13:$D$13,1,MATCH(A760,Inputs!$B$6:$D$6,0))</x:f>
        <x:v>390</x:v>
      </x:c>
      <x:c r="R760" s="20" t="n">
        <x:f>SUM(M760:Q760)</x:f>
        <x:v>33670</x:v>
      </x:c>
      <x:c r="S760" s="20" t="n">
        <x:f>IF(AND(A759=A760,D759=D760),S759+R760,R760)</x:f>
        <x:v>101010</x:v>
      </x:c>
      <x:c r="T760" s="20" t="n">
        <x:f>MIN(S760,INDEX(Inputs!$B$20:$D$20,1,MATCH(A760,Inputs!$B$6:$D$6,0)))*INDEX(Inputs!$B$22:$D$22,1,MATCH(A760,Inputs!$B$6:$D$6,0))+MAX(MIN(S760,INDEX(Inputs!$B$21:$D$21,1,MATCH(A760,Inputs!$B$6:$D$6,0)))-INDEX(Inputs!$B$20:$D$20,1,MATCH(A760,Inputs!$B$6:$D$6,0)),0)*INDEX(Inputs!$B$23:$D$23,1,MATCH(A760,Inputs!$B$6:$D$6,0))+MAX(S760-INDEX(Inputs!$B$21:$D$21,1,MATCH(A760,Inputs!$B$6:$D$6,0)),0)*INDEX(Inputs!$B$24:$D$24,1,MATCH(A760,Inputs!$B$6:$D$6,0))</x:f>
        <x:v>8217.265</x:v>
      </x:c>
      <x:c r="U760" s="20" t="n">
        <x:f>IF(AND(A759=A760,D759=D760),T759,0)</x:f>
        <x:v>5641.51</x:v>
      </x:c>
      <x:c r="V760" s="20" t="n">
        <x:f>T760-U760</x:f>
        <x:v>2575.754999999999</x:v>
      </x:c>
      <x:c r="W760" s="20" t="n">
        <x:f>R760+V760</x:f>
        <x:v>36245.755</x:v>
      </x:c>
      <x:c r="X760" s="14" t="str">
        <x:f>IF(ABS(W760-SUM(M760:Q760)-V760)&lt;0.01,"OK","Check")</x:f>
        <x:v>OK</x:v>
      </x:c>
    </x:row>
    <x:row r="761">
      <x:c r="A761" s="14" t="n">
        <x:v>2027</x:v>
      </x:c>
      <x:c r="B761" s="14" t="str">
        <x:v>Q4</x:v>
      </x:c>
      <x:c r="C761" s="14" t="n">
        <x:v>4</x:v>
      </x:c>
      <x:c r="D761" s="14" t="n">
        <x:v>86</x:v>
      </x:c>
      <x:c r="E761" s="14" t="str">
        <x:f>INDEX(Roster!$B$6:$B$108,MATCH(D761,Roster!$A$6:$A$108,0))</x:f>
      </x:c>
      <x:c r="F761" s="14" t="str">
        <x:f>INDEX(Roster!$F$6:$F$108,MATCH(D761,Roster!$A$6:$A$108,0))</x:f>
        <x:v>No</x:v>
      </x:c>
      <x:c r="G761" s="14" t="n">
        <x:f>INDEX(Inputs!$B$7:$D$7,1,MATCH(A761,Inputs!$B$6:$D$6,0))</x:f>
        <x:v>13</x:v>
      </x:c>
      <x:c r="H761" s="14" t="n">
        <x:f>MIN(=INDEX(Inputs!$B$7:$D$7,1,MATCH(A761,Inputs!$B$6:$D$6,0)),MAX(0,INDEX(Inputs!$B$14:$D$14,1,MATCH(A761,Inputs!$B$6:$D$6,0))-(C761-1)*=INDEX(Inputs!$B$7:$D$7,1,MATCH(A761,Inputs!$B$6:$D$6,0))))</x:f>
        <x:v>0</x:v>
      </x:c>
      <x:c r="I761" s="20" t="n">
        <x:f>INDEX(Inputs!$B$8:$D$8,1,MATCH(A761,Inputs!$B$6:$D$6,0))</x:f>
        <x:v>2395</x:v>
      </x:c>
      <x:c r="J761" s="20" t="n">
        <x:f>INDEX(Roster!$C$6:$C$108,MATCH(D761,Roster!$A$6:$A$108,0))*(1+INDEX(Inputs!$B$9:$D$9,1,MATCH(A761,Inputs!$B$6:$D$6,0)))</x:f>
        <x:v>75</x:v>
      </x:c>
      <x:c r="K761" s="20" t="n">
        <x:f>IF(=INDEX(Roster!$F$6:$F$108,MATCH(D761,Roster!$A$6:$A$108,0))="Yes",0,=INDEX(Inputs!$B$8:$D$8,1,MATCH(A761,Inputs!$B$6:$D$6,0))*IF(=INDEX(Roster!$B$6:$B$108,MATCH(D761,Roster!$A$6:$A$108,0))="Principal",INDEX(Inputs!$B$10:$D$10,1,MATCH(A761,Inputs!$B$6:$D$6,0)),IF(=INDEX(Roster!$B$6:$B$108,MATCH(D761,Roster!$A$6:$A$108,0))="Associate Principal",INDEX(Inputs!$B$11:$D$11,1,MATCH(A761,Inputs!$B$6:$D$6,0)),IF(=INDEX(Roster!$B$6:$B$108,MATCH(D761,Roster!$A$6:$A$108,0))="Assistant Principal",INDEX(Inputs!$B$12:$D$12,1,MATCH(A761,Inputs!$B$6:$D$6,0)),0))))</x:f>
        <x:v>0</x:v>
      </x:c>
      <x:c r="L761" s="20" t="n">
        <x:f>IF(INDEX(Roster!$D$6:$D$108,MATCH(D761,Roster!$A$6:$A$108,0))&gt;=25,INDEX(Inputs!$B$19:$D$19,1,MATCH(A761,Inputs!$B$6:$D$6,0)),IF(INDEX(Roster!$D$6:$D$108,MATCH(D761,Roster!$A$6:$A$108,0))&gt;=20,INDEX(Inputs!$B$18:$D$18,1,MATCH(A761,Inputs!$B$6:$D$6,0)),IF(INDEX(Roster!$D$6:$D$108,MATCH(D761,Roster!$A$6:$A$108,0))&gt;=15,INDEX(Inputs!$B$17:$D$17,1,MATCH(A761,Inputs!$B$6:$D$6,0)),IF(INDEX(Roster!$D$6:$D$108,MATCH(D761,Roster!$A$6:$A$108,0))&gt;=10,INDEX(Inputs!$B$16:$D$16,1,MATCH(A761,Inputs!$B$6:$D$6,0)),IF(INDEX(Roster!$D$6:$D$108,MATCH(D761,Roster!$A$6:$A$108,0))&gt;=5,INDEX(Inputs!$B$15:$D$15,1,MATCH(A761,Inputs!$B$6:$D$6,0)),0)))))</x:f>
        <x:v>90</x:v>
      </x:c>
      <x:c r="M761" s="20" t="n">
        <x:f>G761*I761</x:f>
        <x:v>31135</x:v>
      </x:c>
      <x:c r="N761" s="20" t="n">
        <x:f>G761*J761</x:f>
        <x:v>975</x:v>
      </x:c>
      <x:c r="O761" s="20" t="n">
        <x:f>G761*K761</x:f>
        <x:v>0</x:v>
      </x:c>
      <x:c r="P761" s="20" t="n">
        <x:f>G761*L761</x:f>
        <x:v>1170</x:v>
      </x:c>
      <x:c r="Q761" s="20" t="n">
        <x:f>H761*INDEX(Inputs!$B$13:$D$13,1,MATCH(A761,Inputs!$B$6:$D$6,0))</x:f>
        <x:v>0</x:v>
      </x:c>
      <x:c r="R761" s="20" t="n">
        <x:f>SUM(M761:Q761)</x:f>
        <x:v>33280</x:v>
      </x:c>
      <x:c r="S761" s="20" t="n">
        <x:f>IF(AND(A760=A761,D760=D761),S760+R761,R761)</x:f>
        <x:v>134290</x:v>
      </x:c>
      <x:c r="T761" s="20" t="n">
        <x:f>MIN(S761,INDEX(Inputs!$B$20:$D$20,1,MATCH(A761,Inputs!$B$6:$D$6,0)))*INDEX(Inputs!$B$22:$D$22,1,MATCH(A761,Inputs!$B$6:$D$6,0))+MAX(MIN(S761,INDEX(Inputs!$B$21:$D$21,1,MATCH(A761,Inputs!$B$6:$D$6,0)))-INDEX(Inputs!$B$20:$D$20,1,MATCH(A761,Inputs!$B$6:$D$6,0)),0)*INDEX(Inputs!$B$23:$D$23,1,MATCH(A761,Inputs!$B$6:$D$6,0))+MAX(S761-INDEX(Inputs!$B$21:$D$21,1,MATCH(A761,Inputs!$B$6:$D$6,0)),0)*INDEX(Inputs!$B$24:$D$24,1,MATCH(A761,Inputs!$B$6:$D$6,0))</x:f>
        <x:v>9861.146999999999</x:v>
      </x:c>
      <x:c r="U761" s="20" t="n">
        <x:f>IF(AND(A760=A761,D760=D761),T760,0)</x:f>
        <x:v>8217.265</x:v>
      </x:c>
      <x:c r="V761" s="20" t="n">
        <x:f>T761-U761</x:f>
        <x:v>1643.8819999999996</x:v>
      </x:c>
      <x:c r="W761" s="20" t="n">
        <x:f>R761+V761</x:f>
        <x:v>34923.882</x:v>
      </x:c>
      <x:c r="X761" s="14" t="str">
        <x:f>IF(ABS(W761-SUM(M761:Q761)-V761)&lt;0.01,"OK","Check")</x:f>
        <x:v>OK</x:v>
      </x:c>
    </x:row>
    <x:row r="762">
      <x:c r="A762" s="14" t="n">
        <x:v>2027</x:v>
      </x:c>
      <x:c r="B762" s="14" t="str">
        <x:v>Q1</x:v>
      </x:c>
      <x:c r="C762" s="14" t="n">
        <x:v>1</x:v>
      </x:c>
      <x:c r="D762" s="14" t="n">
        <x:v>87</x:v>
      </x:c>
      <x:c r="E762" s="14" t="str">
        <x:f>INDEX(Roster!$B$6:$B$108,MATCH(D762,Roster!$A$6:$A$108,0))</x:f>
        <x:v>Principal</x:v>
      </x:c>
      <x:c r="F762" s="14" t="str">
        <x:f>INDEX(Roster!$F$6:$F$108,MATCH(D762,Roster!$A$6:$A$108,0))</x:f>
        <x:v>Yes</x:v>
      </x:c>
      <x:c r="G762" s="14" t="n">
        <x:f>INDEX(Inputs!$B$7:$D$7,1,MATCH(A762,Inputs!$B$6:$D$6,0))</x:f>
        <x:v>13</x:v>
      </x:c>
      <x:c r="H762" s="14" t="n">
        <x:f>MIN(=INDEX(Inputs!$B$7:$D$7,1,MATCH(A762,Inputs!$B$6:$D$6,0)),MAX(0,INDEX(Inputs!$B$14:$D$14,1,MATCH(A762,Inputs!$B$6:$D$6,0))-(C762-1)*=INDEX(Inputs!$B$7:$D$7,1,MATCH(A762,Inputs!$B$6:$D$6,0))))</x:f>
        <x:v>13</x:v>
      </x:c>
      <x:c r="I762" s="20" t="n">
        <x:f>INDEX(Inputs!$B$8:$D$8,1,MATCH(A762,Inputs!$B$6:$D$6,0))</x:f>
        <x:v>2395</x:v>
      </x:c>
      <x:c r="J762" s="20" t="n">
        <x:f>INDEX(Roster!$C$6:$C$108,MATCH(D762,Roster!$A$6:$A$108,0))*(1+INDEX(Inputs!$B$9:$D$9,1,MATCH(A762,Inputs!$B$6:$D$6,0)))</x:f>
        <x:v>1500</x:v>
      </x:c>
      <x:c r="K762" s="20" t="n">
        <x:f>IF(=INDEX(Roster!$F$6:$F$108,MATCH(D762,Roster!$A$6:$A$108,0))="Yes",0,=INDEX(Inputs!$B$8:$D$8,1,MATCH(A762,Inputs!$B$6:$D$6,0))*IF(=INDEX(Roster!$B$6:$B$108,MATCH(D762,Roster!$A$6:$A$108,0))="Principal",INDEX(Inputs!$B$10:$D$10,1,MATCH(A762,Inputs!$B$6:$D$6,0)),IF(=INDEX(Roster!$B$6:$B$108,MATCH(D762,Roster!$A$6:$A$108,0))="Associate Principal",INDEX(Inputs!$B$11:$D$11,1,MATCH(A762,Inputs!$B$6:$D$6,0)),IF(=INDEX(Roster!$B$6:$B$108,MATCH(D762,Roster!$A$6:$A$108,0))="Assistant Principal",INDEX(Inputs!$B$12:$D$12,1,MATCH(A762,Inputs!$B$6:$D$6,0)),0))))</x:f>
        <x:v>0</x:v>
      </x:c>
      <x:c r="L762" s="20" t="n">
        <x:f>IF(INDEX(Roster!$D$6:$D$108,MATCH(D762,Roster!$A$6:$A$108,0))&gt;=25,INDEX(Inputs!$B$19:$D$19,1,MATCH(A762,Inputs!$B$6:$D$6,0)),IF(INDEX(Roster!$D$6:$D$108,MATCH(D762,Roster!$A$6:$A$108,0))&gt;=20,INDEX(Inputs!$B$18:$D$18,1,MATCH(A762,Inputs!$B$6:$D$6,0)),IF(INDEX(Roster!$D$6:$D$108,MATCH(D762,Roster!$A$6:$A$108,0))&gt;=15,INDEX(Inputs!$B$17:$D$17,1,MATCH(A762,Inputs!$B$6:$D$6,0)),IF(INDEX(Roster!$D$6:$D$108,MATCH(D762,Roster!$A$6:$A$108,0))&gt;=10,INDEX(Inputs!$B$16:$D$16,1,MATCH(A762,Inputs!$B$6:$D$6,0)),IF(INDEX(Roster!$D$6:$D$108,MATCH(D762,Roster!$A$6:$A$108,0))&gt;=5,INDEX(Inputs!$B$15:$D$15,1,MATCH(A762,Inputs!$B$6:$D$6,0)),0)))))</x:f>
        <x:v>90</x:v>
      </x:c>
      <x:c r="M762" s="20" t="n">
        <x:f>G762*I762</x:f>
        <x:v>31135</x:v>
      </x:c>
      <x:c r="N762" s="20" t="n">
        <x:f>G762*J762</x:f>
        <x:v>19500</x:v>
      </x:c>
      <x:c r="O762" s="20" t="n">
        <x:f>G762*K762</x:f>
        <x:v>0</x:v>
      </x:c>
      <x:c r="P762" s="20" t="n">
        <x:f>G762*L762</x:f>
        <x:v>1170</x:v>
      </x:c>
      <x:c r="Q762" s="20" t="n">
        <x:f>H762*INDEX(Inputs!$B$13:$D$13,1,MATCH(A762,Inputs!$B$6:$D$6,0))</x:f>
        <x:v>390</x:v>
      </x:c>
      <x:c r="R762" s="20" t="n">
        <x:f>SUM(M762:Q762)</x:f>
        <x:v>52195</x:v>
      </x:c>
      <x:c r="S762" s="20" t="n">
        <x:f>IF(AND(A761=A762,D761=D762),S761+R762,R762)</x:f>
        <x:v>52195</x:v>
      </x:c>
      <x:c r="T762" s="20" t="n">
        <x:f>MIN(S762,INDEX(Inputs!$B$20:$D$20,1,MATCH(A762,Inputs!$B$6:$D$6,0)))*INDEX(Inputs!$B$22:$D$22,1,MATCH(A762,Inputs!$B$6:$D$6,0))+MAX(MIN(S762,INDEX(Inputs!$B$21:$D$21,1,MATCH(A762,Inputs!$B$6:$D$6,0)))-INDEX(Inputs!$B$20:$D$20,1,MATCH(A762,Inputs!$B$6:$D$6,0)),0)*INDEX(Inputs!$B$23:$D$23,1,MATCH(A762,Inputs!$B$6:$D$6,0))+MAX(S762-INDEX(Inputs!$B$21:$D$21,1,MATCH(A762,Inputs!$B$6:$D$6,0)),0)*INDEX(Inputs!$B$24:$D$24,1,MATCH(A762,Inputs!$B$6:$D$6,0))</x:f>
        <x:v>4482.9175</x:v>
      </x:c>
      <x:c r="U762" s="20" t="n">
        <x:f>IF(AND(A761=A762,D761=D762),T761,0)</x:f>
        <x:v>0</x:v>
      </x:c>
      <x:c r="V762" s="20" t="n">
        <x:f>T762-U762</x:f>
        <x:v>4482.9175</x:v>
      </x:c>
      <x:c r="W762" s="20" t="n">
        <x:f>R762+V762</x:f>
        <x:v>56677.917499999996</x:v>
      </x:c>
      <x:c r="X762" s="14" t="str">
        <x:f>IF(ABS(W762-SUM(M762:Q762)-V762)&lt;0.01,"OK","Check")</x:f>
        <x:v>OK</x:v>
      </x:c>
    </x:row>
    <x:row r="763">
      <x:c r="A763" s="14" t="n">
        <x:v>2027</x:v>
      </x:c>
      <x:c r="B763" s="14" t="str">
        <x:v>Q2</x:v>
      </x:c>
      <x:c r="C763" s="14" t="n">
        <x:v>2</x:v>
      </x:c>
      <x:c r="D763" s="14" t="n">
        <x:v>87</x:v>
      </x:c>
      <x:c r="E763" s="14" t="str">
        <x:f>INDEX(Roster!$B$6:$B$108,MATCH(D763,Roster!$A$6:$A$108,0))</x:f>
        <x:v>Principal</x:v>
      </x:c>
      <x:c r="F763" s="14" t="str">
        <x:f>INDEX(Roster!$F$6:$F$108,MATCH(D763,Roster!$A$6:$A$108,0))</x:f>
        <x:v>Yes</x:v>
      </x:c>
      <x:c r="G763" s="14" t="n">
        <x:f>INDEX(Inputs!$B$7:$D$7,1,MATCH(A763,Inputs!$B$6:$D$6,0))</x:f>
        <x:v>13</x:v>
      </x:c>
      <x:c r="H763" s="14" t="n">
        <x:f>MIN(=INDEX(Inputs!$B$7:$D$7,1,MATCH(A763,Inputs!$B$6:$D$6,0)),MAX(0,INDEX(Inputs!$B$14:$D$14,1,MATCH(A763,Inputs!$B$6:$D$6,0))-(C763-1)*=INDEX(Inputs!$B$7:$D$7,1,MATCH(A763,Inputs!$B$6:$D$6,0))))</x:f>
        <x:v>13</x:v>
      </x:c>
      <x:c r="I763" s="20" t="n">
        <x:f>INDEX(Inputs!$B$8:$D$8,1,MATCH(A763,Inputs!$B$6:$D$6,0))</x:f>
        <x:v>2395</x:v>
      </x:c>
      <x:c r="J763" s="20" t="n">
        <x:f>INDEX(Roster!$C$6:$C$108,MATCH(D763,Roster!$A$6:$A$108,0))*(1+INDEX(Inputs!$B$9:$D$9,1,MATCH(A763,Inputs!$B$6:$D$6,0)))</x:f>
        <x:v>1500</x:v>
      </x:c>
      <x:c r="K763" s="20" t="n">
        <x:f>IF(=INDEX(Roster!$F$6:$F$108,MATCH(D763,Roster!$A$6:$A$108,0))="Yes",0,=INDEX(Inputs!$B$8:$D$8,1,MATCH(A763,Inputs!$B$6:$D$6,0))*IF(=INDEX(Roster!$B$6:$B$108,MATCH(D763,Roster!$A$6:$A$108,0))="Principal",INDEX(Inputs!$B$10:$D$10,1,MATCH(A763,Inputs!$B$6:$D$6,0)),IF(=INDEX(Roster!$B$6:$B$108,MATCH(D763,Roster!$A$6:$A$108,0))="Associate Principal",INDEX(Inputs!$B$11:$D$11,1,MATCH(A763,Inputs!$B$6:$D$6,0)),IF(=INDEX(Roster!$B$6:$B$108,MATCH(D763,Roster!$A$6:$A$108,0))="Assistant Principal",INDEX(Inputs!$B$12:$D$12,1,MATCH(A763,Inputs!$B$6:$D$6,0)),0))))</x:f>
        <x:v>0</x:v>
      </x:c>
      <x:c r="L763" s="20" t="n">
        <x:f>IF(INDEX(Roster!$D$6:$D$108,MATCH(D763,Roster!$A$6:$A$108,0))&gt;=25,INDEX(Inputs!$B$19:$D$19,1,MATCH(A763,Inputs!$B$6:$D$6,0)),IF(INDEX(Roster!$D$6:$D$108,MATCH(D763,Roster!$A$6:$A$108,0))&gt;=20,INDEX(Inputs!$B$18:$D$18,1,MATCH(A763,Inputs!$B$6:$D$6,0)),IF(INDEX(Roster!$D$6:$D$108,MATCH(D763,Roster!$A$6:$A$108,0))&gt;=15,INDEX(Inputs!$B$17:$D$17,1,MATCH(A763,Inputs!$B$6:$D$6,0)),IF(INDEX(Roster!$D$6:$D$108,MATCH(D763,Roster!$A$6:$A$108,0))&gt;=10,INDEX(Inputs!$B$16:$D$16,1,MATCH(A763,Inputs!$B$6:$D$6,0)),IF(INDEX(Roster!$D$6:$D$108,MATCH(D763,Roster!$A$6:$A$108,0))&gt;=5,INDEX(Inputs!$B$15:$D$15,1,MATCH(A763,Inputs!$B$6:$D$6,0)),0)))))</x:f>
        <x:v>90</x:v>
      </x:c>
      <x:c r="M763" s="20" t="n">
        <x:f>G763*I763</x:f>
        <x:v>31135</x:v>
      </x:c>
      <x:c r="N763" s="20" t="n">
        <x:f>G763*J763</x:f>
        <x:v>19500</x:v>
      </x:c>
      <x:c r="O763" s="20" t="n">
        <x:f>G763*K763</x:f>
        <x:v>0</x:v>
      </x:c>
      <x:c r="P763" s="20" t="n">
        <x:f>G763*L763</x:f>
        <x:v>1170</x:v>
      </x:c>
      <x:c r="Q763" s="20" t="n">
        <x:f>H763*INDEX(Inputs!$B$13:$D$13,1,MATCH(A763,Inputs!$B$6:$D$6,0))</x:f>
        <x:v>390</x:v>
      </x:c>
      <x:c r="R763" s="20" t="n">
        <x:f>SUM(M763:Q763)</x:f>
        <x:v>52195</x:v>
      </x:c>
      <x:c r="S763" s="20" t="n">
        <x:f>IF(AND(A762=A763,D762=D763),S762+R763,R763)</x:f>
        <x:v>104390</x:v>
      </x:c>
      <x:c r="T763" s="20" t="n">
        <x:f>MIN(S763,INDEX(Inputs!$B$20:$D$20,1,MATCH(A763,Inputs!$B$6:$D$6,0)))*INDEX(Inputs!$B$22:$D$22,1,MATCH(A763,Inputs!$B$6:$D$6,0))+MAX(MIN(S763,INDEX(Inputs!$B$21:$D$21,1,MATCH(A763,Inputs!$B$6:$D$6,0)))-INDEX(Inputs!$B$20:$D$20,1,MATCH(A763,Inputs!$B$6:$D$6,0)),0)*INDEX(Inputs!$B$23:$D$23,1,MATCH(A763,Inputs!$B$6:$D$6,0))+MAX(S763-INDEX(Inputs!$B$21:$D$21,1,MATCH(A763,Inputs!$B$6:$D$6,0)),0)*INDEX(Inputs!$B$24:$D$24,1,MATCH(A763,Inputs!$B$6:$D$6,0))</x:f>
        <x:v>8475.835</x:v>
      </x:c>
      <x:c r="U763" s="20" t="n">
        <x:f>IF(AND(A762=A763,D762=D763),T762,0)</x:f>
        <x:v>4482.9175</x:v>
      </x:c>
      <x:c r="V763" s="20" t="n">
        <x:f>T763-U763</x:f>
        <x:v>3992.9174999999996</x:v>
      </x:c>
      <x:c r="W763" s="20" t="n">
        <x:f>R763+V763</x:f>
        <x:v>56187.917499999996</x:v>
      </x:c>
      <x:c r="X763" s="14" t="str">
        <x:f>IF(ABS(W763-SUM(M763:Q763)-V763)&lt;0.01,"OK","Check")</x:f>
        <x:v>OK</x:v>
      </x:c>
    </x:row>
    <x:row r="764">
      <x:c r="A764" s="14" t="n">
        <x:v>2027</x:v>
      </x:c>
      <x:c r="B764" s="14" t="str">
        <x:v>Q3</x:v>
      </x:c>
      <x:c r="C764" s="14" t="n">
        <x:v>3</x:v>
      </x:c>
      <x:c r="D764" s="14" t="n">
        <x:v>87</x:v>
      </x:c>
      <x:c r="E764" s="14" t="str">
        <x:f>INDEX(Roster!$B$6:$B$108,MATCH(D764,Roster!$A$6:$A$108,0))</x:f>
        <x:v>Principal</x:v>
      </x:c>
      <x:c r="F764" s="14" t="str">
        <x:f>INDEX(Roster!$F$6:$F$108,MATCH(D764,Roster!$A$6:$A$108,0))</x:f>
        <x:v>Yes</x:v>
      </x:c>
      <x:c r="G764" s="14" t="n">
        <x:f>INDEX(Inputs!$B$7:$D$7,1,MATCH(A764,Inputs!$B$6:$D$6,0))</x:f>
        <x:v>13</x:v>
      </x:c>
      <x:c r="H764" s="14" t="n">
        <x:f>MIN(=INDEX(Inputs!$B$7:$D$7,1,MATCH(A764,Inputs!$B$6:$D$6,0)),MAX(0,INDEX(Inputs!$B$14:$D$14,1,MATCH(A764,Inputs!$B$6:$D$6,0))-(C764-1)*=INDEX(Inputs!$B$7:$D$7,1,MATCH(A764,Inputs!$B$6:$D$6,0))))</x:f>
        <x:v>13</x:v>
      </x:c>
      <x:c r="I764" s="20" t="n">
        <x:f>INDEX(Inputs!$B$8:$D$8,1,MATCH(A764,Inputs!$B$6:$D$6,0))</x:f>
        <x:v>2395</x:v>
      </x:c>
      <x:c r="J764" s="20" t="n">
        <x:f>INDEX(Roster!$C$6:$C$108,MATCH(D764,Roster!$A$6:$A$108,0))*(1+INDEX(Inputs!$B$9:$D$9,1,MATCH(A764,Inputs!$B$6:$D$6,0)))</x:f>
        <x:v>1500</x:v>
      </x:c>
      <x:c r="K764" s="20" t="n">
        <x:f>IF(=INDEX(Roster!$F$6:$F$108,MATCH(D764,Roster!$A$6:$A$108,0))="Yes",0,=INDEX(Inputs!$B$8:$D$8,1,MATCH(A764,Inputs!$B$6:$D$6,0))*IF(=INDEX(Roster!$B$6:$B$108,MATCH(D764,Roster!$A$6:$A$108,0))="Principal",INDEX(Inputs!$B$10:$D$10,1,MATCH(A764,Inputs!$B$6:$D$6,0)),IF(=INDEX(Roster!$B$6:$B$108,MATCH(D764,Roster!$A$6:$A$108,0))="Associate Principal",INDEX(Inputs!$B$11:$D$11,1,MATCH(A764,Inputs!$B$6:$D$6,0)),IF(=INDEX(Roster!$B$6:$B$108,MATCH(D764,Roster!$A$6:$A$108,0))="Assistant Principal",INDEX(Inputs!$B$12:$D$12,1,MATCH(A764,Inputs!$B$6:$D$6,0)),0))))</x:f>
        <x:v>0</x:v>
      </x:c>
      <x:c r="L764" s="20" t="n">
        <x:f>IF(INDEX(Roster!$D$6:$D$108,MATCH(D764,Roster!$A$6:$A$108,0))&gt;=25,INDEX(Inputs!$B$19:$D$19,1,MATCH(A764,Inputs!$B$6:$D$6,0)),IF(INDEX(Roster!$D$6:$D$108,MATCH(D764,Roster!$A$6:$A$108,0))&gt;=20,INDEX(Inputs!$B$18:$D$18,1,MATCH(A764,Inputs!$B$6:$D$6,0)),IF(INDEX(Roster!$D$6:$D$108,MATCH(D764,Roster!$A$6:$A$108,0))&gt;=15,INDEX(Inputs!$B$17:$D$17,1,MATCH(A764,Inputs!$B$6:$D$6,0)),IF(INDEX(Roster!$D$6:$D$108,MATCH(D764,Roster!$A$6:$A$108,0))&gt;=10,INDEX(Inputs!$B$16:$D$16,1,MATCH(A764,Inputs!$B$6:$D$6,0)),IF(INDEX(Roster!$D$6:$D$108,MATCH(D764,Roster!$A$6:$A$108,0))&gt;=5,INDEX(Inputs!$B$15:$D$15,1,MATCH(A764,Inputs!$B$6:$D$6,0)),0)))))</x:f>
        <x:v>90</x:v>
      </x:c>
      <x:c r="M764" s="20" t="n">
        <x:f>G764*I764</x:f>
        <x:v>31135</x:v>
      </x:c>
      <x:c r="N764" s="20" t="n">
        <x:f>G764*J764</x:f>
        <x:v>19500</x:v>
      </x:c>
      <x:c r="O764" s="20" t="n">
        <x:f>G764*K764</x:f>
        <x:v>0</x:v>
      </x:c>
      <x:c r="P764" s="20" t="n">
        <x:f>G764*L764</x:f>
        <x:v>1170</x:v>
      </x:c>
      <x:c r="Q764" s="20" t="n">
        <x:f>H764*INDEX(Inputs!$B$13:$D$13,1,MATCH(A764,Inputs!$B$6:$D$6,0))</x:f>
        <x:v>390</x:v>
      </x:c>
      <x:c r="R764" s="20" t="n">
        <x:f>SUM(M764:Q764)</x:f>
        <x:v>52195</x:v>
      </x:c>
      <x:c r="S764" s="20" t="n">
        <x:f>IF(AND(A763=A764,D763=D764),S763+R764,R764)</x:f>
        <x:v>156585</x:v>
      </x:c>
      <x:c r="T764" s="20" t="n">
        <x:f>MIN(S764,INDEX(Inputs!$B$20:$D$20,1,MATCH(A764,Inputs!$B$6:$D$6,0)))*INDEX(Inputs!$B$22:$D$22,1,MATCH(A764,Inputs!$B$6:$D$6,0))+MAX(MIN(S764,INDEX(Inputs!$B$21:$D$21,1,MATCH(A764,Inputs!$B$6:$D$6,0)))-INDEX(Inputs!$B$20:$D$20,1,MATCH(A764,Inputs!$B$6:$D$6,0)),0)*INDEX(Inputs!$B$23:$D$23,1,MATCH(A764,Inputs!$B$6:$D$6,0))+MAX(S764-INDEX(Inputs!$B$21:$D$21,1,MATCH(A764,Inputs!$B$6:$D$6,0)),0)*INDEX(Inputs!$B$24:$D$24,1,MATCH(A764,Inputs!$B$6:$D$6,0))</x:f>
        <x:v>10184.4245</x:v>
      </x:c>
      <x:c r="U764" s="20" t="n">
        <x:f>IF(AND(A763=A764,D763=D764),T763,0)</x:f>
        <x:v>8475.835</x:v>
      </x:c>
      <x:c r="V764" s="20" t="n">
        <x:f>T764-U764</x:f>
        <x:v>1708.5895</x:v>
      </x:c>
      <x:c r="W764" s="20" t="n">
        <x:f>R764+V764</x:f>
        <x:v>53903.5895</x:v>
      </x:c>
      <x:c r="X764" s="14" t="str">
        <x:f>IF(ABS(W764-SUM(M764:Q764)-V764)&lt;0.01,"OK","Check")</x:f>
        <x:v>OK</x:v>
      </x:c>
    </x:row>
    <x:row r="765">
      <x:c r="A765" s="14" t="n">
        <x:v>2027</x:v>
      </x:c>
      <x:c r="B765" s="14" t="str">
        <x:v>Q4</x:v>
      </x:c>
      <x:c r="C765" s="14" t="n">
        <x:v>4</x:v>
      </x:c>
      <x:c r="D765" s="14" t="n">
        <x:v>87</x:v>
      </x:c>
      <x:c r="E765" s="14" t="str">
        <x:f>INDEX(Roster!$B$6:$B$108,MATCH(D765,Roster!$A$6:$A$108,0))</x:f>
        <x:v>Principal</x:v>
      </x:c>
      <x:c r="F765" s="14" t="str">
        <x:f>INDEX(Roster!$F$6:$F$108,MATCH(D765,Roster!$A$6:$A$108,0))</x:f>
        <x:v>Yes</x:v>
      </x:c>
      <x:c r="G765" s="14" t="n">
        <x:f>INDEX(Inputs!$B$7:$D$7,1,MATCH(A765,Inputs!$B$6:$D$6,0))</x:f>
        <x:v>13</x:v>
      </x:c>
      <x:c r="H765" s="14" t="n">
        <x:f>MIN(=INDEX(Inputs!$B$7:$D$7,1,MATCH(A765,Inputs!$B$6:$D$6,0)),MAX(0,INDEX(Inputs!$B$14:$D$14,1,MATCH(A765,Inputs!$B$6:$D$6,0))-(C765-1)*=INDEX(Inputs!$B$7:$D$7,1,MATCH(A765,Inputs!$B$6:$D$6,0))))</x:f>
        <x:v>0</x:v>
      </x:c>
      <x:c r="I765" s="20" t="n">
        <x:f>INDEX(Inputs!$B$8:$D$8,1,MATCH(A765,Inputs!$B$6:$D$6,0))</x:f>
        <x:v>2395</x:v>
      </x:c>
      <x:c r="J765" s="20" t="n">
        <x:f>INDEX(Roster!$C$6:$C$108,MATCH(D765,Roster!$A$6:$A$108,0))*(1+INDEX(Inputs!$B$9:$D$9,1,MATCH(A765,Inputs!$B$6:$D$6,0)))</x:f>
        <x:v>1500</x:v>
      </x:c>
      <x:c r="K765" s="20" t="n">
        <x:f>IF(=INDEX(Roster!$F$6:$F$108,MATCH(D765,Roster!$A$6:$A$108,0))="Yes",0,=INDEX(Inputs!$B$8:$D$8,1,MATCH(A765,Inputs!$B$6:$D$6,0))*IF(=INDEX(Roster!$B$6:$B$108,MATCH(D765,Roster!$A$6:$A$108,0))="Principal",INDEX(Inputs!$B$10:$D$10,1,MATCH(A765,Inputs!$B$6:$D$6,0)),IF(=INDEX(Roster!$B$6:$B$108,MATCH(D765,Roster!$A$6:$A$108,0))="Associate Principal",INDEX(Inputs!$B$11:$D$11,1,MATCH(A765,Inputs!$B$6:$D$6,0)),IF(=INDEX(Roster!$B$6:$B$108,MATCH(D765,Roster!$A$6:$A$108,0))="Assistant Principal",INDEX(Inputs!$B$12:$D$12,1,MATCH(A765,Inputs!$B$6:$D$6,0)),0))))</x:f>
        <x:v>0</x:v>
      </x:c>
      <x:c r="L765" s="20" t="n">
        <x:f>IF(INDEX(Roster!$D$6:$D$108,MATCH(D765,Roster!$A$6:$A$108,0))&gt;=25,INDEX(Inputs!$B$19:$D$19,1,MATCH(A765,Inputs!$B$6:$D$6,0)),IF(INDEX(Roster!$D$6:$D$108,MATCH(D765,Roster!$A$6:$A$108,0))&gt;=20,INDEX(Inputs!$B$18:$D$18,1,MATCH(A765,Inputs!$B$6:$D$6,0)),IF(INDEX(Roster!$D$6:$D$108,MATCH(D765,Roster!$A$6:$A$108,0))&gt;=15,INDEX(Inputs!$B$17:$D$17,1,MATCH(A765,Inputs!$B$6:$D$6,0)),IF(INDEX(Roster!$D$6:$D$108,MATCH(D765,Roster!$A$6:$A$108,0))&gt;=10,INDEX(Inputs!$B$16:$D$16,1,MATCH(A765,Inputs!$B$6:$D$6,0)),IF(INDEX(Roster!$D$6:$D$108,MATCH(D765,Roster!$A$6:$A$108,0))&gt;=5,INDEX(Inputs!$B$15:$D$15,1,MATCH(A765,Inputs!$B$6:$D$6,0)),0)))))</x:f>
        <x:v>90</x:v>
      </x:c>
      <x:c r="M765" s="20" t="n">
        <x:f>G765*I765</x:f>
        <x:v>31135</x:v>
      </x:c>
      <x:c r="N765" s="20" t="n">
        <x:f>G765*J765</x:f>
        <x:v>19500</x:v>
      </x:c>
      <x:c r="O765" s="20" t="n">
        <x:f>G765*K765</x:f>
        <x:v>0</x:v>
      </x:c>
      <x:c r="P765" s="20" t="n">
        <x:f>G765*L765</x:f>
        <x:v>1170</x:v>
      </x:c>
      <x:c r="Q765" s="20" t="n">
        <x:f>H765*INDEX(Inputs!$B$13:$D$13,1,MATCH(A765,Inputs!$B$6:$D$6,0))</x:f>
        <x:v>0</x:v>
      </x:c>
      <x:c r="R765" s="20" t="n">
        <x:f>SUM(M765:Q765)</x:f>
        <x:v>51805</x:v>
      </x:c>
      <x:c r="S765" s="20" t="n">
        <x:f>IF(AND(A764=A765,D764=D765),S764+R765,R765)</x:f>
        <x:v>208390</x:v>
      </x:c>
      <x:c r="T765" s="20" t="n">
        <x:f>MIN(S765,INDEX(Inputs!$B$20:$D$20,1,MATCH(A765,Inputs!$B$6:$D$6,0)))*INDEX(Inputs!$B$22:$D$22,1,MATCH(A765,Inputs!$B$6:$D$6,0))+MAX(MIN(S765,INDEX(Inputs!$B$21:$D$21,1,MATCH(A765,Inputs!$B$6:$D$6,0)))-INDEX(Inputs!$B$20:$D$20,1,MATCH(A765,Inputs!$B$6:$D$6,0)),0)*INDEX(Inputs!$B$23:$D$23,1,MATCH(A765,Inputs!$B$6:$D$6,0))+MAX(S765-INDEX(Inputs!$B$21:$D$21,1,MATCH(A765,Inputs!$B$6:$D$6,0)),0)*INDEX(Inputs!$B$24:$D$24,1,MATCH(A765,Inputs!$B$6:$D$6,0))</x:f>
        <x:v>10935.597</x:v>
      </x:c>
      <x:c r="U765" s="20" t="n">
        <x:f>IF(AND(A764=A765,D764=D765),T764,0)</x:f>
        <x:v>10184.4245</x:v>
      </x:c>
      <x:c r="V765" s="20" t="n">
        <x:f>T765-U765</x:f>
        <x:v>751.1725000000006</x:v>
      </x:c>
      <x:c r="W765" s="20" t="n">
        <x:f>R765+V765</x:f>
        <x:v>52556.1725</x:v>
      </x:c>
      <x:c r="X765" s="14" t="str">
        <x:f>IF(ABS(W765-SUM(M765:Q765)-V765)&lt;0.01,"OK","Check")</x:f>
        <x:v>OK</x:v>
      </x:c>
    </x:row>
    <x:row r="766">
      <x:c r="A766" s="14" t="n">
        <x:v>2027</x:v>
      </x:c>
      <x:c r="B766" s="14" t="str">
        <x:v>Q1</x:v>
      </x:c>
      <x:c r="C766" s="14" t="n">
        <x:v>1</x:v>
      </x:c>
      <x:c r="D766" s="14" t="n">
        <x:v>88</x:v>
      </x:c>
      <x:c r="E766" s="14" t="str">
        <x:f>INDEX(Roster!$B$6:$B$108,MATCH(D766,Roster!$A$6:$A$108,0))</x:f>
        <x:v>Assistant Principal</x:v>
      </x:c>
      <x:c r="F766" s="14" t="str">
        <x:f>INDEX(Roster!$F$6:$F$108,MATCH(D766,Roster!$A$6:$A$108,0))</x:f>
        <x:v>No</x:v>
      </x:c>
      <x:c r="G766" s="14" t="n">
        <x:f>INDEX(Inputs!$B$7:$D$7,1,MATCH(A766,Inputs!$B$6:$D$6,0))</x:f>
        <x:v>13</x:v>
      </x:c>
      <x:c r="H766" s="14" t="n">
        <x:f>MIN(=INDEX(Inputs!$B$7:$D$7,1,MATCH(A766,Inputs!$B$6:$D$6,0)),MAX(0,INDEX(Inputs!$B$14:$D$14,1,MATCH(A766,Inputs!$B$6:$D$6,0))-(C766-1)*=INDEX(Inputs!$B$7:$D$7,1,MATCH(A766,Inputs!$B$6:$D$6,0))))</x:f>
        <x:v>13</x:v>
      </x:c>
      <x:c r="I766" s="20" t="n">
        <x:f>INDEX(Inputs!$B$8:$D$8,1,MATCH(A766,Inputs!$B$6:$D$6,0))</x:f>
        <x:v>2395</x:v>
      </x:c>
      <x:c r="J766" s="20" t="n">
        <x:f>INDEX(Roster!$C$6:$C$108,MATCH(D766,Roster!$A$6:$A$108,0))*(1+INDEX(Inputs!$B$9:$D$9,1,MATCH(A766,Inputs!$B$6:$D$6,0)))</x:f>
        <x:v>0</x:v>
      </x:c>
      <x:c r="K766" s="20" t="n">
        <x:f>IF(=INDEX(Roster!$F$6:$F$108,MATCH(D766,Roster!$A$6:$A$108,0))="Yes",0,=INDEX(Inputs!$B$8:$D$8,1,MATCH(A766,Inputs!$B$6:$D$6,0))*IF(=INDEX(Roster!$B$6:$B$108,MATCH(D766,Roster!$A$6:$A$108,0))="Principal",INDEX(Inputs!$B$10:$D$10,1,MATCH(A766,Inputs!$B$6:$D$6,0)),IF(=INDEX(Roster!$B$6:$B$108,MATCH(D766,Roster!$A$6:$A$108,0))="Associate Principal",INDEX(Inputs!$B$11:$D$11,1,MATCH(A766,Inputs!$B$6:$D$6,0)),IF(=INDEX(Roster!$B$6:$B$108,MATCH(D766,Roster!$A$6:$A$108,0))="Assistant Principal",INDEX(Inputs!$B$12:$D$12,1,MATCH(A766,Inputs!$B$6:$D$6,0)),0))))</x:f>
        <x:v>239.5</x:v>
      </x:c>
      <x:c r="L766" s="20" t="n">
        <x:f>IF(INDEX(Roster!$D$6:$D$108,MATCH(D766,Roster!$A$6:$A$108,0))&gt;=25,INDEX(Inputs!$B$19:$D$19,1,MATCH(A766,Inputs!$B$6:$D$6,0)),IF(INDEX(Roster!$D$6:$D$108,MATCH(D766,Roster!$A$6:$A$108,0))&gt;=20,INDEX(Inputs!$B$18:$D$18,1,MATCH(A766,Inputs!$B$6:$D$6,0)),IF(INDEX(Roster!$D$6:$D$108,MATCH(D766,Roster!$A$6:$A$108,0))&gt;=15,INDEX(Inputs!$B$17:$D$17,1,MATCH(A766,Inputs!$B$6:$D$6,0)),IF(INDEX(Roster!$D$6:$D$108,MATCH(D766,Roster!$A$6:$A$108,0))&gt;=10,INDEX(Inputs!$B$16:$D$16,1,MATCH(A766,Inputs!$B$6:$D$6,0)),IF(INDEX(Roster!$D$6:$D$108,MATCH(D766,Roster!$A$6:$A$108,0))&gt;=5,INDEX(Inputs!$B$15:$D$15,1,MATCH(A766,Inputs!$B$6:$D$6,0)),0)))))</x:f>
        <x:v>90</x:v>
      </x:c>
      <x:c r="M766" s="20" t="n">
        <x:f>G766*I766</x:f>
        <x:v>31135</x:v>
      </x:c>
      <x:c r="N766" s="20" t="n">
        <x:f>G766*J766</x:f>
        <x:v>0</x:v>
      </x:c>
      <x:c r="O766" s="20" t="n">
        <x:f>G766*K766</x:f>
        <x:v>3113.5</x:v>
      </x:c>
      <x:c r="P766" s="20" t="n">
        <x:f>G766*L766</x:f>
        <x:v>1170</x:v>
      </x:c>
      <x:c r="Q766" s="20" t="n">
        <x:f>H766*INDEX(Inputs!$B$13:$D$13,1,MATCH(A766,Inputs!$B$6:$D$6,0))</x:f>
        <x:v>390</x:v>
      </x:c>
      <x:c r="R766" s="20" t="n">
        <x:f>SUM(M766:Q766)</x:f>
        <x:v>35808.5</x:v>
      </x:c>
      <x:c r="S766" s="20" t="n">
        <x:f>IF(AND(A765=A766,D765=D766),S765+R766,R766)</x:f>
        <x:v>35808.5</x:v>
      </x:c>
      <x:c r="T766" s="20" t="n">
        <x:f>MIN(S766,INDEX(Inputs!$B$20:$D$20,1,MATCH(A766,Inputs!$B$6:$D$6,0)))*INDEX(Inputs!$B$22:$D$22,1,MATCH(A766,Inputs!$B$6:$D$6,0))+MAX(MIN(S766,INDEX(Inputs!$B$21:$D$21,1,MATCH(A766,Inputs!$B$6:$D$6,0)))-INDEX(Inputs!$B$20:$D$20,1,MATCH(A766,Inputs!$B$6:$D$6,0)),0)*INDEX(Inputs!$B$23:$D$23,1,MATCH(A766,Inputs!$B$6:$D$6,0))+MAX(S766-INDEX(Inputs!$B$21:$D$21,1,MATCH(A766,Inputs!$B$6:$D$6,0)),0)*INDEX(Inputs!$B$24:$D$24,1,MATCH(A766,Inputs!$B$6:$D$6,0))</x:f>
        <x:v>3229.35025</x:v>
      </x:c>
      <x:c r="U766" s="20" t="n">
        <x:f>IF(AND(A765=A766,D765=D766),T765,0)</x:f>
        <x:v>0</x:v>
      </x:c>
      <x:c r="V766" s="20" t="n">
        <x:f>T766-U766</x:f>
        <x:v>3229.35025</x:v>
      </x:c>
      <x:c r="W766" s="20" t="n">
        <x:f>R766+V766</x:f>
        <x:v>39037.85025</x:v>
      </x:c>
      <x:c r="X766" s="14" t="str">
        <x:f>IF(ABS(W766-SUM(M766:Q766)-V766)&lt;0.01,"OK","Check")</x:f>
        <x:v>OK</x:v>
      </x:c>
    </x:row>
    <x:row r="767">
      <x:c r="A767" s="14" t="n">
        <x:v>2027</x:v>
      </x:c>
      <x:c r="B767" s="14" t="str">
        <x:v>Q2</x:v>
      </x:c>
      <x:c r="C767" s="14" t="n">
        <x:v>2</x:v>
      </x:c>
      <x:c r="D767" s="14" t="n">
        <x:v>88</x:v>
      </x:c>
      <x:c r="E767" s="14" t="str">
        <x:f>INDEX(Roster!$B$6:$B$108,MATCH(D767,Roster!$A$6:$A$108,0))</x:f>
        <x:v>Assistant Principal</x:v>
      </x:c>
      <x:c r="F767" s="14" t="str">
        <x:f>INDEX(Roster!$F$6:$F$108,MATCH(D767,Roster!$A$6:$A$108,0))</x:f>
        <x:v>No</x:v>
      </x:c>
      <x:c r="G767" s="14" t="n">
        <x:f>INDEX(Inputs!$B$7:$D$7,1,MATCH(A767,Inputs!$B$6:$D$6,0))</x:f>
        <x:v>13</x:v>
      </x:c>
      <x:c r="H767" s="14" t="n">
        <x:f>MIN(=INDEX(Inputs!$B$7:$D$7,1,MATCH(A767,Inputs!$B$6:$D$6,0)),MAX(0,INDEX(Inputs!$B$14:$D$14,1,MATCH(A767,Inputs!$B$6:$D$6,0))-(C767-1)*=INDEX(Inputs!$B$7:$D$7,1,MATCH(A767,Inputs!$B$6:$D$6,0))))</x:f>
        <x:v>13</x:v>
      </x:c>
      <x:c r="I767" s="20" t="n">
        <x:f>INDEX(Inputs!$B$8:$D$8,1,MATCH(A767,Inputs!$B$6:$D$6,0))</x:f>
        <x:v>2395</x:v>
      </x:c>
      <x:c r="J767" s="20" t="n">
        <x:f>INDEX(Roster!$C$6:$C$108,MATCH(D767,Roster!$A$6:$A$108,0))*(1+INDEX(Inputs!$B$9:$D$9,1,MATCH(A767,Inputs!$B$6:$D$6,0)))</x:f>
        <x:v>0</x:v>
      </x:c>
      <x:c r="K767" s="20" t="n">
        <x:f>IF(=INDEX(Roster!$F$6:$F$108,MATCH(D767,Roster!$A$6:$A$108,0))="Yes",0,=INDEX(Inputs!$B$8:$D$8,1,MATCH(A767,Inputs!$B$6:$D$6,0))*IF(=INDEX(Roster!$B$6:$B$108,MATCH(D767,Roster!$A$6:$A$108,0))="Principal",INDEX(Inputs!$B$10:$D$10,1,MATCH(A767,Inputs!$B$6:$D$6,0)),IF(=INDEX(Roster!$B$6:$B$108,MATCH(D767,Roster!$A$6:$A$108,0))="Associate Principal",INDEX(Inputs!$B$11:$D$11,1,MATCH(A767,Inputs!$B$6:$D$6,0)),IF(=INDEX(Roster!$B$6:$B$108,MATCH(D767,Roster!$A$6:$A$108,0))="Assistant Principal",INDEX(Inputs!$B$12:$D$12,1,MATCH(A767,Inputs!$B$6:$D$6,0)),0))))</x:f>
        <x:v>239.5</x:v>
      </x:c>
      <x:c r="L767" s="20" t="n">
        <x:f>IF(INDEX(Roster!$D$6:$D$108,MATCH(D767,Roster!$A$6:$A$108,0))&gt;=25,INDEX(Inputs!$B$19:$D$19,1,MATCH(A767,Inputs!$B$6:$D$6,0)),IF(INDEX(Roster!$D$6:$D$108,MATCH(D767,Roster!$A$6:$A$108,0))&gt;=20,INDEX(Inputs!$B$18:$D$18,1,MATCH(A767,Inputs!$B$6:$D$6,0)),IF(INDEX(Roster!$D$6:$D$108,MATCH(D767,Roster!$A$6:$A$108,0))&gt;=15,INDEX(Inputs!$B$17:$D$17,1,MATCH(A767,Inputs!$B$6:$D$6,0)),IF(INDEX(Roster!$D$6:$D$108,MATCH(D767,Roster!$A$6:$A$108,0))&gt;=10,INDEX(Inputs!$B$16:$D$16,1,MATCH(A767,Inputs!$B$6:$D$6,0)),IF(INDEX(Roster!$D$6:$D$108,MATCH(D767,Roster!$A$6:$A$108,0))&gt;=5,INDEX(Inputs!$B$15:$D$15,1,MATCH(A767,Inputs!$B$6:$D$6,0)),0)))))</x:f>
        <x:v>90</x:v>
      </x:c>
      <x:c r="M767" s="20" t="n">
        <x:f>G767*I767</x:f>
        <x:v>31135</x:v>
      </x:c>
      <x:c r="N767" s="20" t="n">
        <x:f>G767*J767</x:f>
        <x:v>0</x:v>
      </x:c>
      <x:c r="O767" s="20" t="n">
        <x:f>G767*K767</x:f>
        <x:v>3113.5</x:v>
      </x:c>
      <x:c r="P767" s="20" t="n">
        <x:f>G767*L767</x:f>
        <x:v>1170</x:v>
      </x:c>
      <x:c r="Q767" s="20" t="n">
        <x:f>H767*INDEX(Inputs!$B$13:$D$13,1,MATCH(A767,Inputs!$B$6:$D$6,0))</x:f>
        <x:v>390</x:v>
      </x:c>
      <x:c r="R767" s="20" t="n">
        <x:f>SUM(M767:Q767)</x:f>
        <x:v>35808.5</x:v>
      </x:c>
      <x:c r="S767" s="20" t="n">
        <x:f>IF(AND(A766=A767,D766=D767),S766+R767,R767)</x:f>
        <x:v>71617</x:v>
      </x:c>
      <x:c r="T767" s="20" t="n">
        <x:f>MIN(S767,INDEX(Inputs!$B$20:$D$20,1,MATCH(A767,Inputs!$B$6:$D$6,0)))*INDEX(Inputs!$B$22:$D$22,1,MATCH(A767,Inputs!$B$6:$D$6,0))+MAX(MIN(S767,INDEX(Inputs!$B$21:$D$21,1,MATCH(A767,Inputs!$B$6:$D$6,0)))-INDEX(Inputs!$B$20:$D$20,1,MATCH(A767,Inputs!$B$6:$D$6,0)),0)*INDEX(Inputs!$B$23:$D$23,1,MATCH(A767,Inputs!$B$6:$D$6,0))+MAX(S767-INDEX(Inputs!$B$21:$D$21,1,MATCH(A767,Inputs!$B$6:$D$6,0)),0)*INDEX(Inputs!$B$24:$D$24,1,MATCH(A767,Inputs!$B$6:$D$6,0))</x:f>
        <x:v>5968.7005</x:v>
      </x:c>
      <x:c r="U767" s="20" t="n">
        <x:f>IF(AND(A766=A767,D766=D767),T766,0)</x:f>
        <x:v>3229.35025</x:v>
      </x:c>
      <x:c r="V767" s="20" t="n">
        <x:f>T767-U767</x:f>
        <x:v>2739.35025</x:v>
      </x:c>
      <x:c r="W767" s="20" t="n">
        <x:f>R767+V767</x:f>
        <x:v>38547.85025</x:v>
      </x:c>
      <x:c r="X767" s="14" t="str">
        <x:f>IF(ABS(W767-SUM(M767:Q767)-V767)&lt;0.01,"OK","Check")</x:f>
        <x:v>OK</x:v>
      </x:c>
    </x:row>
    <x:row r="768">
      <x:c r="A768" s="14" t="n">
        <x:v>2027</x:v>
      </x:c>
      <x:c r="B768" s="14" t="str">
        <x:v>Q3</x:v>
      </x:c>
      <x:c r="C768" s="14" t="n">
        <x:v>3</x:v>
      </x:c>
      <x:c r="D768" s="14" t="n">
        <x:v>88</x:v>
      </x:c>
      <x:c r="E768" s="14" t="str">
        <x:f>INDEX(Roster!$B$6:$B$108,MATCH(D768,Roster!$A$6:$A$108,0))</x:f>
        <x:v>Assistant Principal</x:v>
      </x:c>
      <x:c r="F768" s="14" t="str">
        <x:f>INDEX(Roster!$F$6:$F$108,MATCH(D768,Roster!$A$6:$A$108,0))</x:f>
        <x:v>No</x:v>
      </x:c>
      <x:c r="G768" s="14" t="n">
        <x:f>INDEX(Inputs!$B$7:$D$7,1,MATCH(A768,Inputs!$B$6:$D$6,0))</x:f>
        <x:v>13</x:v>
      </x:c>
      <x:c r="H768" s="14" t="n">
        <x:f>MIN(=INDEX(Inputs!$B$7:$D$7,1,MATCH(A768,Inputs!$B$6:$D$6,0)),MAX(0,INDEX(Inputs!$B$14:$D$14,1,MATCH(A768,Inputs!$B$6:$D$6,0))-(C768-1)*=INDEX(Inputs!$B$7:$D$7,1,MATCH(A768,Inputs!$B$6:$D$6,0))))</x:f>
        <x:v>13</x:v>
      </x:c>
      <x:c r="I768" s="20" t="n">
        <x:f>INDEX(Inputs!$B$8:$D$8,1,MATCH(A768,Inputs!$B$6:$D$6,0))</x:f>
        <x:v>2395</x:v>
      </x:c>
      <x:c r="J768" s="20" t="n">
        <x:f>INDEX(Roster!$C$6:$C$108,MATCH(D768,Roster!$A$6:$A$108,0))*(1+INDEX(Inputs!$B$9:$D$9,1,MATCH(A768,Inputs!$B$6:$D$6,0)))</x:f>
        <x:v>0</x:v>
      </x:c>
      <x:c r="K768" s="20" t="n">
        <x:f>IF(=INDEX(Roster!$F$6:$F$108,MATCH(D768,Roster!$A$6:$A$108,0))="Yes",0,=INDEX(Inputs!$B$8:$D$8,1,MATCH(A768,Inputs!$B$6:$D$6,0))*IF(=INDEX(Roster!$B$6:$B$108,MATCH(D768,Roster!$A$6:$A$108,0))="Principal",INDEX(Inputs!$B$10:$D$10,1,MATCH(A768,Inputs!$B$6:$D$6,0)),IF(=INDEX(Roster!$B$6:$B$108,MATCH(D768,Roster!$A$6:$A$108,0))="Associate Principal",INDEX(Inputs!$B$11:$D$11,1,MATCH(A768,Inputs!$B$6:$D$6,0)),IF(=INDEX(Roster!$B$6:$B$108,MATCH(D768,Roster!$A$6:$A$108,0))="Assistant Principal",INDEX(Inputs!$B$12:$D$12,1,MATCH(A768,Inputs!$B$6:$D$6,0)),0))))</x:f>
        <x:v>239.5</x:v>
      </x:c>
      <x:c r="L768" s="20" t="n">
        <x:f>IF(INDEX(Roster!$D$6:$D$108,MATCH(D768,Roster!$A$6:$A$108,0))&gt;=25,INDEX(Inputs!$B$19:$D$19,1,MATCH(A768,Inputs!$B$6:$D$6,0)),IF(INDEX(Roster!$D$6:$D$108,MATCH(D768,Roster!$A$6:$A$108,0))&gt;=20,INDEX(Inputs!$B$18:$D$18,1,MATCH(A768,Inputs!$B$6:$D$6,0)),IF(INDEX(Roster!$D$6:$D$108,MATCH(D768,Roster!$A$6:$A$108,0))&gt;=15,INDEX(Inputs!$B$17:$D$17,1,MATCH(A768,Inputs!$B$6:$D$6,0)),IF(INDEX(Roster!$D$6:$D$108,MATCH(D768,Roster!$A$6:$A$108,0))&gt;=10,INDEX(Inputs!$B$16:$D$16,1,MATCH(A768,Inputs!$B$6:$D$6,0)),IF(INDEX(Roster!$D$6:$D$108,MATCH(D768,Roster!$A$6:$A$108,0))&gt;=5,INDEX(Inputs!$B$15:$D$15,1,MATCH(A768,Inputs!$B$6:$D$6,0)),0)))))</x:f>
        <x:v>90</x:v>
      </x:c>
      <x:c r="M768" s="20" t="n">
        <x:f>G768*I768</x:f>
        <x:v>31135</x:v>
      </x:c>
      <x:c r="N768" s="20" t="n">
        <x:f>G768*J768</x:f>
        <x:v>0</x:v>
      </x:c>
      <x:c r="O768" s="20" t="n">
        <x:f>G768*K768</x:f>
        <x:v>3113.5</x:v>
      </x:c>
      <x:c r="P768" s="20" t="n">
        <x:f>G768*L768</x:f>
        <x:v>1170</x:v>
      </x:c>
      <x:c r="Q768" s="20" t="n">
        <x:f>H768*INDEX(Inputs!$B$13:$D$13,1,MATCH(A768,Inputs!$B$6:$D$6,0))</x:f>
        <x:v>390</x:v>
      </x:c>
      <x:c r="R768" s="20" t="n">
        <x:f>SUM(M768:Q768)</x:f>
        <x:v>35808.5</x:v>
      </x:c>
      <x:c r="S768" s="20" t="n">
        <x:f>IF(AND(A767=A768,D767=D768),S767+R768,R768)</x:f>
        <x:v>107425.5</x:v>
      </x:c>
      <x:c r="T768" s="20" t="n">
        <x:f>MIN(S768,INDEX(Inputs!$B$20:$D$20,1,MATCH(A768,Inputs!$B$6:$D$6,0)))*INDEX(Inputs!$B$22:$D$22,1,MATCH(A768,Inputs!$B$6:$D$6,0))+MAX(MIN(S768,INDEX(Inputs!$B$21:$D$21,1,MATCH(A768,Inputs!$B$6:$D$6,0)))-INDEX(Inputs!$B$20:$D$20,1,MATCH(A768,Inputs!$B$6:$D$6,0)),0)*INDEX(Inputs!$B$23:$D$23,1,MATCH(A768,Inputs!$B$6:$D$6,0))+MAX(S768-INDEX(Inputs!$B$21:$D$21,1,MATCH(A768,Inputs!$B$6:$D$6,0)),0)*INDEX(Inputs!$B$24:$D$24,1,MATCH(A768,Inputs!$B$6:$D$6,0))</x:f>
        <x:v>8708.050749999999</x:v>
      </x:c>
      <x:c r="U768" s="20" t="n">
        <x:f>IF(AND(A767=A768,D767=D768),T767,0)</x:f>
        <x:v>5968.7005</x:v>
      </x:c>
      <x:c r="V768" s="20" t="n">
        <x:f>T768-U768</x:f>
        <x:v>2739.3502499999986</x:v>
      </x:c>
      <x:c r="W768" s="20" t="n">
        <x:f>R768+V768</x:f>
        <x:v>38547.850249999996</x:v>
      </x:c>
      <x:c r="X768" s="14" t="str">
        <x:f>IF(ABS(W768-SUM(M768:Q768)-V768)&lt;0.01,"OK","Check")</x:f>
        <x:v>OK</x:v>
      </x:c>
    </x:row>
    <x:row r="769">
      <x:c r="A769" s="14" t="n">
        <x:v>2027</x:v>
      </x:c>
      <x:c r="B769" s="14" t="str">
        <x:v>Q4</x:v>
      </x:c>
      <x:c r="C769" s="14" t="n">
        <x:v>4</x:v>
      </x:c>
      <x:c r="D769" s="14" t="n">
        <x:v>88</x:v>
      </x:c>
      <x:c r="E769" s="14" t="str">
        <x:f>INDEX(Roster!$B$6:$B$108,MATCH(D769,Roster!$A$6:$A$108,0))</x:f>
        <x:v>Assistant Principal</x:v>
      </x:c>
      <x:c r="F769" s="14" t="str">
        <x:f>INDEX(Roster!$F$6:$F$108,MATCH(D769,Roster!$A$6:$A$108,0))</x:f>
        <x:v>No</x:v>
      </x:c>
      <x:c r="G769" s="14" t="n">
        <x:f>INDEX(Inputs!$B$7:$D$7,1,MATCH(A769,Inputs!$B$6:$D$6,0))</x:f>
        <x:v>13</x:v>
      </x:c>
      <x:c r="H769" s="14" t="n">
        <x:f>MIN(=INDEX(Inputs!$B$7:$D$7,1,MATCH(A769,Inputs!$B$6:$D$6,0)),MAX(0,INDEX(Inputs!$B$14:$D$14,1,MATCH(A769,Inputs!$B$6:$D$6,0))-(C769-1)*=INDEX(Inputs!$B$7:$D$7,1,MATCH(A769,Inputs!$B$6:$D$6,0))))</x:f>
        <x:v>0</x:v>
      </x:c>
      <x:c r="I769" s="20" t="n">
        <x:f>INDEX(Inputs!$B$8:$D$8,1,MATCH(A769,Inputs!$B$6:$D$6,0))</x:f>
        <x:v>2395</x:v>
      </x:c>
      <x:c r="J769" s="20" t="n">
        <x:f>INDEX(Roster!$C$6:$C$108,MATCH(D769,Roster!$A$6:$A$108,0))*(1+INDEX(Inputs!$B$9:$D$9,1,MATCH(A769,Inputs!$B$6:$D$6,0)))</x:f>
        <x:v>0</x:v>
      </x:c>
      <x:c r="K769" s="20" t="n">
        <x:f>IF(=INDEX(Roster!$F$6:$F$108,MATCH(D769,Roster!$A$6:$A$108,0))="Yes",0,=INDEX(Inputs!$B$8:$D$8,1,MATCH(A769,Inputs!$B$6:$D$6,0))*IF(=INDEX(Roster!$B$6:$B$108,MATCH(D769,Roster!$A$6:$A$108,0))="Principal",INDEX(Inputs!$B$10:$D$10,1,MATCH(A769,Inputs!$B$6:$D$6,0)),IF(=INDEX(Roster!$B$6:$B$108,MATCH(D769,Roster!$A$6:$A$108,0))="Associate Principal",INDEX(Inputs!$B$11:$D$11,1,MATCH(A769,Inputs!$B$6:$D$6,0)),IF(=INDEX(Roster!$B$6:$B$108,MATCH(D769,Roster!$A$6:$A$108,0))="Assistant Principal",INDEX(Inputs!$B$12:$D$12,1,MATCH(A769,Inputs!$B$6:$D$6,0)),0))))</x:f>
        <x:v>239.5</x:v>
      </x:c>
      <x:c r="L769" s="20" t="n">
        <x:f>IF(INDEX(Roster!$D$6:$D$108,MATCH(D769,Roster!$A$6:$A$108,0))&gt;=25,INDEX(Inputs!$B$19:$D$19,1,MATCH(A769,Inputs!$B$6:$D$6,0)),IF(INDEX(Roster!$D$6:$D$108,MATCH(D769,Roster!$A$6:$A$108,0))&gt;=20,INDEX(Inputs!$B$18:$D$18,1,MATCH(A769,Inputs!$B$6:$D$6,0)),IF(INDEX(Roster!$D$6:$D$108,MATCH(D769,Roster!$A$6:$A$108,0))&gt;=15,INDEX(Inputs!$B$17:$D$17,1,MATCH(A769,Inputs!$B$6:$D$6,0)),IF(INDEX(Roster!$D$6:$D$108,MATCH(D769,Roster!$A$6:$A$108,0))&gt;=10,INDEX(Inputs!$B$16:$D$16,1,MATCH(A769,Inputs!$B$6:$D$6,0)),IF(INDEX(Roster!$D$6:$D$108,MATCH(D769,Roster!$A$6:$A$108,0))&gt;=5,INDEX(Inputs!$B$15:$D$15,1,MATCH(A769,Inputs!$B$6:$D$6,0)),0)))))</x:f>
        <x:v>90</x:v>
      </x:c>
      <x:c r="M769" s="20" t="n">
        <x:f>G769*I769</x:f>
        <x:v>31135</x:v>
      </x:c>
      <x:c r="N769" s="20" t="n">
        <x:f>G769*J769</x:f>
        <x:v>0</x:v>
      </x:c>
      <x:c r="O769" s="20" t="n">
        <x:f>G769*K769</x:f>
        <x:v>3113.5</x:v>
      </x:c>
      <x:c r="P769" s="20" t="n">
        <x:f>G769*L769</x:f>
        <x:v>1170</x:v>
      </x:c>
      <x:c r="Q769" s="20" t="n">
        <x:f>H769*INDEX(Inputs!$B$13:$D$13,1,MATCH(A769,Inputs!$B$6:$D$6,0))</x:f>
        <x:v>0</x:v>
      </x:c>
      <x:c r="R769" s="20" t="n">
        <x:f>SUM(M769:Q769)</x:f>
        <x:v>35418.5</x:v>
      </x:c>
      <x:c r="S769" s="20" t="n">
        <x:f>IF(AND(A768=A769,D768=D769),S768+R769,R769)</x:f>
        <x:v>142844</x:v>
      </x:c>
      <x:c r="T769" s="20" t="n">
        <x:f>MIN(S769,INDEX(Inputs!$B$20:$D$20,1,MATCH(A769,Inputs!$B$6:$D$6,0)))*INDEX(Inputs!$B$22:$D$22,1,MATCH(A769,Inputs!$B$6:$D$6,0))+MAX(MIN(S769,INDEX(Inputs!$B$21:$D$21,1,MATCH(A769,Inputs!$B$6:$D$6,0)))-INDEX(Inputs!$B$20:$D$20,1,MATCH(A769,Inputs!$B$6:$D$6,0)),0)*INDEX(Inputs!$B$23:$D$23,1,MATCH(A769,Inputs!$B$6:$D$6,0))+MAX(S769-INDEX(Inputs!$B$21:$D$21,1,MATCH(A769,Inputs!$B$6:$D$6,0)),0)*INDEX(Inputs!$B$24:$D$24,1,MATCH(A769,Inputs!$B$6:$D$6,0))</x:f>
        <x:v>9985.18</x:v>
      </x:c>
      <x:c r="U769" s="20" t="n">
        <x:f>IF(AND(A768=A769,D768=D769),T768,0)</x:f>
        <x:v>8708.050749999999</x:v>
      </x:c>
      <x:c r="V769" s="20" t="n">
        <x:f>T769-U769</x:f>
        <x:v>1277.1292500000018</x:v>
      </x:c>
      <x:c r="W769" s="20" t="n">
        <x:f>R769+V769</x:f>
        <x:v>36695.62925</x:v>
      </x:c>
      <x:c r="X769" s="14" t="str">
        <x:f>IF(ABS(W769-SUM(M769:Q769)-V769)&lt;0.01,"OK","Check")</x:f>
        <x:v>OK</x:v>
      </x:c>
    </x:row>
    <x:row r="770">
      <x:c r="A770" s="14" t="n">
        <x:v>2027</x:v>
      </x:c>
      <x:c r="B770" s="14" t="str">
        <x:v>Q1</x:v>
      </x:c>
      <x:c r="C770" s="14" t="n">
        <x:v>1</x:v>
      </x:c>
      <x:c r="D770" s="14" t="n">
        <x:v>89</x:v>
      </x:c>
      <x:c r="E770" s="14" t="str">
        <x:f>INDEX(Roster!$B$6:$B$108,MATCH(D770,Roster!$A$6:$A$108,0))</x:f>
      </x:c>
      <x:c r="F770" s="14" t="str">
        <x:f>INDEX(Roster!$F$6:$F$108,MATCH(D770,Roster!$A$6:$A$108,0))</x:f>
        <x:v>No</x:v>
      </x:c>
      <x:c r="G770" s="14" t="n">
        <x:f>INDEX(Inputs!$B$7:$D$7,1,MATCH(A770,Inputs!$B$6:$D$6,0))</x:f>
        <x:v>13</x:v>
      </x:c>
      <x:c r="H770" s="14" t="n">
        <x:f>MIN(=INDEX(Inputs!$B$7:$D$7,1,MATCH(A770,Inputs!$B$6:$D$6,0)),MAX(0,INDEX(Inputs!$B$14:$D$14,1,MATCH(A770,Inputs!$B$6:$D$6,0))-(C770-1)*=INDEX(Inputs!$B$7:$D$7,1,MATCH(A770,Inputs!$B$6:$D$6,0))))</x:f>
        <x:v>13</x:v>
      </x:c>
      <x:c r="I770" s="20" t="n">
        <x:f>INDEX(Inputs!$B$8:$D$8,1,MATCH(A770,Inputs!$B$6:$D$6,0))</x:f>
        <x:v>2395</x:v>
      </x:c>
      <x:c r="J770" s="20" t="n">
        <x:f>INDEX(Roster!$C$6:$C$108,MATCH(D770,Roster!$A$6:$A$108,0))*(1+INDEX(Inputs!$B$9:$D$9,1,MATCH(A770,Inputs!$B$6:$D$6,0)))</x:f>
        <x:v>160</x:v>
      </x:c>
      <x:c r="K770" s="20" t="n">
        <x:f>IF(=INDEX(Roster!$F$6:$F$108,MATCH(D770,Roster!$A$6:$A$108,0))="Yes",0,=INDEX(Inputs!$B$8:$D$8,1,MATCH(A770,Inputs!$B$6:$D$6,0))*IF(=INDEX(Roster!$B$6:$B$108,MATCH(D770,Roster!$A$6:$A$108,0))="Principal",INDEX(Inputs!$B$10:$D$10,1,MATCH(A770,Inputs!$B$6:$D$6,0)),IF(=INDEX(Roster!$B$6:$B$108,MATCH(D770,Roster!$A$6:$A$108,0))="Associate Principal",INDEX(Inputs!$B$11:$D$11,1,MATCH(A770,Inputs!$B$6:$D$6,0)),IF(=INDEX(Roster!$B$6:$B$108,MATCH(D770,Roster!$A$6:$A$108,0))="Assistant Principal",INDEX(Inputs!$B$12:$D$12,1,MATCH(A770,Inputs!$B$6:$D$6,0)),0))))</x:f>
        <x:v>0</x:v>
      </x:c>
      <x:c r="L770" s="20" t="n">
        <x:f>IF(INDEX(Roster!$D$6:$D$108,MATCH(D770,Roster!$A$6:$A$108,0))&gt;=25,INDEX(Inputs!$B$19:$D$19,1,MATCH(A770,Inputs!$B$6:$D$6,0)),IF(INDEX(Roster!$D$6:$D$108,MATCH(D770,Roster!$A$6:$A$108,0))&gt;=20,INDEX(Inputs!$B$18:$D$18,1,MATCH(A770,Inputs!$B$6:$D$6,0)),IF(INDEX(Roster!$D$6:$D$108,MATCH(D770,Roster!$A$6:$A$108,0))&gt;=15,INDEX(Inputs!$B$17:$D$17,1,MATCH(A770,Inputs!$B$6:$D$6,0)),IF(INDEX(Roster!$D$6:$D$108,MATCH(D770,Roster!$A$6:$A$108,0))&gt;=10,INDEX(Inputs!$B$16:$D$16,1,MATCH(A770,Inputs!$B$6:$D$6,0)),IF(INDEX(Roster!$D$6:$D$108,MATCH(D770,Roster!$A$6:$A$108,0))&gt;=5,INDEX(Inputs!$B$15:$D$15,1,MATCH(A770,Inputs!$B$6:$D$6,0)),0)))))</x:f>
        <x:v>50</x:v>
      </x:c>
      <x:c r="M770" s="20" t="n">
        <x:f>G770*I770</x:f>
        <x:v>31135</x:v>
      </x:c>
      <x:c r="N770" s="20" t="n">
        <x:f>G770*J770</x:f>
        <x:v>2080</x:v>
      </x:c>
      <x:c r="O770" s="20" t="n">
        <x:f>G770*K770</x:f>
        <x:v>0</x:v>
      </x:c>
      <x:c r="P770" s="20" t="n">
        <x:f>G770*L770</x:f>
        <x:v>650</x:v>
      </x:c>
      <x:c r="Q770" s="20" t="n">
        <x:f>H770*INDEX(Inputs!$B$13:$D$13,1,MATCH(A770,Inputs!$B$6:$D$6,0))</x:f>
        <x:v>390</x:v>
      </x:c>
      <x:c r="R770" s="20" t="n">
        <x:f>SUM(M770:Q770)</x:f>
        <x:v>34255</x:v>
      </x:c>
      <x:c r="S770" s="20" t="n">
        <x:f>IF(AND(A769=A770,D769=D770),S769+R770,R770)</x:f>
        <x:v>34255</x:v>
      </x:c>
      <x:c r="T770" s="20" t="n">
        <x:f>MIN(S770,INDEX(Inputs!$B$20:$D$20,1,MATCH(A770,Inputs!$B$6:$D$6,0)))*INDEX(Inputs!$B$22:$D$22,1,MATCH(A770,Inputs!$B$6:$D$6,0))+MAX(MIN(S770,INDEX(Inputs!$B$21:$D$21,1,MATCH(A770,Inputs!$B$6:$D$6,0)))-INDEX(Inputs!$B$20:$D$20,1,MATCH(A770,Inputs!$B$6:$D$6,0)),0)*INDEX(Inputs!$B$23:$D$23,1,MATCH(A770,Inputs!$B$6:$D$6,0))+MAX(S770-INDEX(Inputs!$B$21:$D$21,1,MATCH(A770,Inputs!$B$6:$D$6,0)),0)*INDEX(Inputs!$B$24:$D$24,1,MATCH(A770,Inputs!$B$6:$D$6,0))</x:f>
        <x:v>3110.5075</x:v>
      </x:c>
      <x:c r="U770" s="20" t="n">
        <x:f>IF(AND(A769=A770,D769=D770),T769,0)</x:f>
        <x:v>0</x:v>
      </x:c>
      <x:c r="V770" s="20" t="n">
        <x:f>T770-U770</x:f>
        <x:v>3110.5075</x:v>
      </x:c>
      <x:c r="W770" s="20" t="n">
        <x:f>R770+V770</x:f>
        <x:v>37365.5075</x:v>
      </x:c>
      <x:c r="X770" s="14" t="str">
        <x:f>IF(ABS(W770-SUM(M770:Q770)-V770)&lt;0.01,"OK","Check")</x:f>
        <x:v>OK</x:v>
      </x:c>
    </x:row>
    <x:row r="771">
      <x:c r="A771" s="14" t="n">
        <x:v>2027</x:v>
      </x:c>
      <x:c r="B771" s="14" t="str">
        <x:v>Q2</x:v>
      </x:c>
      <x:c r="C771" s="14" t="n">
        <x:v>2</x:v>
      </x:c>
      <x:c r="D771" s="14" t="n">
        <x:v>89</x:v>
      </x:c>
      <x:c r="E771" s="14" t="str">
        <x:f>INDEX(Roster!$B$6:$B$108,MATCH(D771,Roster!$A$6:$A$108,0))</x:f>
      </x:c>
      <x:c r="F771" s="14" t="str">
        <x:f>INDEX(Roster!$F$6:$F$108,MATCH(D771,Roster!$A$6:$A$108,0))</x:f>
        <x:v>No</x:v>
      </x:c>
      <x:c r="G771" s="14" t="n">
        <x:f>INDEX(Inputs!$B$7:$D$7,1,MATCH(A771,Inputs!$B$6:$D$6,0))</x:f>
        <x:v>13</x:v>
      </x:c>
      <x:c r="H771" s="14" t="n">
        <x:f>MIN(=INDEX(Inputs!$B$7:$D$7,1,MATCH(A771,Inputs!$B$6:$D$6,0)),MAX(0,INDEX(Inputs!$B$14:$D$14,1,MATCH(A771,Inputs!$B$6:$D$6,0))-(C771-1)*=INDEX(Inputs!$B$7:$D$7,1,MATCH(A771,Inputs!$B$6:$D$6,0))))</x:f>
        <x:v>13</x:v>
      </x:c>
      <x:c r="I771" s="20" t="n">
        <x:f>INDEX(Inputs!$B$8:$D$8,1,MATCH(A771,Inputs!$B$6:$D$6,0))</x:f>
        <x:v>2395</x:v>
      </x:c>
      <x:c r="J771" s="20" t="n">
        <x:f>INDEX(Roster!$C$6:$C$108,MATCH(D771,Roster!$A$6:$A$108,0))*(1+INDEX(Inputs!$B$9:$D$9,1,MATCH(A771,Inputs!$B$6:$D$6,0)))</x:f>
        <x:v>160</x:v>
      </x:c>
      <x:c r="K771" s="20" t="n">
        <x:f>IF(=INDEX(Roster!$F$6:$F$108,MATCH(D771,Roster!$A$6:$A$108,0))="Yes",0,=INDEX(Inputs!$B$8:$D$8,1,MATCH(A771,Inputs!$B$6:$D$6,0))*IF(=INDEX(Roster!$B$6:$B$108,MATCH(D771,Roster!$A$6:$A$108,0))="Principal",INDEX(Inputs!$B$10:$D$10,1,MATCH(A771,Inputs!$B$6:$D$6,0)),IF(=INDEX(Roster!$B$6:$B$108,MATCH(D771,Roster!$A$6:$A$108,0))="Associate Principal",INDEX(Inputs!$B$11:$D$11,1,MATCH(A771,Inputs!$B$6:$D$6,0)),IF(=INDEX(Roster!$B$6:$B$108,MATCH(D771,Roster!$A$6:$A$108,0))="Assistant Principal",INDEX(Inputs!$B$12:$D$12,1,MATCH(A771,Inputs!$B$6:$D$6,0)),0))))</x:f>
        <x:v>0</x:v>
      </x:c>
      <x:c r="L771" s="20" t="n">
        <x:f>IF(INDEX(Roster!$D$6:$D$108,MATCH(D771,Roster!$A$6:$A$108,0))&gt;=25,INDEX(Inputs!$B$19:$D$19,1,MATCH(A771,Inputs!$B$6:$D$6,0)),IF(INDEX(Roster!$D$6:$D$108,MATCH(D771,Roster!$A$6:$A$108,0))&gt;=20,INDEX(Inputs!$B$18:$D$18,1,MATCH(A771,Inputs!$B$6:$D$6,0)),IF(INDEX(Roster!$D$6:$D$108,MATCH(D771,Roster!$A$6:$A$108,0))&gt;=15,INDEX(Inputs!$B$17:$D$17,1,MATCH(A771,Inputs!$B$6:$D$6,0)),IF(INDEX(Roster!$D$6:$D$108,MATCH(D771,Roster!$A$6:$A$108,0))&gt;=10,INDEX(Inputs!$B$16:$D$16,1,MATCH(A771,Inputs!$B$6:$D$6,0)),IF(INDEX(Roster!$D$6:$D$108,MATCH(D771,Roster!$A$6:$A$108,0))&gt;=5,INDEX(Inputs!$B$15:$D$15,1,MATCH(A771,Inputs!$B$6:$D$6,0)),0)))))</x:f>
        <x:v>50</x:v>
      </x:c>
      <x:c r="M771" s="20" t="n">
        <x:f>G771*I771</x:f>
        <x:v>31135</x:v>
      </x:c>
      <x:c r="N771" s="20" t="n">
        <x:f>G771*J771</x:f>
        <x:v>2080</x:v>
      </x:c>
      <x:c r="O771" s="20" t="n">
        <x:f>G771*K771</x:f>
        <x:v>0</x:v>
      </x:c>
      <x:c r="P771" s="20" t="n">
        <x:f>G771*L771</x:f>
        <x:v>650</x:v>
      </x:c>
      <x:c r="Q771" s="20" t="n">
        <x:f>H771*INDEX(Inputs!$B$13:$D$13,1,MATCH(A771,Inputs!$B$6:$D$6,0))</x:f>
        <x:v>390</x:v>
      </x:c>
      <x:c r="R771" s="20" t="n">
        <x:f>SUM(M771:Q771)</x:f>
        <x:v>34255</x:v>
      </x:c>
      <x:c r="S771" s="20" t="n">
        <x:f>IF(AND(A770=A771,D770=D771),S770+R771,R771)</x:f>
        <x:v>68510</x:v>
      </x:c>
      <x:c r="T771" s="20" t="n">
        <x:f>MIN(S771,INDEX(Inputs!$B$20:$D$20,1,MATCH(A771,Inputs!$B$6:$D$6,0)))*INDEX(Inputs!$B$22:$D$22,1,MATCH(A771,Inputs!$B$6:$D$6,0))+MAX(MIN(S771,INDEX(Inputs!$B$21:$D$21,1,MATCH(A771,Inputs!$B$6:$D$6,0)))-INDEX(Inputs!$B$20:$D$20,1,MATCH(A771,Inputs!$B$6:$D$6,0)),0)*INDEX(Inputs!$B$23:$D$23,1,MATCH(A771,Inputs!$B$6:$D$6,0))+MAX(S771-INDEX(Inputs!$B$21:$D$21,1,MATCH(A771,Inputs!$B$6:$D$6,0)),0)*INDEX(Inputs!$B$24:$D$24,1,MATCH(A771,Inputs!$B$6:$D$6,0))</x:f>
        <x:v>5731.015</x:v>
      </x:c>
      <x:c r="U771" s="20" t="n">
        <x:f>IF(AND(A770=A771,D770=D771),T770,0)</x:f>
        <x:v>3110.5075</x:v>
      </x:c>
      <x:c r="V771" s="20" t="n">
        <x:f>T771-U771</x:f>
        <x:v>2620.5075</x:v>
      </x:c>
      <x:c r="W771" s="20" t="n">
        <x:f>R771+V771</x:f>
        <x:v>36875.5075</x:v>
      </x:c>
      <x:c r="X771" s="14" t="str">
        <x:f>IF(ABS(W771-SUM(M771:Q771)-V771)&lt;0.01,"OK","Check")</x:f>
        <x:v>OK</x:v>
      </x:c>
    </x:row>
    <x:row r="772">
      <x:c r="A772" s="14" t="n">
        <x:v>2027</x:v>
      </x:c>
      <x:c r="B772" s="14" t="str">
        <x:v>Q3</x:v>
      </x:c>
      <x:c r="C772" s="14" t="n">
        <x:v>3</x:v>
      </x:c>
      <x:c r="D772" s="14" t="n">
        <x:v>89</x:v>
      </x:c>
      <x:c r="E772" s="14" t="str">
        <x:f>INDEX(Roster!$B$6:$B$108,MATCH(D772,Roster!$A$6:$A$108,0))</x:f>
      </x:c>
      <x:c r="F772" s="14" t="str">
        <x:f>INDEX(Roster!$F$6:$F$108,MATCH(D772,Roster!$A$6:$A$108,0))</x:f>
        <x:v>No</x:v>
      </x:c>
      <x:c r="G772" s="14" t="n">
        <x:f>INDEX(Inputs!$B$7:$D$7,1,MATCH(A772,Inputs!$B$6:$D$6,0))</x:f>
        <x:v>13</x:v>
      </x:c>
      <x:c r="H772" s="14" t="n">
        <x:f>MIN(=INDEX(Inputs!$B$7:$D$7,1,MATCH(A772,Inputs!$B$6:$D$6,0)),MAX(0,INDEX(Inputs!$B$14:$D$14,1,MATCH(A772,Inputs!$B$6:$D$6,0))-(C772-1)*=INDEX(Inputs!$B$7:$D$7,1,MATCH(A772,Inputs!$B$6:$D$6,0))))</x:f>
        <x:v>13</x:v>
      </x:c>
      <x:c r="I772" s="20" t="n">
        <x:f>INDEX(Inputs!$B$8:$D$8,1,MATCH(A772,Inputs!$B$6:$D$6,0))</x:f>
        <x:v>2395</x:v>
      </x:c>
      <x:c r="J772" s="20" t="n">
        <x:f>INDEX(Roster!$C$6:$C$108,MATCH(D772,Roster!$A$6:$A$108,0))*(1+INDEX(Inputs!$B$9:$D$9,1,MATCH(A772,Inputs!$B$6:$D$6,0)))</x:f>
        <x:v>160</x:v>
      </x:c>
      <x:c r="K772" s="20" t="n">
        <x:f>IF(=INDEX(Roster!$F$6:$F$108,MATCH(D772,Roster!$A$6:$A$108,0))="Yes",0,=INDEX(Inputs!$B$8:$D$8,1,MATCH(A772,Inputs!$B$6:$D$6,0))*IF(=INDEX(Roster!$B$6:$B$108,MATCH(D772,Roster!$A$6:$A$108,0))="Principal",INDEX(Inputs!$B$10:$D$10,1,MATCH(A772,Inputs!$B$6:$D$6,0)),IF(=INDEX(Roster!$B$6:$B$108,MATCH(D772,Roster!$A$6:$A$108,0))="Associate Principal",INDEX(Inputs!$B$11:$D$11,1,MATCH(A772,Inputs!$B$6:$D$6,0)),IF(=INDEX(Roster!$B$6:$B$108,MATCH(D772,Roster!$A$6:$A$108,0))="Assistant Principal",INDEX(Inputs!$B$12:$D$12,1,MATCH(A772,Inputs!$B$6:$D$6,0)),0))))</x:f>
        <x:v>0</x:v>
      </x:c>
      <x:c r="L772" s="20" t="n">
        <x:f>IF(INDEX(Roster!$D$6:$D$108,MATCH(D772,Roster!$A$6:$A$108,0))&gt;=25,INDEX(Inputs!$B$19:$D$19,1,MATCH(A772,Inputs!$B$6:$D$6,0)),IF(INDEX(Roster!$D$6:$D$108,MATCH(D772,Roster!$A$6:$A$108,0))&gt;=20,INDEX(Inputs!$B$18:$D$18,1,MATCH(A772,Inputs!$B$6:$D$6,0)),IF(INDEX(Roster!$D$6:$D$108,MATCH(D772,Roster!$A$6:$A$108,0))&gt;=15,INDEX(Inputs!$B$17:$D$17,1,MATCH(A772,Inputs!$B$6:$D$6,0)),IF(INDEX(Roster!$D$6:$D$108,MATCH(D772,Roster!$A$6:$A$108,0))&gt;=10,INDEX(Inputs!$B$16:$D$16,1,MATCH(A772,Inputs!$B$6:$D$6,0)),IF(INDEX(Roster!$D$6:$D$108,MATCH(D772,Roster!$A$6:$A$108,0))&gt;=5,INDEX(Inputs!$B$15:$D$15,1,MATCH(A772,Inputs!$B$6:$D$6,0)),0)))))</x:f>
        <x:v>50</x:v>
      </x:c>
      <x:c r="M772" s="20" t="n">
        <x:f>G772*I772</x:f>
        <x:v>31135</x:v>
      </x:c>
      <x:c r="N772" s="20" t="n">
        <x:f>G772*J772</x:f>
        <x:v>2080</x:v>
      </x:c>
      <x:c r="O772" s="20" t="n">
        <x:f>G772*K772</x:f>
        <x:v>0</x:v>
      </x:c>
      <x:c r="P772" s="20" t="n">
        <x:f>G772*L772</x:f>
        <x:v>650</x:v>
      </x:c>
      <x:c r="Q772" s="20" t="n">
        <x:f>H772*INDEX(Inputs!$B$13:$D$13,1,MATCH(A772,Inputs!$B$6:$D$6,0))</x:f>
        <x:v>390</x:v>
      </x:c>
      <x:c r="R772" s="20" t="n">
        <x:f>SUM(M772:Q772)</x:f>
        <x:v>34255</x:v>
      </x:c>
      <x:c r="S772" s="20" t="n">
        <x:f>IF(AND(A771=A772,D771=D772),S771+R772,R772)</x:f>
        <x:v>102765</x:v>
      </x:c>
      <x:c r="T772" s="20" t="n">
        <x:f>MIN(S772,INDEX(Inputs!$B$20:$D$20,1,MATCH(A772,Inputs!$B$6:$D$6,0)))*INDEX(Inputs!$B$22:$D$22,1,MATCH(A772,Inputs!$B$6:$D$6,0))+MAX(MIN(S772,INDEX(Inputs!$B$21:$D$21,1,MATCH(A772,Inputs!$B$6:$D$6,0)))-INDEX(Inputs!$B$20:$D$20,1,MATCH(A772,Inputs!$B$6:$D$6,0)),0)*INDEX(Inputs!$B$23:$D$23,1,MATCH(A772,Inputs!$B$6:$D$6,0))+MAX(S772-INDEX(Inputs!$B$21:$D$21,1,MATCH(A772,Inputs!$B$6:$D$6,0)),0)*INDEX(Inputs!$B$24:$D$24,1,MATCH(A772,Inputs!$B$6:$D$6,0))</x:f>
        <x:v>8351.5225</x:v>
      </x:c>
      <x:c r="U772" s="20" t="n">
        <x:f>IF(AND(A771=A772,D771=D772),T771,0)</x:f>
        <x:v>5731.015</x:v>
      </x:c>
      <x:c r="V772" s="20" t="n">
        <x:f>T772-U772</x:f>
        <x:v>2620.507499999999</x:v>
      </x:c>
      <x:c r="W772" s="20" t="n">
        <x:f>R772+V772</x:f>
        <x:v>36875.5075</x:v>
      </x:c>
      <x:c r="X772" s="14" t="str">
        <x:f>IF(ABS(W772-SUM(M772:Q772)-V772)&lt;0.01,"OK","Check")</x:f>
        <x:v>OK</x:v>
      </x:c>
    </x:row>
    <x:row r="773">
      <x:c r="A773" s="14" t="n">
        <x:v>2027</x:v>
      </x:c>
      <x:c r="B773" s="14" t="str">
        <x:v>Q4</x:v>
      </x:c>
      <x:c r="C773" s="14" t="n">
        <x:v>4</x:v>
      </x:c>
      <x:c r="D773" s="14" t="n">
        <x:v>89</x:v>
      </x:c>
      <x:c r="E773" s="14" t="str">
        <x:f>INDEX(Roster!$B$6:$B$108,MATCH(D773,Roster!$A$6:$A$108,0))</x:f>
      </x:c>
      <x:c r="F773" s="14" t="str">
        <x:f>INDEX(Roster!$F$6:$F$108,MATCH(D773,Roster!$A$6:$A$108,0))</x:f>
        <x:v>No</x:v>
      </x:c>
      <x:c r="G773" s="14" t="n">
        <x:f>INDEX(Inputs!$B$7:$D$7,1,MATCH(A773,Inputs!$B$6:$D$6,0))</x:f>
        <x:v>13</x:v>
      </x:c>
      <x:c r="H773" s="14" t="n">
        <x:f>MIN(=INDEX(Inputs!$B$7:$D$7,1,MATCH(A773,Inputs!$B$6:$D$6,0)),MAX(0,INDEX(Inputs!$B$14:$D$14,1,MATCH(A773,Inputs!$B$6:$D$6,0))-(C773-1)*=INDEX(Inputs!$B$7:$D$7,1,MATCH(A773,Inputs!$B$6:$D$6,0))))</x:f>
        <x:v>0</x:v>
      </x:c>
      <x:c r="I773" s="20" t="n">
        <x:f>INDEX(Inputs!$B$8:$D$8,1,MATCH(A773,Inputs!$B$6:$D$6,0))</x:f>
        <x:v>2395</x:v>
      </x:c>
      <x:c r="J773" s="20" t="n">
        <x:f>INDEX(Roster!$C$6:$C$108,MATCH(D773,Roster!$A$6:$A$108,0))*(1+INDEX(Inputs!$B$9:$D$9,1,MATCH(A773,Inputs!$B$6:$D$6,0)))</x:f>
        <x:v>160</x:v>
      </x:c>
      <x:c r="K773" s="20" t="n">
        <x:f>IF(=INDEX(Roster!$F$6:$F$108,MATCH(D773,Roster!$A$6:$A$108,0))="Yes",0,=INDEX(Inputs!$B$8:$D$8,1,MATCH(A773,Inputs!$B$6:$D$6,0))*IF(=INDEX(Roster!$B$6:$B$108,MATCH(D773,Roster!$A$6:$A$108,0))="Principal",INDEX(Inputs!$B$10:$D$10,1,MATCH(A773,Inputs!$B$6:$D$6,0)),IF(=INDEX(Roster!$B$6:$B$108,MATCH(D773,Roster!$A$6:$A$108,0))="Associate Principal",INDEX(Inputs!$B$11:$D$11,1,MATCH(A773,Inputs!$B$6:$D$6,0)),IF(=INDEX(Roster!$B$6:$B$108,MATCH(D773,Roster!$A$6:$A$108,0))="Assistant Principal",INDEX(Inputs!$B$12:$D$12,1,MATCH(A773,Inputs!$B$6:$D$6,0)),0))))</x:f>
        <x:v>0</x:v>
      </x:c>
      <x:c r="L773" s="20" t="n">
        <x:f>IF(INDEX(Roster!$D$6:$D$108,MATCH(D773,Roster!$A$6:$A$108,0))&gt;=25,INDEX(Inputs!$B$19:$D$19,1,MATCH(A773,Inputs!$B$6:$D$6,0)),IF(INDEX(Roster!$D$6:$D$108,MATCH(D773,Roster!$A$6:$A$108,0))&gt;=20,INDEX(Inputs!$B$18:$D$18,1,MATCH(A773,Inputs!$B$6:$D$6,0)),IF(INDEX(Roster!$D$6:$D$108,MATCH(D773,Roster!$A$6:$A$108,0))&gt;=15,INDEX(Inputs!$B$17:$D$17,1,MATCH(A773,Inputs!$B$6:$D$6,0)),IF(INDEX(Roster!$D$6:$D$108,MATCH(D773,Roster!$A$6:$A$108,0))&gt;=10,INDEX(Inputs!$B$16:$D$16,1,MATCH(A773,Inputs!$B$6:$D$6,0)),IF(INDEX(Roster!$D$6:$D$108,MATCH(D773,Roster!$A$6:$A$108,0))&gt;=5,INDEX(Inputs!$B$15:$D$15,1,MATCH(A773,Inputs!$B$6:$D$6,0)),0)))))</x:f>
        <x:v>50</x:v>
      </x:c>
      <x:c r="M773" s="20" t="n">
        <x:f>G773*I773</x:f>
        <x:v>31135</x:v>
      </x:c>
      <x:c r="N773" s="20" t="n">
        <x:f>G773*J773</x:f>
        <x:v>2080</x:v>
      </x:c>
      <x:c r="O773" s="20" t="n">
        <x:f>G773*K773</x:f>
        <x:v>0</x:v>
      </x:c>
      <x:c r="P773" s="20" t="n">
        <x:f>G773*L773</x:f>
        <x:v>650</x:v>
      </x:c>
      <x:c r="Q773" s="20" t="n">
        <x:f>H773*INDEX(Inputs!$B$13:$D$13,1,MATCH(A773,Inputs!$B$6:$D$6,0))</x:f>
        <x:v>0</x:v>
      </x:c>
      <x:c r="R773" s="20" t="n">
        <x:f>SUM(M773:Q773)</x:f>
        <x:v>33865</x:v>
      </x:c>
      <x:c r="S773" s="20" t="n">
        <x:f>IF(AND(A772=A773,D772=D773),S772+R773,R773)</x:f>
        <x:v>136630</x:v>
      </x:c>
      <x:c r="T773" s="20" t="n">
        <x:f>MIN(S773,INDEX(Inputs!$B$20:$D$20,1,MATCH(A773,Inputs!$B$6:$D$6,0)))*INDEX(Inputs!$B$22:$D$22,1,MATCH(A773,Inputs!$B$6:$D$6,0))+MAX(MIN(S773,INDEX(Inputs!$B$21:$D$21,1,MATCH(A773,Inputs!$B$6:$D$6,0)))-INDEX(Inputs!$B$20:$D$20,1,MATCH(A773,Inputs!$B$6:$D$6,0)),0)*INDEX(Inputs!$B$23:$D$23,1,MATCH(A773,Inputs!$B$6:$D$6,0))+MAX(S773-INDEX(Inputs!$B$21:$D$21,1,MATCH(A773,Inputs!$B$6:$D$6,0)),0)*INDEX(Inputs!$B$24:$D$24,1,MATCH(A773,Inputs!$B$6:$D$6,0))</x:f>
        <x:v>9895.077</x:v>
      </x:c>
      <x:c r="U773" s="20" t="n">
        <x:f>IF(AND(A772=A773,D772=D773),T772,0)</x:f>
        <x:v>8351.5225</x:v>
      </x:c>
      <x:c r="V773" s="20" t="n">
        <x:f>T773-U773</x:f>
        <x:v>1543.5545000000002</x:v>
      </x:c>
      <x:c r="W773" s="20" t="n">
        <x:f>R773+V773</x:f>
        <x:v>35408.5545</x:v>
      </x:c>
      <x:c r="X773" s="14" t="str">
        <x:f>IF(ABS(W773-SUM(M773:Q773)-V773)&lt;0.01,"OK","Check")</x:f>
        <x:v>OK</x:v>
      </x:c>
    </x:row>
    <x:row r="774">
      <x:c r="A774" s="14" t="n">
        <x:v>2027</x:v>
      </x:c>
      <x:c r="B774" s="14" t="str">
        <x:v>Q1</x:v>
      </x:c>
      <x:c r="C774" s="14" t="n">
        <x:v>1</x:v>
      </x:c>
      <x:c r="D774" s="14" t="n">
        <x:v>90</x:v>
      </x:c>
      <x:c r="E774" s="14" t="str">
        <x:f>INDEX(Roster!$B$6:$B$108,MATCH(D774,Roster!$A$6:$A$108,0))</x:f>
      </x:c>
      <x:c r="F774" s="14" t="str">
        <x:f>INDEX(Roster!$F$6:$F$108,MATCH(D774,Roster!$A$6:$A$108,0))</x:f>
        <x:v>No</x:v>
      </x:c>
      <x:c r="G774" s="14" t="n">
        <x:f>INDEX(Inputs!$B$7:$D$7,1,MATCH(A774,Inputs!$B$6:$D$6,0))</x:f>
        <x:v>13</x:v>
      </x:c>
      <x:c r="H774" s="14" t="n">
        <x:f>MIN(=INDEX(Inputs!$B$7:$D$7,1,MATCH(A774,Inputs!$B$6:$D$6,0)),MAX(0,INDEX(Inputs!$B$14:$D$14,1,MATCH(A774,Inputs!$B$6:$D$6,0))-(C774-1)*=INDEX(Inputs!$B$7:$D$7,1,MATCH(A774,Inputs!$B$6:$D$6,0))))</x:f>
        <x:v>13</x:v>
      </x:c>
      <x:c r="I774" s="20" t="n">
        <x:f>INDEX(Inputs!$B$8:$D$8,1,MATCH(A774,Inputs!$B$6:$D$6,0))</x:f>
        <x:v>2395</x:v>
      </x:c>
      <x:c r="J774" s="20" t="n">
        <x:f>INDEX(Roster!$C$6:$C$108,MATCH(D774,Roster!$A$6:$A$108,0))*(1+INDEX(Inputs!$B$9:$D$9,1,MATCH(A774,Inputs!$B$6:$D$6,0)))</x:f>
        <x:v>60</x:v>
      </x:c>
      <x:c r="K774" s="20" t="n">
        <x:f>IF(=INDEX(Roster!$F$6:$F$108,MATCH(D774,Roster!$A$6:$A$108,0))="Yes",0,=INDEX(Inputs!$B$8:$D$8,1,MATCH(A774,Inputs!$B$6:$D$6,0))*IF(=INDEX(Roster!$B$6:$B$108,MATCH(D774,Roster!$A$6:$A$108,0))="Principal",INDEX(Inputs!$B$10:$D$10,1,MATCH(A774,Inputs!$B$6:$D$6,0)),IF(=INDEX(Roster!$B$6:$B$108,MATCH(D774,Roster!$A$6:$A$108,0))="Associate Principal",INDEX(Inputs!$B$11:$D$11,1,MATCH(A774,Inputs!$B$6:$D$6,0)),IF(=INDEX(Roster!$B$6:$B$108,MATCH(D774,Roster!$A$6:$A$108,0))="Assistant Principal",INDEX(Inputs!$B$12:$D$12,1,MATCH(A774,Inputs!$B$6:$D$6,0)),0))))</x:f>
        <x:v>0</x:v>
      </x:c>
      <x:c r="L774" s="20" t="n">
        <x:f>IF(INDEX(Roster!$D$6:$D$108,MATCH(D774,Roster!$A$6:$A$108,0))&gt;=25,INDEX(Inputs!$B$19:$D$19,1,MATCH(A774,Inputs!$B$6:$D$6,0)),IF(INDEX(Roster!$D$6:$D$108,MATCH(D774,Roster!$A$6:$A$108,0))&gt;=20,INDEX(Inputs!$B$18:$D$18,1,MATCH(A774,Inputs!$B$6:$D$6,0)),IF(INDEX(Roster!$D$6:$D$108,MATCH(D774,Roster!$A$6:$A$108,0))&gt;=15,INDEX(Inputs!$B$17:$D$17,1,MATCH(A774,Inputs!$B$6:$D$6,0)),IF(INDEX(Roster!$D$6:$D$108,MATCH(D774,Roster!$A$6:$A$108,0))&gt;=10,INDEX(Inputs!$B$16:$D$16,1,MATCH(A774,Inputs!$B$6:$D$6,0)),IF(INDEX(Roster!$D$6:$D$108,MATCH(D774,Roster!$A$6:$A$108,0))&gt;=5,INDEX(Inputs!$B$15:$D$15,1,MATCH(A774,Inputs!$B$6:$D$6,0)),0)))))</x:f>
        <x:v>90</x:v>
      </x:c>
      <x:c r="M774" s="20" t="n">
        <x:f>G774*I774</x:f>
        <x:v>31135</x:v>
      </x:c>
      <x:c r="N774" s="20" t="n">
        <x:f>G774*J774</x:f>
        <x:v>780</x:v>
      </x:c>
      <x:c r="O774" s="20" t="n">
        <x:f>G774*K774</x:f>
        <x:v>0</x:v>
      </x:c>
      <x:c r="P774" s="20" t="n">
        <x:f>G774*L774</x:f>
        <x:v>1170</x:v>
      </x:c>
      <x:c r="Q774" s="20" t="n">
        <x:f>H774*INDEX(Inputs!$B$13:$D$13,1,MATCH(A774,Inputs!$B$6:$D$6,0))</x:f>
        <x:v>390</x:v>
      </x:c>
      <x:c r="R774" s="20" t="n">
        <x:f>SUM(M774:Q774)</x:f>
        <x:v>33475</x:v>
      </x:c>
      <x:c r="S774" s="20" t="n">
        <x:f>IF(AND(A773=A774,D773=D774),S773+R774,R774)</x:f>
        <x:v>33475</x:v>
      </x:c>
      <x:c r="T774" s="20" t="n">
        <x:f>MIN(S774,INDEX(Inputs!$B$20:$D$20,1,MATCH(A774,Inputs!$B$6:$D$6,0)))*INDEX(Inputs!$B$22:$D$22,1,MATCH(A774,Inputs!$B$6:$D$6,0))+MAX(MIN(S774,INDEX(Inputs!$B$21:$D$21,1,MATCH(A774,Inputs!$B$6:$D$6,0)))-INDEX(Inputs!$B$20:$D$20,1,MATCH(A774,Inputs!$B$6:$D$6,0)),0)*INDEX(Inputs!$B$23:$D$23,1,MATCH(A774,Inputs!$B$6:$D$6,0))+MAX(S774-INDEX(Inputs!$B$21:$D$21,1,MATCH(A774,Inputs!$B$6:$D$6,0)),0)*INDEX(Inputs!$B$24:$D$24,1,MATCH(A774,Inputs!$B$6:$D$6,0))</x:f>
        <x:v>3050.8374999999996</x:v>
      </x:c>
      <x:c r="U774" s="20" t="n">
        <x:f>IF(AND(A773=A774,D773=D774),T773,0)</x:f>
        <x:v>0</x:v>
      </x:c>
      <x:c r="V774" s="20" t="n">
        <x:f>T774-U774</x:f>
        <x:v>3050.8374999999996</x:v>
      </x:c>
      <x:c r="W774" s="20" t="n">
        <x:f>R774+V774</x:f>
        <x:v>36525.8375</x:v>
      </x:c>
      <x:c r="X774" s="14" t="str">
        <x:f>IF(ABS(W774-SUM(M774:Q774)-V774)&lt;0.01,"OK","Check")</x:f>
        <x:v>OK</x:v>
      </x:c>
    </x:row>
    <x:row r="775">
      <x:c r="A775" s="14" t="n">
        <x:v>2027</x:v>
      </x:c>
      <x:c r="B775" s="14" t="str">
        <x:v>Q2</x:v>
      </x:c>
      <x:c r="C775" s="14" t="n">
        <x:v>2</x:v>
      </x:c>
      <x:c r="D775" s="14" t="n">
        <x:v>90</x:v>
      </x:c>
      <x:c r="E775" s="14" t="str">
        <x:f>INDEX(Roster!$B$6:$B$108,MATCH(D775,Roster!$A$6:$A$108,0))</x:f>
      </x:c>
      <x:c r="F775" s="14" t="str">
        <x:f>INDEX(Roster!$F$6:$F$108,MATCH(D775,Roster!$A$6:$A$108,0))</x:f>
        <x:v>No</x:v>
      </x:c>
      <x:c r="G775" s="14" t="n">
        <x:f>INDEX(Inputs!$B$7:$D$7,1,MATCH(A775,Inputs!$B$6:$D$6,0))</x:f>
        <x:v>13</x:v>
      </x:c>
      <x:c r="H775" s="14" t="n">
        <x:f>MIN(=INDEX(Inputs!$B$7:$D$7,1,MATCH(A775,Inputs!$B$6:$D$6,0)),MAX(0,INDEX(Inputs!$B$14:$D$14,1,MATCH(A775,Inputs!$B$6:$D$6,0))-(C775-1)*=INDEX(Inputs!$B$7:$D$7,1,MATCH(A775,Inputs!$B$6:$D$6,0))))</x:f>
        <x:v>13</x:v>
      </x:c>
      <x:c r="I775" s="20" t="n">
        <x:f>INDEX(Inputs!$B$8:$D$8,1,MATCH(A775,Inputs!$B$6:$D$6,0))</x:f>
        <x:v>2395</x:v>
      </x:c>
      <x:c r="J775" s="20" t="n">
        <x:f>INDEX(Roster!$C$6:$C$108,MATCH(D775,Roster!$A$6:$A$108,0))*(1+INDEX(Inputs!$B$9:$D$9,1,MATCH(A775,Inputs!$B$6:$D$6,0)))</x:f>
        <x:v>60</x:v>
      </x:c>
      <x:c r="K775" s="20" t="n">
        <x:f>IF(=INDEX(Roster!$F$6:$F$108,MATCH(D775,Roster!$A$6:$A$108,0))="Yes",0,=INDEX(Inputs!$B$8:$D$8,1,MATCH(A775,Inputs!$B$6:$D$6,0))*IF(=INDEX(Roster!$B$6:$B$108,MATCH(D775,Roster!$A$6:$A$108,0))="Principal",INDEX(Inputs!$B$10:$D$10,1,MATCH(A775,Inputs!$B$6:$D$6,0)),IF(=INDEX(Roster!$B$6:$B$108,MATCH(D775,Roster!$A$6:$A$108,0))="Associate Principal",INDEX(Inputs!$B$11:$D$11,1,MATCH(A775,Inputs!$B$6:$D$6,0)),IF(=INDEX(Roster!$B$6:$B$108,MATCH(D775,Roster!$A$6:$A$108,0))="Assistant Principal",INDEX(Inputs!$B$12:$D$12,1,MATCH(A775,Inputs!$B$6:$D$6,0)),0))))</x:f>
        <x:v>0</x:v>
      </x:c>
      <x:c r="L775" s="20" t="n">
        <x:f>IF(INDEX(Roster!$D$6:$D$108,MATCH(D775,Roster!$A$6:$A$108,0))&gt;=25,INDEX(Inputs!$B$19:$D$19,1,MATCH(A775,Inputs!$B$6:$D$6,0)),IF(INDEX(Roster!$D$6:$D$108,MATCH(D775,Roster!$A$6:$A$108,0))&gt;=20,INDEX(Inputs!$B$18:$D$18,1,MATCH(A775,Inputs!$B$6:$D$6,0)),IF(INDEX(Roster!$D$6:$D$108,MATCH(D775,Roster!$A$6:$A$108,0))&gt;=15,INDEX(Inputs!$B$17:$D$17,1,MATCH(A775,Inputs!$B$6:$D$6,0)),IF(INDEX(Roster!$D$6:$D$108,MATCH(D775,Roster!$A$6:$A$108,0))&gt;=10,INDEX(Inputs!$B$16:$D$16,1,MATCH(A775,Inputs!$B$6:$D$6,0)),IF(INDEX(Roster!$D$6:$D$108,MATCH(D775,Roster!$A$6:$A$108,0))&gt;=5,INDEX(Inputs!$B$15:$D$15,1,MATCH(A775,Inputs!$B$6:$D$6,0)),0)))))</x:f>
        <x:v>90</x:v>
      </x:c>
      <x:c r="M775" s="20" t="n">
        <x:f>G775*I775</x:f>
        <x:v>31135</x:v>
      </x:c>
      <x:c r="N775" s="20" t="n">
        <x:f>G775*J775</x:f>
        <x:v>780</x:v>
      </x:c>
      <x:c r="O775" s="20" t="n">
        <x:f>G775*K775</x:f>
        <x:v>0</x:v>
      </x:c>
      <x:c r="P775" s="20" t="n">
        <x:f>G775*L775</x:f>
        <x:v>1170</x:v>
      </x:c>
      <x:c r="Q775" s="20" t="n">
        <x:f>H775*INDEX(Inputs!$B$13:$D$13,1,MATCH(A775,Inputs!$B$6:$D$6,0))</x:f>
        <x:v>390</x:v>
      </x:c>
      <x:c r="R775" s="20" t="n">
        <x:f>SUM(M775:Q775)</x:f>
        <x:v>33475</x:v>
      </x:c>
      <x:c r="S775" s="20" t="n">
        <x:f>IF(AND(A774=A775,D774=D775),S774+R775,R775)</x:f>
        <x:v>66950</x:v>
      </x:c>
      <x:c r="T775" s="20" t="n">
        <x:f>MIN(S775,INDEX(Inputs!$B$20:$D$20,1,MATCH(A775,Inputs!$B$6:$D$6,0)))*INDEX(Inputs!$B$22:$D$22,1,MATCH(A775,Inputs!$B$6:$D$6,0))+MAX(MIN(S775,INDEX(Inputs!$B$21:$D$21,1,MATCH(A775,Inputs!$B$6:$D$6,0)))-INDEX(Inputs!$B$20:$D$20,1,MATCH(A775,Inputs!$B$6:$D$6,0)),0)*INDEX(Inputs!$B$23:$D$23,1,MATCH(A775,Inputs!$B$6:$D$6,0))+MAX(S775-INDEX(Inputs!$B$21:$D$21,1,MATCH(A775,Inputs!$B$6:$D$6,0)),0)*INDEX(Inputs!$B$24:$D$24,1,MATCH(A775,Inputs!$B$6:$D$6,0))</x:f>
        <x:v>5611.675</x:v>
      </x:c>
      <x:c r="U775" s="20" t="n">
        <x:f>IF(AND(A774=A775,D774=D775),T774,0)</x:f>
        <x:v>3050.8374999999996</x:v>
      </x:c>
      <x:c r="V775" s="20" t="n">
        <x:f>T775-U775</x:f>
        <x:v>2560.8375000000005</x:v>
      </x:c>
      <x:c r="W775" s="20" t="n">
        <x:f>R775+V775</x:f>
        <x:v>36035.8375</x:v>
      </x:c>
      <x:c r="X775" s="14" t="str">
        <x:f>IF(ABS(W775-SUM(M775:Q775)-V775)&lt;0.01,"OK","Check")</x:f>
        <x:v>OK</x:v>
      </x:c>
    </x:row>
    <x:row r="776">
      <x:c r="A776" s="14" t="n">
        <x:v>2027</x:v>
      </x:c>
      <x:c r="B776" s="14" t="str">
        <x:v>Q3</x:v>
      </x:c>
      <x:c r="C776" s="14" t="n">
        <x:v>3</x:v>
      </x:c>
      <x:c r="D776" s="14" t="n">
        <x:v>90</x:v>
      </x:c>
      <x:c r="E776" s="14" t="str">
        <x:f>INDEX(Roster!$B$6:$B$108,MATCH(D776,Roster!$A$6:$A$108,0))</x:f>
      </x:c>
      <x:c r="F776" s="14" t="str">
        <x:f>INDEX(Roster!$F$6:$F$108,MATCH(D776,Roster!$A$6:$A$108,0))</x:f>
        <x:v>No</x:v>
      </x:c>
      <x:c r="G776" s="14" t="n">
        <x:f>INDEX(Inputs!$B$7:$D$7,1,MATCH(A776,Inputs!$B$6:$D$6,0))</x:f>
        <x:v>13</x:v>
      </x:c>
      <x:c r="H776" s="14" t="n">
        <x:f>MIN(=INDEX(Inputs!$B$7:$D$7,1,MATCH(A776,Inputs!$B$6:$D$6,0)),MAX(0,INDEX(Inputs!$B$14:$D$14,1,MATCH(A776,Inputs!$B$6:$D$6,0))-(C776-1)*=INDEX(Inputs!$B$7:$D$7,1,MATCH(A776,Inputs!$B$6:$D$6,0))))</x:f>
        <x:v>13</x:v>
      </x:c>
      <x:c r="I776" s="20" t="n">
        <x:f>INDEX(Inputs!$B$8:$D$8,1,MATCH(A776,Inputs!$B$6:$D$6,0))</x:f>
        <x:v>2395</x:v>
      </x:c>
      <x:c r="J776" s="20" t="n">
        <x:f>INDEX(Roster!$C$6:$C$108,MATCH(D776,Roster!$A$6:$A$108,0))*(1+INDEX(Inputs!$B$9:$D$9,1,MATCH(A776,Inputs!$B$6:$D$6,0)))</x:f>
        <x:v>60</x:v>
      </x:c>
      <x:c r="K776" s="20" t="n">
        <x:f>IF(=INDEX(Roster!$F$6:$F$108,MATCH(D776,Roster!$A$6:$A$108,0))="Yes",0,=INDEX(Inputs!$B$8:$D$8,1,MATCH(A776,Inputs!$B$6:$D$6,0))*IF(=INDEX(Roster!$B$6:$B$108,MATCH(D776,Roster!$A$6:$A$108,0))="Principal",INDEX(Inputs!$B$10:$D$10,1,MATCH(A776,Inputs!$B$6:$D$6,0)),IF(=INDEX(Roster!$B$6:$B$108,MATCH(D776,Roster!$A$6:$A$108,0))="Associate Principal",INDEX(Inputs!$B$11:$D$11,1,MATCH(A776,Inputs!$B$6:$D$6,0)),IF(=INDEX(Roster!$B$6:$B$108,MATCH(D776,Roster!$A$6:$A$108,0))="Assistant Principal",INDEX(Inputs!$B$12:$D$12,1,MATCH(A776,Inputs!$B$6:$D$6,0)),0))))</x:f>
        <x:v>0</x:v>
      </x:c>
      <x:c r="L776" s="20" t="n">
        <x:f>IF(INDEX(Roster!$D$6:$D$108,MATCH(D776,Roster!$A$6:$A$108,0))&gt;=25,INDEX(Inputs!$B$19:$D$19,1,MATCH(A776,Inputs!$B$6:$D$6,0)),IF(INDEX(Roster!$D$6:$D$108,MATCH(D776,Roster!$A$6:$A$108,0))&gt;=20,INDEX(Inputs!$B$18:$D$18,1,MATCH(A776,Inputs!$B$6:$D$6,0)),IF(INDEX(Roster!$D$6:$D$108,MATCH(D776,Roster!$A$6:$A$108,0))&gt;=15,INDEX(Inputs!$B$17:$D$17,1,MATCH(A776,Inputs!$B$6:$D$6,0)),IF(INDEX(Roster!$D$6:$D$108,MATCH(D776,Roster!$A$6:$A$108,0))&gt;=10,INDEX(Inputs!$B$16:$D$16,1,MATCH(A776,Inputs!$B$6:$D$6,0)),IF(INDEX(Roster!$D$6:$D$108,MATCH(D776,Roster!$A$6:$A$108,0))&gt;=5,INDEX(Inputs!$B$15:$D$15,1,MATCH(A776,Inputs!$B$6:$D$6,0)),0)))))</x:f>
        <x:v>90</x:v>
      </x:c>
      <x:c r="M776" s="20" t="n">
        <x:f>G776*I776</x:f>
        <x:v>31135</x:v>
      </x:c>
      <x:c r="N776" s="20" t="n">
        <x:f>G776*J776</x:f>
        <x:v>780</x:v>
      </x:c>
      <x:c r="O776" s="20" t="n">
        <x:f>G776*K776</x:f>
        <x:v>0</x:v>
      </x:c>
      <x:c r="P776" s="20" t="n">
        <x:f>G776*L776</x:f>
        <x:v>1170</x:v>
      </x:c>
      <x:c r="Q776" s="20" t="n">
        <x:f>H776*INDEX(Inputs!$B$13:$D$13,1,MATCH(A776,Inputs!$B$6:$D$6,0))</x:f>
        <x:v>390</x:v>
      </x:c>
      <x:c r="R776" s="20" t="n">
        <x:f>SUM(M776:Q776)</x:f>
        <x:v>33475</x:v>
      </x:c>
      <x:c r="S776" s="20" t="n">
        <x:f>IF(AND(A775=A776,D775=D776),S775+R776,R776)</x:f>
        <x:v>100425</x:v>
      </x:c>
      <x:c r="T776" s="20" t="n">
        <x:f>MIN(S776,INDEX(Inputs!$B$20:$D$20,1,MATCH(A776,Inputs!$B$6:$D$6,0)))*INDEX(Inputs!$B$22:$D$22,1,MATCH(A776,Inputs!$B$6:$D$6,0))+MAX(MIN(S776,INDEX(Inputs!$B$21:$D$21,1,MATCH(A776,Inputs!$B$6:$D$6,0)))-INDEX(Inputs!$B$20:$D$20,1,MATCH(A776,Inputs!$B$6:$D$6,0)),0)*INDEX(Inputs!$B$23:$D$23,1,MATCH(A776,Inputs!$B$6:$D$6,0))+MAX(S776-INDEX(Inputs!$B$21:$D$21,1,MATCH(A776,Inputs!$B$6:$D$6,0)),0)*INDEX(Inputs!$B$24:$D$24,1,MATCH(A776,Inputs!$B$6:$D$6,0))</x:f>
        <x:v>8172.5125</x:v>
      </x:c>
      <x:c r="U776" s="20" t="n">
        <x:f>IF(AND(A775=A776,D775=D776),T775,0)</x:f>
        <x:v>5611.675</x:v>
      </x:c>
      <x:c r="V776" s="20" t="n">
        <x:f>T776-U776</x:f>
        <x:v>2560.8374999999996</x:v>
      </x:c>
      <x:c r="W776" s="20" t="n">
        <x:f>R776+V776</x:f>
        <x:v>36035.8375</x:v>
      </x:c>
      <x:c r="X776" s="14" t="str">
        <x:f>IF(ABS(W776-SUM(M776:Q776)-V776)&lt;0.01,"OK","Check")</x:f>
        <x:v>OK</x:v>
      </x:c>
    </x:row>
    <x:row r="777">
      <x:c r="A777" s="14" t="n">
        <x:v>2027</x:v>
      </x:c>
      <x:c r="B777" s="14" t="str">
        <x:v>Q4</x:v>
      </x:c>
      <x:c r="C777" s="14" t="n">
        <x:v>4</x:v>
      </x:c>
      <x:c r="D777" s="14" t="n">
        <x:v>90</x:v>
      </x:c>
      <x:c r="E777" s="14" t="str">
        <x:f>INDEX(Roster!$B$6:$B$108,MATCH(D777,Roster!$A$6:$A$108,0))</x:f>
      </x:c>
      <x:c r="F777" s="14" t="str">
        <x:f>INDEX(Roster!$F$6:$F$108,MATCH(D777,Roster!$A$6:$A$108,0))</x:f>
        <x:v>No</x:v>
      </x:c>
      <x:c r="G777" s="14" t="n">
        <x:f>INDEX(Inputs!$B$7:$D$7,1,MATCH(A777,Inputs!$B$6:$D$6,0))</x:f>
        <x:v>13</x:v>
      </x:c>
      <x:c r="H777" s="14" t="n">
        <x:f>MIN(=INDEX(Inputs!$B$7:$D$7,1,MATCH(A777,Inputs!$B$6:$D$6,0)),MAX(0,INDEX(Inputs!$B$14:$D$14,1,MATCH(A777,Inputs!$B$6:$D$6,0))-(C777-1)*=INDEX(Inputs!$B$7:$D$7,1,MATCH(A777,Inputs!$B$6:$D$6,0))))</x:f>
        <x:v>0</x:v>
      </x:c>
      <x:c r="I777" s="20" t="n">
        <x:f>INDEX(Inputs!$B$8:$D$8,1,MATCH(A777,Inputs!$B$6:$D$6,0))</x:f>
        <x:v>2395</x:v>
      </x:c>
      <x:c r="J777" s="20" t="n">
        <x:f>INDEX(Roster!$C$6:$C$108,MATCH(D777,Roster!$A$6:$A$108,0))*(1+INDEX(Inputs!$B$9:$D$9,1,MATCH(A777,Inputs!$B$6:$D$6,0)))</x:f>
        <x:v>60</x:v>
      </x:c>
      <x:c r="K777" s="20" t="n">
        <x:f>IF(=INDEX(Roster!$F$6:$F$108,MATCH(D777,Roster!$A$6:$A$108,0))="Yes",0,=INDEX(Inputs!$B$8:$D$8,1,MATCH(A777,Inputs!$B$6:$D$6,0))*IF(=INDEX(Roster!$B$6:$B$108,MATCH(D777,Roster!$A$6:$A$108,0))="Principal",INDEX(Inputs!$B$10:$D$10,1,MATCH(A777,Inputs!$B$6:$D$6,0)),IF(=INDEX(Roster!$B$6:$B$108,MATCH(D777,Roster!$A$6:$A$108,0))="Associate Principal",INDEX(Inputs!$B$11:$D$11,1,MATCH(A777,Inputs!$B$6:$D$6,0)),IF(=INDEX(Roster!$B$6:$B$108,MATCH(D777,Roster!$A$6:$A$108,0))="Assistant Principal",INDEX(Inputs!$B$12:$D$12,1,MATCH(A777,Inputs!$B$6:$D$6,0)),0))))</x:f>
        <x:v>0</x:v>
      </x:c>
      <x:c r="L777" s="20" t="n">
        <x:f>IF(INDEX(Roster!$D$6:$D$108,MATCH(D777,Roster!$A$6:$A$108,0))&gt;=25,INDEX(Inputs!$B$19:$D$19,1,MATCH(A777,Inputs!$B$6:$D$6,0)),IF(INDEX(Roster!$D$6:$D$108,MATCH(D777,Roster!$A$6:$A$108,0))&gt;=20,INDEX(Inputs!$B$18:$D$18,1,MATCH(A777,Inputs!$B$6:$D$6,0)),IF(INDEX(Roster!$D$6:$D$108,MATCH(D777,Roster!$A$6:$A$108,0))&gt;=15,INDEX(Inputs!$B$17:$D$17,1,MATCH(A777,Inputs!$B$6:$D$6,0)),IF(INDEX(Roster!$D$6:$D$108,MATCH(D777,Roster!$A$6:$A$108,0))&gt;=10,INDEX(Inputs!$B$16:$D$16,1,MATCH(A777,Inputs!$B$6:$D$6,0)),IF(INDEX(Roster!$D$6:$D$108,MATCH(D777,Roster!$A$6:$A$108,0))&gt;=5,INDEX(Inputs!$B$15:$D$15,1,MATCH(A777,Inputs!$B$6:$D$6,0)),0)))))</x:f>
        <x:v>90</x:v>
      </x:c>
      <x:c r="M777" s="20" t="n">
        <x:f>G777*I777</x:f>
        <x:v>31135</x:v>
      </x:c>
      <x:c r="N777" s="20" t="n">
        <x:f>G777*J777</x:f>
        <x:v>780</x:v>
      </x:c>
      <x:c r="O777" s="20" t="n">
        <x:f>G777*K777</x:f>
        <x:v>0</x:v>
      </x:c>
      <x:c r="P777" s="20" t="n">
        <x:f>G777*L777</x:f>
        <x:v>1170</x:v>
      </x:c>
      <x:c r="Q777" s="20" t="n">
        <x:f>H777*INDEX(Inputs!$B$13:$D$13,1,MATCH(A777,Inputs!$B$6:$D$6,0))</x:f>
        <x:v>0</x:v>
      </x:c>
      <x:c r="R777" s="20" t="n">
        <x:f>SUM(M777:Q777)</x:f>
        <x:v>33085</x:v>
      </x:c>
      <x:c r="S777" s="20" t="n">
        <x:f>IF(AND(A776=A777,D776=D777),S776+R777,R777)</x:f>
        <x:v>133510</x:v>
      </x:c>
      <x:c r="T777" s="20" t="n">
        <x:f>MIN(S777,INDEX(Inputs!$B$20:$D$20,1,MATCH(A777,Inputs!$B$6:$D$6,0)))*INDEX(Inputs!$B$22:$D$22,1,MATCH(A777,Inputs!$B$6:$D$6,0))+MAX(MIN(S777,INDEX(Inputs!$B$21:$D$21,1,MATCH(A777,Inputs!$B$6:$D$6,0)))-INDEX(Inputs!$B$20:$D$20,1,MATCH(A777,Inputs!$B$6:$D$6,0)),0)*INDEX(Inputs!$B$23:$D$23,1,MATCH(A777,Inputs!$B$6:$D$6,0))+MAX(S777-INDEX(Inputs!$B$21:$D$21,1,MATCH(A777,Inputs!$B$6:$D$6,0)),0)*INDEX(Inputs!$B$24:$D$24,1,MATCH(A777,Inputs!$B$6:$D$6,0))</x:f>
        <x:v>9849.837</x:v>
      </x:c>
      <x:c r="U777" s="20" t="n">
        <x:f>IF(AND(A776=A777,D776=D777),T776,0)</x:f>
        <x:v>8172.5125</x:v>
      </x:c>
      <x:c r="V777" s="20" t="n">
        <x:f>T777-U777</x:f>
        <x:v>1677.3244999999997</x:v>
      </x:c>
      <x:c r="W777" s="20" t="n">
        <x:f>R777+V777</x:f>
        <x:v>34762.3245</x:v>
      </x:c>
      <x:c r="X777" s="14" t="str">
        <x:f>IF(ABS(W777-SUM(M777:Q777)-V777)&lt;0.01,"OK","Check")</x:f>
        <x:v>OK</x:v>
      </x:c>
    </x:row>
    <x:row r="778">
      <x:c r="A778" s="14" t="n">
        <x:v>2027</x:v>
      </x:c>
      <x:c r="B778" s="14" t="str">
        <x:v>Q1</x:v>
      </x:c>
      <x:c r="C778" s="14" t="n">
        <x:v>1</x:v>
      </x:c>
      <x:c r="D778" s="14" t="n">
        <x:v>91</x:v>
      </x:c>
      <x:c r="E778" s="14" t="str">
        <x:f>INDEX(Roster!$B$6:$B$108,MATCH(D778,Roster!$A$6:$A$108,0))</x:f>
        <x:v>Principal</x:v>
      </x:c>
      <x:c r="F778" s="14" t="str">
        <x:f>INDEX(Roster!$F$6:$F$108,MATCH(D778,Roster!$A$6:$A$108,0))</x:f>
        <x:v>Yes</x:v>
      </x:c>
      <x:c r="G778" s="14" t="n">
        <x:f>INDEX(Inputs!$B$7:$D$7,1,MATCH(A778,Inputs!$B$6:$D$6,0))</x:f>
        <x:v>13</x:v>
      </x:c>
      <x:c r="H778" s="14" t="n">
        <x:f>MIN(=INDEX(Inputs!$B$7:$D$7,1,MATCH(A778,Inputs!$B$6:$D$6,0)),MAX(0,INDEX(Inputs!$B$14:$D$14,1,MATCH(A778,Inputs!$B$6:$D$6,0))-(C778-1)*=INDEX(Inputs!$B$7:$D$7,1,MATCH(A778,Inputs!$B$6:$D$6,0))))</x:f>
        <x:v>13</x:v>
      </x:c>
      <x:c r="I778" s="20" t="n">
        <x:f>INDEX(Inputs!$B$8:$D$8,1,MATCH(A778,Inputs!$B$6:$D$6,0))</x:f>
        <x:v>2395</x:v>
      </x:c>
      <x:c r="J778" s="20" t="n">
        <x:f>INDEX(Roster!$C$6:$C$108,MATCH(D778,Roster!$A$6:$A$108,0))*(1+INDEX(Inputs!$B$9:$D$9,1,MATCH(A778,Inputs!$B$6:$D$6,0)))</x:f>
        <x:v>1700</x:v>
      </x:c>
      <x:c r="K778" s="20" t="n">
        <x:f>IF(=INDEX(Roster!$F$6:$F$108,MATCH(D778,Roster!$A$6:$A$108,0))="Yes",0,=INDEX(Inputs!$B$8:$D$8,1,MATCH(A778,Inputs!$B$6:$D$6,0))*IF(=INDEX(Roster!$B$6:$B$108,MATCH(D778,Roster!$A$6:$A$108,0))="Principal",INDEX(Inputs!$B$10:$D$10,1,MATCH(A778,Inputs!$B$6:$D$6,0)),IF(=INDEX(Roster!$B$6:$B$108,MATCH(D778,Roster!$A$6:$A$108,0))="Associate Principal",INDEX(Inputs!$B$11:$D$11,1,MATCH(A778,Inputs!$B$6:$D$6,0)),IF(=INDEX(Roster!$B$6:$B$108,MATCH(D778,Roster!$A$6:$A$108,0))="Assistant Principal",INDEX(Inputs!$B$12:$D$12,1,MATCH(A778,Inputs!$B$6:$D$6,0)),0))))</x:f>
        <x:v>0</x:v>
      </x:c>
      <x:c r="L778" s="20" t="n">
        <x:f>IF(INDEX(Roster!$D$6:$D$108,MATCH(D778,Roster!$A$6:$A$108,0))&gt;=25,INDEX(Inputs!$B$19:$D$19,1,MATCH(A778,Inputs!$B$6:$D$6,0)),IF(INDEX(Roster!$D$6:$D$108,MATCH(D778,Roster!$A$6:$A$108,0))&gt;=20,INDEX(Inputs!$B$18:$D$18,1,MATCH(A778,Inputs!$B$6:$D$6,0)),IF(INDEX(Roster!$D$6:$D$108,MATCH(D778,Roster!$A$6:$A$108,0))&gt;=15,INDEX(Inputs!$B$17:$D$17,1,MATCH(A778,Inputs!$B$6:$D$6,0)),IF(INDEX(Roster!$D$6:$D$108,MATCH(D778,Roster!$A$6:$A$108,0))&gt;=10,INDEX(Inputs!$B$16:$D$16,1,MATCH(A778,Inputs!$B$6:$D$6,0)),IF(INDEX(Roster!$D$6:$D$108,MATCH(D778,Roster!$A$6:$A$108,0))&gt;=5,INDEX(Inputs!$B$15:$D$15,1,MATCH(A778,Inputs!$B$6:$D$6,0)),0)))))</x:f>
        <x:v>50</x:v>
      </x:c>
      <x:c r="M778" s="20" t="n">
        <x:f>G778*I778</x:f>
        <x:v>31135</x:v>
      </x:c>
      <x:c r="N778" s="20" t="n">
        <x:f>G778*J778</x:f>
        <x:v>22100</x:v>
      </x:c>
      <x:c r="O778" s="20" t="n">
        <x:f>G778*K778</x:f>
        <x:v>0</x:v>
      </x:c>
      <x:c r="P778" s="20" t="n">
        <x:f>G778*L778</x:f>
        <x:v>650</x:v>
      </x:c>
      <x:c r="Q778" s="20" t="n">
        <x:f>H778*INDEX(Inputs!$B$13:$D$13,1,MATCH(A778,Inputs!$B$6:$D$6,0))</x:f>
        <x:v>390</x:v>
      </x:c>
      <x:c r="R778" s="20" t="n">
        <x:f>SUM(M778:Q778)</x:f>
        <x:v>54275</x:v>
      </x:c>
      <x:c r="S778" s="20" t="n">
        <x:f>IF(AND(A777=A778,D777=D778),S777+R778,R778)</x:f>
        <x:v>54275</x:v>
      </x:c>
      <x:c r="T778" s="20" t="n">
        <x:f>MIN(S778,INDEX(Inputs!$B$20:$D$20,1,MATCH(A778,Inputs!$B$6:$D$6,0)))*INDEX(Inputs!$B$22:$D$22,1,MATCH(A778,Inputs!$B$6:$D$6,0))+MAX(MIN(S778,INDEX(Inputs!$B$21:$D$21,1,MATCH(A778,Inputs!$B$6:$D$6,0)))-INDEX(Inputs!$B$20:$D$20,1,MATCH(A778,Inputs!$B$6:$D$6,0)),0)*INDEX(Inputs!$B$23:$D$23,1,MATCH(A778,Inputs!$B$6:$D$6,0))+MAX(S778-INDEX(Inputs!$B$21:$D$21,1,MATCH(A778,Inputs!$B$6:$D$6,0)),0)*INDEX(Inputs!$B$24:$D$24,1,MATCH(A778,Inputs!$B$6:$D$6,0))</x:f>
        <x:v>4642.0375</x:v>
      </x:c>
      <x:c r="U778" s="20" t="n">
        <x:f>IF(AND(A777=A778,D777=D778),T777,0)</x:f>
        <x:v>0</x:v>
      </x:c>
      <x:c r="V778" s="20" t="n">
        <x:f>T778-U778</x:f>
        <x:v>4642.0375</x:v>
      </x:c>
      <x:c r="W778" s="20" t="n">
        <x:f>R778+V778</x:f>
        <x:v>58917.0375</x:v>
      </x:c>
      <x:c r="X778" s="14" t="str">
        <x:f>IF(ABS(W778-SUM(M778:Q778)-V778)&lt;0.01,"OK","Check")</x:f>
        <x:v>OK</x:v>
      </x:c>
    </x:row>
    <x:row r="779">
      <x:c r="A779" s="14" t="n">
        <x:v>2027</x:v>
      </x:c>
      <x:c r="B779" s="14" t="str">
        <x:v>Q2</x:v>
      </x:c>
      <x:c r="C779" s="14" t="n">
        <x:v>2</x:v>
      </x:c>
      <x:c r="D779" s="14" t="n">
        <x:v>91</x:v>
      </x:c>
      <x:c r="E779" s="14" t="str">
        <x:f>INDEX(Roster!$B$6:$B$108,MATCH(D779,Roster!$A$6:$A$108,0))</x:f>
        <x:v>Principal</x:v>
      </x:c>
      <x:c r="F779" s="14" t="str">
        <x:f>INDEX(Roster!$F$6:$F$108,MATCH(D779,Roster!$A$6:$A$108,0))</x:f>
        <x:v>Yes</x:v>
      </x:c>
      <x:c r="G779" s="14" t="n">
        <x:f>INDEX(Inputs!$B$7:$D$7,1,MATCH(A779,Inputs!$B$6:$D$6,0))</x:f>
        <x:v>13</x:v>
      </x:c>
      <x:c r="H779" s="14" t="n">
        <x:f>MIN(=INDEX(Inputs!$B$7:$D$7,1,MATCH(A779,Inputs!$B$6:$D$6,0)),MAX(0,INDEX(Inputs!$B$14:$D$14,1,MATCH(A779,Inputs!$B$6:$D$6,0))-(C779-1)*=INDEX(Inputs!$B$7:$D$7,1,MATCH(A779,Inputs!$B$6:$D$6,0))))</x:f>
        <x:v>13</x:v>
      </x:c>
      <x:c r="I779" s="20" t="n">
        <x:f>INDEX(Inputs!$B$8:$D$8,1,MATCH(A779,Inputs!$B$6:$D$6,0))</x:f>
        <x:v>2395</x:v>
      </x:c>
      <x:c r="J779" s="20" t="n">
        <x:f>INDEX(Roster!$C$6:$C$108,MATCH(D779,Roster!$A$6:$A$108,0))*(1+INDEX(Inputs!$B$9:$D$9,1,MATCH(A779,Inputs!$B$6:$D$6,0)))</x:f>
        <x:v>1700</x:v>
      </x:c>
      <x:c r="K779" s="20" t="n">
        <x:f>IF(=INDEX(Roster!$F$6:$F$108,MATCH(D779,Roster!$A$6:$A$108,0))="Yes",0,=INDEX(Inputs!$B$8:$D$8,1,MATCH(A779,Inputs!$B$6:$D$6,0))*IF(=INDEX(Roster!$B$6:$B$108,MATCH(D779,Roster!$A$6:$A$108,0))="Principal",INDEX(Inputs!$B$10:$D$10,1,MATCH(A779,Inputs!$B$6:$D$6,0)),IF(=INDEX(Roster!$B$6:$B$108,MATCH(D779,Roster!$A$6:$A$108,0))="Associate Principal",INDEX(Inputs!$B$11:$D$11,1,MATCH(A779,Inputs!$B$6:$D$6,0)),IF(=INDEX(Roster!$B$6:$B$108,MATCH(D779,Roster!$A$6:$A$108,0))="Assistant Principal",INDEX(Inputs!$B$12:$D$12,1,MATCH(A779,Inputs!$B$6:$D$6,0)),0))))</x:f>
        <x:v>0</x:v>
      </x:c>
      <x:c r="L779" s="20" t="n">
        <x:f>IF(INDEX(Roster!$D$6:$D$108,MATCH(D779,Roster!$A$6:$A$108,0))&gt;=25,INDEX(Inputs!$B$19:$D$19,1,MATCH(A779,Inputs!$B$6:$D$6,0)),IF(INDEX(Roster!$D$6:$D$108,MATCH(D779,Roster!$A$6:$A$108,0))&gt;=20,INDEX(Inputs!$B$18:$D$18,1,MATCH(A779,Inputs!$B$6:$D$6,0)),IF(INDEX(Roster!$D$6:$D$108,MATCH(D779,Roster!$A$6:$A$108,0))&gt;=15,INDEX(Inputs!$B$17:$D$17,1,MATCH(A779,Inputs!$B$6:$D$6,0)),IF(INDEX(Roster!$D$6:$D$108,MATCH(D779,Roster!$A$6:$A$108,0))&gt;=10,INDEX(Inputs!$B$16:$D$16,1,MATCH(A779,Inputs!$B$6:$D$6,0)),IF(INDEX(Roster!$D$6:$D$108,MATCH(D779,Roster!$A$6:$A$108,0))&gt;=5,INDEX(Inputs!$B$15:$D$15,1,MATCH(A779,Inputs!$B$6:$D$6,0)),0)))))</x:f>
        <x:v>50</x:v>
      </x:c>
      <x:c r="M779" s="20" t="n">
        <x:f>G779*I779</x:f>
        <x:v>31135</x:v>
      </x:c>
      <x:c r="N779" s="20" t="n">
        <x:f>G779*J779</x:f>
        <x:v>22100</x:v>
      </x:c>
      <x:c r="O779" s="20" t="n">
        <x:f>G779*K779</x:f>
        <x:v>0</x:v>
      </x:c>
      <x:c r="P779" s="20" t="n">
        <x:f>G779*L779</x:f>
        <x:v>650</x:v>
      </x:c>
      <x:c r="Q779" s="20" t="n">
        <x:f>H779*INDEX(Inputs!$B$13:$D$13,1,MATCH(A779,Inputs!$B$6:$D$6,0))</x:f>
        <x:v>390</x:v>
      </x:c>
      <x:c r="R779" s="20" t="n">
        <x:f>SUM(M779:Q779)</x:f>
        <x:v>54275</x:v>
      </x:c>
      <x:c r="S779" s="20" t="n">
        <x:f>IF(AND(A778=A779,D778=D779),S778+R779,R779)</x:f>
        <x:v>108550</x:v>
      </x:c>
      <x:c r="T779" s="20" t="n">
        <x:f>MIN(S779,INDEX(Inputs!$B$20:$D$20,1,MATCH(A779,Inputs!$B$6:$D$6,0)))*INDEX(Inputs!$B$22:$D$22,1,MATCH(A779,Inputs!$B$6:$D$6,0))+MAX(MIN(S779,INDEX(Inputs!$B$21:$D$21,1,MATCH(A779,Inputs!$B$6:$D$6,0)))-INDEX(Inputs!$B$20:$D$20,1,MATCH(A779,Inputs!$B$6:$D$6,0)),0)*INDEX(Inputs!$B$23:$D$23,1,MATCH(A779,Inputs!$B$6:$D$6,0))+MAX(S779-INDEX(Inputs!$B$21:$D$21,1,MATCH(A779,Inputs!$B$6:$D$6,0)),0)*INDEX(Inputs!$B$24:$D$24,1,MATCH(A779,Inputs!$B$6:$D$6,0))</x:f>
        <x:v>8794.075</x:v>
      </x:c>
      <x:c r="U779" s="20" t="n">
        <x:f>IF(AND(A778=A779,D778=D779),T778,0)</x:f>
        <x:v>4642.0375</x:v>
      </x:c>
      <x:c r="V779" s="20" t="n">
        <x:f>T779-U779</x:f>
        <x:v>4152.0375</x:v>
      </x:c>
      <x:c r="W779" s="20" t="n">
        <x:f>R779+V779</x:f>
        <x:v>58427.0375</x:v>
      </x:c>
      <x:c r="X779" s="14" t="str">
        <x:f>IF(ABS(W779-SUM(M779:Q779)-V779)&lt;0.01,"OK","Check")</x:f>
        <x:v>OK</x:v>
      </x:c>
    </x:row>
    <x:row r="780">
      <x:c r="A780" s="14" t="n">
        <x:v>2027</x:v>
      </x:c>
      <x:c r="B780" s="14" t="str">
        <x:v>Q3</x:v>
      </x:c>
      <x:c r="C780" s="14" t="n">
        <x:v>3</x:v>
      </x:c>
      <x:c r="D780" s="14" t="n">
        <x:v>91</x:v>
      </x:c>
      <x:c r="E780" s="14" t="str">
        <x:f>INDEX(Roster!$B$6:$B$108,MATCH(D780,Roster!$A$6:$A$108,0))</x:f>
        <x:v>Principal</x:v>
      </x:c>
      <x:c r="F780" s="14" t="str">
        <x:f>INDEX(Roster!$F$6:$F$108,MATCH(D780,Roster!$A$6:$A$108,0))</x:f>
        <x:v>Yes</x:v>
      </x:c>
      <x:c r="G780" s="14" t="n">
        <x:f>INDEX(Inputs!$B$7:$D$7,1,MATCH(A780,Inputs!$B$6:$D$6,0))</x:f>
        <x:v>13</x:v>
      </x:c>
      <x:c r="H780" s="14" t="n">
        <x:f>MIN(=INDEX(Inputs!$B$7:$D$7,1,MATCH(A780,Inputs!$B$6:$D$6,0)),MAX(0,INDEX(Inputs!$B$14:$D$14,1,MATCH(A780,Inputs!$B$6:$D$6,0))-(C780-1)*=INDEX(Inputs!$B$7:$D$7,1,MATCH(A780,Inputs!$B$6:$D$6,0))))</x:f>
        <x:v>13</x:v>
      </x:c>
      <x:c r="I780" s="20" t="n">
        <x:f>INDEX(Inputs!$B$8:$D$8,1,MATCH(A780,Inputs!$B$6:$D$6,0))</x:f>
        <x:v>2395</x:v>
      </x:c>
      <x:c r="J780" s="20" t="n">
        <x:f>INDEX(Roster!$C$6:$C$108,MATCH(D780,Roster!$A$6:$A$108,0))*(1+INDEX(Inputs!$B$9:$D$9,1,MATCH(A780,Inputs!$B$6:$D$6,0)))</x:f>
        <x:v>1700</x:v>
      </x:c>
      <x:c r="K780" s="20" t="n">
        <x:f>IF(=INDEX(Roster!$F$6:$F$108,MATCH(D780,Roster!$A$6:$A$108,0))="Yes",0,=INDEX(Inputs!$B$8:$D$8,1,MATCH(A780,Inputs!$B$6:$D$6,0))*IF(=INDEX(Roster!$B$6:$B$108,MATCH(D780,Roster!$A$6:$A$108,0))="Principal",INDEX(Inputs!$B$10:$D$10,1,MATCH(A780,Inputs!$B$6:$D$6,0)),IF(=INDEX(Roster!$B$6:$B$108,MATCH(D780,Roster!$A$6:$A$108,0))="Associate Principal",INDEX(Inputs!$B$11:$D$11,1,MATCH(A780,Inputs!$B$6:$D$6,0)),IF(=INDEX(Roster!$B$6:$B$108,MATCH(D780,Roster!$A$6:$A$108,0))="Assistant Principal",INDEX(Inputs!$B$12:$D$12,1,MATCH(A780,Inputs!$B$6:$D$6,0)),0))))</x:f>
        <x:v>0</x:v>
      </x:c>
      <x:c r="L780" s="20" t="n">
        <x:f>IF(INDEX(Roster!$D$6:$D$108,MATCH(D780,Roster!$A$6:$A$108,0))&gt;=25,INDEX(Inputs!$B$19:$D$19,1,MATCH(A780,Inputs!$B$6:$D$6,0)),IF(INDEX(Roster!$D$6:$D$108,MATCH(D780,Roster!$A$6:$A$108,0))&gt;=20,INDEX(Inputs!$B$18:$D$18,1,MATCH(A780,Inputs!$B$6:$D$6,0)),IF(INDEX(Roster!$D$6:$D$108,MATCH(D780,Roster!$A$6:$A$108,0))&gt;=15,INDEX(Inputs!$B$17:$D$17,1,MATCH(A780,Inputs!$B$6:$D$6,0)),IF(INDEX(Roster!$D$6:$D$108,MATCH(D780,Roster!$A$6:$A$108,0))&gt;=10,INDEX(Inputs!$B$16:$D$16,1,MATCH(A780,Inputs!$B$6:$D$6,0)),IF(INDEX(Roster!$D$6:$D$108,MATCH(D780,Roster!$A$6:$A$108,0))&gt;=5,INDEX(Inputs!$B$15:$D$15,1,MATCH(A780,Inputs!$B$6:$D$6,0)),0)))))</x:f>
        <x:v>50</x:v>
      </x:c>
      <x:c r="M780" s="20" t="n">
        <x:f>G780*I780</x:f>
        <x:v>31135</x:v>
      </x:c>
      <x:c r="N780" s="20" t="n">
        <x:f>G780*J780</x:f>
        <x:v>22100</x:v>
      </x:c>
      <x:c r="O780" s="20" t="n">
        <x:f>G780*K780</x:f>
        <x:v>0</x:v>
      </x:c>
      <x:c r="P780" s="20" t="n">
        <x:f>G780*L780</x:f>
        <x:v>650</x:v>
      </x:c>
      <x:c r="Q780" s="20" t="n">
        <x:f>H780*INDEX(Inputs!$B$13:$D$13,1,MATCH(A780,Inputs!$B$6:$D$6,0))</x:f>
        <x:v>390</x:v>
      </x:c>
      <x:c r="R780" s="20" t="n">
        <x:f>SUM(M780:Q780)</x:f>
        <x:v>54275</x:v>
      </x:c>
      <x:c r="S780" s="20" t="n">
        <x:f>IF(AND(A779=A780,D779=D780),S779+R780,R780)</x:f>
        <x:v>162825</x:v>
      </x:c>
      <x:c r="T780" s="20" t="n">
        <x:f>MIN(S780,INDEX(Inputs!$B$20:$D$20,1,MATCH(A780,Inputs!$B$6:$D$6,0)))*INDEX(Inputs!$B$22:$D$22,1,MATCH(A780,Inputs!$B$6:$D$6,0))+MAX(MIN(S780,INDEX(Inputs!$B$21:$D$21,1,MATCH(A780,Inputs!$B$6:$D$6,0)))-INDEX(Inputs!$B$20:$D$20,1,MATCH(A780,Inputs!$B$6:$D$6,0)),0)*INDEX(Inputs!$B$23:$D$23,1,MATCH(A780,Inputs!$B$6:$D$6,0))+MAX(S780-INDEX(Inputs!$B$21:$D$21,1,MATCH(A780,Inputs!$B$6:$D$6,0)),0)*INDEX(Inputs!$B$24:$D$24,1,MATCH(A780,Inputs!$B$6:$D$6,0))</x:f>
        <x:v>10274.9045</x:v>
      </x:c>
      <x:c r="U780" s="20" t="n">
        <x:f>IF(AND(A779=A780,D779=D780),T779,0)</x:f>
        <x:v>8794.075</x:v>
      </x:c>
      <x:c r="V780" s="20" t="n">
        <x:f>T780-U780</x:f>
        <x:v>1480.8294999999998</x:v>
      </x:c>
      <x:c r="W780" s="20" t="n">
        <x:f>R780+V780</x:f>
        <x:v>55755.8295</x:v>
      </x:c>
      <x:c r="X780" s="14" t="str">
        <x:f>IF(ABS(W780-SUM(M780:Q780)-V780)&lt;0.01,"OK","Check")</x:f>
        <x:v>OK</x:v>
      </x:c>
    </x:row>
    <x:row r="781">
      <x:c r="A781" s="14" t="n">
        <x:v>2027</x:v>
      </x:c>
      <x:c r="B781" s="14" t="str">
        <x:v>Q4</x:v>
      </x:c>
      <x:c r="C781" s="14" t="n">
        <x:v>4</x:v>
      </x:c>
      <x:c r="D781" s="14" t="n">
        <x:v>91</x:v>
      </x:c>
      <x:c r="E781" s="14" t="str">
        <x:f>INDEX(Roster!$B$6:$B$108,MATCH(D781,Roster!$A$6:$A$108,0))</x:f>
        <x:v>Principal</x:v>
      </x:c>
      <x:c r="F781" s="14" t="str">
        <x:f>INDEX(Roster!$F$6:$F$108,MATCH(D781,Roster!$A$6:$A$108,0))</x:f>
        <x:v>Yes</x:v>
      </x:c>
      <x:c r="G781" s="14" t="n">
        <x:f>INDEX(Inputs!$B$7:$D$7,1,MATCH(A781,Inputs!$B$6:$D$6,0))</x:f>
        <x:v>13</x:v>
      </x:c>
      <x:c r="H781" s="14" t="n">
        <x:f>MIN(=INDEX(Inputs!$B$7:$D$7,1,MATCH(A781,Inputs!$B$6:$D$6,0)),MAX(0,INDEX(Inputs!$B$14:$D$14,1,MATCH(A781,Inputs!$B$6:$D$6,0))-(C781-1)*=INDEX(Inputs!$B$7:$D$7,1,MATCH(A781,Inputs!$B$6:$D$6,0))))</x:f>
        <x:v>0</x:v>
      </x:c>
      <x:c r="I781" s="20" t="n">
        <x:f>INDEX(Inputs!$B$8:$D$8,1,MATCH(A781,Inputs!$B$6:$D$6,0))</x:f>
        <x:v>2395</x:v>
      </x:c>
      <x:c r="J781" s="20" t="n">
        <x:f>INDEX(Roster!$C$6:$C$108,MATCH(D781,Roster!$A$6:$A$108,0))*(1+INDEX(Inputs!$B$9:$D$9,1,MATCH(A781,Inputs!$B$6:$D$6,0)))</x:f>
        <x:v>1700</x:v>
      </x:c>
      <x:c r="K781" s="20" t="n">
        <x:f>IF(=INDEX(Roster!$F$6:$F$108,MATCH(D781,Roster!$A$6:$A$108,0))="Yes",0,=INDEX(Inputs!$B$8:$D$8,1,MATCH(A781,Inputs!$B$6:$D$6,0))*IF(=INDEX(Roster!$B$6:$B$108,MATCH(D781,Roster!$A$6:$A$108,0))="Principal",INDEX(Inputs!$B$10:$D$10,1,MATCH(A781,Inputs!$B$6:$D$6,0)),IF(=INDEX(Roster!$B$6:$B$108,MATCH(D781,Roster!$A$6:$A$108,0))="Associate Principal",INDEX(Inputs!$B$11:$D$11,1,MATCH(A781,Inputs!$B$6:$D$6,0)),IF(=INDEX(Roster!$B$6:$B$108,MATCH(D781,Roster!$A$6:$A$108,0))="Assistant Principal",INDEX(Inputs!$B$12:$D$12,1,MATCH(A781,Inputs!$B$6:$D$6,0)),0))))</x:f>
        <x:v>0</x:v>
      </x:c>
      <x:c r="L781" s="20" t="n">
        <x:f>IF(INDEX(Roster!$D$6:$D$108,MATCH(D781,Roster!$A$6:$A$108,0))&gt;=25,INDEX(Inputs!$B$19:$D$19,1,MATCH(A781,Inputs!$B$6:$D$6,0)),IF(INDEX(Roster!$D$6:$D$108,MATCH(D781,Roster!$A$6:$A$108,0))&gt;=20,INDEX(Inputs!$B$18:$D$18,1,MATCH(A781,Inputs!$B$6:$D$6,0)),IF(INDEX(Roster!$D$6:$D$108,MATCH(D781,Roster!$A$6:$A$108,0))&gt;=15,INDEX(Inputs!$B$17:$D$17,1,MATCH(A781,Inputs!$B$6:$D$6,0)),IF(INDEX(Roster!$D$6:$D$108,MATCH(D781,Roster!$A$6:$A$108,0))&gt;=10,INDEX(Inputs!$B$16:$D$16,1,MATCH(A781,Inputs!$B$6:$D$6,0)),IF(INDEX(Roster!$D$6:$D$108,MATCH(D781,Roster!$A$6:$A$108,0))&gt;=5,INDEX(Inputs!$B$15:$D$15,1,MATCH(A781,Inputs!$B$6:$D$6,0)),0)))))</x:f>
        <x:v>50</x:v>
      </x:c>
      <x:c r="M781" s="20" t="n">
        <x:f>G781*I781</x:f>
        <x:v>31135</x:v>
      </x:c>
      <x:c r="N781" s="20" t="n">
        <x:f>G781*J781</x:f>
        <x:v>22100</x:v>
      </x:c>
      <x:c r="O781" s="20" t="n">
        <x:f>G781*K781</x:f>
        <x:v>0</x:v>
      </x:c>
      <x:c r="P781" s="20" t="n">
        <x:f>G781*L781</x:f>
        <x:v>650</x:v>
      </x:c>
      <x:c r="Q781" s="20" t="n">
        <x:f>H781*INDEX(Inputs!$B$13:$D$13,1,MATCH(A781,Inputs!$B$6:$D$6,0))</x:f>
        <x:v>0</x:v>
      </x:c>
      <x:c r="R781" s="20" t="n">
        <x:f>SUM(M781:Q781)</x:f>
        <x:v>53885</x:v>
      </x:c>
      <x:c r="S781" s="20" t="n">
        <x:f>IF(AND(A780=A781,D780=D781),S780+R781,R781)</x:f>
        <x:v>216710</x:v>
      </x:c>
      <x:c r="T781" s="20" t="n">
        <x:f>MIN(S781,INDEX(Inputs!$B$20:$D$20,1,MATCH(A781,Inputs!$B$6:$D$6,0)))*INDEX(Inputs!$B$22:$D$22,1,MATCH(A781,Inputs!$B$6:$D$6,0))+MAX(MIN(S781,INDEX(Inputs!$B$21:$D$21,1,MATCH(A781,Inputs!$B$6:$D$6,0)))-INDEX(Inputs!$B$20:$D$20,1,MATCH(A781,Inputs!$B$6:$D$6,0)),0)*INDEX(Inputs!$B$23:$D$23,1,MATCH(A781,Inputs!$B$6:$D$6,0))+MAX(S781-INDEX(Inputs!$B$21:$D$21,1,MATCH(A781,Inputs!$B$6:$D$6,0)),0)*INDEX(Inputs!$B$24:$D$24,1,MATCH(A781,Inputs!$B$6:$D$6,0))</x:f>
        <x:v>11056.237</x:v>
      </x:c>
      <x:c r="U781" s="20" t="n">
        <x:f>IF(AND(A780=A781,D780=D781),T780,0)</x:f>
        <x:v>10274.9045</x:v>
      </x:c>
      <x:c r="V781" s="20" t="n">
        <x:f>T781-U781</x:f>
        <x:v>781.3324999999986</x:v>
      </x:c>
      <x:c r="W781" s="20" t="n">
        <x:f>R781+V781</x:f>
        <x:v>54666.3325</x:v>
      </x:c>
      <x:c r="X781" s="14" t="str">
        <x:f>IF(ABS(W781-SUM(M781:Q781)-V781)&lt;0.01,"OK","Check")</x:f>
        <x:v>OK</x:v>
      </x:c>
    </x:row>
    <x:row r="782">
      <x:c r="A782" s="14" t="n">
        <x:v>2027</x:v>
      </x:c>
      <x:c r="B782" s="14" t="str">
        <x:v>Q1</x:v>
      </x:c>
      <x:c r="C782" s="14" t="n">
        <x:v>1</x:v>
      </x:c>
      <x:c r="D782" s="14" t="n">
        <x:v>92</x:v>
      </x:c>
      <x:c r="E782" s="14" t="str">
        <x:f>INDEX(Roster!$B$6:$B$108,MATCH(D782,Roster!$A$6:$A$108,0))</x:f>
        <x:v>Associate Principal</x:v>
      </x:c>
      <x:c r="F782" s="14" t="str">
        <x:f>INDEX(Roster!$F$6:$F$108,MATCH(D782,Roster!$A$6:$A$108,0))</x:f>
        <x:v>Yes</x:v>
      </x:c>
      <x:c r="G782" s="14" t="n">
        <x:f>INDEX(Inputs!$B$7:$D$7,1,MATCH(A782,Inputs!$B$6:$D$6,0))</x:f>
        <x:v>13</x:v>
      </x:c>
      <x:c r="H782" s="14" t="n">
        <x:f>MIN(=INDEX(Inputs!$B$7:$D$7,1,MATCH(A782,Inputs!$B$6:$D$6,0)),MAX(0,INDEX(Inputs!$B$14:$D$14,1,MATCH(A782,Inputs!$B$6:$D$6,0))-(C782-1)*=INDEX(Inputs!$B$7:$D$7,1,MATCH(A782,Inputs!$B$6:$D$6,0))))</x:f>
        <x:v>13</x:v>
      </x:c>
      <x:c r="I782" s="20" t="n">
        <x:f>INDEX(Inputs!$B$8:$D$8,1,MATCH(A782,Inputs!$B$6:$D$6,0))</x:f>
        <x:v>2395</x:v>
      </x:c>
      <x:c r="J782" s="20" t="n">
        <x:f>INDEX(Roster!$C$6:$C$108,MATCH(D782,Roster!$A$6:$A$108,0))*(1+INDEX(Inputs!$B$9:$D$9,1,MATCH(A782,Inputs!$B$6:$D$6,0)))</x:f>
        <x:v>400</x:v>
      </x:c>
      <x:c r="K782" s="20" t="n">
        <x:f>IF(=INDEX(Roster!$F$6:$F$108,MATCH(D782,Roster!$A$6:$A$108,0))="Yes",0,=INDEX(Inputs!$B$8:$D$8,1,MATCH(A782,Inputs!$B$6:$D$6,0))*IF(=INDEX(Roster!$B$6:$B$108,MATCH(D782,Roster!$A$6:$A$108,0))="Principal",INDEX(Inputs!$B$10:$D$10,1,MATCH(A782,Inputs!$B$6:$D$6,0)),IF(=INDEX(Roster!$B$6:$B$108,MATCH(D782,Roster!$A$6:$A$108,0))="Associate Principal",INDEX(Inputs!$B$11:$D$11,1,MATCH(A782,Inputs!$B$6:$D$6,0)),IF(=INDEX(Roster!$B$6:$B$108,MATCH(D782,Roster!$A$6:$A$108,0))="Assistant Principal",INDEX(Inputs!$B$12:$D$12,1,MATCH(A782,Inputs!$B$6:$D$6,0)),0))))</x:f>
        <x:v>0</x:v>
      </x:c>
      <x:c r="L782" s="20" t="n">
        <x:f>IF(INDEX(Roster!$D$6:$D$108,MATCH(D782,Roster!$A$6:$A$108,0))&gt;=25,INDEX(Inputs!$B$19:$D$19,1,MATCH(A782,Inputs!$B$6:$D$6,0)),IF(INDEX(Roster!$D$6:$D$108,MATCH(D782,Roster!$A$6:$A$108,0))&gt;=20,INDEX(Inputs!$B$18:$D$18,1,MATCH(A782,Inputs!$B$6:$D$6,0)),IF(INDEX(Roster!$D$6:$D$108,MATCH(D782,Roster!$A$6:$A$108,0))&gt;=15,INDEX(Inputs!$B$17:$D$17,1,MATCH(A782,Inputs!$B$6:$D$6,0)),IF(INDEX(Roster!$D$6:$D$108,MATCH(D782,Roster!$A$6:$A$108,0))&gt;=10,INDEX(Inputs!$B$16:$D$16,1,MATCH(A782,Inputs!$B$6:$D$6,0)),IF(INDEX(Roster!$D$6:$D$108,MATCH(D782,Roster!$A$6:$A$108,0))&gt;=5,INDEX(Inputs!$B$15:$D$15,1,MATCH(A782,Inputs!$B$6:$D$6,0)),0)))))</x:f>
        <x:v>90</x:v>
      </x:c>
      <x:c r="M782" s="20" t="n">
        <x:f>G782*I782</x:f>
        <x:v>31135</x:v>
      </x:c>
      <x:c r="N782" s="20" t="n">
        <x:f>G782*J782</x:f>
        <x:v>5200</x:v>
      </x:c>
      <x:c r="O782" s="20" t="n">
        <x:f>G782*K782</x:f>
        <x:v>0</x:v>
      </x:c>
      <x:c r="P782" s="20" t="n">
        <x:f>G782*L782</x:f>
        <x:v>1170</x:v>
      </x:c>
      <x:c r="Q782" s="20" t="n">
        <x:f>H782*INDEX(Inputs!$B$13:$D$13,1,MATCH(A782,Inputs!$B$6:$D$6,0))</x:f>
        <x:v>390</x:v>
      </x:c>
      <x:c r="R782" s="20" t="n">
        <x:f>SUM(M782:Q782)</x:f>
        <x:v>37895</x:v>
      </x:c>
      <x:c r="S782" s="20" t="n">
        <x:f>IF(AND(A781=A782,D781=D782),S781+R782,R782)</x:f>
        <x:v>37895</x:v>
      </x:c>
      <x:c r="T782" s="20" t="n">
        <x:f>MIN(S782,INDEX(Inputs!$B$20:$D$20,1,MATCH(A782,Inputs!$B$6:$D$6,0)))*INDEX(Inputs!$B$22:$D$22,1,MATCH(A782,Inputs!$B$6:$D$6,0))+MAX(MIN(S782,INDEX(Inputs!$B$21:$D$21,1,MATCH(A782,Inputs!$B$6:$D$6,0)))-INDEX(Inputs!$B$20:$D$20,1,MATCH(A782,Inputs!$B$6:$D$6,0)),0)*INDEX(Inputs!$B$23:$D$23,1,MATCH(A782,Inputs!$B$6:$D$6,0))+MAX(S782-INDEX(Inputs!$B$21:$D$21,1,MATCH(A782,Inputs!$B$6:$D$6,0)),0)*INDEX(Inputs!$B$24:$D$24,1,MATCH(A782,Inputs!$B$6:$D$6,0))</x:f>
        <x:v>3388.9674999999997</x:v>
      </x:c>
      <x:c r="U782" s="20" t="n">
        <x:f>IF(AND(A781=A782,D781=D782),T781,0)</x:f>
        <x:v>0</x:v>
      </x:c>
      <x:c r="V782" s="20" t="n">
        <x:f>T782-U782</x:f>
        <x:v>3388.9674999999997</x:v>
      </x:c>
      <x:c r="W782" s="20" t="n">
        <x:f>R782+V782</x:f>
        <x:v>41283.9675</x:v>
      </x:c>
      <x:c r="X782" s="14" t="str">
        <x:f>IF(ABS(W782-SUM(M782:Q782)-V782)&lt;0.01,"OK","Check")</x:f>
        <x:v>OK</x:v>
      </x:c>
    </x:row>
    <x:row r="783">
      <x:c r="A783" s="14" t="n">
        <x:v>2027</x:v>
      </x:c>
      <x:c r="B783" s="14" t="str">
        <x:v>Q2</x:v>
      </x:c>
      <x:c r="C783" s="14" t="n">
        <x:v>2</x:v>
      </x:c>
      <x:c r="D783" s="14" t="n">
        <x:v>92</x:v>
      </x:c>
      <x:c r="E783" s="14" t="str">
        <x:f>INDEX(Roster!$B$6:$B$108,MATCH(D783,Roster!$A$6:$A$108,0))</x:f>
        <x:v>Associate Principal</x:v>
      </x:c>
      <x:c r="F783" s="14" t="str">
        <x:f>INDEX(Roster!$F$6:$F$108,MATCH(D783,Roster!$A$6:$A$108,0))</x:f>
        <x:v>Yes</x:v>
      </x:c>
      <x:c r="G783" s="14" t="n">
        <x:f>INDEX(Inputs!$B$7:$D$7,1,MATCH(A783,Inputs!$B$6:$D$6,0))</x:f>
        <x:v>13</x:v>
      </x:c>
      <x:c r="H783" s="14" t="n">
        <x:f>MIN(=INDEX(Inputs!$B$7:$D$7,1,MATCH(A783,Inputs!$B$6:$D$6,0)),MAX(0,INDEX(Inputs!$B$14:$D$14,1,MATCH(A783,Inputs!$B$6:$D$6,0))-(C783-1)*=INDEX(Inputs!$B$7:$D$7,1,MATCH(A783,Inputs!$B$6:$D$6,0))))</x:f>
        <x:v>13</x:v>
      </x:c>
      <x:c r="I783" s="20" t="n">
        <x:f>INDEX(Inputs!$B$8:$D$8,1,MATCH(A783,Inputs!$B$6:$D$6,0))</x:f>
        <x:v>2395</x:v>
      </x:c>
      <x:c r="J783" s="20" t="n">
        <x:f>INDEX(Roster!$C$6:$C$108,MATCH(D783,Roster!$A$6:$A$108,0))*(1+INDEX(Inputs!$B$9:$D$9,1,MATCH(A783,Inputs!$B$6:$D$6,0)))</x:f>
        <x:v>400</x:v>
      </x:c>
      <x:c r="K783" s="20" t="n">
        <x:f>IF(=INDEX(Roster!$F$6:$F$108,MATCH(D783,Roster!$A$6:$A$108,0))="Yes",0,=INDEX(Inputs!$B$8:$D$8,1,MATCH(A783,Inputs!$B$6:$D$6,0))*IF(=INDEX(Roster!$B$6:$B$108,MATCH(D783,Roster!$A$6:$A$108,0))="Principal",INDEX(Inputs!$B$10:$D$10,1,MATCH(A783,Inputs!$B$6:$D$6,0)),IF(=INDEX(Roster!$B$6:$B$108,MATCH(D783,Roster!$A$6:$A$108,0))="Associate Principal",INDEX(Inputs!$B$11:$D$11,1,MATCH(A783,Inputs!$B$6:$D$6,0)),IF(=INDEX(Roster!$B$6:$B$108,MATCH(D783,Roster!$A$6:$A$108,0))="Assistant Principal",INDEX(Inputs!$B$12:$D$12,1,MATCH(A783,Inputs!$B$6:$D$6,0)),0))))</x:f>
        <x:v>0</x:v>
      </x:c>
      <x:c r="L783" s="20" t="n">
        <x:f>IF(INDEX(Roster!$D$6:$D$108,MATCH(D783,Roster!$A$6:$A$108,0))&gt;=25,INDEX(Inputs!$B$19:$D$19,1,MATCH(A783,Inputs!$B$6:$D$6,0)),IF(INDEX(Roster!$D$6:$D$108,MATCH(D783,Roster!$A$6:$A$108,0))&gt;=20,INDEX(Inputs!$B$18:$D$18,1,MATCH(A783,Inputs!$B$6:$D$6,0)),IF(INDEX(Roster!$D$6:$D$108,MATCH(D783,Roster!$A$6:$A$108,0))&gt;=15,INDEX(Inputs!$B$17:$D$17,1,MATCH(A783,Inputs!$B$6:$D$6,0)),IF(INDEX(Roster!$D$6:$D$108,MATCH(D783,Roster!$A$6:$A$108,0))&gt;=10,INDEX(Inputs!$B$16:$D$16,1,MATCH(A783,Inputs!$B$6:$D$6,0)),IF(INDEX(Roster!$D$6:$D$108,MATCH(D783,Roster!$A$6:$A$108,0))&gt;=5,INDEX(Inputs!$B$15:$D$15,1,MATCH(A783,Inputs!$B$6:$D$6,0)),0)))))</x:f>
        <x:v>90</x:v>
      </x:c>
      <x:c r="M783" s="20" t="n">
        <x:f>G783*I783</x:f>
        <x:v>31135</x:v>
      </x:c>
      <x:c r="N783" s="20" t="n">
        <x:f>G783*J783</x:f>
        <x:v>5200</x:v>
      </x:c>
      <x:c r="O783" s="20" t="n">
        <x:f>G783*K783</x:f>
        <x:v>0</x:v>
      </x:c>
      <x:c r="P783" s="20" t="n">
        <x:f>G783*L783</x:f>
        <x:v>1170</x:v>
      </x:c>
      <x:c r="Q783" s="20" t="n">
        <x:f>H783*INDEX(Inputs!$B$13:$D$13,1,MATCH(A783,Inputs!$B$6:$D$6,0))</x:f>
        <x:v>390</x:v>
      </x:c>
      <x:c r="R783" s="20" t="n">
        <x:f>SUM(M783:Q783)</x:f>
        <x:v>37895</x:v>
      </x:c>
      <x:c r="S783" s="20" t="n">
        <x:f>IF(AND(A782=A783,D782=D783),S782+R783,R783)</x:f>
        <x:v>75790</x:v>
      </x:c>
      <x:c r="T783" s="20" t="n">
        <x:f>MIN(S783,INDEX(Inputs!$B$20:$D$20,1,MATCH(A783,Inputs!$B$6:$D$6,0)))*INDEX(Inputs!$B$22:$D$22,1,MATCH(A783,Inputs!$B$6:$D$6,0))+MAX(MIN(S783,INDEX(Inputs!$B$21:$D$21,1,MATCH(A783,Inputs!$B$6:$D$6,0)))-INDEX(Inputs!$B$20:$D$20,1,MATCH(A783,Inputs!$B$6:$D$6,0)),0)*INDEX(Inputs!$B$23:$D$23,1,MATCH(A783,Inputs!$B$6:$D$6,0))+MAX(S783-INDEX(Inputs!$B$21:$D$21,1,MATCH(A783,Inputs!$B$6:$D$6,0)),0)*INDEX(Inputs!$B$24:$D$24,1,MATCH(A783,Inputs!$B$6:$D$6,0))</x:f>
        <x:v>6287.9349999999995</x:v>
      </x:c>
      <x:c r="U783" s="20" t="n">
        <x:f>IF(AND(A782=A783,D782=D783),T782,0)</x:f>
        <x:v>3388.9674999999997</x:v>
      </x:c>
      <x:c r="V783" s="20" t="n">
        <x:f>T783-U783</x:f>
        <x:v>2898.9674999999997</x:v>
      </x:c>
      <x:c r="W783" s="20" t="n">
        <x:f>R783+V783</x:f>
        <x:v>40793.9675</x:v>
      </x:c>
      <x:c r="X783" s="14" t="str">
        <x:f>IF(ABS(W783-SUM(M783:Q783)-V783)&lt;0.01,"OK","Check")</x:f>
        <x:v>OK</x:v>
      </x:c>
    </x:row>
    <x:row r="784">
      <x:c r="A784" s="14" t="n">
        <x:v>2027</x:v>
      </x:c>
      <x:c r="B784" s="14" t="str">
        <x:v>Q3</x:v>
      </x:c>
      <x:c r="C784" s="14" t="n">
        <x:v>3</x:v>
      </x:c>
      <x:c r="D784" s="14" t="n">
        <x:v>92</x:v>
      </x:c>
      <x:c r="E784" s="14" t="str">
        <x:f>INDEX(Roster!$B$6:$B$108,MATCH(D784,Roster!$A$6:$A$108,0))</x:f>
        <x:v>Associate Principal</x:v>
      </x:c>
      <x:c r="F784" s="14" t="str">
        <x:f>INDEX(Roster!$F$6:$F$108,MATCH(D784,Roster!$A$6:$A$108,0))</x:f>
        <x:v>Yes</x:v>
      </x:c>
      <x:c r="G784" s="14" t="n">
        <x:f>INDEX(Inputs!$B$7:$D$7,1,MATCH(A784,Inputs!$B$6:$D$6,0))</x:f>
        <x:v>13</x:v>
      </x:c>
      <x:c r="H784" s="14" t="n">
        <x:f>MIN(=INDEX(Inputs!$B$7:$D$7,1,MATCH(A784,Inputs!$B$6:$D$6,0)),MAX(0,INDEX(Inputs!$B$14:$D$14,1,MATCH(A784,Inputs!$B$6:$D$6,0))-(C784-1)*=INDEX(Inputs!$B$7:$D$7,1,MATCH(A784,Inputs!$B$6:$D$6,0))))</x:f>
        <x:v>13</x:v>
      </x:c>
      <x:c r="I784" s="20" t="n">
        <x:f>INDEX(Inputs!$B$8:$D$8,1,MATCH(A784,Inputs!$B$6:$D$6,0))</x:f>
        <x:v>2395</x:v>
      </x:c>
      <x:c r="J784" s="20" t="n">
        <x:f>INDEX(Roster!$C$6:$C$108,MATCH(D784,Roster!$A$6:$A$108,0))*(1+INDEX(Inputs!$B$9:$D$9,1,MATCH(A784,Inputs!$B$6:$D$6,0)))</x:f>
        <x:v>400</x:v>
      </x:c>
      <x:c r="K784" s="20" t="n">
        <x:f>IF(=INDEX(Roster!$F$6:$F$108,MATCH(D784,Roster!$A$6:$A$108,0))="Yes",0,=INDEX(Inputs!$B$8:$D$8,1,MATCH(A784,Inputs!$B$6:$D$6,0))*IF(=INDEX(Roster!$B$6:$B$108,MATCH(D784,Roster!$A$6:$A$108,0))="Principal",INDEX(Inputs!$B$10:$D$10,1,MATCH(A784,Inputs!$B$6:$D$6,0)),IF(=INDEX(Roster!$B$6:$B$108,MATCH(D784,Roster!$A$6:$A$108,0))="Associate Principal",INDEX(Inputs!$B$11:$D$11,1,MATCH(A784,Inputs!$B$6:$D$6,0)),IF(=INDEX(Roster!$B$6:$B$108,MATCH(D784,Roster!$A$6:$A$108,0))="Assistant Principal",INDEX(Inputs!$B$12:$D$12,1,MATCH(A784,Inputs!$B$6:$D$6,0)),0))))</x:f>
        <x:v>0</x:v>
      </x:c>
      <x:c r="L784" s="20" t="n">
        <x:f>IF(INDEX(Roster!$D$6:$D$108,MATCH(D784,Roster!$A$6:$A$108,0))&gt;=25,INDEX(Inputs!$B$19:$D$19,1,MATCH(A784,Inputs!$B$6:$D$6,0)),IF(INDEX(Roster!$D$6:$D$108,MATCH(D784,Roster!$A$6:$A$108,0))&gt;=20,INDEX(Inputs!$B$18:$D$18,1,MATCH(A784,Inputs!$B$6:$D$6,0)),IF(INDEX(Roster!$D$6:$D$108,MATCH(D784,Roster!$A$6:$A$108,0))&gt;=15,INDEX(Inputs!$B$17:$D$17,1,MATCH(A784,Inputs!$B$6:$D$6,0)),IF(INDEX(Roster!$D$6:$D$108,MATCH(D784,Roster!$A$6:$A$108,0))&gt;=10,INDEX(Inputs!$B$16:$D$16,1,MATCH(A784,Inputs!$B$6:$D$6,0)),IF(INDEX(Roster!$D$6:$D$108,MATCH(D784,Roster!$A$6:$A$108,0))&gt;=5,INDEX(Inputs!$B$15:$D$15,1,MATCH(A784,Inputs!$B$6:$D$6,0)),0)))))</x:f>
        <x:v>90</x:v>
      </x:c>
      <x:c r="M784" s="20" t="n">
        <x:f>G784*I784</x:f>
        <x:v>31135</x:v>
      </x:c>
      <x:c r="N784" s="20" t="n">
        <x:f>G784*J784</x:f>
        <x:v>5200</x:v>
      </x:c>
      <x:c r="O784" s="20" t="n">
        <x:f>G784*K784</x:f>
        <x:v>0</x:v>
      </x:c>
      <x:c r="P784" s="20" t="n">
        <x:f>G784*L784</x:f>
        <x:v>1170</x:v>
      </x:c>
      <x:c r="Q784" s="20" t="n">
        <x:f>H784*INDEX(Inputs!$B$13:$D$13,1,MATCH(A784,Inputs!$B$6:$D$6,0))</x:f>
        <x:v>390</x:v>
      </x:c>
      <x:c r="R784" s="20" t="n">
        <x:f>SUM(M784:Q784)</x:f>
        <x:v>37895</x:v>
      </x:c>
      <x:c r="S784" s="20" t="n">
        <x:f>IF(AND(A783=A784,D783=D784),S783+R784,R784)</x:f>
        <x:v>113685</x:v>
      </x:c>
      <x:c r="T784" s="20" t="n">
        <x:f>MIN(S784,INDEX(Inputs!$B$20:$D$20,1,MATCH(A784,Inputs!$B$6:$D$6,0)))*INDEX(Inputs!$B$22:$D$22,1,MATCH(A784,Inputs!$B$6:$D$6,0))+MAX(MIN(S784,INDEX(Inputs!$B$21:$D$21,1,MATCH(A784,Inputs!$B$6:$D$6,0)))-INDEX(Inputs!$B$20:$D$20,1,MATCH(A784,Inputs!$B$6:$D$6,0)),0)*INDEX(Inputs!$B$23:$D$23,1,MATCH(A784,Inputs!$B$6:$D$6,0))+MAX(S784-INDEX(Inputs!$B$21:$D$21,1,MATCH(A784,Inputs!$B$6:$D$6,0)),0)*INDEX(Inputs!$B$24:$D$24,1,MATCH(A784,Inputs!$B$6:$D$6,0))</x:f>
        <x:v>9186.9025</x:v>
      </x:c>
      <x:c r="U784" s="20" t="n">
        <x:f>IF(AND(A783=A784,D783=D784),T783,0)</x:f>
        <x:v>6287.9349999999995</x:v>
      </x:c>
      <x:c r="V784" s="20" t="n">
        <x:f>T784-U784</x:f>
        <x:v>2898.9675000000007</x:v>
      </x:c>
      <x:c r="W784" s="20" t="n">
        <x:f>R784+V784</x:f>
        <x:v>40793.9675</x:v>
      </x:c>
      <x:c r="X784" s="14" t="str">
        <x:f>IF(ABS(W784-SUM(M784:Q784)-V784)&lt;0.01,"OK","Check")</x:f>
        <x:v>OK</x:v>
      </x:c>
    </x:row>
    <x:row r="785">
      <x:c r="A785" s="14" t="n">
        <x:v>2027</x:v>
      </x:c>
      <x:c r="B785" s="14" t="str">
        <x:v>Q4</x:v>
      </x:c>
      <x:c r="C785" s="14" t="n">
        <x:v>4</x:v>
      </x:c>
      <x:c r="D785" s="14" t="n">
        <x:v>92</x:v>
      </x:c>
      <x:c r="E785" s="14" t="str">
        <x:f>INDEX(Roster!$B$6:$B$108,MATCH(D785,Roster!$A$6:$A$108,0))</x:f>
        <x:v>Associate Principal</x:v>
      </x:c>
      <x:c r="F785" s="14" t="str">
        <x:f>INDEX(Roster!$F$6:$F$108,MATCH(D785,Roster!$A$6:$A$108,0))</x:f>
        <x:v>Yes</x:v>
      </x:c>
      <x:c r="G785" s="14" t="n">
        <x:f>INDEX(Inputs!$B$7:$D$7,1,MATCH(A785,Inputs!$B$6:$D$6,0))</x:f>
        <x:v>13</x:v>
      </x:c>
      <x:c r="H785" s="14" t="n">
        <x:f>MIN(=INDEX(Inputs!$B$7:$D$7,1,MATCH(A785,Inputs!$B$6:$D$6,0)),MAX(0,INDEX(Inputs!$B$14:$D$14,1,MATCH(A785,Inputs!$B$6:$D$6,0))-(C785-1)*=INDEX(Inputs!$B$7:$D$7,1,MATCH(A785,Inputs!$B$6:$D$6,0))))</x:f>
        <x:v>0</x:v>
      </x:c>
      <x:c r="I785" s="20" t="n">
        <x:f>INDEX(Inputs!$B$8:$D$8,1,MATCH(A785,Inputs!$B$6:$D$6,0))</x:f>
        <x:v>2395</x:v>
      </x:c>
      <x:c r="J785" s="20" t="n">
        <x:f>INDEX(Roster!$C$6:$C$108,MATCH(D785,Roster!$A$6:$A$108,0))*(1+INDEX(Inputs!$B$9:$D$9,1,MATCH(A785,Inputs!$B$6:$D$6,0)))</x:f>
        <x:v>400</x:v>
      </x:c>
      <x:c r="K785" s="20" t="n">
        <x:f>IF(=INDEX(Roster!$F$6:$F$108,MATCH(D785,Roster!$A$6:$A$108,0))="Yes",0,=INDEX(Inputs!$B$8:$D$8,1,MATCH(A785,Inputs!$B$6:$D$6,0))*IF(=INDEX(Roster!$B$6:$B$108,MATCH(D785,Roster!$A$6:$A$108,0))="Principal",INDEX(Inputs!$B$10:$D$10,1,MATCH(A785,Inputs!$B$6:$D$6,0)),IF(=INDEX(Roster!$B$6:$B$108,MATCH(D785,Roster!$A$6:$A$108,0))="Associate Principal",INDEX(Inputs!$B$11:$D$11,1,MATCH(A785,Inputs!$B$6:$D$6,0)),IF(=INDEX(Roster!$B$6:$B$108,MATCH(D785,Roster!$A$6:$A$108,0))="Assistant Principal",INDEX(Inputs!$B$12:$D$12,1,MATCH(A785,Inputs!$B$6:$D$6,0)),0))))</x:f>
        <x:v>0</x:v>
      </x:c>
      <x:c r="L785" s="20" t="n">
        <x:f>IF(INDEX(Roster!$D$6:$D$108,MATCH(D785,Roster!$A$6:$A$108,0))&gt;=25,INDEX(Inputs!$B$19:$D$19,1,MATCH(A785,Inputs!$B$6:$D$6,0)),IF(INDEX(Roster!$D$6:$D$108,MATCH(D785,Roster!$A$6:$A$108,0))&gt;=20,INDEX(Inputs!$B$18:$D$18,1,MATCH(A785,Inputs!$B$6:$D$6,0)),IF(INDEX(Roster!$D$6:$D$108,MATCH(D785,Roster!$A$6:$A$108,0))&gt;=15,INDEX(Inputs!$B$17:$D$17,1,MATCH(A785,Inputs!$B$6:$D$6,0)),IF(INDEX(Roster!$D$6:$D$108,MATCH(D785,Roster!$A$6:$A$108,0))&gt;=10,INDEX(Inputs!$B$16:$D$16,1,MATCH(A785,Inputs!$B$6:$D$6,0)),IF(INDEX(Roster!$D$6:$D$108,MATCH(D785,Roster!$A$6:$A$108,0))&gt;=5,INDEX(Inputs!$B$15:$D$15,1,MATCH(A785,Inputs!$B$6:$D$6,0)),0)))))</x:f>
        <x:v>90</x:v>
      </x:c>
      <x:c r="M785" s="20" t="n">
        <x:f>G785*I785</x:f>
        <x:v>31135</x:v>
      </x:c>
      <x:c r="N785" s="20" t="n">
        <x:f>G785*J785</x:f>
        <x:v>5200</x:v>
      </x:c>
      <x:c r="O785" s="20" t="n">
        <x:f>G785*K785</x:f>
        <x:v>0</x:v>
      </x:c>
      <x:c r="P785" s="20" t="n">
        <x:f>G785*L785</x:f>
        <x:v>1170</x:v>
      </x:c>
      <x:c r="Q785" s="20" t="n">
        <x:f>H785*INDEX(Inputs!$B$13:$D$13,1,MATCH(A785,Inputs!$B$6:$D$6,0))</x:f>
        <x:v>0</x:v>
      </x:c>
      <x:c r="R785" s="20" t="n">
        <x:f>SUM(M785:Q785)</x:f>
        <x:v>37505</x:v>
      </x:c>
      <x:c r="S785" s="20" t="n">
        <x:f>IF(AND(A784=A785,D784=D785),S784+R785,R785)</x:f>
        <x:v>151190</x:v>
      </x:c>
      <x:c r="T785" s="20" t="n">
        <x:f>MIN(S785,INDEX(Inputs!$B$20:$D$20,1,MATCH(A785,Inputs!$B$6:$D$6,0)))*INDEX(Inputs!$B$22:$D$22,1,MATCH(A785,Inputs!$B$6:$D$6,0))+MAX(MIN(S785,INDEX(Inputs!$B$21:$D$21,1,MATCH(A785,Inputs!$B$6:$D$6,0)))-INDEX(Inputs!$B$20:$D$20,1,MATCH(A785,Inputs!$B$6:$D$6,0)),0)*INDEX(Inputs!$B$23:$D$23,1,MATCH(A785,Inputs!$B$6:$D$6,0))+MAX(S785-INDEX(Inputs!$B$21:$D$21,1,MATCH(A785,Inputs!$B$6:$D$6,0)),0)*INDEX(Inputs!$B$24:$D$24,1,MATCH(A785,Inputs!$B$6:$D$6,0))</x:f>
        <x:v>10106.197</x:v>
      </x:c>
      <x:c r="U785" s="20" t="n">
        <x:f>IF(AND(A784=A785,D784=D785),T784,0)</x:f>
        <x:v>9186.9025</x:v>
      </x:c>
      <x:c r="V785" s="20" t="n">
        <x:f>T785-U785</x:f>
        <x:v>919.2945</x:v>
      </x:c>
      <x:c r="W785" s="20" t="n">
        <x:f>R785+V785</x:f>
        <x:v>38424.2945</x:v>
      </x:c>
      <x:c r="X785" s="14" t="str">
        <x:f>IF(ABS(W785-SUM(M785:Q785)-V785)&lt;0.01,"OK","Check")</x:f>
        <x:v>OK</x:v>
      </x:c>
    </x:row>
    <x:row r="786">
      <x:c r="A786" s="14" t="n">
        <x:v>2027</x:v>
      </x:c>
      <x:c r="B786" s="14" t="str">
        <x:v>Q1</x:v>
      </x:c>
      <x:c r="C786" s="14" t="n">
        <x:v>1</x:v>
      </x:c>
      <x:c r="D786" s="14" t="n">
        <x:v>93</x:v>
      </x:c>
      <x:c r="E786" s="14" t="str">
        <x:f>INDEX(Roster!$B$6:$B$108,MATCH(D786,Roster!$A$6:$A$108,0))</x:f>
        <x:v>Principal</x:v>
      </x:c>
      <x:c r="F786" s="14" t="str">
        <x:f>INDEX(Roster!$F$6:$F$108,MATCH(D786,Roster!$A$6:$A$108,0))</x:f>
        <x:v>Yes</x:v>
      </x:c>
      <x:c r="G786" s="14" t="n">
        <x:f>INDEX(Inputs!$B$7:$D$7,1,MATCH(A786,Inputs!$B$6:$D$6,0))</x:f>
        <x:v>13</x:v>
      </x:c>
      <x:c r="H786" s="14" t="n">
        <x:f>MIN(=INDEX(Inputs!$B$7:$D$7,1,MATCH(A786,Inputs!$B$6:$D$6,0)),MAX(0,INDEX(Inputs!$B$14:$D$14,1,MATCH(A786,Inputs!$B$6:$D$6,0))-(C786-1)*=INDEX(Inputs!$B$7:$D$7,1,MATCH(A786,Inputs!$B$6:$D$6,0))))</x:f>
        <x:v>13</x:v>
      </x:c>
      <x:c r="I786" s="20" t="n">
        <x:f>INDEX(Inputs!$B$8:$D$8,1,MATCH(A786,Inputs!$B$6:$D$6,0))</x:f>
        <x:v>2395</x:v>
      </x:c>
      <x:c r="J786" s="20" t="n">
        <x:f>INDEX(Roster!$C$6:$C$108,MATCH(D786,Roster!$A$6:$A$108,0))*(1+INDEX(Inputs!$B$9:$D$9,1,MATCH(A786,Inputs!$B$6:$D$6,0)))</x:f>
        <x:v>1400</x:v>
      </x:c>
      <x:c r="K786" s="20" t="n">
        <x:f>IF(=INDEX(Roster!$F$6:$F$108,MATCH(D786,Roster!$A$6:$A$108,0))="Yes",0,=INDEX(Inputs!$B$8:$D$8,1,MATCH(A786,Inputs!$B$6:$D$6,0))*IF(=INDEX(Roster!$B$6:$B$108,MATCH(D786,Roster!$A$6:$A$108,0))="Principal",INDEX(Inputs!$B$10:$D$10,1,MATCH(A786,Inputs!$B$6:$D$6,0)),IF(=INDEX(Roster!$B$6:$B$108,MATCH(D786,Roster!$A$6:$A$108,0))="Associate Principal",INDEX(Inputs!$B$11:$D$11,1,MATCH(A786,Inputs!$B$6:$D$6,0)),IF(=INDEX(Roster!$B$6:$B$108,MATCH(D786,Roster!$A$6:$A$108,0))="Assistant Principal",INDEX(Inputs!$B$12:$D$12,1,MATCH(A786,Inputs!$B$6:$D$6,0)),0))))</x:f>
        <x:v>0</x:v>
      </x:c>
      <x:c r="L786" s="20" t="n">
        <x:f>IF(INDEX(Roster!$D$6:$D$108,MATCH(D786,Roster!$A$6:$A$108,0))&gt;=25,INDEX(Inputs!$B$19:$D$19,1,MATCH(A786,Inputs!$B$6:$D$6,0)),IF(INDEX(Roster!$D$6:$D$108,MATCH(D786,Roster!$A$6:$A$108,0))&gt;=20,INDEX(Inputs!$B$18:$D$18,1,MATCH(A786,Inputs!$B$6:$D$6,0)),IF(INDEX(Roster!$D$6:$D$108,MATCH(D786,Roster!$A$6:$A$108,0))&gt;=15,INDEX(Inputs!$B$17:$D$17,1,MATCH(A786,Inputs!$B$6:$D$6,0)),IF(INDEX(Roster!$D$6:$D$108,MATCH(D786,Roster!$A$6:$A$108,0))&gt;=10,INDEX(Inputs!$B$16:$D$16,1,MATCH(A786,Inputs!$B$6:$D$6,0)),IF(INDEX(Roster!$D$6:$D$108,MATCH(D786,Roster!$A$6:$A$108,0))&gt;=5,INDEX(Inputs!$B$15:$D$15,1,MATCH(A786,Inputs!$B$6:$D$6,0)),0)))))</x:f>
        <x:v>90</x:v>
      </x:c>
      <x:c r="M786" s="20" t="n">
        <x:f>G786*I786</x:f>
        <x:v>31135</x:v>
      </x:c>
      <x:c r="N786" s="20" t="n">
        <x:f>G786*J786</x:f>
        <x:v>18200</x:v>
      </x:c>
      <x:c r="O786" s="20" t="n">
        <x:f>G786*K786</x:f>
        <x:v>0</x:v>
      </x:c>
      <x:c r="P786" s="20" t="n">
        <x:f>G786*L786</x:f>
        <x:v>1170</x:v>
      </x:c>
      <x:c r="Q786" s="20" t="n">
        <x:f>H786*INDEX(Inputs!$B$13:$D$13,1,MATCH(A786,Inputs!$B$6:$D$6,0))</x:f>
        <x:v>390</x:v>
      </x:c>
      <x:c r="R786" s="20" t="n">
        <x:f>SUM(M786:Q786)</x:f>
        <x:v>50895</x:v>
      </x:c>
      <x:c r="S786" s="20" t="n">
        <x:f>IF(AND(A785=A786,D785=D786),S785+R786,R786)</x:f>
        <x:v>50895</x:v>
      </x:c>
      <x:c r="T786" s="20" t="n">
        <x:f>MIN(S786,INDEX(Inputs!$B$20:$D$20,1,MATCH(A786,Inputs!$B$6:$D$6,0)))*INDEX(Inputs!$B$22:$D$22,1,MATCH(A786,Inputs!$B$6:$D$6,0))+MAX(MIN(S786,INDEX(Inputs!$B$21:$D$21,1,MATCH(A786,Inputs!$B$6:$D$6,0)))-INDEX(Inputs!$B$20:$D$20,1,MATCH(A786,Inputs!$B$6:$D$6,0)),0)*INDEX(Inputs!$B$23:$D$23,1,MATCH(A786,Inputs!$B$6:$D$6,0))+MAX(S786-INDEX(Inputs!$B$21:$D$21,1,MATCH(A786,Inputs!$B$6:$D$6,0)),0)*INDEX(Inputs!$B$24:$D$24,1,MATCH(A786,Inputs!$B$6:$D$6,0))</x:f>
        <x:v>4383.4675</x:v>
      </x:c>
      <x:c r="U786" s="20" t="n">
        <x:f>IF(AND(A785=A786,D785=D786),T785,0)</x:f>
        <x:v>0</x:v>
      </x:c>
      <x:c r="V786" s="20" t="n">
        <x:f>T786-U786</x:f>
        <x:v>4383.4675</x:v>
      </x:c>
      <x:c r="W786" s="20" t="n">
        <x:f>R786+V786</x:f>
        <x:v>55278.4675</x:v>
      </x:c>
      <x:c r="X786" s="14" t="str">
        <x:f>IF(ABS(W786-SUM(M786:Q786)-V786)&lt;0.01,"OK","Check")</x:f>
        <x:v>OK</x:v>
      </x:c>
    </x:row>
    <x:row r="787">
      <x:c r="A787" s="14" t="n">
        <x:v>2027</x:v>
      </x:c>
      <x:c r="B787" s="14" t="str">
        <x:v>Q2</x:v>
      </x:c>
      <x:c r="C787" s="14" t="n">
        <x:v>2</x:v>
      </x:c>
      <x:c r="D787" s="14" t="n">
        <x:v>93</x:v>
      </x:c>
      <x:c r="E787" s="14" t="str">
        <x:f>INDEX(Roster!$B$6:$B$108,MATCH(D787,Roster!$A$6:$A$108,0))</x:f>
        <x:v>Principal</x:v>
      </x:c>
      <x:c r="F787" s="14" t="str">
        <x:f>INDEX(Roster!$F$6:$F$108,MATCH(D787,Roster!$A$6:$A$108,0))</x:f>
        <x:v>Yes</x:v>
      </x:c>
      <x:c r="G787" s="14" t="n">
        <x:f>INDEX(Inputs!$B$7:$D$7,1,MATCH(A787,Inputs!$B$6:$D$6,0))</x:f>
        <x:v>13</x:v>
      </x:c>
      <x:c r="H787" s="14" t="n">
        <x:f>MIN(=INDEX(Inputs!$B$7:$D$7,1,MATCH(A787,Inputs!$B$6:$D$6,0)),MAX(0,INDEX(Inputs!$B$14:$D$14,1,MATCH(A787,Inputs!$B$6:$D$6,0))-(C787-1)*=INDEX(Inputs!$B$7:$D$7,1,MATCH(A787,Inputs!$B$6:$D$6,0))))</x:f>
        <x:v>13</x:v>
      </x:c>
      <x:c r="I787" s="20" t="n">
        <x:f>INDEX(Inputs!$B$8:$D$8,1,MATCH(A787,Inputs!$B$6:$D$6,0))</x:f>
        <x:v>2395</x:v>
      </x:c>
      <x:c r="J787" s="20" t="n">
        <x:f>INDEX(Roster!$C$6:$C$108,MATCH(D787,Roster!$A$6:$A$108,0))*(1+INDEX(Inputs!$B$9:$D$9,1,MATCH(A787,Inputs!$B$6:$D$6,0)))</x:f>
        <x:v>1400</x:v>
      </x:c>
      <x:c r="K787" s="20" t="n">
        <x:f>IF(=INDEX(Roster!$F$6:$F$108,MATCH(D787,Roster!$A$6:$A$108,0))="Yes",0,=INDEX(Inputs!$B$8:$D$8,1,MATCH(A787,Inputs!$B$6:$D$6,0))*IF(=INDEX(Roster!$B$6:$B$108,MATCH(D787,Roster!$A$6:$A$108,0))="Principal",INDEX(Inputs!$B$10:$D$10,1,MATCH(A787,Inputs!$B$6:$D$6,0)),IF(=INDEX(Roster!$B$6:$B$108,MATCH(D787,Roster!$A$6:$A$108,0))="Associate Principal",INDEX(Inputs!$B$11:$D$11,1,MATCH(A787,Inputs!$B$6:$D$6,0)),IF(=INDEX(Roster!$B$6:$B$108,MATCH(D787,Roster!$A$6:$A$108,0))="Assistant Principal",INDEX(Inputs!$B$12:$D$12,1,MATCH(A787,Inputs!$B$6:$D$6,0)),0))))</x:f>
        <x:v>0</x:v>
      </x:c>
      <x:c r="L787" s="20" t="n">
        <x:f>IF(INDEX(Roster!$D$6:$D$108,MATCH(D787,Roster!$A$6:$A$108,0))&gt;=25,INDEX(Inputs!$B$19:$D$19,1,MATCH(A787,Inputs!$B$6:$D$6,0)),IF(INDEX(Roster!$D$6:$D$108,MATCH(D787,Roster!$A$6:$A$108,0))&gt;=20,INDEX(Inputs!$B$18:$D$18,1,MATCH(A787,Inputs!$B$6:$D$6,0)),IF(INDEX(Roster!$D$6:$D$108,MATCH(D787,Roster!$A$6:$A$108,0))&gt;=15,INDEX(Inputs!$B$17:$D$17,1,MATCH(A787,Inputs!$B$6:$D$6,0)),IF(INDEX(Roster!$D$6:$D$108,MATCH(D787,Roster!$A$6:$A$108,0))&gt;=10,INDEX(Inputs!$B$16:$D$16,1,MATCH(A787,Inputs!$B$6:$D$6,0)),IF(INDEX(Roster!$D$6:$D$108,MATCH(D787,Roster!$A$6:$A$108,0))&gt;=5,INDEX(Inputs!$B$15:$D$15,1,MATCH(A787,Inputs!$B$6:$D$6,0)),0)))))</x:f>
        <x:v>90</x:v>
      </x:c>
      <x:c r="M787" s="20" t="n">
        <x:f>G787*I787</x:f>
        <x:v>31135</x:v>
      </x:c>
      <x:c r="N787" s="20" t="n">
        <x:f>G787*J787</x:f>
        <x:v>18200</x:v>
      </x:c>
      <x:c r="O787" s="20" t="n">
        <x:f>G787*K787</x:f>
        <x:v>0</x:v>
      </x:c>
      <x:c r="P787" s="20" t="n">
        <x:f>G787*L787</x:f>
        <x:v>1170</x:v>
      </x:c>
      <x:c r="Q787" s="20" t="n">
        <x:f>H787*INDEX(Inputs!$B$13:$D$13,1,MATCH(A787,Inputs!$B$6:$D$6,0))</x:f>
        <x:v>390</x:v>
      </x:c>
      <x:c r="R787" s="20" t="n">
        <x:f>SUM(M787:Q787)</x:f>
        <x:v>50895</x:v>
      </x:c>
      <x:c r="S787" s="20" t="n">
        <x:f>IF(AND(A786=A787,D786=D787),S786+R787,R787)</x:f>
        <x:v>101790</x:v>
      </x:c>
      <x:c r="T787" s="20" t="n">
        <x:f>MIN(S787,INDEX(Inputs!$B$20:$D$20,1,MATCH(A787,Inputs!$B$6:$D$6,0)))*INDEX(Inputs!$B$22:$D$22,1,MATCH(A787,Inputs!$B$6:$D$6,0))+MAX(MIN(S787,INDEX(Inputs!$B$21:$D$21,1,MATCH(A787,Inputs!$B$6:$D$6,0)))-INDEX(Inputs!$B$20:$D$20,1,MATCH(A787,Inputs!$B$6:$D$6,0)),0)*INDEX(Inputs!$B$23:$D$23,1,MATCH(A787,Inputs!$B$6:$D$6,0))+MAX(S787-INDEX(Inputs!$B$21:$D$21,1,MATCH(A787,Inputs!$B$6:$D$6,0)),0)*INDEX(Inputs!$B$24:$D$24,1,MATCH(A787,Inputs!$B$6:$D$6,0))</x:f>
        <x:v>8276.935</x:v>
      </x:c>
      <x:c r="U787" s="20" t="n">
        <x:f>IF(AND(A786=A787,D786=D787),T786,0)</x:f>
        <x:v>4383.4675</x:v>
      </x:c>
      <x:c r="V787" s="20" t="n">
        <x:f>T787-U787</x:f>
        <x:v>3893.4674999999997</x:v>
      </x:c>
      <x:c r="W787" s="20" t="n">
        <x:f>R787+V787</x:f>
        <x:v>54788.4675</x:v>
      </x:c>
      <x:c r="X787" s="14" t="str">
        <x:f>IF(ABS(W787-SUM(M787:Q787)-V787)&lt;0.01,"OK","Check")</x:f>
        <x:v>OK</x:v>
      </x:c>
    </x:row>
    <x:row r="788">
      <x:c r="A788" s="14" t="n">
        <x:v>2027</x:v>
      </x:c>
      <x:c r="B788" s="14" t="str">
        <x:v>Q3</x:v>
      </x:c>
      <x:c r="C788" s="14" t="n">
        <x:v>3</x:v>
      </x:c>
      <x:c r="D788" s="14" t="n">
        <x:v>93</x:v>
      </x:c>
      <x:c r="E788" s="14" t="str">
        <x:f>INDEX(Roster!$B$6:$B$108,MATCH(D788,Roster!$A$6:$A$108,0))</x:f>
        <x:v>Principal</x:v>
      </x:c>
      <x:c r="F788" s="14" t="str">
        <x:f>INDEX(Roster!$F$6:$F$108,MATCH(D788,Roster!$A$6:$A$108,0))</x:f>
        <x:v>Yes</x:v>
      </x:c>
      <x:c r="G788" s="14" t="n">
        <x:f>INDEX(Inputs!$B$7:$D$7,1,MATCH(A788,Inputs!$B$6:$D$6,0))</x:f>
        <x:v>13</x:v>
      </x:c>
      <x:c r="H788" s="14" t="n">
        <x:f>MIN(=INDEX(Inputs!$B$7:$D$7,1,MATCH(A788,Inputs!$B$6:$D$6,0)),MAX(0,INDEX(Inputs!$B$14:$D$14,1,MATCH(A788,Inputs!$B$6:$D$6,0))-(C788-1)*=INDEX(Inputs!$B$7:$D$7,1,MATCH(A788,Inputs!$B$6:$D$6,0))))</x:f>
        <x:v>13</x:v>
      </x:c>
      <x:c r="I788" s="20" t="n">
        <x:f>INDEX(Inputs!$B$8:$D$8,1,MATCH(A788,Inputs!$B$6:$D$6,0))</x:f>
        <x:v>2395</x:v>
      </x:c>
      <x:c r="J788" s="20" t="n">
        <x:f>INDEX(Roster!$C$6:$C$108,MATCH(D788,Roster!$A$6:$A$108,0))*(1+INDEX(Inputs!$B$9:$D$9,1,MATCH(A788,Inputs!$B$6:$D$6,0)))</x:f>
        <x:v>1400</x:v>
      </x:c>
      <x:c r="K788" s="20" t="n">
        <x:f>IF(=INDEX(Roster!$F$6:$F$108,MATCH(D788,Roster!$A$6:$A$108,0))="Yes",0,=INDEX(Inputs!$B$8:$D$8,1,MATCH(A788,Inputs!$B$6:$D$6,0))*IF(=INDEX(Roster!$B$6:$B$108,MATCH(D788,Roster!$A$6:$A$108,0))="Principal",INDEX(Inputs!$B$10:$D$10,1,MATCH(A788,Inputs!$B$6:$D$6,0)),IF(=INDEX(Roster!$B$6:$B$108,MATCH(D788,Roster!$A$6:$A$108,0))="Associate Principal",INDEX(Inputs!$B$11:$D$11,1,MATCH(A788,Inputs!$B$6:$D$6,0)),IF(=INDEX(Roster!$B$6:$B$108,MATCH(D788,Roster!$A$6:$A$108,0))="Assistant Principal",INDEX(Inputs!$B$12:$D$12,1,MATCH(A788,Inputs!$B$6:$D$6,0)),0))))</x:f>
        <x:v>0</x:v>
      </x:c>
      <x:c r="L788" s="20" t="n">
        <x:f>IF(INDEX(Roster!$D$6:$D$108,MATCH(D788,Roster!$A$6:$A$108,0))&gt;=25,INDEX(Inputs!$B$19:$D$19,1,MATCH(A788,Inputs!$B$6:$D$6,0)),IF(INDEX(Roster!$D$6:$D$108,MATCH(D788,Roster!$A$6:$A$108,0))&gt;=20,INDEX(Inputs!$B$18:$D$18,1,MATCH(A788,Inputs!$B$6:$D$6,0)),IF(INDEX(Roster!$D$6:$D$108,MATCH(D788,Roster!$A$6:$A$108,0))&gt;=15,INDEX(Inputs!$B$17:$D$17,1,MATCH(A788,Inputs!$B$6:$D$6,0)),IF(INDEX(Roster!$D$6:$D$108,MATCH(D788,Roster!$A$6:$A$108,0))&gt;=10,INDEX(Inputs!$B$16:$D$16,1,MATCH(A788,Inputs!$B$6:$D$6,0)),IF(INDEX(Roster!$D$6:$D$108,MATCH(D788,Roster!$A$6:$A$108,0))&gt;=5,INDEX(Inputs!$B$15:$D$15,1,MATCH(A788,Inputs!$B$6:$D$6,0)),0)))))</x:f>
        <x:v>90</x:v>
      </x:c>
      <x:c r="M788" s="20" t="n">
        <x:f>G788*I788</x:f>
        <x:v>31135</x:v>
      </x:c>
      <x:c r="N788" s="20" t="n">
        <x:f>G788*J788</x:f>
        <x:v>18200</x:v>
      </x:c>
      <x:c r="O788" s="20" t="n">
        <x:f>G788*K788</x:f>
        <x:v>0</x:v>
      </x:c>
      <x:c r="P788" s="20" t="n">
        <x:f>G788*L788</x:f>
        <x:v>1170</x:v>
      </x:c>
      <x:c r="Q788" s="20" t="n">
        <x:f>H788*INDEX(Inputs!$B$13:$D$13,1,MATCH(A788,Inputs!$B$6:$D$6,0))</x:f>
        <x:v>390</x:v>
      </x:c>
      <x:c r="R788" s="20" t="n">
        <x:f>SUM(M788:Q788)</x:f>
        <x:v>50895</x:v>
      </x:c>
      <x:c r="S788" s="20" t="n">
        <x:f>IF(AND(A787=A788,D787=D788),S787+R788,R788)</x:f>
        <x:v>152685</x:v>
      </x:c>
      <x:c r="T788" s="20" t="n">
        <x:f>MIN(S788,INDEX(Inputs!$B$20:$D$20,1,MATCH(A788,Inputs!$B$6:$D$6,0)))*INDEX(Inputs!$B$22:$D$22,1,MATCH(A788,Inputs!$B$6:$D$6,0))+MAX(MIN(S788,INDEX(Inputs!$B$21:$D$21,1,MATCH(A788,Inputs!$B$6:$D$6,0)))-INDEX(Inputs!$B$20:$D$20,1,MATCH(A788,Inputs!$B$6:$D$6,0)),0)*INDEX(Inputs!$B$23:$D$23,1,MATCH(A788,Inputs!$B$6:$D$6,0))+MAX(S788-INDEX(Inputs!$B$21:$D$21,1,MATCH(A788,Inputs!$B$6:$D$6,0)),0)*INDEX(Inputs!$B$24:$D$24,1,MATCH(A788,Inputs!$B$6:$D$6,0))</x:f>
        <x:v>10127.8745</x:v>
      </x:c>
      <x:c r="U788" s="20" t="n">
        <x:f>IF(AND(A787=A788,D787=D788),T787,0)</x:f>
        <x:v>8276.935</x:v>
      </x:c>
      <x:c r="V788" s="20" t="n">
        <x:f>T788-U788</x:f>
        <x:v>1850.9395000000004</x:v>
      </x:c>
      <x:c r="W788" s="20" t="n">
        <x:f>R788+V788</x:f>
        <x:v>52745.9395</x:v>
      </x:c>
      <x:c r="X788" s="14" t="str">
        <x:f>IF(ABS(W788-SUM(M788:Q788)-V788)&lt;0.01,"OK","Check")</x:f>
        <x:v>OK</x:v>
      </x:c>
    </x:row>
    <x:row r="789">
      <x:c r="A789" s="14" t="n">
        <x:v>2027</x:v>
      </x:c>
      <x:c r="B789" s="14" t="str">
        <x:v>Q4</x:v>
      </x:c>
      <x:c r="C789" s="14" t="n">
        <x:v>4</x:v>
      </x:c>
      <x:c r="D789" s="14" t="n">
        <x:v>93</x:v>
      </x:c>
      <x:c r="E789" s="14" t="str">
        <x:f>INDEX(Roster!$B$6:$B$108,MATCH(D789,Roster!$A$6:$A$108,0))</x:f>
        <x:v>Principal</x:v>
      </x:c>
      <x:c r="F789" s="14" t="str">
        <x:f>INDEX(Roster!$F$6:$F$108,MATCH(D789,Roster!$A$6:$A$108,0))</x:f>
        <x:v>Yes</x:v>
      </x:c>
      <x:c r="G789" s="14" t="n">
        <x:f>INDEX(Inputs!$B$7:$D$7,1,MATCH(A789,Inputs!$B$6:$D$6,0))</x:f>
        <x:v>13</x:v>
      </x:c>
      <x:c r="H789" s="14" t="n">
        <x:f>MIN(=INDEX(Inputs!$B$7:$D$7,1,MATCH(A789,Inputs!$B$6:$D$6,0)),MAX(0,INDEX(Inputs!$B$14:$D$14,1,MATCH(A789,Inputs!$B$6:$D$6,0))-(C789-1)*=INDEX(Inputs!$B$7:$D$7,1,MATCH(A789,Inputs!$B$6:$D$6,0))))</x:f>
        <x:v>0</x:v>
      </x:c>
      <x:c r="I789" s="20" t="n">
        <x:f>INDEX(Inputs!$B$8:$D$8,1,MATCH(A789,Inputs!$B$6:$D$6,0))</x:f>
        <x:v>2395</x:v>
      </x:c>
      <x:c r="J789" s="20" t="n">
        <x:f>INDEX(Roster!$C$6:$C$108,MATCH(D789,Roster!$A$6:$A$108,0))*(1+INDEX(Inputs!$B$9:$D$9,1,MATCH(A789,Inputs!$B$6:$D$6,0)))</x:f>
        <x:v>1400</x:v>
      </x:c>
      <x:c r="K789" s="20" t="n">
        <x:f>IF(=INDEX(Roster!$F$6:$F$108,MATCH(D789,Roster!$A$6:$A$108,0))="Yes",0,=INDEX(Inputs!$B$8:$D$8,1,MATCH(A789,Inputs!$B$6:$D$6,0))*IF(=INDEX(Roster!$B$6:$B$108,MATCH(D789,Roster!$A$6:$A$108,0))="Principal",INDEX(Inputs!$B$10:$D$10,1,MATCH(A789,Inputs!$B$6:$D$6,0)),IF(=INDEX(Roster!$B$6:$B$108,MATCH(D789,Roster!$A$6:$A$108,0))="Associate Principal",INDEX(Inputs!$B$11:$D$11,1,MATCH(A789,Inputs!$B$6:$D$6,0)),IF(=INDEX(Roster!$B$6:$B$108,MATCH(D789,Roster!$A$6:$A$108,0))="Assistant Principal",INDEX(Inputs!$B$12:$D$12,1,MATCH(A789,Inputs!$B$6:$D$6,0)),0))))</x:f>
        <x:v>0</x:v>
      </x:c>
      <x:c r="L789" s="20" t="n">
        <x:f>IF(INDEX(Roster!$D$6:$D$108,MATCH(D789,Roster!$A$6:$A$108,0))&gt;=25,INDEX(Inputs!$B$19:$D$19,1,MATCH(A789,Inputs!$B$6:$D$6,0)),IF(INDEX(Roster!$D$6:$D$108,MATCH(D789,Roster!$A$6:$A$108,0))&gt;=20,INDEX(Inputs!$B$18:$D$18,1,MATCH(A789,Inputs!$B$6:$D$6,0)),IF(INDEX(Roster!$D$6:$D$108,MATCH(D789,Roster!$A$6:$A$108,0))&gt;=15,INDEX(Inputs!$B$17:$D$17,1,MATCH(A789,Inputs!$B$6:$D$6,0)),IF(INDEX(Roster!$D$6:$D$108,MATCH(D789,Roster!$A$6:$A$108,0))&gt;=10,INDEX(Inputs!$B$16:$D$16,1,MATCH(A789,Inputs!$B$6:$D$6,0)),IF(INDEX(Roster!$D$6:$D$108,MATCH(D789,Roster!$A$6:$A$108,0))&gt;=5,INDEX(Inputs!$B$15:$D$15,1,MATCH(A789,Inputs!$B$6:$D$6,0)),0)))))</x:f>
        <x:v>90</x:v>
      </x:c>
      <x:c r="M789" s="20" t="n">
        <x:f>G789*I789</x:f>
        <x:v>31135</x:v>
      </x:c>
      <x:c r="N789" s="20" t="n">
        <x:f>G789*J789</x:f>
        <x:v>18200</x:v>
      </x:c>
      <x:c r="O789" s="20" t="n">
        <x:f>G789*K789</x:f>
        <x:v>0</x:v>
      </x:c>
      <x:c r="P789" s="20" t="n">
        <x:f>G789*L789</x:f>
        <x:v>1170</x:v>
      </x:c>
      <x:c r="Q789" s="20" t="n">
        <x:f>H789*INDEX(Inputs!$B$13:$D$13,1,MATCH(A789,Inputs!$B$6:$D$6,0))</x:f>
        <x:v>0</x:v>
      </x:c>
      <x:c r="R789" s="20" t="n">
        <x:f>SUM(M789:Q789)</x:f>
        <x:v>50505</x:v>
      </x:c>
      <x:c r="S789" s="20" t="n">
        <x:f>IF(AND(A788=A789,D788=D789),S788+R789,R789)</x:f>
        <x:v>203190</x:v>
      </x:c>
      <x:c r="T789" s="20" t="n">
        <x:f>MIN(S789,INDEX(Inputs!$B$20:$D$20,1,MATCH(A789,Inputs!$B$6:$D$6,0)))*INDEX(Inputs!$B$22:$D$22,1,MATCH(A789,Inputs!$B$6:$D$6,0))+MAX(MIN(S789,INDEX(Inputs!$B$21:$D$21,1,MATCH(A789,Inputs!$B$6:$D$6,0)))-INDEX(Inputs!$B$20:$D$20,1,MATCH(A789,Inputs!$B$6:$D$6,0)),0)*INDEX(Inputs!$B$23:$D$23,1,MATCH(A789,Inputs!$B$6:$D$6,0))+MAX(S789-INDEX(Inputs!$B$21:$D$21,1,MATCH(A789,Inputs!$B$6:$D$6,0)),0)*INDEX(Inputs!$B$24:$D$24,1,MATCH(A789,Inputs!$B$6:$D$6,0))</x:f>
        <x:v>10860.197</x:v>
      </x:c>
      <x:c r="U789" s="20" t="n">
        <x:f>IF(AND(A788=A789,D788=D789),T788,0)</x:f>
        <x:v>10127.8745</x:v>
      </x:c>
      <x:c r="V789" s="20" t="n">
        <x:f>T789-U789</x:f>
        <x:v>732.3225000000002</x:v>
      </x:c>
      <x:c r="W789" s="20" t="n">
        <x:f>R789+V789</x:f>
        <x:v>51237.3225</x:v>
      </x:c>
      <x:c r="X789" s="14" t="str">
        <x:f>IF(ABS(W789-SUM(M789:Q789)-V789)&lt;0.01,"OK","Check")</x:f>
        <x:v>OK</x:v>
      </x:c>
    </x:row>
    <x:row r="790">
      <x:c r="A790" s="14" t="n">
        <x:v>2027</x:v>
      </x:c>
      <x:c r="B790" s="14" t="str">
        <x:v>Q1</x:v>
      </x:c>
      <x:c r="C790" s="14" t="n">
        <x:v>1</x:v>
      </x:c>
      <x:c r="D790" s="14" t="n">
        <x:v>94</x:v>
      </x:c>
      <x:c r="E790" s="14" t="str">
        <x:f>INDEX(Roster!$B$6:$B$108,MATCH(D790,Roster!$A$6:$A$108,0))</x:f>
      </x:c>
      <x:c r="F790" s="14" t="str">
        <x:f>INDEX(Roster!$F$6:$F$108,MATCH(D790,Roster!$A$6:$A$108,0))</x:f>
        <x:v>No</x:v>
      </x:c>
      <x:c r="G790" s="14" t="n">
        <x:f>INDEX(Inputs!$B$7:$D$7,1,MATCH(A790,Inputs!$B$6:$D$6,0))</x:f>
        <x:v>13</x:v>
      </x:c>
      <x:c r="H790" s="14" t="n">
        <x:f>MIN(=INDEX(Inputs!$B$7:$D$7,1,MATCH(A790,Inputs!$B$6:$D$6,0)),MAX(0,INDEX(Inputs!$B$14:$D$14,1,MATCH(A790,Inputs!$B$6:$D$6,0))-(C790-1)*=INDEX(Inputs!$B$7:$D$7,1,MATCH(A790,Inputs!$B$6:$D$6,0))))</x:f>
        <x:v>13</x:v>
      </x:c>
      <x:c r="I790" s="20" t="n">
        <x:f>INDEX(Inputs!$B$8:$D$8,1,MATCH(A790,Inputs!$B$6:$D$6,0))</x:f>
        <x:v>2395</x:v>
      </x:c>
      <x:c r="J790" s="20" t="n">
        <x:f>INDEX(Roster!$C$6:$C$108,MATCH(D790,Roster!$A$6:$A$108,0))*(1+INDEX(Inputs!$B$9:$D$9,1,MATCH(A790,Inputs!$B$6:$D$6,0)))</x:f>
        <x:v>110</x:v>
      </x:c>
      <x:c r="K790" s="20" t="n">
        <x:f>IF(=INDEX(Roster!$F$6:$F$108,MATCH(D790,Roster!$A$6:$A$108,0))="Yes",0,=INDEX(Inputs!$B$8:$D$8,1,MATCH(A790,Inputs!$B$6:$D$6,0))*IF(=INDEX(Roster!$B$6:$B$108,MATCH(D790,Roster!$A$6:$A$108,0))="Principal",INDEX(Inputs!$B$10:$D$10,1,MATCH(A790,Inputs!$B$6:$D$6,0)),IF(=INDEX(Roster!$B$6:$B$108,MATCH(D790,Roster!$A$6:$A$108,0))="Associate Principal",INDEX(Inputs!$B$11:$D$11,1,MATCH(A790,Inputs!$B$6:$D$6,0)),IF(=INDEX(Roster!$B$6:$B$108,MATCH(D790,Roster!$A$6:$A$108,0))="Assistant Principal",INDEX(Inputs!$B$12:$D$12,1,MATCH(A790,Inputs!$B$6:$D$6,0)),0))))</x:f>
        <x:v>0</x:v>
      </x:c>
      <x:c r="L790" s="20" t="n">
        <x:f>IF(INDEX(Roster!$D$6:$D$108,MATCH(D790,Roster!$A$6:$A$108,0))&gt;=25,INDEX(Inputs!$B$19:$D$19,1,MATCH(A790,Inputs!$B$6:$D$6,0)),IF(INDEX(Roster!$D$6:$D$108,MATCH(D790,Roster!$A$6:$A$108,0))&gt;=20,INDEX(Inputs!$B$18:$D$18,1,MATCH(A790,Inputs!$B$6:$D$6,0)),IF(INDEX(Roster!$D$6:$D$108,MATCH(D790,Roster!$A$6:$A$108,0))&gt;=15,INDEX(Inputs!$B$17:$D$17,1,MATCH(A790,Inputs!$B$6:$D$6,0)),IF(INDEX(Roster!$D$6:$D$108,MATCH(D790,Roster!$A$6:$A$108,0))&gt;=10,INDEX(Inputs!$B$16:$D$16,1,MATCH(A790,Inputs!$B$6:$D$6,0)),IF(INDEX(Roster!$D$6:$D$108,MATCH(D790,Roster!$A$6:$A$108,0))&gt;=5,INDEX(Inputs!$B$15:$D$15,1,MATCH(A790,Inputs!$B$6:$D$6,0)),0)))))</x:f>
        <x:v>80</x:v>
      </x:c>
      <x:c r="M790" s="20" t="n">
        <x:f>G790*I790</x:f>
        <x:v>31135</x:v>
      </x:c>
      <x:c r="N790" s="20" t="n">
        <x:f>G790*J790</x:f>
        <x:v>1430</x:v>
      </x:c>
      <x:c r="O790" s="20" t="n">
        <x:f>G790*K790</x:f>
        <x:v>0</x:v>
      </x:c>
      <x:c r="P790" s="20" t="n">
        <x:f>G790*L790</x:f>
        <x:v>1040</x:v>
      </x:c>
      <x:c r="Q790" s="20" t="n">
        <x:f>H790*INDEX(Inputs!$B$13:$D$13,1,MATCH(A790,Inputs!$B$6:$D$6,0))</x:f>
        <x:v>390</x:v>
      </x:c>
      <x:c r="R790" s="20" t="n">
        <x:f>SUM(M790:Q790)</x:f>
        <x:v>33995</x:v>
      </x:c>
      <x:c r="S790" s="20" t="n">
        <x:f>IF(AND(A789=A790,D789=D790),S789+R790,R790)</x:f>
        <x:v>33995</x:v>
      </x:c>
      <x:c r="T790" s="20" t="n">
        <x:f>MIN(S790,INDEX(Inputs!$B$20:$D$20,1,MATCH(A790,Inputs!$B$6:$D$6,0)))*INDEX(Inputs!$B$22:$D$22,1,MATCH(A790,Inputs!$B$6:$D$6,0))+MAX(MIN(S790,INDEX(Inputs!$B$21:$D$21,1,MATCH(A790,Inputs!$B$6:$D$6,0)))-INDEX(Inputs!$B$20:$D$20,1,MATCH(A790,Inputs!$B$6:$D$6,0)),0)*INDEX(Inputs!$B$23:$D$23,1,MATCH(A790,Inputs!$B$6:$D$6,0))+MAX(S790-INDEX(Inputs!$B$21:$D$21,1,MATCH(A790,Inputs!$B$6:$D$6,0)),0)*INDEX(Inputs!$B$24:$D$24,1,MATCH(A790,Inputs!$B$6:$D$6,0))</x:f>
        <x:v>3090.6175</x:v>
      </x:c>
      <x:c r="U790" s="20" t="n">
        <x:f>IF(AND(A789=A790,D789=D790),T789,0)</x:f>
        <x:v>0</x:v>
      </x:c>
      <x:c r="V790" s="20" t="n">
        <x:f>T790-U790</x:f>
        <x:v>3090.6175</x:v>
      </x:c>
      <x:c r="W790" s="20" t="n">
        <x:f>R790+V790</x:f>
        <x:v>37085.6175</x:v>
      </x:c>
      <x:c r="X790" s="14" t="str">
        <x:f>IF(ABS(W790-SUM(M790:Q790)-V790)&lt;0.01,"OK","Check")</x:f>
        <x:v>OK</x:v>
      </x:c>
    </x:row>
    <x:row r="791">
      <x:c r="A791" s="14" t="n">
        <x:v>2027</x:v>
      </x:c>
      <x:c r="B791" s="14" t="str">
        <x:v>Q2</x:v>
      </x:c>
      <x:c r="C791" s="14" t="n">
        <x:v>2</x:v>
      </x:c>
      <x:c r="D791" s="14" t="n">
        <x:v>94</x:v>
      </x:c>
      <x:c r="E791" s="14" t="str">
        <x:f>INDEX(Roster!$B$6:$B$108,MATCH(D791,Roster!$A$6:$A$108,0))</x:f>
      </x:c>
      <x:c r="F791" s="14" t="str">
        <x:f>INDEX(Roster!$F$6:$F$108,MATCH(D791,Roster!$A$6:$A$108,0))</x:f>
        <x:v>No</x:v>
      </x:c>
      <x:c r="G791" s="14" t="n">
        <x:f>INDEX(Inputs!$B$7:$D$7,1,MATCH(A791,Inputs!$B$6:$D$6,0))</x:f>
        <x:v>13</x:v>
      </x:c>
      <x:c r="H791" s="14" t="n">
        <x:f>MIN(=INDEX(Inputs!$B$7:$D$7,1,MATCH(A791,Inputs!$B$6:$D$6,0)),MAX(0,INDEX(Inputs!$B$14:$D$14,1,MATCH(A791,Inputs!$B$6:$D$6,0))-(C791-1)*=INDEX(Inputs!$B$7:$D$7,1,MATCH(A791,Inputs!$B$6:$D$6,0))))</x:f>
        <x:v>13</x:v>
      </x:c>
      <x:c r="I791" s="20" t="n">
        <x:f>INDEX(Inputs!$B$8:$D$8,1,MATCH(A791,Inputs!$B$6:$D$6,0))</x:f>
        <x:v>2395</x:v>
      </x:c>
      <x:c r="J791" s="20" t="n">
        <x:f>INDEX(Roster!$C$6:$C$108,MATCH(D791,Roster!$A$6:$A$108,0))*(1+INDEX(Inputs!$B$9:$D$9,1,MATCH(A791,Inputs!$B$6:$D$6,0)))</x:f>
        <x:v>110</x:v>
      </x:c>
      <x:c r="K791" s="20" t="n">
        <x:f>IF(=INDEX(Roster!$F$6:$F$108,MATCH(D791,Roster!$A$6:$A$108,0))="Yes",0,=INDEX(Inputs!$B$8:$D$8,1,MATCH(A791,Inputs!$B$6:$D$6,0))*IF(=INDEX(Roster!$B$6:$B$108,MATCH(D791,Roster!$A$6:$A$108,0))="Principal",INDEX(Inputs!$B$10:$D$10,1,MATCH(A791,Inputs!$B$6:$D$6,0)),IF(=INDEX(Roster!$B$6:$B$108,MATCH(D791,Roster!$A$6:$A$108,0))="Associate Principal",INDEX(Inputs!$B$11:$D$11,1,MATCH(A791,Inputs!$B$6:$D$6,0)),IF(=INDEX(Roster!$B$6:$B$108,MATCH(D791,Roster!$A$6:$A$108,0))="Assistant Principal",INDEX(Inputs!$B$12:$D$12,1,MATCH(A791,Inputs!$B$6:$D$6,0)),0))))</x:f>
        <x:v>0</x:v>
      </x:c>
      <x:c r="L791" s="20" t="n">
        <x:f>IF(INDEX(Roster!$D$6:$D$108,MATCH(D791,Roster!$A$6:$A$108,0))&gt;=25,INDEX(Inputs!$B$19:$D$19,1,MATCH(A791,Inputs!$B$6:$D$6,0)),IF(INDEX(Roster!$D$6:$D$108,MATCH(D791,Roster!$A$6:$A$108,0))&gt;=20,INDEX(Inputs!$B$18:$D$18,1,MATCH(A791,Inputs!$B$6:$D$6,0)),IF(INDEX(Roster!$D$6:$D$108,MATCH(D791,Roster!$A$6:$A$108,0))&gt;=15,INDEX(Inputs!$B$17:$D$17,1,MATCH(A791,Inputs!$B$6:$D$6,0)),IF(INDEX(Roster!$D$6:$D$108,MATCH(D791,Roster!$A$6:$A$108,0))&gt;=10,INDEX(Inputs!$B$16:$D$16,1,MATCH(A791,Inputs!$B$6:$D$6,0)),IF(INDEX(Roster!$D$6:$D$108,MATCH(D791,Roster!$A$6:$A$108,0))&gt;=5,INDEX(Inputs!$B$15:$D$15,1,MATCH(A791,Inputs!$B$6:$D$6,0)),0)))))</x:f>
        <x:v>80</x:v>
      </x:c>
      <x:c r="M791" s="20" t="n">
        <x:f>G791*I791</x:f>
        <x:v>31135</x:v>
      </x:c>
      <x:c r="N791" s="20" t="n">
        <x:f>G791*J791</x:f>
        <x:v>1430</x:v>
      </x:c>
      <x:c r="O791" s="20" t="n">
        <x:f>G791*K791</x:f>
        <x:v>0</x:v>
      </x:c>
      <x:c r="P791" s="20" t="n">
        <x:f>G791*L791</x:f>
        <x:v>1040</x:v>
      </x:c>
      <x:c r="Q791" s="20" t="n">
        <x:f>H791*INDEX(Inputs!$B$13:$D$13,1,MATCH(A791,Inputs!$B$6:$D$6,0))</x:f>
        <x:v>390</x:v>
      </x:c>
      <x:c r="R791" s="20" t="n">
        <x:f>SUM(M791:Q791)</x:f>
        <x:v>33995</x:v>
      </x:c>
      <x:c r="S791" s="20" t="n">
        <x:f>IF(AND(A790=A791,D790=D791),S790+R791,R791)</x:f>
        <x:v>67990</x:v>
      </x:c>
      <x:c r="T791" s="20" t="n">
        <x:f>MIN(S791,INDEX(Inputs!$B$20:$D$20,1,MATCH(A791,Inputs!$B$6:$D$6,0)))*INDEX(Inputs!$B$22:$D$22,1,MATCH(A791,Inputs!$B$6:$D$6,0))+MAX(MIN(S791,INDEX(Inputs!$B$21:$D$21,1,MATCH(A791,Inputs!$B$6:$D$6,0)))-INDEX(Inputs!$B$20:$D$20,1,MATCH(A791,Inputs!$B$6:$D$6,0)),0)*INDEX(Inputs!$B$23:$D$23,1,MATCH(A791,Inputs!$B$6:$D$6,0))+MAX(S791-INDEX(Inputs!$B$21:$D$21,1,MATCH(A791,Inputs!$B$6:$D$6,0)),0)*INDEX(Inputs!$B$24:$D$24,1,MATCH(A791,Inputs!$B$6:$D$6,0))</x:f>
        <x:v>5691.235</x:v>
      </x:c>
      <x:c r="U791" s="20" t="n">
        <x:f>IF(AND(A790=A791,D790=D791),T790,0)</x:f>
        <x:v>3090.6175</x:v>
      </x:c>
      <x:c r="V791" s="20" t="n">
        <x:f>T791-U791</x:f>
        <x:v>2600.6175</x:v>
      </x:c>
      <x:c r="W791" s="20" t="n">
        <x:f>R791+V791</x:f>
        <x:v>36595.6175</x:v>
      </x:c>
      <x:c r="X791" s="14" t="str">
        <x:f>IF(ABS(W791-SUM(M791:Q791)-V791)&lt;0.01,"OK","Check")</x:f>
        <x:v>OK</x:v>
      </x:c>
    </x:row>
    <x:row r="792">
      <x:c r="A792" s="14" t="n">
        <x:v>2027</x:v>
      </x:c>
      <x:c r="B792" s="14" t="str">
        <x:v>Q3</x:v>
      </x:c>
      <x:c r="C792" s="14" t="n">
        <x:v>3</x:v>
      </x:c>
      <x:c r="D792" s="14" t="n">
        <x:v>94</x:v>
      </x:c>
      <x:c r="E792" s="14" t="str">
        <x:f>INDEX(Roster!$B$6:$B$108,MATCH(D792,Roster!$A$6:$A$108,0))</x:f>
      </x:c>
      <x:c r="F792" s="14" t="str">
        <x:f>INDEX(Roster!$F$6:$F$108,MATCH(D792,Roster!$A$6:$A$108,0))</x:f>
        <x:v>No</x:v>
      </x:c>
      <x:c r="G792" s="14" t="n">
        <x:f>INDEX(Inputs!$B$7:$D$7,1,MATCH(A792,Inputs!$B$6:$D$6,0))</x:f>
        <x:v>13</x:v>
      </x:c>
      <x:c r="H792" s="14" t="n">
        <x:f>MIN(=INDEX(Inputs!$B$7:$D$7,1,MATCH(A792,Inputs!$B$6:$D$6,0)),MAX(0,INDEX(Inputs!$B$14:$D$14,1,MATCH(A792,Inputs!$B$6:$D$6,0))-(C792-1)*=INDEX(Inputs!$B$7:$D$7,1,MATCH(A792,Inputs!$B$6:$D$6,0))))</x:f>
        <x:v>13</x:v>
      </x:c>
      <x:c r="I792" s="20" t="n">
        <x:f>INDEX(Inputs!$B$8:$D$8,1,MATCH(A792,Inputs!$B$6:$D$6,0))</x:f>
        <x:v>2395</x:v>
      </x:c>
      <x:c r="J792" s="20" t="n">
        <x:f>INDEX(Roster!$C$6:$C$108,MATCH(D792,Roster!$A$6:$A$108,0))*(1+INDEX(Inputs!$B$9:$D$9,1,MATCH(A792,Inputs!$B$6:$D$6,0)))</x:f>
        <x:v>110</x:v>
      </x:c>
      <x:c r="K792" s="20" t="n">
        <x:f>IF(=INDEX(Roster!$F$6:$F$108,MATCH(D792,Roster!$A$6:$A$108,0))="Yes",0,=INDEX(Inputs!$B$8:$D$8,1,MATCH(A792,Inputs!$B$6:$D$6,0))*IF(=INDEX(Roster!$B$6:$B$108,MATCH(D792,Roster!$A$6:$A$108,0))="Principal",INDEX(Inputs!$B$10:$D$10,1,MATCH(A792,Inputs!$B$6:$D$6,0)),IF(=INDEX(Roster!$B$6:$B$108,MATCH(D792,Roster!$A$6:$A$108,0))="Associate Principal",INDEX(Inputs!$B$11:$D$11,1,MATCH(A792,Inputs!$B$6:$D$6,0)),IF(=INDEX(Roster!$B$6:$B$108,MATCH(D792,Roster!$A$6:$A$108,0))="Assistant Principal",INDEX(Inputs!$B$12:$D$12,1,MATCH(A792,Inputs!$B$6:$D$6,0)),0))))</x:f>
        <x:v>0</x:v>
      </x:c>
      <x:c r="L792" s="20" t="n">
        <x:f>IF(INDEX(Roster!$D$6:$D$108,MATCH(D792,Roster!$A$6:$A$108,0))&gt;=25,INDEX(Inputs!$B$19:$D$19,1,MATCH(A792,Inputs!$B$6:$D$6,0)),IF(INDEX(Roster!$D$6:$D$108,MATCH(D792,Roster!$A$6:$A$108,0))&gt;=20,INDEX(Inputs!$B$18:$D$18,1,MATCH(A792,Inputs!$B$6:$D$6,0)),IF(INDEX(Roster!$D$6:$D$108,MATCH(D792,Roster!$A$6:$A$108,0))&gt;=15,INDEX(Inputs!$B$17:$D$17,1,MATCH(A792,Inputs!$B$6:$D$6,0)),IF(INDEX(Roster!$D$6:$D$108,MATCH(D792,Roster!$A$6:$A$108,0))&gt;=10,INDEX(Inputs!$B$16:$D$16,1,MATCH(A792,Inputs!$B$6:$D$6,0)),IF(INDEX(Roster!$D$6:$D$108,MATCH(D792,Roster!$A$6:$A$108,0))&gt;=5,INDEX(Inputs!$B$15:$D$15,1,MATCH(A792,Inputs!$B$6:$D$6,0)),0)))))</x:f>
        <x:v>80</x:v>
      </x:c>
      <x:c r="M792" s="20" t="n">
        <x:f>G792*I792</x:f>
        <x:v>31135</x:v>
      </x:c>
      <x:c r="N792" s="20" t="n">
        <x:f>G792*J792</x:f>
        <x:v>1430</x:v>
      </x:c>
      <x:c r="O792" s="20" t="n">
        <x:f>G792*K792</x:f>
        <x:v>0</x:v>
      </x:c>
      <x:c r="P792" s="20" t="n">
        <x:f>G792*L792</x:f>
        <x:v>1040</x:v>
      </x:c>
      <x:c r="Q792" s="20" t="n">
        <x:f>H792*INDEX(Inputs!$B$13:$D$13,1,MATCH(A792,Inputs!$B$6:$D$6,0))</x:f>
        <x:v>390</x:v>
      </x:c>
      <x:c r="R792" s="20" t="n">
        <x:f>SUM(M792:Q792)</x:f>
        <x:v>33995</x:v>
      </x:c>
      <x:c r="S792" s="20" t="n">
        <x:f>IF(AND(A791=A792,D791=D792),S791+R792,R792)</x:f>
        <x:v>101985</x:v>
      </x:c>
      <x:c r="T792" s="20" t="n">
        <x:f>MIN(S792,INDEX(Inputs!$B$20:$D$20,1,MATCH(A792,Inputs!$B$6:$D$6,0)))*INDEX(Inputs!$B$22:$D$22,1,MATCH(A792,Inputs!$B$6:$D$6,0))+MAX(MIN(S792,INDEX(Inputs!$B$21:$D$21,1,MATCH(A792,Inputs!$B$6:$D$6,0)))-INDEX(Inputs!$B$20:$D$20,1,MATCH(A792,Inputs!$B$6:$D$6,0)),0)*INDEX(Inputs!$B$23:$D$23,1,MATCH(A792,Inputs!$B$6:$D$6,0))+MAX(S792-INDEX(Inputs!$B$21:$D$21,1,MATCH(A792,Inputs!$B$6:$D$6,0)),0)*INDEX(Inputs!$B$24:$D$24,1,MATCH(A792,Inputs!$B$6:$D$6,0))</x:f>
        <x:v>8291.8525</x:v>
      </x:c>
      <x:c r="U792" s="20" t="n">
        <x:f>IF(AND(A791=A792,D791=D792),T791,0)</x:f>
        <x:v>5691.235</x:v>
      </x:c>
      <x:c r="V792" s="20" t="n">
        <x:f>T792-U792</x:f>
        <x:v>2600.617500000001</x:v>
      </x:c>
      <x:c r="W792" s="20" t="n">
        <x:f>R792+V792</x:f>
        <x:v>36595.6175</x:v>
      </x:c>
      <x:c r="X792" s="14" t="str">
        <x:f>IF(ABS(W792-SUM(M792:Q792)-V792)&lt;0.01,"OK","Check")</x:f>
        <x:v>OK</x:v>
      </x:c>
    </x:row>
    <x:row r="793">
      <x:c r="A793" s="14" t="n">
        <x:v>2027</x:v>
      </x:c>
      <x:c r="B793" s="14" t="str">
        <x:v>Q4</x:v>
      </x:c>
      <x:c r="C793" s="14" t="n">
        <x:v>4</x:v>
      </x:c>
      <x:c r="D793" s="14" t="n">
        <x:v>94</x:v>
      </x:c>
      <x:c r="E793" s="14" t="str">
        <x:f>INDEX(Roster!$B$6:$B$108,MATCH(D793,Roster!$A$6:$A$108,0))</x:f>
      </x:c>
      <x:c r="F793" s="14" t="str">
        <x:f>INDEX(Roster!$F$6:$F$108,MATCH(D793,Roster!$A$6:$A$108,0))</x:f>
        <x:v>No</x:v>
      </x:c>
      <x:c r="G793" s="14" t="n">
        <x:f>INDEX(Inputs!$B$7:$D$7,1,MATCH(A793,Inputs!$B$6:$D$6,0))</x:f>
        <x:v>13</x:v>
      </x:c>
      <x:c r="H793" s="14" t="n">
        <x:f>MIN(=INDEX(Inputs!$B$7:$D$7,1,MATCH(A793,Inputs!$B$6:$D$6,0)),MAX(0,INDEX(Inputs!$B$14:$D$14,1,MATCH(A793,Inputs!$B$6:$D$6,0))-(C793-1)*=INDEX(Inputs!$B$7:$D$7,1,MATCH(A793,Inputs!$B$6:$D$6,0))))</x:f>
        <x:v>0</x:v>
      </x:c>
      <x:c r="I793" s="20" t="n">
        <x:f>INDEX(Inputs!$B$8:$D$8,1,MATCH(A793,Inputs!$B$6:$D$6,0))</x:f>
        <x:v>2395</x:v>
      </x:c>
      <x:c r="J793" s="20" t="n">
        <x:f>INDEX(Roster!$C$6:$C$108,MATCH(D793,Roster!$A$6:$A$108,0))*(1+INDEX(Inputs!$B$9:$D$9,1,MATCH(A793,Inputs!$B$6:$D$6,0)))</x:f>
        <x:v>110</x:v>
      </x:c>
      <x:c r="K793" s="20" t="n">
        <x:f>IF(=INDEX(Roster!$F$6:$F$108,MATCH(D793,Roster!$A$6:$A$108,0))="Yes",0,=INDEX(Inputs!$B$8:$D$8,1,MATCH(A793,Inputs!$B$6:$D$6,0))*IF(=INDEX(Roster!$B$6:$B$108,MATCH(D793,Roster!$A$6:$A$108,0))="Principal",INDEX(Inputs!$B$10:$D$10,1,MATCH(A793,Inputs!$B$6:$D$6,0)),IF(=INDEX(Roster!$B$6:$B$108,MATCH(D793,Roster!$A$6:$A$108,0))="Associate Principal",INDEX(Inputs!$B$11:$D$11,1,MATCH(A793,Inputs!$B$6:$D$6,0)),IF(=INDEX(Roster!$B$6:$B$108,MATCH(D793,Roster!$A$6:$A$108,0))="Assistant Principal",INDEX(Inputs!$B$12:$D$12,1,MATCH(A793,Inputs!$B$6:$D$6,0)),0))))</x:f>
        <x:v>0</x:v>
      </x:c>
      <x:c r="L793" s="20" t="n">
        <x:f>IF(INDEX(Roster!$D$6:$D$108,MATCH(D793,Roster!$A$6:$A$108,0))&gt;=25,INDEX(Inputs!$B$19:$D$19,1,MATCH(A793,Inputs!$B$6:$D$6,0)),IF(INDEX(Roster!$D$6:$D$108,MATCH(D793,Roster!$A$6:$A$108,0))&gt;=20,INDEX(Inputs!$B$18:$D$18,1,MATCH(A793,Inputs!$B$6:$D$6,0)),IF(INDEX(Roster!$D$6:$D$108,MATCH(D793,Roster!$A$6:$A$108,0))&gt;=15,INDEX(Inputs!$B$17:$D$17,1,MATCH(A793,Inputs!$B$6:$D$6,0)),IF(INDEX(Roster!$D$6:$D$108,MATCH(D793,Roster!$A$6:$A$108,0))&gt;=10,INDEX(Inputs!$B$16:$D$16,1,MATCH(A793,Inputs!$B$6:$D$6,0)),IF(INDEX(Roster!$D$6:$D$108,MATCH(D793,Roster!$A$6:$A$108,0))&gt;=5,INDEX(Inputs!$B$15:$D$15,1,MATCH(A793,Inputs!$B$6:$D$6,0)),0)))))</x:f>
        <x:v>80</x:v>
      </x:c>
      <x:c r="M793" s="20" t="n">
        <x:f>G793*I793</x:f>
        <x:v>31135</x:v>
      </x:c>
      <x:c r="N793" s="20" t="n">
        <x:f>G793*J793</x:f>
        <x:v>1430</x:v>
      </x:c>
      <x:c r="O793" s="20" t="n">
        <x:f>G793*K793</x:f>
        <x:v>0</x:v>
      </x:c>
      <x:c r="P793" s="20" t="n">
        <x:f>G793*L793</x:f>
        <x:v>1040</x:v>
      </x:c>
      <x:c r="Q793" s="20" t="n">
        <x:f>H793*INDEX(Inputs!$B$13:$D$13,1,MATCH(A793,Inputs!$B$6:$D$6,0))</x:f>
        <x:v>0</x:v>
      </x:c>
      <x:c r="R793" s="20" t="n">
        <x:f>SUM(M793:Q793)</x:f>
        <x:v>33605</x:v>
      </x:c>
      <x:c r="S793" s="20" t="n">
        <x:f>IF(AND(A792=A793,D792=D793),S792+R793,R793)</x:f>
        <x:v>135590</x:v>
      </x:c>
      <x:c r="T793" s="20" t="n">
        <x:f>MIN(S793,INDEX(Inputs!$B$20:$D$20,1,MATCH(A793,Inputs!$B$6:$D$6,0)))*INDEX(Inputs!$B$22:$D$22,1,MATCH(A793,Inputs!$B$6:$D$6,0))+MAX(MIN(S793,INDEX(Inputs!$B$21:$D$21,1,MATCH(A793,Inputs!$B$6:$D$6,0)))-INDEX(Inputs!$B$20:$D$20,1,MATCH(A793,Inputs!$B$6:$D$6,0)),0)*INDEX(Inputs!$B$23:$D$23,1,MATCH(A793,Inputs!$B$6:$D$6,0))+MAX(S793-INDEX(Inputs!$B$21:$D$21,1,MATCH(A793,Inputs!$B$6:$D$6,0)),0)*INDEX(Inputs!$B$24:$D$24,1,MATCH(A793,Inputs!$B$6:$D$6,0))</x:f>
        <x:v>9879.997</x:v>
      </x:c>
      <x:c r="U793" s="20" t="n">
        <x:f>IF(AND(A792=A793,D792=D793),T792,0)</x:f>
        <x:v>8291.8525</x:v>
      </x:c>
      <x:c r="V793" s="20" t="n">
        <x:f>T793-U793</x:f>
        <x:v>1588.1444999999985</x:v>
      </x:c>
      <x:c r="W793" s="20" t="n">
        <x:f>R793+V793</x:f>
        <x:v>35193.144499999995</x:v>
      </x:c>
      <x:c r="X793" s="14" t="str">
        <x:f>IF(ABS(W793-SUM(M793:Q793)-V793)&lt;0.01,"OK","Check")</x:f>
        <x:v>OK</x:v>
      </x:c>
    </x:row>
    <x:row r="794">
      <x:c r="A794" s="14" t="n">
        <x:v>2027</x:v>
      </x:c>
      <x:c r="B794" s="14" t="str">
        <x:v>Q1</x:v>
      </x:c>
      <x:c r="C794" s="14" t="n">
        <x:v>1</x:v>
      </x:c>
      <x:c r="D794" s="14" t="n">
        <x:v>95</x:v>
      </x:c>
      <x:c r="E794" s="14" t="str">
        <x:f>INDEX(Roster!$B$6:$B$108,MATCH(D794,Roster!$A$6:$A$108,0))</x:f>
      </x:c>
      <x:c r="F794" s="14" t="str">
        <x:f>INDEX(Roster!$F$6:$F$108,MATCH(D794,Roster!$A$6:$A$108,0))</x:f>
        <x:v>No</x:v>
      </x:c>
      <x:c r="G794" s="14" t="n">
        <x:f>INDEX(Inputs!$B$7:$D$7,1,MATCH(A794,Inputs!$B$6:$D$6,0))</x:f>
        <x:v>13</x:v>
      </x:c>
      <x:c r="H794" s="14" t="n">
        <x:f>MIN(=INDEX(Inputs!$B$7:$D$7,1,MATCH(A794,Inputs!$B$6:$D$6,0)),MAX(0,INDEX(Inputs!$B$14:$D$14,1,MATCH(A794,Inputs!$B$6:$D$6,0))-(C794-1)*=INDEX(Inputs!$B$7:$D$7,1,MATCH(A794,Inputs!$B$6:$D$6,0))))</x:f>
        <x:v>13</x:v>
      </x:c>
      <x:c r="I794" s="20" t="n">
        <x:f>INDEX(Inputs!$B$8:$D$8,1,MATCH(A794,Inputs!$B$6:$D$6,0))</x:f>
        <x:v>2395</x:v>
      </x:c>
      <x:c r="J794" s="20" t="n">
        <x:f>INDEX(Roster!$C$6:$C$108,MATCH(D794,Roster!$A$6:$A$108,0))*(1+INDEX(Inputs!$B$9:$D$9,1,MATCH(A794,Inputs!$B$6:$D$6,0)))</x:f>
        <x:v>200</x:v>
      </x:c>
      <x:c r="K794" s="20" t="n">
        <x:f>IF(=INDEX(Roster!$F$6:$F$108,MATCH(D794,Roster!$A$6:$A$108,0))="Yes",0,=INDEX(Inputs!$B$8:$D$8,1,MATCH(A794,Inputs!$B$6:$D$6,0))*IF(=INDEX(Roster!$B$6:$B$108,MATCH(D794,Roster!$A$6:$A$108,0))="Principal",INDEX(Inputs!$B$10:$D$10,1,MATCH(A794,Inputs!$B$6:$D$6,0)),IF(=INDEX(Roster!$B$6:$B$108,MATCH(D794,Roster!$A$6:$A$108,0))="Associate Principal",INDEX(Inputs!$B$11:$D$11,1,MATCH(A794,Inputs!$B$6:$D$6,0)),IF(=INDEX(Roster!$B$6:$B$108,MATCH(D794,Roster!$A$6:$A$108,0))="Assistant Principal",INDEX(Inputs!$B$12:$D$12,1,MATCH(A794,Inputs!$B$6:$D$6,0)),0))))</x:f>
        <x:v>0</x:v>
      </x:c>
      <x:c r="L794" s="20" t="n">
        <x:f>IF(INDEX(Roster!$D$6:$D$108,MATCH(D794,Roster!$A$6:$A$108,0))&gt;=25,INDEX(Inputs!$B$19:$D$19,1,MATCH(A794,Inputs!$B$6:$D$6,0)),IF(INDEX(Roster!$D$6:$D$108,MATCH(D794,Roster!$A$6:$A$108,0))&gt;=20,INDEX(Inputs!$B$18:$D$18,1,MATCH(A794,Inputs!$B$6:$D$6,0)),IF(INDEX(Roster!$D$6:$D$108,MATCH(D794,Roster!$A$6:$A$108,0))&gt;=15,INDEX(Inputs!$B$17:$D$17,1,MATCH(A794,Inputs!$B$6:$D$6,0)),IF(INDEX(Roster!$D$6:$D$108,MATCH(D794,Roster!$A$6:$A$108,0))&gt;=10,INDEX(Inputs!$B$16:$D$16,1,MATCH(A794,Inputs!$B$6:$D$6,0)),IF(INDEX(Roster!$D$6:$D$108,MATCH(D794,Roster!$A$6:$A$108,0))&gt;=5,INDEX(Inputs!$B$15:$D$15,1,MATCH(A794,Inputs!$B$6:$D$6,0)),0)))))</x:f>
        <x:v>80</x:v>
      </x:c>
      <x:c r="M794" s="20" t="n">
        <x:f>G794*I794</x:f>
        <x:v>31135</x:v>
      </x:c>
      <x:c r="N794" s="20" t="n">
        <x:f>G794*J794</x:f>
        <x:v>2600</x:v>
      </x:c>
      <x:c r="O794" s="20" t="n">
        <x:f>G794*K794</x:f>
        <x:v>0</x:v>
      </x:c>
      <x:c r="P794" s="20" t="n">
        <x:f>G794*L794</x:f>
        <x:v>1040</x:v>
      </x:c>
      <x:c r="Q794" s="20" t="n">
        <x:f>H794*INDEX(Inputs!$B$13:$D$13,1,MATCH(A794,Inputs!$B$6:$D$6,0))</x:f>
        <x:v>390</x:v>
      </x:c>
      <x:c r="R794" s="20" t="n">
        <x:f>SUM(M794:Q794)</x:f>
        <x:v>35165</x:v>
      </x:c>
      <x:c r="S794" s="20" t="n">
        <x:f>IF(AND(A793=A794,D793=D794),S793+R794,R794)</x:f>
        <x:v>35165</x:v>
      </x:c>
      <x:c r="T794" s="20" t="n">
        <x:f>MIN(S794,INDEX(Inputs!$B$20:$D$20,1,MATCH(A794,Inputs!$B$6:$D$6,0)))*INDEX(Inputs!$B$22:$D$22,1,MATCH(A794,Inputs!$B$6:$D$6,0))+MAX(MIN(S794,INDEX(Inputs!$B$21:$D$21,1,MATCH(A794,Inputs!$B$6:$D$6,0)))-INDEX(Inputs!$B$20:$D$20,1,MATCH(A794,Inputs!$B$6:$D$6,0)),0)*INDEX(Inputs!$B$23:$D$23,1,MATCH(A794,Inputs!$B$6:$D$6,0))+MAX(S794-INDEX(Inputs!$B$21:$D$21,1,MATCH(A794,Inputs!$B$6:$D$6,0)),0)*INDEX(Inputs!$B$24:$D$24,1,MATCH(A794,Inputs!$B$6:$D$6,0))</x:f>
        <x:v>3180.1225</x:v>
      </x:c>
      <x:c r="U794" s="20" t="n">
        <x:f>IF(AND(A793=A794,D793=D794),T793,0)</x:f>
        <x:v>0</x:v>
      </x:c>
      <x:c r="V794" s="20" t="n">
        <x:f>T794-U794</x:f>
        <x:v>3180.1225</x:v>
      </x:c>
      <x:c r="W794" s="20" t="n">
        <x:f>R794+V794</x:f>
        <x:v>38345.1225</x:v>
      </x:c>
      <x:c r="X794" s="14" t="str">
        <x:f>IF(ABS(W794-SUM(M794:Q794)-V794)&lt;0.01,"OK","Check")</x:f>
        <x:v>OK</x:v>
      </x:c>
    </x:row>
    <x:row r="795">
      <x:c r="A795" s="14" t="n">
        <x:v>2027</x:v>
      </x:c>
      <x:c r="B795" s="14" t="str">
        <x:v>Q2</x:v>
      </x:c>
      <x:c r="C795" s="14" t="n">
        <x:v>2</x:v>
      </x:c>
      <x:c r="D795" s="14" t="n">
        <x:v>95</x:v>
      </x:c>
      <x:c r="E795" s="14" t="str">
        <x:f>INDEX(Roster!$B$6:$B$108,MATCH(D795,Roster!$A$6:$A$108,0))</x:f>
      </x:c>
      <x:c r="F795" s="14" t="str">
        <x:f>INDEX(Roster!$F$6:$F$108,MATCH(D795,Roster!$A$6:$A$108,0))</x:f>
        <x:v>No</x:v>
      </x:c>
      <x:c r="G795" s="14" t="n">
        <x:f>INDEX(Inputs!$B$7:$D$7,1,MATCH(A795,Inputs!$B$6:$D$6,0))</x:f>
        <x:v>13</x:v>
      </x:c>
      <x:c r="H795" s="14" t="n">
        <x:f>MIN(=INDEX(Inputs!$B$7:$D$7,1,MATCH(A795,Inputs!$B$6:$D$6,0)),MAX(0,INDEX(Inputs!$B$14:$D$14,1,MATCH(A795,Inputs!$B$6:$D$6,0))-(C795-1)*=INDEX(Inputs!$B$7:$D$7,1,MATCH(A795,Inputs!$B$6:$D$6,0))))</x:f>
        <x:v>13</x:v>
      </x:c>
      <x:c r="I795" s="20" t="n">
        <x:f>INDEX(Inputs!$B$8:$D$8,1,MATCH(A795,Inputs!$B$6:$D$6,0))</x:f>
        <x:v>2395</x:v>
      </x:c>
      <x:c r="J795" s="20" t="n">
        <x:f>INDEX(Roster!$C$6:$C$108,MATCH(D795,Roster!$A$6:$A$108,0))*(1+INDEX(Inputs!$B$9:$D$9,1,MATCH(A795,Inputs!$B$6:$D$6,0)))</x:f>
        <x:v>200</x:v>
      </x:c>
      <x:c r="K795" s="20" t="n">
        <x:f>IF(=INDEX(Roster!$F$6:$F$108,MATCH(D795,Roster!$A$6:$A$108,0))="Yes",0,=INDEX(Inputs!$B$8:$D$8,1,MATCH(A795,Inputs!$B$6:$D$6,0))*IF(=INDEX(Roster!$B$6:$B$108,MATCH(D795,Roster!$A$6:$A$108,0))="Principal",INDEX(Inputs!$B$10:$D$10,1,MATCH(A795,Inputs!$B$6:$D$6,0)),IF(=INDEX(Roster!$B$6:$B$108,MATCH(D795,Roster!$A$6:$A$108,0))="Associate Principal",INDEX(Inputs!$B$11:$D$11,1,MATCH(A795,Inputs!$B$6:$D$6,0)),IF(=INDEX(Roster!$B$6:$B$108,MATCH(D795,Roster!$A$6:$A$108,0))="Assistant Principal",INDEX(Inputs!$B$12:$D$12,1,MATCH(A795,Inputs!$B$6:$D$6,0)),0))))</x:f>
        <x:v>0</x:v>
      </x:c>
      <x:c r="L795" s="20" t="n">
        <x:f>IF(INDEX(Roster!$D$6:$D$108,MATCH(D795,Roster!$A$6:$A$108,0))&gt;=25,INDEX(Inputs!$B$19:$D$19,1,MATCH(A795,Inputs!$B$6:$D$6,0)),IF(INDEX(Roster!$D$6:$D$108,MATCH(D795,Roster!$A$6:$A$108,0))&gt;=20,INDEX(Inputs!$B$18:$D$18,1,MATCH(A795,Inputs!$B$6:$D$6,0)),IF(INDEX(Roster!$D$6:$D$108,MATCH(D795,Roster!$A$6:$A$108,0))&gt;=15,INDEX(Inputs!$B$17:$D$17,1,MATCH(A795,Inputs!$B$6:$D$6,0)),IF(INDEX(Roster!$D$6:$D$108,MATCH(D795,Roster!$A$6:$A$108,0))&gt;=10,INDEX(Inputs!$B$16:$D$16,1,MATCH(A795,Inputs!$B$6:$D$6,0)),IF(INDEX(Roster!$D$6:$D$108,MATCH(D795,Roster!$A$6:$A$108,0))&gt;=5,INDEX(Inputs!$B$15:$D$15,1,MATCH(A795,Inputs!$B$6:$D$6,0)),0)))))</x:f>
        <x:v>80</x:v>
      </x:c>
      <x:c r="M795" s="20" t="n">
        <x:f>G795*I795</x:f>
        <x:v>31135</x:v>
      </x:c>
      <x:c r="N795" s="20" t="n">
        <x:f>G795*J795</x:f>
        <x:v>2600</x:v>
      </x:c>
      <x:c r="O795" s="20" t="n">
        <x:f>G795*K795</x:f>
        <x:v>0</x:v>
      </x:c>
      <x:c r="P795" s="20" t="n">
        <x:f>G795*L795</x:f>
        <x:v>1040</x:v>
      </x:c>
      <x:c r="Q795" s="20" t="n">
        <x:f>H795*INDEX(Inputs!$B$13:$D$13,1,MATCH(A795,Inputs!$B$6:$D$6,0))</x:f>
        <x:v>390</x:v>
      </x:c>
      <x:c r="R795" s="20" t="n">
        <x:f>SUM(M795:Q795)</x:f>
        <x:v>35165</x:v>
      </x:c>
      <x:c r="S795" s="20" t="n">
        <x:f>IF(AND(A794=A795,D794=D795),S794+R795,R795)</x:f>
        <x:v>70330</x:v>
      </x:c>
      <x:c r="T795" s="20" t="n">
        <x:f>MIN(S795,INDEX(Inputs!$B$20:$D$20,1,MATCH(A795,Inputs!$B$6:$D$6,0)))*INDEX(Inputs!$B$22:$D$22,1,MATCH(A795,Inputs!$B$6:$D$6,0))+MAX(MIN(S795,INDEX(Inputs!$B$21:$D$21,1,MATCH(A795,Inputs!$B$6:$D$6,0)))-INDEX(Inputs!$B$20:$D$20,1,MATCH(A795,Inputs!$B$6:$D$6,0)),0)*INDEX(Inputs!$B$23:$D$23,1,MATCH(A795,Inputs!$B$6:$D$6,0))+MAX(S795-INDEX(Inputs!$B$21:$D$21,1,MATCH(A795,Inputs!$B$6:$D$6,0)),0)*INDEX(Inputs!$B$24:$D$24,1,MATCH(A795,Inputs!$B$6:$D$6,0))</x:f>
        <x:v>5870.245</x:v>
      </x:c>
      <x:c r="U795" s="20" t="n">
        <x:f>IF(AND(A794=A795,D794=D795),T794,0)</x:f>
        <x:v>3180.1225</x:v>
      </x:c>
      <x:c r="V795" s="20" t="n">
        <x:f>T795-U795</x:f>
        <x:v>2690.1225</x:v>
      </x:c>
      <x:c r="W795" s="20" t="n">
        <x:f>R795+V795</x:f>
        <x:v>37855.1225</x:v>
      </x:c>
      <x:c r="X795" s="14" t="str">
        <x:f>IF(ABS(W795-SUM(M795:Q795)-V795)&lt;0.01,"OK","Check")</x:f>
        <x:v>OK</x:v>
      </x:c>
    </x:row>
    <x:row r="796">
      <x:c r="A796" s="14" t="n">
        <x:v>2027</x:v>
      </x:c>
      <x:c r="B796" s="14" t="str">
        <x:v>Q3</x:v>
      </x:c>
      <x:c r="C796" s="14" t="n">
        <x:v>3</x:v>
      </x:c>
      <x:c r="D796" s="14" t="n">
        <x:v>95</x:v>
      </x:c>
      <x:c r="E796" s="14" t="str">
        <x:f>INDEX(Roster!$B$6:$B$108,MATCH(D796,Roster!$A$6:$A$108,0))</x:f>
      </x:c>
      <x:c r="F796" s="14" t="str">
        <x:f>INDEX(Roster!$F$6:$F$108,MATCH(D796,Roster!$A$6:$A$108,0))</x:f>
        <x:v>No</x:v>
      </x:c>
      <x:c r="G796" s="14" t="n">
        <x:f>INDEX(Inputs!$B$7:$D$7,1,MATCH(A796,Inputs!$B$6:$D$6,0))</x:f>
        <x:v>13</x:v>
      </x:c>
      <x:c r="H796" s="14" t="n">
        <x:f>MIN(=INDEX(Inputs!$B$7:$D$7,1,MATCH(A796,Inputs!$B$6:$D$6,0)),MAX(0,INDEX(Inputs!$B$14:$D$14,1,MATCH(A796,Inputs!$B$6:$D$6,0))-(C796-1)*=INDEX(Inputs!$B$7:$D$7,1,MATCH(A796,Inputs!$B$6:$D$6,0))))</x:f>
        <x:v>13</x:v>
      </x:c>
      <x:c r="I796" s="20" t="n">
        <x:f>INDEX(Inputs!$B$8:$D$8,1,MATCH(A796,Inputs!$B$6:$D$6,0))</x:f>
        <x:v>2395</x:v>
      </x:c>
      <x:c r="J796" s="20" t="n">
        <x:f>INDEX(Roster!$C$6:$C$108,MATCH(D796,Roster!$A$6:$A$108,0))*(1+INDEX(Inputs!$B$9:$D$9,1,MATCH(A796,Inputs!$B$6:$D$6,0)))</x:f>
        <x:v>200</x:v>
      </x:c>
      <x:c r="K796" s="20" t="n">
        <x:f>IF(=INDEX(Roster!$F$6:$F$108,MATCH(D796,Roster!$A$6:$A$108,0))="Yes",0,=INDEX(Inputs!$B$8:$D$8,1,MATCH(A796,Inputs!$B$6:$D$6,0))*IF(=INDEX(Roster!$B$6:$B$108,MATCH(D796,Roster!$A$6:$A$108,0))="Principal",INDEX(Inputs!$B$10:$D$10,1,MATCH(A796,Inputs!$B$6:$D$6,0)),IF(=INDEX(Roster!$B$6:$B$108,MATCH(D796,Roster!$A$6:$A$108,0))="Associate Principal",INDEX(Inputs!$B$11:$D$11,1,MATCH(A796,Inputs!$B$6:$D$6,0)),IF(=INDEX(Roster!$B$6:$B$108,MATCH(D796,Roster!$A$6:$A$108,0))="Assistant Principal",INDEX(Inputs!$B$12:$D$12,1,MATCH(A796,Inputs!$B$6:$D$6,0)),0))))</x:f>
        <x:v>0</x:v>
      </x:c>
      <x:c r="L796" s="20" t="n">
        <x:f>IF(INDEX(Roster!$D$6:$D$108,MATCH(D796,Roster!$A$6:$A$108,0))&gt;=25,INDEX(Inputs!$B$19:$D$19,1,MATCH(A796,Inputs!$B$6:$D$6,0)),IF(INDEX(Roster!$D$6:$D$108,MATCH(D796,Roster!$A$6:$A$108,0))&gt;=20,INDEX(Inputs!$B$18:$D$18,1,MATCH(A796,Inputs!$B$6:$D$6,0)),IF(INDEX(Roster!$D$6:$D$108,MATCH(D796,Roster!$A$6:$A$108,0))&gt;=15,INDEX(Inputs!$B$17:$D$17,1,MATCH(A796,Inputs!$B$6:$D$6,0)),IF(INDEX(Roster!$D$6:$D$108,MATCH(D796,Roster!$A$6:$A$108,0))&gt;=10,INDEX(Inputs!$B$16:$D$16,1,MATCH(A796,Inputs!$B$6:$D$6,0)),IF(INDEX(Roster!$D$6:$D$108,MATCH(D796,Roster!$A$6:$A$108,0))&gt;=5,INDEX(Inputs!$B$15:$D$15,1,MATCH(A796,Inputs!$B$6:$D$6,0)),0)))))</x:f>
        <x:v>80</x:v>
      </x:c>
      <x:c r="M796" s="20" t="n">
        <x:f>G796*I796</x:f>
        <x:v>31135</x:v>
      </x:c>
      <x:c r="N796" s="20" t="n">
        <x:f>G796*J796</x:f>
        <x:v>2600</x:v>
      </x:c>
      <x:c r="O796" s="20" t="n">
        <x:f>G796*K796</x:f>
        <x:v>0</x:v>
      </x:c>
      <x:c r="P796" s="20" t="n">
        <x:f>G796*L796</x:f>
        <x:v>1040</x:v>
      </x:c>
      <x:c r="Q796" s="20" t="n">
        <x:f>H796*INDEX(Inputs!$B$13:$D$13,1,MATCH(A796,Inputs!$B$6:$D$6,0))</x:f>
        <x:v>390</x:v>
      </x:c>
      <x:c r="R796" s="20" t="n">
        <x:f>SUM(M796:Q796)</x:f>
        <x:v>35165</x:v>
      </x:c>
      <x:c r="S796" s="20" t="n">
        <x:f>IF(AND(A795=A796,D795=D796),S795+R796,R796)</x:f>
        <x:v>105495</x:v>
      </x:c>
      <x:c r="T796" s="20" t="n">
        <x:f>MIN(S796,INDEX(Inputs!$B$20:$D$20,1,MATCH(A796,Inputs!$B$6:$D$6,0)))*INDEX(Inputs!$B$22:$D$22,1,MATCH(A796,Inputs!$B$6:$D$6,0))+MAX(MIN(S796,INDEX(Inputs!$B$21:$D$21,1,MATCH(A796,Inputs!$B$6:$D$6,0)))-INDEX(Inputs!$B$20:$D$20,1,MATCH(A796,Inputs!$B$6:$D$6,0)),0)*INDEX(Inputs!$B$23:$D$23,1,MATCH(A796,Inputs!$B$6:$D$6,0))+MAX(S796-INDEX(Inputs!$B$21:$D$21,1,MATCH(A796,Inputs!$B$6:$D$6,0)),0)*INDEX(Inputs!$B$24:$D$24,1,MATCH(A796,Inputs!$B$6:$D$6,0))</x:f>
        <x:v>8560.3675</x:v>
      </x:c>
      <x:c r="U796" s="20" t="n">
        <x:f>IF(AND(A795=A796,D795=D796),T795,0)</x:f>
        <x:v>5870.245</x:v>
      </x:c>
      <x:c r="V796" s="20" t="n">
        <x:f>T796-U796</x:f>
        <x:v>2690.1225000000004</x:v>
      </x:c>
      <x:c r="W796" s="20" t="n">
        <x:f>R796+V796</x:f>
        <x:v>37855.1225</x:v>
      </x:c>
      <x:c r="X796" s="14" t="str">
        <x:f>IF(ABS(W796-SUM(M796:Q796)-V796)&lt;0.01,"OK","Check")</x:f>
        <x:v>OK</x:v>
      </x:c>
    </x:row>
    <x:row r="797">
      <x:c r="A797" s="14" t="n">
        <x:v>2027</x:v>
      </x:c>
      <x:c r="B797" s="14" t="str">
        <x:v>Q4</x:v>
      </x:c>
      <x:c r="C797" s="14" t="n">
        <x:v>4</x:v>
      </x:c>
      <x:c r="D797" s="14" t="n">
        <x:v>95</x:v>
      </x:c>
      <x:c r="E797" s="14" t="str">
        <x:f>INDEX(Roster!$B$6:$B$108,MATCH(D797,Roster!$A$6:$A$108,0))</x:f>
      </x:c>
      <x:c r="F797" s="14" t="str">
        <x:f>INDEX(Roster!$F$6:$F$108,MATCH(D797,Roster!$A$6:$A$108,0))</x:f>
        <x:v>No</x:v>
      </x:c>
      <x:c r="G797" s="14" t="n">
        <x:f>INDEX(Inputs!$B$7:$D$7,1,MATCH(A797,Inputs!$B$6:$D$6,0))</x:f>
        <x:v>13</x:v>
      </x:c>
      <x:c r="H797" s="14" t="n">
        <x:f>MIN(=INDEX(Inputs!$B$7:$D$7,1,MATCH(A797,Inputs!$B$6:$D$6,0)),MAX(0,INDEX(Inputs!$B$14:$D$14,1,MATCH(A797,Inputs!$B$6:$D$6,0))-(C797-1)*=INDEX(Inputs!$B$7:$D$7,1,MATCH(A797,Inputs!$B$6:$D$6,0))))</x:f>
        <x:v>0</x:v>
      </x:c>
      <x:c r="I797" s="20" t="n">
        <x:f>INDEX(Inputs!$B$8:$D$8,1,MATCH(A797,Inputs!$B$6:$D$6,0))</x:f>
        <x:v>2395</x:v>
      </x:c>
      <x:c r="J797" s="20" t="n">
        <x:f>INDEX(Roster!$C$6:$C$108,MATCH(D797,Roster!$A$6:$A$108,0))*(1+INDEX(Inputs!$B$9:$D$9,1,MATCH(A797,Inputs!$B$6:$D$6,0)))</x:f>
        <x:v>200</x:v>
      </x:c>
      <x:c r="K797" s="20" t="n">
        <x:f>IF(=INDEX(Roster!$F$6:$F$108,MATCH(D797,Roster!$A$6:$A$108,0))="Yes",0,=INDEX(Inputs!$B$8:$D$8,1,MATCH(A797,Inputs!$B$6:$D$6,0))*IF(=INDEX(Roster!$B$6:$B$108,MATCH(D797,Roster!$A$6:$A$108,0))="Principal",INDEX(Inputs!$B$10:$D$10,1,MATCH(A797,Inputs!$B$6:$D$6,0)),IF(=INDEX(Roster!$B$6:$B$108,MATCH(D797,Roster!$A$6:$A$108,0))="Associate Principal",INDEX(Inputs!$B$11:$D$11,1,MATCH(A797,Inputs!$B$6:$D$6,0)),IF(=INDEX(Roster!$B$6:$B$108,MATCH(D797,Roster!$A$6:$A$108,0))="Assistant Principal",INDEX(Inputs!$B$12:$D$12,1,MATCH(A797,Inputs!$B$6:$D$6,0)),0))))</x:f>
        <x:v>0</x:v>
      </x:c>
      <x:c r="L797" s="20" t="n">
        <x:f>IF(INDEX(Roster!$D$6:$D$108,MATCH(D797,Roster!$A$6:$A$108,0))&gt;=25,INDEX(Inputs!$B$19:$D$19,1,MATCH(A797,Inputs!$B$6:$D$6,0)),IF(INDEX(Roster!$D$6:$D$108,MATCH(D797,Roster!$A$6:$A$108,0))&gt;=20,INDEX(Inputs!$B$18:$D$18,1,MATCH(A797,Inputs!$B$6:$D$6,0)),IF(INDEX(Roster!$D$6:$D$108,MATCH(D797,Roster!$A$6:$A$108,0))&gt;=15,INDEX(Inputs!$B$17:$D$17,1,MATCH(A797,Inputs!$B$6:$D$6,0)),IF(INDEX(Roster!$D$6:$D$108,MATCH(D797,Roster!$A$6:$A$108,0))&gt;=10,INDEX(Inputs!$B$16:$D$16,1,MATCH(A797,Inputs!$B$6:$D$6,0)),IF(INDEX(Roster!$D$6:$D$108,MATCH(D797,Roster!$A$6:$A$108,0))&gt;=5,INDEX(Inputs!$B$15:$D$15,1,MATCH(A797,Inputs!$B$6:$D$6,0)),0)))))</x:f>
        <x:v>80</x:v>
      </x:c>
      <x:c r="M797" s="20" t="n">
        <x:f>G797*I797</x:f>
        <x:v>31135</x:v>
      </x:c>
      <x:c r="N797" s="20" t="n">
        <x:f>G797*J797</x:f>
        <x:v>2600</x:v>
      </x:c>
      <x:c r="O797" s="20" t="n">
        <x:f>G797*K797</x:f>
        <x:v>0</x:v>
      </x:c>
      <x:c r="P797" s="20" t="n">
        <x:f>G797*L797</x:f>
        <x:v>1040</x:v>
      </x:c>
      <x:c r="Q797" s="20" t="n">
        <x:f>H797*INDEX(Inputs!$B$13:$D$13,1,MATCH(A797,Inputs!$B$6:$D$6,0))</x:f>
        <x:v>0</x:v>
      </x:c>
      <x:c r="R797" s="20" t="n">
        <x:f>SUM(M797:Q797)</x:f>
        <x:v>34775</x:v>
      </x:c>
      <x:c r="S797" s="20" t="n">
        <x:f>IF(AND(A796=A797,D796=D797),S796+R797,R797)</x:f>
        <x:v>140270</x:v>
      </x:c>
      <x:c r="T797" s="20" t="n">
        <x:f>MIN(S797,INDEX(Inputs!$B$20:$D$20,1,MATCH(A797,Inputs!$B$6:$D$6,0)))*INDEX(Inputs!$B$22:$D$22,1,MATCH(A797,Inputs!$B$6:$D$6,0))+MAX(MIN(S797,INDEX(Inputs!$B$21:$D$21,1,MATCH(A797,Inputs!$B$6:$D$6,0)))-INDEX(Inputs!$B$20:$D$20,1,MATCH(A797,Inputs!$B$6:$D$6,0)),0)*INDEX(Inputs!$B$23:$D$23,1,MATCH(A797,Inputs!$B$6:$D$6,0))+MAX(S797-INDEX(Inputs!$B$21:$D$21,1,MATCH(A797,Inputs!$B$6:$D$6,0)),0)*INDEX(Inputs!$B$24:$D$24,1,MATCH(A797,Inputs!$B$6:$D$6,0))</x:f>
        <x:v>9947.857</x:v>
      </x:c>
      <x:c r="U797" s="20" t="n">
        <x:f>IF(AND(A796=A797,D796=D797),T796,0)</x:f>
        <x:v>8560.3675</x:v>
      </x:c>
      <x:c r="V797" s="20" t="n">
        <x:f>T797-U797</x:f>
        <x:v>1387.4894999999997</x:v>
      </x:c>
      <x:c r="W797" s="20" t="n">
        <x:f>R797+V797</x:f>
        <x:v>36162.489499999996</x:v>
      </x:c>
      <x:c r="X797" s="14" t="str">
        <x:f>IF(ABS(W797-SUM(M797:Q797)-V797)&lt;0.01,"OK","Check")</x:f>
        <x:v>OK</x:v>
      </x:c>
    </x:row>
    <x:row r="798">
      <x:c r="A798" s="14" t="n">
        <x:v>2027</x:v>
      </x:c>
      <x:c r="B798" s="14" t="str">
        <x:v>Q1</x:v>
      </x:c>
      <x:c r="C798" s="14" t="n">
        <x:v>1</x:v>
      </x:c>
      <x:c r="D798" s="14" t="n">
        <x:v>96</x:v>
      </x:c>
      <x:c r="E798" s="14" t="str">
        <x:f>INDEX(Roster!$B$6:$B$108,MATCH(D798,Roster!$A$6:$A$108,0))</x:f>
      </x:c>
      <x:c r="F798" s="14" t="str">
        <x:f>INDEX(Roster!$F$6:$F$108,MATCH(D798,Roster!$A$6:$A$108,0))</x:f>
        <x:v>No</x:v>
      </x:c>
      <x:c r="G798" s="14" t="n">
        <x:f>INDEX(Inputs!$B$7:$D$7,1,MATCH(A798,Inputs!$B$6:$D$6,0))</x:f>
        <x:v>13</x:v>
      </x:c>
      <x:c r="H798" s="14" t="n">
        <x:f>MIN(=INDEX(Inputs!$B$7:$D$7,1,MATCH(A798,Inputs!$B$6:$D$6,0)),MAX(0,INDEX(Inputs!$B$14:$D$14,1,MATCH(A798,Inputs!$B$6:$D$6,0))-(C798-1)*=INDEX(Inputs!$B$7:$D$7,1,MATCH(A798,Inputs!$B$6:$D$6,0))))</x:f>
        <x:v>13</x:v>
      </x:c>
      <x:c r="I798" s="20" t="n">
        <x:f>INDEX(Inputs!$B$8:$D$8,1,MATCH(A798,Inputs!$B$6:$D$6,0))</x:f>
        <x:v>2395</x:v>
      </x:c>
      <x:c r="J798" s="20" t="n">
        <x:f>INDEX(Roster!$C$6:$C$108,MATCH(D798,Roster!$A$6:$A$108,0))*(1+INDEX(Inputs!$B$9:$D$9,1,MATCH(A798,Inputs!$B$6:$D$6,0)))</x:f>
        <x:v>120</x:v>
      </x:c>
      <x:c r="K798" s="20" t="n">
        <x:f>IF(=INDEX(Roster!$F$6:$F$108,MATCH(D798,Roster!$A$6:$A$108,0))="Yes",0,=INDEX(Inputs!$B$8:$D$8,1,MATCH(A798,Inputs!$B$6:$D$6,0))*IF(=INDEX(Roster!$B$6:$B$108,MATCH(D798,Roster!$A$6:$A$108,0))="Principal",INDEX(Inputs!$B$10:$D$10,1,MATCH(A798,Inputs!$B$6:$D$6,0)),IF(=INDEX(Roster!$B$6:$B$108,MATCH(D798,Roster!$A$6:$A$108,0))="Associate Principal",INDEX(Inputs!$B$11:$D$11,1,MATCH(A798,Inputs!$B$6:$D$6,0)),IF(=INDEX(Roster!$B$6:$B$108,MATCH(D798,Roster!$A$6:$A$108,0))="Assistant Principal",INDEX(Inputs!$B$12:$D$12,1,MATCH(A798,Inputs!$B$6:$D$6,0)),0))))</x:f>
        <x:v>0</x:v>
      </x:c>
      <x:c r="L798" s="20" t="n">
        <x:f>IF(INDEX(Roster!$D$6:$D$108,MATCH(D798,Roster!$A$6:$A$108,0))&gt;=25,INDEX(Inputs!$B$19:$D$19,1,MATCH(A798,Inputs!$B$6:$D$6,0)),IF(INDEX(Roster!$D$6:$D$108,MATCH(D798,Roster!$A$6:$A$108,0))&gt;=20,INDEX(Inputs!$B$18:$D$18,1,MATCH(A798,Inputs!$B$6:$D$6,0)),IF(INDEX(Roster!$D$6:$D$108,MATCH(D798,Roster!$A$6:$A$108,0))&gt;=15,INDEX(Inputs!$B$17:$D$17,1,MATCH(A798,Inputs!$B$6:$D$6,0)),IF(INDEX(Roster!$D$6:$D$108,MATCH(D798,Roster!$A$6:$A$108,0))&gt;=10,INDEX(Inputs!$B$16:$D$16,1,MATCH(A798,Inputs!$B$6:$D$6,0)),IF(INDEX(Roster!$D$6:$D$108,MATCH(D798,Roster!$A$6:$A$108,0))&gt;=5,INDEX(Inputs!$B$15:$D$15,1,MATCH(A798,Inputs!$B$6:$D$6,0)),0)))))</x:f>
        <x:v>70</x:v>
      </x:c>
      <x:c r="M798" s="20" t="n">
        <x:f>G798*I798</x:f>
        <x:v>31135</x:v>
      </x:c>
      <x:c r="N798" s="20" t="n">
        <x:f>G798*J798</x:f>
        <x:v>1560</x:v>
      </x:c>
      <x:c r="O798" s="20" t="n">
        <x:f>G798*K798</x:f>
        <x:v>0</x:v>
      </x:c>
      <x:c r="P798" s="20" t="n">
        <x:f>G798*L798</x:f>
        <x:v>910</x:v>
      </x:c>
      <x:c r="Q798" s="20" t="n">
        <x:f>H798*INDEX(Inputs!$B$13:$D$13,1,MATCH(A798,Inputs!$B$6:$D$6,0))</x:f>
        <x:v>390</x:v>
      </x:c>
      <x:c r="R798" s="20" t="n">
        <x:f>SUM(M798:Q798)</x:f>
        <x:v>33995</x:v>
      </x:c>
      <x:c r="S798" s="20" t="n">
        <x:f>IF(AND(A797=A798,D797=D798),S797+R798,R798)</x:f>
        <x:v>33995</x:v>
      </x:c>
      <x:c r="T798" s="20" t="n">
        <x:f>MIN(S798,INDEX(Inputs!$B$20:$D$20,1,MATCH(A798,Inputs!$B$6:$D$6,0)))*INDEX(Inputs!$B$22:$D$22,1,MATCH(A798,Inputs!$B$6:$D$6,0))+MAX(MIN(S798,INDEX(Inputs!$B$21:$D$21,1,MATCH(A798,Inputs!$B$6:$D$6,0)))-INDEX(Inputs!$B$20:$D$20,1,MATCH(A798,Inputs!$B$6:$D$6,0)),0)*INDEX(Inputs!$B$23:$D$23,1,MATCH(A798,Inputs!$B$6:$D$6,0))+MAX(S798-INDEX(Inputs!$B$21:$D$21,1,MATCH(A798,Inputs!$B$6:$D$6,0)),0)*INDEX(Inputs!$B$24:$D$24,1,MATCH(A798,Inputs!$B$6:$D$6,0))</x:f>
        <x:v>3090.6175</x:v>
      </x:c>
      <x:c r="U798" s="20" t="n">
        <x:f>IF(AND(A797=A798,D797=D798),T797,0)</x:f>
        <x:v>0</x:v>
      </x:c>
      <x:c r="V798" s="20" t="n">
        <x:f>T798-U798</x:f>
        <x:v>3090.6175</x:v>
      </x:c>
      <x:c r="W798" s="20" t="n">
        <x:f>R798+V798</x:f>
        <x:v>37085.6175</x:v>
      </x:c>
      <x:c r="X798" s="14" t="str">
        <x:f>IF(ABS(W798-SUM(M798:Q798)-V798)&lt;0.01,"OK","Check")</x:f>
        <x:v>OK</x:v>
      </x:c>
    </x:row>
    <x:row r="799">
      <x:c r="A799" s="14" t="n">
        <x:v>2027</x:v>
      </x:c>
      <x:c r="B799" s="14" t="str">
        <x:v>Q2</x:v>
      </x:c>
      <x:c r="C799" s="14" t="n">
        <x:v>2</x:v>
      </x:c>
      <x:c r="D799" s="14" t="n">
        <x:v>96</x:v>
      </x:c>
      <x:c r="E799" s="14" t="str">
        <x:f>INDEX(Roster!$B$6:$B$108,MATCH(D799,Roster!$A$6:$A$108,0))</x:f>
      </x:c>
      <x:c r="F799" s="14" t="str">
        <x:f>INDEX(Roster!$F$6:$F$108,MATCH(D799,Roster!$A$6:$A$108,0))</x:f>
        <x:v>No</x:v>
      </x:c>
      <x:c r="G799" s="14" t="n">
        <x:f>INDEX(Inputs!$B$7:$D$7,1,MATCH(A799,Inputs!$B$6:$D$6,0))</x:f>
        <x:v>13</x:v>
      </x:c>
      <x:c r="H799" s="14" t="n">
        <x:f>MIN(=INDEX(Inputs!$B$7:$D$7,1,MATCH(A799,Inputs!$B$6:$D$6,0)),MAX(0,INDEX(Inputs!$B$14:$D$14,1,MATCH(A799,Inputs!$B$6:$D$6,0))-(C799-1)*=INDEX(Inputs!$B$7:$D$7,1,MATCH(A799,Inputs!$B$6:$D$6,0))))</x:f>
        <x:v>13</x:v>
      </x:c>
      <x:c r="I799" s="20" t="n">
        <x:f>INDEX(Inputs!$B$8:$D$8,1,MATCH(A799,Inputs!$B$6:$D$6,0))</x:f>
        <x:v>2395</x:v>
      </x:c>
      <x:c r="J799" s="20" t="n">
        <x:f>INDEX(Roster!$C$6:$C$108,MATCH(D799,Roster!$A$6:$A$108,0))*(1+INDEX(Inputs!$B$9:$D$9,1,MATCH(A799,Inputs!$B$6:$D$6,0)))</x:f>
        <x:v>120</x:v>
      </x:c>
      <x:c r="K799" s="20" t="n">
        <x:f>IF(=INDEX(Roster!$F$6:$F$108,MATCH(D799,Roster!$A$6:$A$108,0))="Yes",0,=INDEX(Inputs!$B$8:$D$8,1,MATCH(A799,Inputs!$B$6:$D$6,0))*IF(=INDEX(Roster!$B$6:$B$108,MATCH(D799,Roster!$A$6:$A$108,0))="Principal",INDEX(Inputs!$B$10:$D$10,1,MATCH(A799,Inputs!$B$6:$D$6,0)),IF(=INDEX(Roster!$B$6:$B$108,MATCH(D799,Roster!$A$6:$A$108,0))="Associate Principal",INDEX(Inputs!$B$11:$D$11,1,MATCH(A799,Inputs!$B$6:$D$6,0)),IF(=INDEX(Roster!$B$6:$B$108,MATCH(D799,Roster!$A$6:$A$108,0))="Assistant Principal",INDEX(Inputs!$B$12:$D$12,1,MATCH(A799,Inputs!$B$6:$D$6,0)),0))))</x:f>
        <x:v>0</x:v>
      </x:c>
      <x:c r="L799" s="20" t="n">
        <x:f>IF(INDEX(Roster!$D$6:$D$108,MATCH(D799,Roster!$A$6:$A$108,0))&gt;=25,INDEX(Inputs!$B$19:$D$19,1,MATCH(A799,Inputs!$B$6:$D$6,0)),IF(INDEX(Roster!$D$6:$D$108,MATCH(D799,Roster!$A$6:$A$108,0))&gt;=20,INDEX(Inputs!$B$18:$D$18,1,MATCH(A799,Inputs!$B$6:$D$6,0)),IF(INDEX(Roster!$D$6:$D$108,MATCH(D799,Roster!$A$6:$A$108,0))&gt;=15,INDEX(Inputs!$B$17:$D$17,1,MATCH(A799,Inputs!$B$6:$D$6,0)),IF(INDEX(Roster!$D$6:$D$108,MATCH(D799,Roster!$A$6:$A$108,0))&gt;=10,INDEX(Inputs!$B$16:$D$16,1,MATCH(A799,Inputs!$B$6:$D$6,0)),IF(INDEX(Roster!$D$6:$D$108,MATCH(D799,Roster!$A$6:$A$108,0))&gt;=5,INDEX(Inputs!$B$15:$D$15,1,MATCH(A799,Inputs!$B$6:$D$6,0)),0)))))</x:f>
        <x:v>70</x:v>
      </x:c>
      <x:c r="M799" s="20" t="n">
        <x:f>G799*I799</x:f>
        <x:v>31135</x:v>
      </x:c>
      <x:c r="N799" s="20" t="n">
        <x:f>G799*J799</x:f>
        <x:v>1560</x:v>
      </x:c>
      <x:c r="O799" s="20" t="n">
        <x:f>G799*K799</x:f>
        <x:v>0</x:v>
      </x:c>
      <x:c r="P799" s="20" t="n">
        <x:f>G799*L799</x:f>
        <x:v>910</x:v>
      </x:c>
      <x:c r="Q799" s="20" t="n">
        <x:f>H799*INDEX(Inputs!$B$13:$D$13,1,MATCH(A799,Inputs!$B$6:$D$6,0))</x:f>
        <x:v>390</x:v>
      </x:c>
      <x:c r="R799" s="20" t="n">
        <x:f>SUM(M799:Q799)</x:f>
        <x:v>33995</x:v>
      </x:c>
      <x:c r="S799" s="20" t="n">
        <x:f>IF(AND(A798=A799,D798=D799),S798+R799,R799)</x:f>
        <x:v>67990</x:v>
      </x:c>
      <x:c r="T799" s="20" t="n">
        <x:f>MIN(S799,INDEX(Inputs!$B$20:$D$20,1,MATCH(A799,Inputs!$B$6:$D$6,0)))*INDEX(Inputs!$B$22:$D$22,1,MATCH(A799,Inputs!$B$6:$D$6,0))+MAX(MIN(S799,INDEX(Inputs!$B$21:$D$21,1,MATCH(A799,Inputs!$B$6:$D$6,0)))-INDEX(Inputs!$B$20:$D$20,1,MATCH(A799,Inputs!$B$6:$D$6,0)),0)*INDEX(Inputs!$B$23:$D$23,1,MATCH(A799,Inputs!$B$6:$D$6,0))+MAX(S799-INDEX(Inputs!$B$21:$D$21,1,MATCH(A799,Inputs!$B$6:$D$6,0)),0)*INDEX(Inputs!$B$24:$D$24,1,MATCH(A799,Inputs!$B$6:$D$6,0))</x:f>
        <x:v>5691.235</x:v>
      </x:c>
      <x:c r="U799" s="20" t="n">
        <x:f>IF(AND(A798=A799,D798=D799),T798,0)</x:f>
        <x:v>3090.6175</x:v>
      </x:c>
      <x:c r="V799" s="20" t="n">
        <x:f>T799-U799</x:f>
        <x:v>2600.6175</x:v>
      </x:c>
      <x:c r="W799" s="20" t="n">
        <x:f>R799+V799</x:f>
        <x:v>36595.6175</x:v>
      </x:c>
      <x:c r="X799" s="14" t="str">
        <x:f>IF(ABS(W799-SUM(M799:Q799)-V799)&lt;0.01,"OK","Check")</x:f>
        <x:v>OK</x:v>
      </x:c>
    </x:row>
    <x:row r="800">
      <x:c r="A800" s="14" t="n">
        <x:v>2027</x:v>
      </x:c>
      <x:c r="B800" s="14" t="str">
        <x:v>Q3</x:v>
      </x:c>
      <x:c r="C800" s="14" t="n">
        <x:v>3</x:v>
      </x:c>
      <x:c r="D800" s="14" t="n">
        <x:v>96</x:v>
      </x:c>
      <x:c r="E800" s="14" t="str">
        <x:f>INDEX(Roster!$B$6:$B$108,MATCH(D800,Roster!$A$6:$A$108,0))</x:f>
      </x:c>
      <x:c r="F800" s="14" t="str">
        <x:f>INDEX(Roster!$F$6:$F$108,MATCH(D800,Roster!$A$6:$A$108,0))</x:f>
        <x:v>No</x:v>
      </x:c>
      <x:c r="G800" s="14" t="n">
        <x:f>INDEX(Inputs!$B$7:$D$7,1,MATCH(A800,Inputs!$B$6:$D$6,0))</x:f>
        <x:v>13</x:v>
      </x:c>
      <x:c r="H800" s="14" t="n">
        <x:f>MIN(=INDEX(Inputs!$B$7:$D$7,1,MATCH(A800,Inputs!$B$6:$D$6,0)),MAX(0,INDEX(Inputs!$B$14:$D$14,1,MATCH(A800,Inputs!$B$6:$D$6,0))-(C800-1)*=INDEX(Inputs!$B$7:$D$7,1,MATCH(A800,Inputs!$B$6:$D$6,0))))</x:f>
        <x:v>13</x:v>
      </x:c>
      <x:c r="I800" s="20" t="n">
        <x:f>INDEX(Inputs!$B$8:$D$8,1,MATCH(A800,Inputs!$B$6:$D$6,0))</x:f>
        <x:v>2395</x:v>
      </x:c>
      <x:c r="J800" s="20" t="n">
        <x:f>INDEX(Roster!$C$6:$C$108,MATCH(D800,Roster!$A$6:$A$108,0))*(1+INDEX(Inputs!$B$9:$D$9,1,MATCH(A800,Inputs!$B$6:$D$6,0)))</x:f>
        <x:v>120</x:v>
      </x:c>
      <x:c r="K800" s="20" t="n">
        <x:f>IF(=INDEX(Roster!$F$6:$F$108,MATCH(D800,Roster!$A$6:$A$108,0))="Yes",0,=INDEX(Inputs!$B$8:$D$8,1,MATCH(A800,Inputs!$B$6:$D$6,0))*IF(=INDEX(Roster!$B$6:$B$108,MATCH(D800,Roster!$A$6:$A$108,0))="Principal",INDEX(Inputs!$B$10:$D$10,1,MATCH(A800,Inputs!$B$6:$D$6,0)),IF(=INDEX(Roster!$B$6:$B$108,MATCH(D800,Roster!$A$6:$A$108,0))="Associate Principal",INDEX(Inputs!$B$11:$D$11,1,MATCH(A800,Inputs!$B$6:$D$6,0)),IF(=INDEX(Roster!$B$6:$B$108,MATCH(D800,Roster!$A$6:$A$108,0))="Assistant Principal",INDEX(Inputs!$B$12:$D$12,1,MATCH(A800,Inputs!$B$6:$D$6,0)),0))))</x:f>
        <x:v>0</x:v>
      </x:c>
      <x:c r="L800" s="20" t="n">
        <x:f>IF(INDEX(Roster!$D$6:$D$108,MATCH(D800,Roster!$A$6:$A$108,0))&gt;=25,INDEX(Inputs!$B$19:$D$19,1,MATCH(A800,Inputs!$B$6:$D$6,0)),IF(INDEX(Roster!$D$6:$D$108,MATCH(D800,Roster!$A$6:$A$108,0))&gt;=20,INDEX(Inputs!$B$18:$D$18,1,MATCH(A800,Inputs!$B$6:$D$6,0)),IF(INDEX(Roster!$D$6:$D$108,MATCH(D800,Roster!$A$6:$A$108,0))&gt;=15,INDEX(Inputs!$B$17:$D$17,1,MATCH(A800,Inputs!$B$6:$D$6,0)),IF(INDEX(Roster!$D$6:$D$108,MATCH(D800,Roster!$A$6:$A$108,0))&gt;=10,INDEX(Inputs!$B$16:$D$16,1,MATCH(A800,Inputs!$B$6:$D$6,0)),IF(INDEX(Roster!$D$6:$D$108,MATCH(D800,Roster!$A$6:$A$108,0))&gt;=5,INDEX(Inputs!$B$15:$D$15,1,MATCH(A800,Inputs!$B$6:$D$6,0)),0)))))</x:f>
        <x:v>70</x:v>
      </x:c>
      <x:c r="M800" s="20" t="n">
        <x:f>G800*I800</x:f>
        <x:v>31135</x:v>
      </x:c>
      <x:c r="N800" s="20" t="n">
        <x:f>G800*J800</x:f>
        <x:v>1560</x:v>
      </x:c>
      <x:c r="O800" s="20" t="n">
        <x:f>G800*K800</x:f>
        <x:v>0</x:v>
      </x:c>
      <x:c r="P800" s="20" t="n">
        <x:f>G800*L800</x:f>
        <x:v>910</x:v>
      </x:c>
      <x:c r="Q800" s="20" t="n">
        <x:f>H800*INDEX(Inputs!$B$13:$D$13,1,MATCH(A800,Inputs!$B$6:$D$6,0))</x:f>
        <x:v>390</x:v>
      </x:c>
      <x:c r="R800" s="20" t="n">
        <x:f>SUM(M800:Q800)</x:f>
        <x:v>33995</x:v>
      </x:c>
      <x:c r="S800" s="20" t="n">
        <x:f>IF(AND(A799=A800,D799=D800),S799+R800,R800)</x:f>
        <x:v>101985</x:v>
      </x:c>
      <x:c r="T800" s="20" t="n">
        <x:f>MIN(S800,INDEX(Inputs!$B$20:$D$20,1,MATCH(A800,Inputs!$B$6:$D$6,0)))*INDEX(Inputs!$B$22:$D$22,1,MATCH(A800,Inputs!$B$6:$D$6,0))+MAX(MIN(S800,INDEX(Inputs!$B$21:$D$21,1,MATCH(A800,Inputs!$B$6:$D$6,0)))-INDEX(Inputs!$B$20:$D$20,1,MATCH(A800,Inputs!$B$6:$D$6,0)),0)*INDEX(Inputs!$B$23:$D$23,1,MATCH(A800,Inputs!$B$6:$D$6,0))+MAX(S800-INDEX(Inputs!$B$21:$D$21,1,MATCH(A800,Inputs!$B$6:$D$6,0)),0)*INDEX(Inputs!$B$24:$D$24,1,MATCH(A800,Inputs!$B$6:$D$6,0))</x:f>
        <x:v>8291.8525</x:v>
      </x:c>
      <x:c r="U800" s="20" t="n">
        <x:f>IF(AND(A799=A800,D799=D800),T799,0)</x:f>
        <x:v>5691.235</x:v>
      </x:c>
      <x:c r="V800" s="20" t="n">
        <x:f>T800-U800</x:f>
        <x:v>2600.617500000001</x:v>
      </x:c>
      <x:c r="W800" s="20" t="n">
        <x:f>R800+V800</x:f>
        <x:v>36595.6175</x:v>
      </x:c>
      <x:c r="X800" s="14" t="str">
        <x:f>IF(ABS(W800-SUM(M800:Q800)-V800)&lt;0.01,"OK","Check")</x:f>
        <x:v>OK</x:v>
      </x:c>
    </x:row>
    <x:row r="801">
      <x:c r="A801" s="14" t="n">
        <x:v>2027</x:v>
      </x:c>
      <x:c r="B801" s="14" t="str">
        <x:v>Q4</x:v>
      </x:c>
      <x:c r="C801" s="14" t="n">
        <x:v>4</x:v>
      </x:c>
      <x:c r="D801" s="14" t="n">
        <x:v>96</x:v>
      </x:c>
      <x:c r="E801" s="14" t="str">
        <x:f>INDEX(Roster!$B$6:$B$108,MATCH(D801,Roster!$A$6:$A$108,0))</x:f>
      </x:c>
      <x:c r="F801" s="14" t="str">
        <x:f>INDEX(Roster!$F$6:$F$108,MATCH(D801,Roster!$A$6:$A$108,0))</x:f>
        <x:v>No</x:v>
      </x:c>
      <x:c r="G801" s="14" t="n">
        <x:f>INDEX(Inputs!$B$7:$D$7,1,MATCH(A801,Inputs!$B$6:$D$6,0))</x:f>
        <x:v>13</x:v>
      </x:c>
      <x:c r="H801" s="14" t="n">
        <x:f>MIN(=INDEX(Inputs!$B$7:$D$7,1,MATCH(A801,Inputs!$B$6:$D$6,0)),MAX(0,INDEX(Inputs!$B$14:$D$14,1,MATCH(A801,Inputs!$B$6:$D$6,0))-(C801-1)*=INDEX(Inputs!$B$7:$D$7,1,MATCH(A801,Inputs!$B$6:$D$6,0))))</x:f>
        <x:v>0</x:v>
      </x:c>
      <x:c r="I801" s="20" t="n">
        <x:f>INDEX(Inputs!$B$8:$D$8,1,MATCH(A801,Inputs!$B$6:$D$6,0))</x:f>
        <x:v>2395</x:v>
      </x:c>
      <x:c r="J801" s="20" t="n">
        <x:f>INDEX(Roster!$C$6:$C$108,MATCH(D801,Roster!$A$6:$A$108,0))*(1+INDEX(Inputs!$B$9:$D$9,1,MATCH(A801,Inputs!$B$6:$D$6,0)))</x:f>
        <x:v>120</x:v>
      </x:c>
      <x:c r="K801" s="20" t="n">
        <x:f>IF(=INDEX(Roster!$F$6:$F$108,MATCH(D801,Roster!$A$6:$A$108,0))="Yes",0,=INDEX(Inputs!$B$8:$D$8,1,MATCH(A801,Inputs!$B$6:$D$6,0))*IF(=INDEX(Roster!$B$6:$B$108,MATCH(D801,Roster!$A$6:$A$108,0))="Principal",INDEX(Inputs!$B$10:$D$10,1,MATCH(A801,Inputs!$B$6:$D$6,0)),IF(=INDEX(Roster!$B$6:$B$108,MATCH(D801,Roster!$A$6:$A$108,0))="Associate Principal",INDEX(Inputs!$B$11:$D$11,1,MATCH(A801,Inputs!$B$6:$D$6,0)),IF(=INDEX(Roster!$B$6:$B$108,MATCH(D801,Roster!$A$6:$A$108,0))="Assistant Principal",INDEX(Inputs!$B$12:$D$12,1,MATCH(A801,Inputs!$B$6:$D$6,0)),0))))</x:f>
        <x:v>0</x:v>
      </x:c>
      <x:c r="L801" s="20" t="n">
        <x:f>IF(INDEX(Roster!$D$6:$D$108,MATCH(D801,Roster!$A$6:$A$108,0))&gt;=25,INDEX(Inputs!$B$19:$D$19,1,MATCH(A801,Inputs!$B$6:$D$6,0)),IF(INDEX(Roster!$D$6:$D$108,MATCH(D801,Roster!$A$6:$A$108,0))&gt;=20,INDEX(Inputs!$B$18:$D$18,1,MATCH(A801,Inputs!$B$6:$D$6,0)),IF(INDEX(Roster!$D$6:$D$108,MATCH(D801,Roster!$A$6:$A$108,0))&gt;=15,INDEX(Inputs!$B$17:$D$17,1,MATCH(A801,Inputs!$B$6:$D$6,0)),IF(INDEX(Roster!$D$6:$D$108,MATCH(D801,Roster!$A$6:$A$108,0))&gt;=10,INDEX(Inputs!$B$16:$D$16,1,MATCH(A801,Inputs!$B$6:$D$6,0)),IF(INDEX(Roster!$D$6:$D$108,MATCH(D801,Roster!$A$6:$A$108,0))&gt;=5,INDEX(Inputs!$B$15:$D$15,1,MATCH(A801,Inputs!$B$6:$D$6,0)),0)))))</x:f>
        <x:v>70</x:v>
      </x:c>
      <x:c r="M801" s="20" t="n">
        <x:f>G801*I801</x:f>
        <x:v>31135</x:v>
      </x:c>
      <x:c r="N801" s="20" t="n">
        <x:f>G801*J801</x:f>
        <x:v>1560</x:v>
      </x:c>
      <x:c r="O801" s="20" t="n">
        <x:f>G801*K801</x:f>
        <x:v>0</x:v>
      </x:c>
      <x:c r="P801" s="20" t="n">
        <x:f>G801*L801</x:f>
        <x:v>910</x:v>
      </x:c>
      <x:c r="Q801" s="20" t="n">
        <x:f>H801*INDEX(Inputs!$B$13:$D$13,1,MATCH(A801,Inputs!$B$6:$D$6,0))</x:f>
        <x:v>0</x:v>
      </x:c>
      <x:c r="R801" s="20" t="n">
        <x:f>SUM(M801:Q801)</x:f>
        <x:v>33605</x:v>
      </x:c>
      <x:c r="S801" s="20" t="n">
        <x:f>IF(AND(A800=A801,D800=D801),S800+R801,R801)</x:f>
        <x:v>135590</x:v>
      </x:c>
      <x:c r="T801" s="20" t="n">
        <x:f>MIN(S801,INDEX(Inputs!$B$20:$D$20,1,MATCH(A801,Inputs!$B$6:$D$6,0)))*INDEX(Inputs!$B$22:$D$22,1,MATCH(A801,Inputs!$B$6:$D$6,0))+MAX(MIN(S801,INDEX(Inputs!$B$21:$D$21,1,MATCH(A801,Inputs!$B$6:$D$6,0)))-INDEX(Inputs!$B$20:$D$20,1,MATCH(A801,Inputs!$B$6:$D$6,0)),0)*INDEX(Inputs!$B$23:$D$23,1,MATCH(A801,Inputs!$B$6:$D$6,0))+MAX(S801-INDEX(Inputs!$B$21:$D$21,1,MATCH(A801,Inputs!$B$6:$D$6,0)),0)*INDEX(Inputs!$B$24:$D$24,1,MATCH(A801,Inputs!$B$6:$D$6,0))</x:f>
        <x:v>9879.997</x:v>
      </x:c>
      <x:c r="U801" s="20" t="n">
        <x:f>IF(AND(A800=A801,D800=D801),T800,0)</x:f>
        <x:v>8291.8525</x:v>
      </x:c>
      <x:c r="V801" s="20" t="n">
        <x:f>T801-U801</x:f>
        <x:v>1588.1444999999985</x:v>
      </x:c>
      <x:c r="W801" s="20" t="n">
        <x:f>R801+V801</x:f>
        <x:v>35193.144499999995</x:v>
      </x:c>
      <x:c r="X801" s="14" t="str">
        <x:f>IF(ABS(W801-SUM(M801:Q801)-V801)&lt;0.01,"OK","Check")</x:f>
        <x:v>OK</x:v>
      </x:c>
    </x:row>
    <x:row r="802">
      <x:c r="A802" s="14" t="n">
        <x:v>2027</x:v>
      </x:c>
      <x:c r="B802" s="14" t="str">
        <x:v>Q1</x:v>
      </x:c>
      <x:c r="C802" s="14" t="n">
        <x:v>1</x:v>
      </x:c>
      <x:c r="D802" s="14" t="n">
        <x:v>97</x:v>
      </x:c>
      <x:c r="E802" s="14" t="str">
        <x:f>INDEX(Roster!$B$6:$B$108,MATCH(D802,Roster!$A$6:$A$108,0))</x:f>
      </x:c>
      <x:c r="F802" s="14" t="str">
        <x:f>INDEX(Roster!$F$6:$F$108,MATCH(D802,Roster!$A$6:$A$108,0))</x:f>
        <x:v>No</x:v>
      </x:c>
      <x:c r="G802" s="14" t="n">
        <x:f>INDEX(Inputs!$B$7:$D$7,1,MATCH(A802,Inputs!$B$6:$D$6,0))</x:f>
        <x:v>13</x:v>
      </x:c>
      <x:c r="H802" s="14" t="n">
        <x:f>MIN(=INDEX(Inputs!$B$7:$D$7,1,MATCH(A802,Inputs!$B$6:$D$6,0)),MAX(0,INDEX(Inputs!$B$14:$D$14,1,MATCH(A802,Inputs!$B$6:$D$6,0))-(C802-1)*=INDEX(Inputs!$B$7:$D$7,1,MATCH(A802,Inputs!$B$6:$D$6,0))))</x:f>
        <x:v>13</x:v>
      </x:c>
      <x:c r="I802" s="20" t="n">
        <x:f>INDEX(Inputs!$B$8:$D$8,1,MATCH(A802,Inputs!$B$6:$D$6,0))</x:f>
        <x:v>2395</x:v>
      </x:c>
      <x:c r="J802" s="20" t="n">
        <x:f>INDEX(Roster!$C$6:$C$108,MATCH(D802,Roster!$A$6:$A$108,0))*(1+INDEX(Inputs!$B$9:$D$9,1,MATCH(A802,Inputs!$B$6:$D$6,0)))</x:f>
        <x:v>75</x:v>
      </x:c>
      <x:c r="K802" s="20" t="n">
        <x:f>IF(=INDEX(Roster!$F$6:$F$108,MATCH(D802,Roster!$A$6:$A$108,0))="Yes",0,=INDEX(Inputs!$B$8:$D$8,1,MATCH(A802,Inputs!$B$6:$D$6,0))*IF(=INDEX(Roster!$B$6:$B$108,MATCH(D802,Roster!$A$6:$A$108,0))="Principal",INDEX(Inputs!$B$10:$D$10,1,MATCH(A802,Inputs!$B$6:$D$6,0)),IF(=INDEX(Roster!$B$6:$B$108,MATCH(D802,Roster!$A$6:$A$108,0))="Associate Principal",INDEX(Inputs!$B$11:$D$11,1,MATCH(A802,Inputs!$B$6:$D$6,0)),IF(=INDEX(Roster!$B$6:$B$108,MATCH(D802,Roster!$A$6:$A$108,0))="Assistant Principal",INDEX(Inputs!$B$12:$D$12,1,MATCH(A802,Inputs!$B$6:$D$6,0)),0))))</x:f>
        <x:v>0</x:v>
      </x:c>
      <x:c r="L802" s="20" t="n">
        <x:f>IF(INDEX(Roster!$D$6:$D$108,MATCH(D802,Roster!$A$6:$A$108,0))&gt;=25,INDEX(Inputs!$B$19:$D$19,1,MATCH(A802,Inputs!$B$6:$D$6,0)),IF(INDEX(Roster!$D$6:$D$108,MATCH(D802,Roster!$A$6:$A$108,0))&gt;=20,INDEX(Inputs!$B$18:$D$18,1,MATCH(A802,Inputs!$B$6:$D$6,0)),IF(INDEX(Roster!$D$6:$D$108,MATCH(D802,Roster!$A$6:$A$108,0))&gt;=15,INDEX(Inputs!$B$17:$D$17,1,MATCH(A802,Inputs!$B$6:$D$6,0)),IF(INDEX(Roster!$D$6:$D$108,MATCH(D802,Roster!$A$6:$A$108,0))&gt;=10,INDEX(Inputs!$B$16:$D$16,1,MATCH(A802,Inputs!$B$6:$D$6,0)),IF(INDEX(Roster!$D$6:$D$108,MATCH(D802,Roster!$A$6:$A$108,0))&gt;=5,INDEX(Inputs!$B$15:$D$15,1,MATCH(A802,Inputs!$B$6:$D$6,0)),0)))))</x:f>
        <x:v>90</x:v>
      </x:c>
      <x:c r="M802" s="20" t="n">
        <x:f>G802*I802</x:f>
        <x:v>31135</x:v>
      </x:c>
      <x:c r="N802" s="20" t="n">
        <x:f>G802*J802</x:f>
        <x:v>975</x:v>
      </x:c>
      <x:c r="O802" s="20" t="n">
        <x:f>G802*K802</x:f>
        <x:v>0</x:v>
      </x:c>
      <x:c r="P802" s="20" t="n">
        <x:f>G802*L802</x:f>
        <x:v>1170</x:v>
      </x:c>
      <x:c r="Q802" s="20" t="n">
        <x:f>H802*INDEX(Inputs!$B$13:$D$13,1,MATCH(A802,Inputs!$B$6:$D$6,0))</x:f>
        <x:v>390</x:v>
      </x:c>
      <x:c r="R802" s="20" t="n">
        <x:f>SUM(M802:Q802)</x:f>
        <x:v>33670</x:v>
      </x:c>
      <x:c r="S802" s="20" t="n">
        <x:f>IF(AND(A801=A802,D801=D802),S801+R802,R802)</x:f>
        <x:v>33670</x:v>
      </x:c>
      <x:c r="T802" s="20" t="n">
        <x:f>MIN(S802,INDEX(Inputs!$B$20:$D$20,1,MATCH(A802,Inputs!$B$6:$D$6,0)))*INDEX(Inputs!$B$22:$D$22,1,MATCH(A802,Inputs!$B$6:$D$6,0))+MAX(MIN(S802,INDEX(Inputs!$B$21:$D$21,1,MATCH(A802,Inputs!$B$6:$D$6,0)))-INDEX(Inputs!$B$20:$D$20,1,MATCH(A802,Inputs!$B$6:$D$6,0)),0)*INDEX(Inputs!$B$23:$D$23,1,MATCH(A802,Inputs!$B$6:$D$6,0))+MAX(S802-INDEX(Inputs!$B$21:$D$21,1,MATCH(A802,Inputs!$B$6:$D$6,0)),0)*INDEX(Inputs!$B$24:$D$24,1,MATCH(A802,Inputs!$B$6:$D$6,0))</x:f>
        <x:v>3065.755</x:v>
      </x:c>
      <x:c r="U802" s="20" t="n">
        <x:f>IF(AND(A801=A802,D801=D802),T801,0)</x:f>
        <x:v>0</x:v>
      </x:c>
      <x:c r="V802" s="20" t="n">
        <x:f>T802-U802</x:f>
        <x:v>3065.755</x:v>
      </x:c>
      <x:c r="W802" s="20" t="n">
        <x:f>R802+V802</x:f>
        <x:v>36735.755</x:v>
      </x:c>
      <x:c r="X802" s="14" t="str">
        <x:f>IF(ABS(W802-SUM(M802:Q802)-V802)&lt;0.01,"OK","Check")</x:f>
        <x:v>OK</x:v>
      </x:c>
    </x:row>
    <x:row r="803">
      <x:c r="A803" s="14" t="n">
        <x:v>2027</x:v>
      </x:c>
      <x:c r="B803" s="14" t="str">
        <x:v>Q2</x:v>
      </x:c>
      <x:c r="C803" s="14" t="n">
        <x:v>2</x:v>
      </x:c>
      <x:c r="D803" s="14" t="n">
        <x:v>97</x:v>
      </x:c>
      <x:c r="E803" s="14" t="str">
        <x:f>INDEX(Roster!$B$6:$B$108,MATCH(D803,Roster!$A$6:$A$108,0))</x:f>
      </x:c>
      <x:c r="F803" s="14" t="str">
        <x:f>INDEX(Roster!$F$6:$F$108,MATCH(D803,Roster!$A$6:$A$108,0))</x:f>
        <x:v>No</x:v>
      </x:c>
      <x:c r="G803" s="14" t="n">
        <x:f>INDEX(Inputs!$B$7:$D$7,1,MATCH(A803,Inputs!$B$6:$D$6,0))</x:f>
        <x:v>13</x:v>
      </x:c>
      <x:c r="H803" s="14" t="n">
        <x:f>MIN(=INDEX(Inputs!$B$7:$D$7,1,MATCH(A803,Inputs!$B$6:$D$6,0)),MAX(0,INDEX(Inputs!$B$14:$D$14,1,MATCH(A803,Inputs!$B$6:$D$6,0))-(C803-1)*=INDEX(Inputs!$B$7:$D$7,1,MATCH(A803,Inputs!$B$6:$D$6,0))))</x:f>
        <x:v>13</x:v>
      </x:c>
      <x:c r="I803" s="20" t="n">
        <x:f>INDEX(Inputs!$B$8:$D$8,1,MATCH(A803,Inputs!$B$6:$D$6,0))</x:f>
        <x:v>2395</x:v>
      </x:c>
      <x:c r="J803" s="20" t="n">
        <x:f>INDEX(Roster!$C$6:$C$108,MATCH(D803,Roster!$A$6:$A$108,0))*(1+INDEX(Inputs!$B$9:$D$9,1,MATCH(A803,Inputs!$B$6:$D$6,0)))</x:f>
        <x:v>75</x:v>
      </x:c>
      <x:c r="K803" s="20" t="n">
        <x:f>IF(=INDEX(Roster!$F$6:$F$108,MATCH(D803,Roster!$A$6:$A$108,0))="Yes",0,=INDEX(Inputs!$B$8:$D$8,1,MATCH(A803,Inputs!$B$6:$D$6,0))*IF(=INDEX(Roster!$B$6:$B$108,MATCH(D803,Roster!$A$6:$A$108,0))="Principal",INDEX(Inputs!$B$10:$D$10,1,MATCH(A803,Inputs!$B$6:$D$6,0)),IF(=INDEX(Roster!$B$6:$B$108,MATCH(D803,Roster!$A$6:$A$108,0))="Associate Principal",INDEX(Inputs!$B$11:$D$11,1,MATCH(A803,Inputs!$B$6:$D$6,0)),IF(=INDEX(Roster!$B$6:$B$108,MATCH(D803,Roster!$A$6:$A$108,0))="Assistant Principal",INDEX(Inputs!$B$12:$D$12,1,MATCH(A803,Inputs!$B$6:$D$6,0)),0))))</x:f>
        <x:v>0</x:v>
      </x:c>
      <x:c r="L803" s="20" t="n">
        <x:f>IF(INDEX(Roster!$D$6:$D$108,MATCH(D803,Roster!$A$6:$A$108,0))&gt;=25,INDEX(Inputs!$B$19:$D$19,1,MATCH(A803,Inputs!$B$6:$D$6,0)),IF(INDEX(Roster!$D$6:$D$108,MATCH(D803,Roster!$A$6:$A$108,0))&gt;=20,INDEX(Inputs!$B$18:$D$18,1,MATCH(A803,Inputs!$B$6:$D$6,0)),IF(INDEX(Roster!$D$6:$D$108,MATCH(D803,Roster!$A$6:$A$108,0))&gt;=15,INDEX(Inputs!$B$17:$D$17,1,MATCH(A803,Inputs!$B$6:$D$6,0)),IF(INDEX(Roster!$D$6:$D$108,MATCH(D803,Roster!$A$6:$A$108,0))&gt;=10,INDEX(Inputs!$B$16:$D$16,1,MATCH(A803,Inputs!$B$6:$D$6,0)),IF(INDEX(Roster!$D$6:$D$108,MATCH(D803,Roster!$A$6:$A$108,0))&gt;=5,INDEX(Inputs!$B$15:$D$15,1,MATCH(A803,Inputs!$B$6:$D$6,0)),0)))))</x:f>
        <x:v>90</x:v>
      </x:c>
      <x:c r="M803" s="20" t="n">
        <x:f>G803*I803</x:f>
        <x:v>31135</x:v>
      </x:c>
      <x:c r="N803" s="20" t="n">
        <x:f>G803*J803</x:f>
        <x:v>975</x:v>
      </x:c>
      <x:c r="O803" s="20" t="n">
        <x:f>G803*K803</x:f>
        <x:v>0</x:v>
      </x:c>
      <x:c r="P803" s="20" t="n">
        <x:f>G803*L803</x:f>
        <x:v>1170</x:v>
      </x:c>
      <x:c r="Q803" s="20" t="n">
        <x:f>H803*INDEX(Inputs!$B$13:$D$13,1,MATCH(A803,Inputs!$B$6:$D$6,0))</x:f>
        <x:v>390</x:v>
      </x:c>
      <x:c r="R803" s="20" t="n">
        <x:f>SUM(M803:Q803)</x:f>
        <x:v>33670</x:v>
      </x:c>
      <x:c r="S803" s="20" t="n">
        <x:f>IF(AND(A802=A803,D802=D803),S802+R803,R803)</x:f>
        <x:v>67340</x:v>
      </x:c>
      <x:c r="T803" s="20" t="n">
        <x:f>MIN(S803,INDEX(Inputs!$B$20:$D$20,1,MATCH(A803,Inputs!$B$6:$D$6,0)))*INDEX(Inputs!$B$22:$D$22,1,MATCH(A803,Inputs!$B$6:$D$6,0))+MAX(MIN(S803,INDEX(Inputs!$B$21:$D$21,1,MATCH(A803,Inputs!$B$6:$D$6,0)))-INDEX(Inputs!$B$20:$D$20,1,MATCH(A803,Inputs!$B$6:$D$6,0)),0)*INDEX(Inputs!$B$23:$D$23,1,MATCH(A803,Inputs!$B$6:$D$6,0))+MAX(S803-INDEX(Inputs!$B$21:$D$21,1,MATCH(A803,Inputs!$B$6:$D$6,0)),0)*INDEX(Inputs!$B$24:$D$24,1,MATCH(A803,Inputs!$B$6:$D$6,0))</x:f>
        <x:v>5641.51</x:v>
      </x:c>
      <x:c r="U803" s="20" t="n">
        <x:f>IF(AND(A802=A803,D802=D803),T802,0)</x:f>
        <x:v>3065.755</x:v>
      </x:c>
      <x:c r="V803" s="20" t="n">
        <x:f>T803-U803</x:f>
        <x:v>2575.755</x:v>
      </x:c>
      <x:c r="W803" s="20" t="n">
        <x:f>R803+V803</x:f>
        <x:v>36245.755</x:v>
      </x:c>
      <x:c r="X803" s="14" t="str">
        <x:f>IF(ABS(W803-SUM(M803:Q803)-V803)&lt;0.01,"OK","Check")</x:f>
        <x:v>OK</x:v>
      </x:c>
    </x:row>
    <x:row r="804">
      <x:c r="A804" s="14" t="n">
        <x:v>2027</x:v>
      </x:c>
      <x:c r="B804" s="14" t="str">
        <x:v>Q3</x:v>
      </x:c>
      <x:c r="C804" s="14" t="n">
        <x:v>3</x:v>
      </x:c>
      <x:c r="D804" s="14" t="n">
        <x:v>97</x:v>
      </x:c>
      <x:c r="E804" s="14" t="str">
        <x:f>INDEX(Roster!$B$6:$B$108,MATCH(D804,Roster!$A$6:$A$108,0))</x:f>
      </x:c>
      <x:c r="F804" s="14" t="str">
        <x:f>INDEX(Roster!$F$6:$F$108,MATCH(D804,Roster!$A$6:$A$108,0))</x:f>
        <x:v>No</x:v>
      </x:c>
      <x:c r="G804" s="14" t="n">
        <x:f>INDEX(Inputs!$B$7:$D$7,1,MATCH(A804,Inputs!$B$6:$D$6,0))</x:f>
        <x:v>13</x:v>
      </x:c>
      <x:c r="H804" s="14" t="n">
        <x:f>MIN(=INDEX(Inputs!$B$7:$D$7,1,MATCH(A804,Inputs!$B$6:$D$6,0)),MAX(0,INDEX(Inputs!$B$14:$D$14,1,MATCH(A804,Inputs!$B$6:$D$6,0))-(C804-1)*=INDEX(Inputs!$B$7:$D$7,1,MATCH(A804,Inputs!$B$6:$D$6,0))))</x:f>
        <x:v>13</x:v>
      </x:c>
      <x:c r="I804" s="20" t="n">
        <x:f>INDEX(Inputs!$B$8:$D$8,1,MATCH(A804,Inputs!$B$6:$D$6,0))</x:f>
        <x:v>2395</x:v>
      </x:c>
      <x:c r="J804" s="20" t="n">
        <x:f>INDEX(Roster!$C$6:$C$108,MATCH(D804,Roster!$A$6:$A$108,0))*(1+INDEX(Inputs!$B$9:$D$9,1,MATCH(A804,Inputs!$B$6:$D$6,0)))</x:f>
        <x:v>75</x:v>
      </x:c>
      <x:c r="K804" s="20" t="n">
        <x:f>IF(=INDEX(Roster!$F$6:$F$108,MATCH(D804,Roster!$A$6:$A$108,0))="Yes",0,=INDEX(Inputs!$B$8:$D$8,1,MATCH(A804,Inputs!$B$6:$D$6,0))*IF(=INDEX(Roster!$B$6:$B$108,MATCH(D804,Roster!$A$6:$A$108,0))="Principal",INDEX(Inputs!$B$10:$D$10,1,MATCH(A804,Inputs!$B$6:$D$6,0)),IF(=INDEX(Roster!$B$6:$B$108,MATCH(D804,Roster!$A$6:$A$108,0))="Associate Principal",INDEX(Inputs!$B$11:$D$11,1,MATCH(A804,Inputs!$B$6:$D$6,0)),IF(=INDEX(Roster!$B$6:$B$108,MATCH(D804,Roster!$A$6:$A$108,0))="Assistant Principal",INDEX(Inputs!$B$12:$D$12,1,MATCH(A804,Inputs!$B$6:$D$6,0)),0))))</x:f>
        <x:v>0</x:v>
      </x:c>
      <x:c r="L804" s="20" t="n">
        <x:f>IF(INDEX(Roster!$D$6:$D$108,MATCH(D804,Roster!$A$6:$A$108,0))&gt;=25,INDEX(Inputs!$B$19:$D$19,1,MATCH(A804,Inputs!$B$6:$D$6,0)),IF(INDEX(Roster!$D$6:$D$108,MATCH(D804,Roster!$A$6:$A$108,0))&gt;=20,INDEX(Inputs!$B$18:$D$18,1,MATCH(A804,Inputs!$B$6:$D$6,0)),IF(INDEX(Roster!$D$6:$D$108,MATCH(D804,Roster!$A$6:$A$108,0))&gt;=15,INDEX(Inputs!$B$17:$D$17,1,MATCH(A804,Inputs!$B$6:$D$6,0)),IF(INDEX(Roster!$D$6:$D$108,MATCH(D804,Roster!$A$6:$A$108,0))&gt;=10,INDEX(Inputs!$B$16:$D$16,1,MATCH(A804,Inputs!$B$6:$D$6,0)),IF(INDEX(Roster!$D$6:$D$108,MATCH(D804,Roster!$A$6:$A$108,0))&gt;=5,INDEX(Inputs!$B$15:$D$15,1,MATCH(A804,Inputs!$B$6:$D$6,0)),0)))))</x:f>
        <x:v>90</x:v>
      </x:c>
      <x:c r="M804" s="20" t="n">
        <x:f>G804*I804</x:f>
        <x:v>31135</x:v>
      </x:c>
      <x:c r="N804" s="20" t="n">
        <x:f>G804*J804</x:f>
        <x:v>975</x:v>
      </x:c>
      <x:c r="O804" s="20" t="n">
        <x:f>G804*K804</x:f>
        <x:v>0</x:v>
      </x:c>
      <x:c r="P804" s="20" t="n">
        <x:f>G804*L804</x:f>
        <x:v>1170</x:v>
      </x:c>
      <x:c r="Q804" s="20" t="n">
        <x:f>H804*INDEX(Inputs!$B$13:$D$13,1,MATCH(A804,Inputs!$B$6:$D$6,0))</x:f>
        <x:v>390</x:v>
      </x:c>
      <x:c r="R804" s="20" t="n">
        <x:f>SUM(M804:Q804)</x:f>
        <x:v>33670</x:v>
      </x:c>
      <x:c r="S804" s="20" t="n">
        <x:f>IF(AND(A803=A804,D803=D804),S803+R804,R804)</x:f>
        <x:v>101010</x:v>
      </x:c>
      <x:c r="T804" s="20" t="n">
        <x:f>MIN(S804,INDEX(Inputs!$B$20:$D$20,1,MATCH(A804,Inputs!$B$6:$D$6,0)))*INDEX(Inputs!$B$22:$D$22,1,MATCH(A804,Inputs!$B$6:$D$6,0))+MAX(MIN(S804,INDEX(Inputs!$B$21:$D$21,1,MATCH(A804,Inputs!$B$6:$D$6,0)))-INDEX(Inputs!$B$20:$D$20,1,MATCH(A804,Inputs!$B$6:$D$6,0)),0)*INDEX(Inputs!$B$23:$D$23,1,MATCH(A804,Inputs!$B$6:$D$6,0))+MAX(S804-INDEX(Inputs!$B$21:$D$21,1,MATCH(A804,Inputs!$B$6:$D$6,0)),0)*INDEX(Inputs!$B$24:$D$24,1,MATCH(A804,Inputs!$B$6:$D$6,0))</x:f>
        <x:v>8217.265</x:v>
      </x:c>
      <x:c r="U804" s="20" t="n">
        <x:f>IF(AND(A803=A804,D803=D804),T803,0)</x:f>
        <x:v>5641.51</x:v>
      </x:c>
      <x:c r="V804" s="20" t="n">
        <x:f>T804-U804</x:f>
        <x:v>2575.754999999999</x:v>
      </x:c>
      <x:c r="W804" s="20" t="n">
        <x:f>R804+V804</x:f>
        <x:v>36245.755</x:v>
      </x:c>
      <x:c r="X804" s="14" t="str">
        <x:f>IF(ABS(W804-SUM(M804:Q804)-V804)&lt;0.01,"OK","Check")</x:f>
        <x:v>OK</x:v>
      </x:c>
    </x:row>
    <x:row r="805">
      <x:c r="A805" s="14" t="n">
        <x:v>2027</x:v>
      </x:c>
      <x:c r="B805" s="14" t="str">
        <x:v>Q4</x:v>
      </x:c>
      <x:c r="C805" s="14" t="n">
        <x:v>4</x:v>
      </x:c>
      <x:c r="D805" s="14" t="n">
        <x:v>97</x:v>
      </x:c>
      <x:c r="E805" s="14" t="str">
        <x:f>INDEX(Roster!$B$6:$B$108,MATCH(D805,Roster!$A$6:$A$108,0))</x:f>
      </x:c>
      <x:c r="F805" s="14" t="str">
        <x:f>INDEX(Roster!$F$6:$F$108,MATCH(D805,Roster!$A$6:$A$108,0))</x:f>
        <x:v>No</x:v>
      </x:c>
      <x:c r="G805" s="14" t="n">
        <x:f>INDEX(Inputs!$B$7:$D$7,1,MATCH(A805,Inputs!$B$6:$D$6,0))</x:f>
        <x:v>13</x:v>
      </x:c>
      <x:c r="H805" s="14" t="n">
        <x:f>MIN(=INDEX(Inputs!$B$7:$D$7,1,MATCH(A805,Inputs!$B$6:$D$6,0)),MAX(0,INDEX(Inputs!$B$14:$D$14,1,MATCH(A805,Inputs!$B$6:$D$6,0))-(C805-1)*=INDEX(Inputs!$B$7:$D$7,1,MATCH(A805,Inputs!$B$6:$D$6,0))))</x:f>
        <x:v>0</x:v>
      </x:c>
      <x:c r="I805" s="20" t="n">
        <x:f>INDEX(Inputs!$B$8:$D$8,1,MATCH(A805,Inputs!$B$6:$D$6,0))</x:f>
        <x:v>2395</x:v>
      </x:c>
      <x:c r="J805" s="20" t="n">
        <x:f>INDEX(Roster!$C$6:$C$108,MATCH(D805,Roster!$A$6:$A$108,0))*(1+INDEX(Inputs!$B$9:$D$9,1,MATCH(A805,Inputs!$B$6:$D$6,0)))</x:f>
        <x:v>75</x:v>
      </x:c>
      <x:c r="K805" s="20" t="n">
        <x:f>IF(=INDEX(Roster!$F$6:$F$108,MATCH(D805,Roster!$A$6:$A$108,0))="Yes",0,=INDEX(Inputs!$B$8:$D$8,1,MATCH(A805,Inputs!$B$6:$D$6,0))*IF(=INDEX(Roster!$B$6:$B$108,MATCH(D805,Roster!$A$6:$A$108,0))="Principal",INDEX(Inputs!$B$10:$D$10,1,MATCH(A805,Inputs!$B$6:$D$6,0)),IF(=INDEX(Roster!$B$6:$B$108,MATCH(D805,Roster!$A$6:$A$108,0))="Associate Principal",INDEX(Inputs!$B$11:$D$11,1,MATCH(A805,Inputs!$B$6:$D$6,0)),IF(=INDEX(Roster!$B$6:$B$108,MATCH(D805,Roster!$A$6:$A$108,0))="Assistant Principal",INDEX(Inputs!$B$12:$D$12,1,MATCH(A805,Inputs!$B$6:$D$6,0)),0))))</x:f>
        <x:v>0</x:v>
      </x:c>
      <x:c r="L805" s="20" t="n">
        <x:f>IF(INDEX(Roster!$D$6:$D$108,MATCH(D805,Roster!$A$6:$A$108,0))&gt;=25,INDEX(Inputs!$B$19:$D$19,1,MATCH(A805,Inputs!$B$6:$D$6,0)),IF(INDEX(Roster!$D$6:$D$108,MATCH(D805,Roster!$A$6:$A$108,0))&gt;=20,INDEX(Inputs!$B$18:$D$18,1,MATCH(A805,Inputs!$B$6:$D$6,0)),IF(INDEX(Roster!$D$6:$D$108,MATCH(D805,Roster!$A$6:$A$108,0))&gt;=15,INDEX(Inputs!$B$17:$D$17,1,MATCH(A805,Inputs!$B$6:$D$6,0)),IF(INDEX(Roster!$D$6:$D$108,MATCH(D805,Roster!$A$6:$A$108,0))&gt;=10,INDEX(Inputs!$B$16:$D$16,1,MATCH(A805,Inputs!$B$6:$D$6,0)),IF(INDEX(Roster!$D$6:$D$108,MATCH(D805,Roster!$A$6:$A$108,0))&gt;=5,INDEX(Inputs!$B$15:$D$15,1,MATCH(A805,Inputs!$B$6:$D$6,0)),0)))))</x:f>
        <x:v>90</x:v>
      </x:c>
      <x:c r="M805" s="20" t="n">
        <x:f>G805*I805</x:f>
        <x:v>31135</x:v>
      </x:c>
      <x:c r="N805" s="20" t="n">
        <x:f>G805*J805</x:f>
        <x:v>975</x:v>
      </x:c>
      <x:c r="O805" s="20" t="n">
        <x:f>G805*K805</x:f>
        <x:v>0</x:v>
      </x:c>
      <x:c r="P805" s="20" t="n">
        <x:f>G805*L805</x:f>
        <x:v>1170</x:v>
      </x:c>
      <x:c r="Q805" s="20" t="n">
        <x:f>H805*INDEX(Inputs!$B$13:$D$13,1,MATCH(A805,Inputs!$B$6:$D$6,0))</x:f>
        <x:v>0</x:v>
      </x:c>
      <x:c r="R805" s="20" t="n">
        <x:f>SUM(M805:Q805)</x:f>
        <x:v>33280</x:v>
      </x:c>
      <x:c r="S805" s="20" t="n">
        <x:f>IF(AND(A804=A805,D804=D805),S804+R805,R805)</x:f>
        <x:v>134290</x:v>
      </x:c>
      <x:c r="T805" s="20" t="n">
        <x:f>MIN(S805,INDEX(Inputs!$B$20:$D$20,1,MATCH(A805,Inputs!$B$6:$D$6,0)))*INDEX(Inputs!$B$22:$D$22,1,MATCH(A805,Inputs!$B$6:$D$6,0))+MAX(MIN(S805,INDEX(Inputs!$B$21:$D$21,1,MATCH(A805,Inputs!$B$6:$D$6,0)))-INDEX(Inputs!$B$20:$D$20,1,MATCH(A805,Inputs!$B$6:$D$6,0)),0)*INDEX(Inputs!$B$23:$D$23,1,MATCH(A805,Inputs!$B$6:$D$6,0))+MAX(S805-INDEX(Inputs!$B$21:$D$21,1,MATCH(A805,Inputs!$B$6:$D$6,0)),0)*INDEX(Inputs!$B$24:$D$24,1,MATCH(A805,Inputs!$B$6:$D$6,0))</x:f>
        <x:v>9861.146999999999</x:v>
      </x:c>
      <x:c r="U805" s="20" t="n">
        <x:f>IF(AND(A804=A805,D804=D805),T804,0)</x:f>
        <x:v>8217.265</x:v>
      </x:c>
      <x:c r="V805" s="20" t="n">
        <x:f>T805-U805</x:f>
        <x:v>1643.8819999999996</x:v>
      </x:c>
      <x:c r="W805" s="20" t="n">
        <x:f>R805+V805</x:f>
        <x:v>34923.882</x:v>
      </x:c>
      <x:c r="X805" s="14" t="str">
        <x:f>IF(ABS(W805-SUM(M805:Q805)-V805)&lt;0.01,"OK","Check")</x:f>
        <x:v>OK</x:v>
      </x:c>
    </x:row>
    <x:row r="806">
      <x:c r="A806" s="14" t="n">
        <x:v>2027</x:v>
      </x:c>
      <x:c r="B806" s="14" t="str">
        <x:v>Q1</x:v>
      </x:c>
      <x:c r="C806" s="14" t="n">
        <x:v>1</x:v>
      </x:c>
      <x:c r="D806" s="14" t="n">
        <x:v>98</x:v>
      </x:c>
      <x:c r="E806" s="14" t="str">
        <x:f>INDEX(Roster!$B$6:$B$108,MATCH(D806,Roster!$A$6:$A$108,0))</x:f>
        <x:v>Principal</x:v>
      </x:c>
      <x:c r="F806" s="14" t="str">
        <x:f>INDEX(Roster!$F$6:$F$108,MATCH(D806,Roster!$A$6:$A$108,0))</x:f>
        <x:v>Yes</x:v>
      </x:c>
      <x:c r="G806" s="14" t="n">
        <x:f>INDEX(Inputs!$B$7:$D$7,1,MATCH(A806,Inputs!$B$6:$D$6,0))</x:f>
        <x:v>13</x:v>
      </x:c>
      <x:c r="H806" s="14" t="n">
        <x:f>MIN(=INDEX(Inputs!$B$7:$D$7,1,MATCH(A806,Inputs!$B$6:$D$6,0)),MAX(0,INDEX(Inputs!$B$14:$D$14,1,MATCH(A806,Inputs!$B$6:$D$6,0))-(C806-1)*=INDEX(Inputs!$B$7:$D$7,1,MATCH(A806,Inputs!$B$6:$D$6,0))))</x:f>
        <x:v>13</x:v>
      </x:c>
      <x:c r="I806" s="20" t="n">
        <x:f>INDEX(Inputs!$B$8:$D$8,1,MATCH(A806,Inputs!$B$6:$D$6,0))</x:f>
        <x:v>2395</x:v>
      </x:c>
      <x:c r="J806" s="20" t="n">
        <x:f>INDEX(Roster!$C$6:$C$108,MATCH(D806,Roster!$A$6:$A$108,0))*(1+INDEX(Inputs!$B$9:$D$9,1,MATCH(A806,Inputs!$B$6:$D$6,0)))</x:f>
        <x:v>800</x:v>
      </x:c>
      <x:c r="K806" s="20" t="n">
        <x:f>IF(=INDEX(Roster!$F$6:$F$108,MATCH(D806,Roster!$A$6:$A$108,0))="Yes",0,=INDEX(Inputs!$B$8:$D$8,1,MATCH(A806,Inputs!$B$6:$D$6,0))*IF(=INDEX(Roster!$B$6:$B$108,MATCH(D806,Roster!$A$6:$A$108,0))="Principal",INDEX(Inputs!$B$10:$D$10,1,MATCH(A806,Inputs!$B$6:$D$6,0)),IF(=INDEX(Roster!$B$6:$B$108,MATCH(D806,Roster!$A$6:$A$108,0))="Associate Principal",INDEX(Inputs!$B$11:$D$11,1,MATCH(A806,Inputs!$B$6:$D$6,0)),IF(=INDEX(Roster!$B$6:$B$108,MATCH(D806,Roster!$A$6:$A$108,0))="Assistant Principal",INDEX(Inputs!$B$12:$D$12,1,MATCH(A806,Inputs!$B$6:$D$6,0)),0))))</x:f>
        <x:v>0</x:v>
      </x:c>
      <x:c r="L806" s="20" t="n">
        <x:f>IF(INDEX(Roster!$D$6:$D$108,MATCH(D806,Roster!$A$6:$A$108,0))&gt;=25,INDEX(Inputs!$B$19:$D$19,1,MATCH(A806,Inputs!$B$6:$D$6,0)),IF(INDEX(Roster!$D$6:$D$108,MATCH(D806,Roster!$A$6:$A$108,0))&gt;=20,INDEX(Inputs!$B$18:$D$18,1,MATCH(A806,Inputs!$B$6:$D$6,0)),IF(INDEX(Roster!$D$6:$D$108,MATCH(D806,Roster!$A$6:$A$108,0))&gt;=15,INDEX(Inputs!$B$17:$D$17,1,MATCH(A806,Inputs!$B$6:$D$6,0)),IF(INDEX(Roster!$D$6:$D$108,MATCH(D806,Roster!$A$6:$A$108,0))&gt;=10,INDEX(Inputs!$B$16:$D$16,1,MATCH(A806,Inputs!$B$6:$D$6,0)),IF(INDEX(Roster!$D$6:$D$108,MATCH(D806,Roster!$A$6:$A$108,0))&gt;=5,INDEX(Inputs!$B$15:$D$15,1,MATCH(A806,Inputs!$B$6:$D$6,0)),0)))))</x:f>
        <x:v>60</x:v>
      </x:c>
      <x:c r="M806" s="20" t="n">
        <x:f>G806*I806</x:f>
        <x:v>31135</x:v>
      </x:c>
      <x:c r="N806" s="20" t="n">
        <x:f>G806*J806</x:f>
        <x:v>10400</x:v>
      </x:c>
      <x:c r="O806" s="20" t="n">
        <x:f>G806*K806</x:f>
        <x:v>0</x:v>
      </x:c>
      <x:c r="P806" s="20" t="n">
        <x:f>G806*L806</x:f>
        <x:v>780</x:v>
      </x:c>
      <x:c r="Q806" s="20" t="n">
        <x:f>H806*INDEX(Inputs!$B$13:$D$13,1,MATCH(A806,Inputs!$B$6:$D$6,0))</x:f>
        <x:v>390</x:v>
      </x:c>
      <x:c r="R806" s="20" t="n">
        <x:f>SUM(M806:Q806)</x:f>
        <x:v>42705</x:v>
      </x:c>
      <x:c r="S806" s="20" t="n">
        <x:f>IF(AND(A805=A806,D805=D806),S805+R806,R806)</x:f>
        <x:v>42705</x:v>
      </x:c>
      <x:c r="T806" s="20" t="n">
        <x:f>MIN(S806,INDEX(Inputs!$B$20:$D$20,1,MATCH(A806,Inputs!$B$6:$D$6,0)))*INDEX(Inputs!$B$22:$D$22,1,MATCH(A806,Inputs!$B$6:$D$6,0))+MAX(MIN(S806,INDEX(Inputs!$B$21:$D$21,1,MATCH(A806,Inputs!$B$6:$D$6,0)))-INDEX(Inputs!$B$20:$D$20,1,MATCH(A806,Inputs!$B$6:$D$6,0)),0)*INDEX(Inputs!$B$23:$D$23,1,MATCH(A806,Inputs!$B$6:$D$6,0))+MAX(S806-INDEX(Inputs!$B$21:$D$21,1,MATCH(A806,Inputs!$B$6:$D$6,0)),0)*INDEX(Inputs!$B$24:$D$24,1,MATCH(A806,Inputs!$B$6:$D$6,0))</x:f>
        <x:v>3756.9325</x:v>
      </x:c>
      <x:c r="U806" s="20" t="n">
        <x:f>IF(AND(A805=A806,D805=D806),T805,0)</x:f>
        <x:v>0</x:v>
      </x:c>
      <x:c r="V806" s="20" t="n">
        <x:f>T806-U806</x:f>
        <x:v>3756.9325</x:v>
      </x:c>
      <x:c r="W806" s="20" t="n">
        <x:f>R806+V806</x:f>
        <x:v>46461.9325</x:v>
      </x:c>
      <x:c r="X806" s="14" t="str">
        <x:f>IF(ABS(W806-SUM(M806:Q806)-V806)&lt;0.01,"OK","Check")</x:f>
        <x:v>OK</x:v>
      </x:c>
    </x:row>
    <x:row r="807">
      <x:c r="A807" s="14" t="n">
        <x:v>2027</x:v>
      </x:c>
      <x:c r="B807" s="14" t="str">
        <x:v>Q2</x:v>
      </x:c>
      <x:c r="C807" s="14" t="n">
        <x:v>2</x:v>
      </x:c>
      <x:c r="D807" s="14" t="n">
        <x:v>98</x:v>
      </x:c>
      <x:c r="E807" s="14" t="str">
        <x:f>INDEX(Roster!$B$6:$B$108,MATCH(D807,Roster!$A$6:$A$108,0))</x:f>
        <x:v>Principal</x:v>
      </x:c>
      <x:c r="F807" s="14" t="str">
        <x:f>INDEX(Roster!$F$6:$F$108,MATCH(D807,Roster!$A$6:$A$108,0))</x:f>
        <x:v>Yes</x:v>
      </x:c>
      <x:c r="G807" s="14" t="n">
        <x:f>INDEX(Inputs!$B$7:$D$7,1,MATCH(A807,Inputs!$B$6:$D$6,0))</x:f>
        <x:v>13</x:v>
      </x:c>
      <x:c r="H807" s="14" t="n">
        <x:f>MIN(=INDEX(Inputs!$B$7:$D$7,1,MATCH(A807,Inputs!$B$6:$D$6,0)),MAX(0,INDEX(Inputs!$B$14:$D$14,1,MATCH(A807,Inputs!$B$6:$D$6,0))-(C807-1)*=INDEX(Inputs!$B$7:$D$7,1,MATCH(A807,Inputs!$B$6:$D$6,0))))</x:f>
        <x:v>13</x:v>
      </x:c>
      <x:c r="I807" s="20" t="n">
        <x:f>INDEX(Inputs!$B$8:$D$8,1,MATCH(A807,Inputs!$B$6:$D$6,0))</x:f>
        <x:v>2395</x:v>
      </x:c>
      <x:c r="J807" s="20" t="n">
        <x:f>INDEX(Roster!$C$6:$C$108,MATCH(D807,Roster!$A$6:$A$108,0))*(1+INDEX(Inputs!$B$9:$D$9,1,MATCH(A807,Inputs!$B$6:$D$6,0)))</x:f>
        <x:v>800</x:v>
      </x:c>
      <x:c r="K807" s="20" t="n">
        <x:f>IF(=INDEX(Roster!$F$6:$F$108,MATCH(D807,Roster!$A$6:$A$108,0))="Yes",0,=INDEX(Inputs!$B$8:$D$8,1,MATCH(A807,Inputs!$B$6:$D$6,0))*IF(=INDEX(Roster!$B$6:$B$108,MATCH(D807,Roster!$A$6:$A$108,0))="Principal",INDEX(Inputs!$B$10:$D$10,1,MATCH(A807,Inputs!$B$6:$D$6,0)),IF(=INDEX(Roster!$B$6:$B$108,MATCH(D807,Roster!$A$6:$A$108,0))="Associate Principal",INDEX(Inputs!$B$11:$D$11,1,MATCH(A807,Inputs!$B$6:$D$6,0)),IF(=INDEX(Roster!$B$6:$B$108,MATCH(D807,Roster!$A$6:$A$108,0))="Assistant Principal",INDEX(Inputs!$B$12:$D$12,1,MATCH(A807,Inputs!$B$6:$D$6,0)),0))))</x:f>
        <x:v>0</x:v>
      </x:c>
      <x:c r="L807" s="20" t="n">
        <x:f>IF(INDEX(Roster!$D$6:$D$108,MATCH(D807,Roster!$A$6:$A$108,0))&gt;=25,INDEX(Inputs!$B$19:$D$19,1,MATCH(A807,Inputs!$B$6:$D$6,0)),IF(INDEX(Roster!$D$6:$D$108,MATCH(D807,Roster!$A$6:$A$108,0))&gt;=20,INDEX(Inputs!$B$18:$D$18,1,MATCH(A807,Inputs!$B$6:$D$6,0)),IF(INDEX(Roster!$D$6:$D$108,MATCH(D807,Roster!$A$6:$A$108,0))&gt;=15,INDEX(Inputs!$B$17:$D$17,1,MATCH(A807,Inputs!$B$6:$D$6,0)),IF(INDEX(Roster!$D$6:$D$108,MATCH(D807,Roster!$A$6:$A$108,0))&gt;=10,INDEX(Inputs!$B$16:$D$16,1,MATCH(A807,Inputs!$B$6:$D$6,0)),IF(INDEX(Roster!$D$6:$D$108,MATCH(D807,Roster!$A$6:$A$108,0))&gt;=5,INDEX(Inputs!$B$15:$D$15,1,MATCH(A807,Inputs!$B$6:$D$6,0)),0)))))</x:f>
        <x:v>60</x:v>
      </x:c>
      <x:c r="M807" s="20" t="n">
        <x:f>G807*I807</x:f>
        <x:v>31135</x:v>
      </x:c>
      <x:c r="N807" s="20" t="n">
        <x:f>G807*J807</x:f>
        <x:v>10400</x:v>
      </x:c>
      <x:c r="O807" s="20" t="n">
        <x:f>G807*K807</x:f>
        <x:v>0</x:v>
      </x:c>
      <x:c r="P807" s="20" t="n">
        <x:f>G807*L807</x:f>
        <x:v>780</x:v>
      </x:c>
      <x:c r="Q807" s="20" t="n">
        <x:f>H807*INDEX(Inputs!$B$13:$D$13,1,MATCH(A807,Inputs!$B$6:$D$6,0))</x:f>
        <x:v>390</x:v>
      </x:c>
      <x:c r="R807" s="20" t="n">
        <x:f>SUM(M807:Q807)</x:f>
        <x:v>42705</x:v>
      </x:c>
      <x:c r="S807" s="20" t="n">
        <x:f>IF(AND(A806=A807,D806=D807),S806+R807,R807)</x:f>
        <x:v>85410</x:v>
      </x:c>
      <x:c r="T807" s="20" t="n">
        <x:f>MIN(S807,INDEX(Inputs!$B$20:$D$20,1,MATCH(A807,Inputs!$B$6:$D$6,0)))*INDEX(Inputs!$B$22:$D$22,1,MATCH(A807,Inputs!$B$6:$D$6,0))+MAX(MIN(S807,INDEX(Inputs!$B$21:$D$21,1,MATCH(A807,Inputs!$B$6:$D$6,0)))-INDEX(Inputs!$B$20:$D$20,1,MATCH(A807,Inputs!$B$6:$D$6,0)),0)*INDEX(Inputs!$B$23:$D$23,1,MATCH(A807,Inputs!$B$6:$D$6,0))+MAX(S807-INDEX(Inputs!$B$21:$D$21,1,MATCH(A807,Inputs!$B$6:$D$6,0)),0)*INDEX(Inputs!$B$24:$D$24,1,MATCH(A807,Inputs!$B$6:$D$6,0))</x:f>
        <x:v>7023.865</x:v>
      </x:c>
      <x:c r="U807" s="20" t="n">
        <x:f>IF(AND(A806=A807,D806=D807),T806,0)</x:f>
        <x:v>3756.9325</x:v>
      </x:c>
      <x:c r="V807" s="20" t="n">
        <x:f>T807-U807</x:f>
        <x:v>3266.9325</x:v>
      </x:c>
      <x:c r="W807" s="20" t="n">
        <x:f>R807+V807</x:f>
        <x:v>45971.9325</x:v>
      </x:c>
      <x:c r="X807" s="14" t="str">
        <x:f>IF(ABS(W807-SUM(M807:Q807)-V807)&lt;0.01,"OK","Check")</x:f>
        <x:v>OK</x:v>
      </x:c>
    </x:row>
    <x:row r="808">
      <x:c r="A808" s="14" t="n">
        <x:v>2027</x:v>
      </x:c>
      <x:c r="B808" s="14" t="str">
        <x:v>Q3</x:v>
      </x:c>
      <x:c r="C808" s="14" t="n">
        <x:v>3</x:v>
      </x:c>
      <x:c r="D808" s="14" t="n">
        <x:v>98</x:v>
      </x:c>
      <x:c r="E808" s="14" t="str">
        <x:f>INDEX(Roster!$B$6:$B$108,MATCH(D808,Roster!$A$6:$A$108,0))</x:f>
        <x:v>Principal</x:v>
      </x:c>
      <x:c r="F808" s="14" t="str">
        <x:f>INDEX(Roster!$F$6:$F$108,MATCH(D808,Roster!$A$6:$A$108,0))</x:f>
        <x:v>Yes</x:v>
      </x:c>
      <x:c r="G808" s="14" t="n">
        <x:f>INDEX(Inputs!$B$7:$D$7,1,MATCH(A808,Inputs!$B$6:$D$6,0))</x:f>
        <x:v>13</x:v>
      </x:c>
      <x:c r="H808" s="14" t="n">
        <x:f>MIN(=INDEX(Inputs!$B$7:$D$7,1,MATCH(A808,Inputs!$B$6:$D$6,0)),MAX(0,INDEX(Inputs!$B$14:$D$14,1,MATCH(A808,Inputs!$B$6:$D$6,0))-(C808-1)*=INDEX(Inputs!$B$7:$D$7,1,MATCH(A808,Inputs!$B$6:$D$6,0))))</x:f>
        <x:v>13</x:v>
      </x:c>
      <x:c r="I808" s="20" t="n">
        <x:f>INDEX(Inputs!$B$8:$D$8,1,MATCH(A808,Inputs!$B$6:$D$6,0))</x:f>
        <x:v>2395</x:v>
      </x:c>
      <x:c r="J808" s="20" t="n">
        <x:f>INDEX(Roster!$C$6:$C$108,MATCH(D808,Roster!$A$6:$A$108,0))*(1+INDEX(Inputs!$B$9:$D$9,1,MATCH(A808,Inputs!$B$6:$D$6,0)))</x:f>
        <x:v>800</x:v>
      </x:c>
      <x:c r="K808" s="20" t="n">
        <x:f>IF(=INDEX(Roster!$F$6:$F$108,MATCH(D808,Roster!$A$6:$A$108,0))="Yes",0,=INDEX(Inputs!$B$8:$D$8,1,MATCH(A808,Inputs!$B$6:$D$6,0))*IF(=INDEX(Roster!$B$6:$B$108,MATCH(D808,Roster!$A$6:$A$108,0))="Principal",INDEX(Inputs!$B$10:$D$10,1,MATCH(A808,Inputs!$B$6:$D$6,0)),IF(=INDEX(Roster!$B$6:$B$108,MATCH(D808,Roster!$A$6:$A$108,0))="Associate Principal",INDEX(Inputs!$B$11:$D$11,1,MATCH(A808,Inputs!$B$6:$D$6,0)),IF(=INDEX(Roster!$B$6:$B$108,MATCH(D808,Roster!$A$6:$A$108,0))="Assistant Principal",INDEX(Inputs!$B$12:$D$12,1,MATCH(A808,Inputs!$B$6:$D$6,0)),0))))</x:f>
        <x:v>0</x:v>
      </x:c>
      <x:c r="L808" s="20" t="n">
        <x:f>IF(INDEX(Roster!$D$6:$D$108,MATCH(D808,Roster!$A$6:$A$108,0))&gt;=25,INDEX(Inputs!$B$19:$D$19,1,MATCH(A808,Inputs!$B$6:$D$6,0)),IF(INDEX(Roster!$D$6:$D$108,MATCH(D808,Roster!$A$6:$A$108,0))&gt;=20,INDEX(Inputs!$B$18:$D$18,1,MATCH(A808,Inputs!$B$6:$D$6,0)),IF(INDEX(Roster!$D$6:$D$108,MATCH(D808,Roster!$A$6:$A$108,0))&gt;=15,INDEX(Inputs!$B$17:$D$17,1,MATCH(A808,Inputs!$B$6:$D$6,0)),IF(INDEX(Roster!$D$6:$D$108,MATCH(D808,Roster!$A$6:$A$108,0))&gt;=10,INDEX(Inputs!$B$16:$D$16,1,MATCH(A808,Inputs!$B$6:$D$6,0)),IF(INDEX(Roster!$D$6:$D$108,MATCH(D808,Roster!$A$6:$A$108,0))&gt;=5,INDEX(Inputs!$B$15:$D$15,1,MATCH(A808,Inputs!$B$6:$D$6,0)),0)))))</x:f>
        <x:v>60</x:v>
      </x:c>
      <x:c r="M808" s="20" t="n">
        <x:f>G808*I808</x:f>
        <x:v>31135</x:v>
      </x:c>
      <x:c r="N808" s="20" t="n">
        <x:f>G808*J808</x:f>
        <x:v>10400</x:v>
      </x:c>
      <x:c r="O808" s="20" t="n">
        <x:f>G808*K808</x:f>
        <x:v>0</x:v>
      </x:c>
      <x:c r="P808" s="20" t="n">
        <x:f>G808*L808</x:f>
        <x:v>780</x:v>
      </x:c>
      <x:c r="Q808" s="20" t="n">
        <x:f>H808*INDEX(Inputs!$B$13:$D$13,1,MATCH(A808,Inputs!$B$6:$D$6,0))</x:f>
        <x:v>390</x:v>
      </x:c>
      <x:c r="R808" s="20" t="n">
        <x:f>SUM(M808:Q808)</x:f>
        <x:v>42705</x:v>
      </x:c>
      <x:c r="S808" s="20" t="n">
        <x:f>IF(AND(A807=A808,D807=D808),S807+R808,R808)</x:f>
        <x:v>128115</x:v>
      </x:c>
      <x:c r="T808" s="20" t="n">
        <x:f>MIN(S808,INDEX(Inputs!$B$20:$D$20,1,MATCH(A808,Inputs!$B$6:$D$6,0)))*INDEX(Inputs!$B$22:$D$22,1,MATCH(A808,Inputs!$B$6:$D$6,0))+MAX(MIN(S808,INDEX(Inputs!$B$21:$D$21,1,MATCH(A808,Inputs!$B$6:$D$6,0)))-INDEX(Inputs!$B$20:$D$20,1,MATCH(A808,Inputs!$B$6:$D$6,0)),0)*INDEX(Inputs!$B$23:$D$23,1,MATCH(A808,Inputs!$B$6:$D$6,0))+MAX(S808-INDEX(Inputs!$B$21:$D$21,1,MATCH(A808,Inputs!$B$6:$D$6,0)),0)*INDEX(Inputs!$B$24:$D$24,1,MATCH(A808,Inputs!$B$6:$D$6,0))</x:f>
        <x:v>9771.6095</x:v>
      </x:c>
      <x:c r="U808" s="20" t="n">
        <x:f>IF(AND(A807=A808,D807=D808),T807,0)</x:f>
        <x:v>7023.865</x:v>
      </x:c>
      <x:c r="V808" s="20" t="n">
        <x:f>T808-U808</x:f>
        <x:v>2747.7445000000007</x:v>
      </x:c>
      <x:c r="W808" s="20" t="n">
        <x:f>R808+V808</x:f>
        <x:v>45452.7445</x:v>
      </x:c>
      <x:c r="X808" s="14" t="str">
        <x:f>IF(ABS(W808-SUM(M808:Q808)-V808)&lt;0.01,"OK","Check")</x:f>
        <x:v>OK</x:v>
      </x:c>
    </x:row>
    <x:row r="809">
      <x:c r="A809" s="14" t="n">
        <x:v>2027</x:v>
      </x:c>
      <x:c r="B809" s="14" t="str">
        <x:v>Q4</x:v>
      </x:c>
      <x:c r="C809" s="14" t="n">
        <x:v>4</x:v>
      </x:c>
      <x:c r="D809" s="14" t="n">
        <x:v>98</x:v>
      </x:c>
      <x:c r="E809" s="14" t="str">
        <x:f>INDEX(Roster!$B$6:$B$108,MATCH(D809,Roster!$A$6:$A$108,0))</x:f>
        <x:v>Principal</x:v>
      </x:c>
      <x:c r="F809" s="14" t="str">
        <x:f>INDEX(Roster!$F$6:$F$108,MATCH(D809,Roster!$A$6:$A$108,0))</x:f>
        <x:v>Yes</x:v>
      </x:c>
      <x:c r="G809" s="14" t="n">
        <x:f>INDEX(Inputs!$B$7:$D$7,1,MATCH(A809,Inputs!$B$6:$D$6,0))</x:f>
        <x:v>13</x:v>
      </x:c>
      <x:c r="H809" s="14" t="n">
        <x:f>MIN(=INDEX(Inputs!$B$7:$D$7,1,MATCH(A809,Inputs!$B$6:$D$6,0)),MAX(0,INDEX(Inputs!$B$14:$D$14,1,MATCH(A809,Inputs!$B$6:$D$6,0))-(C809-1)*=INDEX(Inputs!$B$7:$D$7,1,MATCH(A809,Inputs!$B$6:$D$6,0))))</x:f>
        <x:v>0</x:v>
      </x:c>
      <x:c r="I809" s="20" t="n">
        <x:f>INDEX(Inputs!$B$8:$D$8,1,MATCH(A809,Inputs!$B$6:$D$6,0))</x:f>
        <x:v>2395</x:v>
      </x:c>
      <x:c r="J809" s="20" t="n">
        <x:f>INDEX(Roster!$C$6:$C$108,MATCH(D809,Roster!$A$6:$A$108,0))*(1+INDEX(Inputs!$B$9:$D$9,1,MATCH(A809,Inputs!$B$6:$D$6,0)))</x:f>
        <x:v>800</x:v>
      </x:c>
      <x:c r="K809" s="20" t="n">
        <x:f>IF(=INDEX(Roster!$F$6:$F$108,MATCH(D809,Roster!$A$6:$A$108,0))="Yes",0,=INDEX(Inputs!$B$8:$D$8,1,MATCH(A809,Inputs!$B$6:$D$6,0))*IF(=INDEX(Roster!$B$6:$B$108,MATCH(D809,Roster!$A$6:$A$108,0))="Principal",INDEX(Inputs!$B$10:$D$10,1,MATCH(A809,Inputs!$B$6:$D$6,0)),IF(=INDEX(Roster!$B$6:$B$108,MATCH(D809,Roster!$A$6:$A$108,0))="Associate Principal",INDEX(Inputs!$B$11:$D$11,1,MATCH(A809,Inputs!$B$6:$D$6,0)),IF(=INDEX(Roster!$B$6:$B$108,MATCH(D809,Roster!$A$6:$A$108,0))="Assistant Principal",INDEX(Inputs!$B$12:$D$12,1,MATCH(A809,Inputs!$B$6:$D$6,0)),0))))</x:f>
        <x:v>0</x:v>
      </x:c>
      <x:c r="L809" s="20" t="n">
        <x:f>IF(INDEX(Roster!$D$6:$D$108,MATCH(D809,Roster!$A$6:$A$108,0))&gt;=25,INDEX(Inputs!$B$19:$D$19,1,MATCH(A809,Inputs!$B$6:$D$6,0)),IF(INDEX(Roster!$D$6:$D$108,MATCH(D809,Roster!$A$6:$A$108,0))&gt;=20,INDEX(Inputs!$B$18:$D$18,1,MATCH(A809,Inputs!$B$6:$D$6,0)),IF(INDEX(Roster!$D$6:$D$108,MATCH(D809,Roster!$A$6:$A$108,0))&gt;=15,INDEX(Inputs!$B$17:$D$17,1,MATCH(A809,Inputs!$B$6:$D$6,0)),IF(INDEX(Roster!$D$6:$D$108,MATCH(D809,Roster!$A$6:$A$108,0))&gt;=10,INDEX(Inputs!$B$16:$D$16,1,MATCH(A809,Inputs!$B$6:$D$6,0)),IF(INDEX(Roster!$D$6:$D$108,MATCH(D809,Roster!$A$6:$A$108,0))&gt;=5,INDEX(Inputs!$B$15:$D$15,1,MATCH(A809,Inputs!$B$6:$D$6,0)),0)))))</x:f>
        <x:v>60</x:v>
      </x:c>
      <x:c r="M809" s="20" t="n">
        <x:f>G809*I809</x:f>
        <x:v>31135</x:v>
      </x:c>
      <x:c r="N809" s="20" t="n">
        <x:f>G809*J809</x:f>
        <x:v>10400</x:v>
      </x:c>
      <x:c r="O809" s="20" t="n">
        <x:f>G809*K809</x:f>
        <x:v>0</x:v>
      </x:c>
      <x:c r="P809" s="20" t="n">
        <x:f>G809*L809</x:f>
        <x:v>780</x:v>
      </x:c>
      <x:c r="Q809" s="20" t="n">
        <x:f>H809*INDEX(Inputs!$B$13:$D$13,1,MATCH(A809,Inputs!$B$6:$D$6,0))</x:f>
        <x:v>0</x:v>
      </x:c>
      <x:c r="R809" s="20" t="n">
        <x:f>SUM(M809:Q809)</x:f>
        <x:v>42315</x:v>
      </x:c>
      <x:c r="S809" s="20" t="n">
        <x:f>IF(AND(A808=A809,D808=D809),S808+R809,R809)</x:f>
        <x:v>170430</x:v>
      </x:c>
      <x:c r="T809" s="20" t="n">
        <x:f>MIN(S809,INDEX(Inputs!$B$20:$D$20,1,MATCH(A809,Inputs!$B$6:$D$6,0)))*INDEX(Inputs!$B$22:$D$22,1,MATCH(A809,Inputs!$B$6:$D$6,0))+MAX(MIN(S809,INDEX(Inputs!$B$21:$D$21,1,MATCH(A809,Inputs!$B$6:$D$6,0)))-INDEX(Inputs!$B$20:$D$20,1,MATCH(A809,Inputs!$B$6:$D$6,0)),0)*INDEX(Inputs!$B$23:$D$23,1,MATCH(A809,Inputs!$B$6:$D$6,0))+MAX(S809-INDEX(Inputs!$B$21:$D$21,1,MATCH(A809,Inputs!$B$6:$D$6,0)),0)*INDEX(Inputs!$B$24:$D$24,1,MATCH(A809,Inputs!$B$6:$D$6,0))</x:f>
        <x:v>10385.177</x:v>
      </x:c>
      <x:c r="U809" s="20" t="n">
        <x:f>IF(AND(A808=A809,D808=D809),T808,0)</x:f>
        <x:v>9771.6095</x:v>
      </x:c>
      <x:c r="V809" s="20" t="n">
        <x:f>T809-U809</x:f>
        <x:v>613.5674999999992</x:v>
      </x:c>
      <x:c r="W809" s="20" t="n">
        <x:f>R809+V809</x:f>
        <x:v>42928.5675</x:v>
      </x:c>
      <x:c r="X809" s="14" t="str">
        <x:f>IF(ABS(W809-SUM(M809:Q809)-V809)&lt;0.01,"OK","Check")</x:f>
        <x:v>OK</x:v>
      </x:c>
    </x:row>
    <x:row r="810">
      <x:c r="A810" s="14" t="n">
        <x:v>2027</x:v>
      </x:c>
      <x:c r="B810" s="14" t="str">
        <x:v>Q1</x:v>
      </x:c>
      <x:c r="C810" s="14" t="n">
        <x:v>1</x:v>
      </x:c>
      <x:c r="D810" s="14" t="n">
        <x:v>99</x:v>
      </x:c>
      <x:c r="E810" s="14" t="str">
        <x:f>INDEX(Roster!$B$6:$B$108,MATCH(D810,Roster!$A$6:$A$108,0))</x:f>
        <x:v>Associate Principal</x:v>
      </x:c>
      <x:c r="F810" s="14" t="str">
        <x:f>INDEX(Roster!$F$6:$F$108,MATCH(D810,Roster!$A$6:$A$108,0))</x:f>
        <x:v>Yes</x:v>
      </x:c>
      <x:c r="G810" s="14" t="n">
        <x:f>INDEX(Inputs!$B$7:$D$7,1,MATCH(A810,Inputs!$B$6:$D$6,0))</x:f>
        <x:v>13</x:v>
      </x:c>
      <x:c r="H810" s="14" t="n">
        <x:f>MIN(=INDEX(Inputs!$B$7:$D$7,1,MATCH(A810,Inputs!$B$6:$D$6,0)),MAX(0,INDEX(Inputs!$B$14:$D$14,1,MATCH(A810,Inputs!$B$6:$D$6,0))-(C810-1)*=INDEX(Inputs!$B$7:$D$7,1,MATCH(A810,Inputs!$B$6:$D$6,0))))</x:f>
        <x:v>13</x:v>
      </x:c>
      <x:c r="I810" s="20" t="n">
        <x:f>INDEX(Inputs!$B$8:$D$8,1,MATCH(A810,Inputs!$B$6:$D$6,0))</x:f>
        <x:v>2395</x:v>
      </x:c>
      <x:c r="J810" s="20" t="n">
        <x:f>INDEX(Roster!$C$6:$C$108,MATCH(D810,Roster!$A$6:$A$108,0))*(1+INDEX(Inputs!$B$9:$D$9,1,MATCH(A810,Inputs!$B$6:$D$6,0)))</x:f>
        <x:v>753.46</x:v>
      </x:c>
      <x:c r="K810" s="20" t="n">
        <x:f>IF(=INDEX(Roster!$F$6:$F$108,MATCH(D810,Roster!$A$6:$A$108,0))="Yes",0,=INDEX(Inputs!$B$8:$D$8,1,MATCH(A810,Inputs!$B$6:$D$6,0))*IF(=INDEX(Roster!$B$6:$B$108,MATCH(D810,Roster!$A$6:$A$108,0))="Principal",INDEX(Inputs!$B$10:$D$10,1,MATCH(A810,Inputs!$B$6:$D$6,0)),IF(=INDEX(Roster!$B$6:$B$108,MATCH(D810,Roster!$A$6:$A$108,0))="Associate Principal",INDEX(Inputs!$B$11:$D$11,1,MATCH(A810,Inputs!$B$6:$D$6,0)),IF(=INDEX(Roster!$B$6:$B$108,MATCH(D810,Roster!$A$6:$A$108,0))="Assistant Principal",INDEX(Inputs!$B$12:$D$12,1,MATCH(A810,Inputs!$B$6:$D$6,0)),0))))</x:f>
        <x:v>0</x:v>
      </x:c>
      <x:c r="L810" s="20" t="n">
        <x:f>IF(INDEX(Roster!$D$6:$D$108,MATCH(D810,Roster!$A$6:$A$108,0))&gt;=25,INDEX(Inputs!$B$19:$D$19,1,MATCH(A810,Inputs!$B$6:$D$6,0)),IF(INDEX(Roster!$D$6:$D$108,MATCH(D810,Roster!$A$6:$A$108,0))&gt;=20,INDEX(Inputs!$B$18:$D$18,1,MATCH(A810,Inputs!$B$6:$D$6,0)),IF(INDEX(Roster!$D$6:$D$108,MATCH(D810,Roster!$A$6:$A$108,0))&gt;=15,INDEX(Inputs!$B$17:$D$17,1,MATCH(A810,Inputs!$B$6:$D$6,0)),IF(INDEX(Roster!$D$6:$D$108,MATCH(D810,Roster!$A$6:$A$108,0))&gt;=10,INDEX(Inputs!$B$16:$D$16,1,MATCH(A810,Inputs!$B$6:$D$6,0)),IF(INDEX(Roster!$D$6:$D$108,MATCH(D810,Roster!$A$6:$A$108,0))&gt;=5,INDEX(Inputs!$B$15:$D$15,1,MATCH(A810,Inputs!$B$6:$D$6,0)),0)))))</x:f>
        <x:v>60</x:v>
      </x:c>
      <x:c r="M810" s="20" t="n">
        <x:f>G810*I810</x:f>
        <x:v>31135</x:v>
      </x:c>
      <x:c r="N810" s="20" t="n">
        <x:f>G810*J810</x:f>
        <x:v>9794.98</x:v>
      </x:c>
      <x:c r="O810" s="20" t="n">
        <x:f>G810*K810</x:f>
        <x:v>0</x:v>
      </x:c>
      <x:c r="P810" s="20" t="n">
        <x:f>G810*L810</x:f>
        <x:v>780</x:v>
      </x:c>
      <x:c r="Q810" s="20" t="n">
        <x:f>H810*INDEX(Inputs!$B$13:$D$13,1,MATCH(A810,Inputs!$B$6:$D$6,0))</x:f>
        <x:v>390</x:v>
      </x:c>
      <x:c r="R810" s="20" t="n">
        <x:f>SUM(M810:Q810)</x:f>
        <x:v>42099.979999999996</x:v>
      </x:c>
      <x:c r="S810" s="20" t="n">
        <x:f>IF(AND(A809=A810,D809=D810),S809+R810,R810)</x:f>
        <x:v>42099.979999999996</x:v>
      </x:c>
      <x:c r="T810" s="20" t="n">
        <x:f>MIN(S810,INDEX(Inputs!$B$20:$D$20,1,MATCH(A810,Inputs!$B$6:$D$6,0)))*INDEX(Inputs!$B$22:$D$22,1,MATCH(A810,Inputs!$B$6:$D$6,0))+MAX(MIN(S810,INDEX(Inputs!$B$21:$D$21,1,MATCH(A810,Inputs!$B$6:$D$6,0)))-INDEX(Inputs!$B$20:$D$20,1,MATCH(A810,Inputs!$B$6:$D$6,0)),0)*INDEX(Inputs!$B$23:$D$23,1,MATCH(A810,Inputs!$B$6:$D$6,0))+MAX(S810-INDEX(Inputs!$B$21:$D$21,1,MATCH(A810,Inputs!$B$6:$D$6,0)),0)*INDEX(Inputs!$B$24:$D$24,1,MATCH(A810,Inputs!$B$6:$D$6,0))</x:f>
        <x:v>3710.6484699999996</x:v>
      </x:c>
      <x:c r="U810" s="20" t="n">
        <x:f>IF(AND(A809=A810,D809=D810),T809,0)</x:f>
        <x:v>0</x:v>
      </x:c>
      <x:c r="V810" s="20" t="n">
        <x:f>T810-U810</x:f>
        <x:v>3710.6484699999996</x:v>
      </x:c>
      <x:c r="W810" s="20" t="n">
        <x:f>R810+V810</x:f>
        <x:v>45810.628469999996</x:v>
      </x:c>
      <x:c r="X810" s="14" t="str">
        <x:f>IF(ABS(W810-SUM(M810:Q810)-V810)&lt;0.01,"OK","Check")</x:f>
        <x:v>OK</x:v>
      </x:c>
    </x:row>
    <x:row r="811">
      <x:c r="A811" s="14" t="n">
        <x:v>2027</x:v>
      </x:c>
      <x:c r="B811" s="14" t="str">
        <x:v>Q2</x:v>
      </x:c>
      <x:c r="C811" s="14" t="n">
        <x:v>2</x:v>
      </x:c>
      <x:c r="D811" s="14" t="n">
        <x:v>99</x:v>
      </x:c>
      <x:c r="E811" s="14" t="str">
        <x:f>INDEX(Roster!$B$6:$B$108,MATCH(D811,Roster!$A$6:$A$108,0))</x:f>
        <x:v>Associate Principal</x:v>
      </x:c>
      <x:c r="F811" s="14" t="str">
        <x:f>INDEX(Roster!$F$6:$F$108,MATCH(D811,Roster!$A$6:$A$108,0))</x:f>
        <x:v>Yes</x:v>
      </x:c>
      <x:c r="G811" s="14" t="n">
        <x:f>INDEX(Inputs!$B$7:$D$7,1,MATCH(A811,Inputs!$B$6:$D$6,0))</x:f>
        <x:v>13</x:v>
      </x:c>
      <x:c r="H811" s="14" t="n">
        <x:f>MIN(=INDEX(Inputs!$B$7:$D$7,1,MATCH(A811,Inputs!$B$6:$D$6,0)),MAX(0,INDEX(Inputs!$B$14:$D$14,1,MATCH(A811,Inputs!$B$6:$D$6,0))-(C811-1)*=INDEX(Inputs!$B$7:$D$7,1,MATCH(A811,Inputs!$B$6:$D$6,0))))</x:f>
        <x:v>13</x:v>
      </x:c>
      <x:c r="I811" s="20" t="n">
        <x:f>INDEX(Inputs!$B$8:$D$8,1,MATCH(A811,Inputs!$B$6:$D$6,0))</x:f>
        <x:v>2395</x:v>
      </x:c>
      <x:c r="J811" s="20" t="n">
        <x:f>INDEX(Roster!$C$6:$C$108,MATCH(D811,Roster!$A$6:$A$108,0))*(1+INDEX(Inputs!$B$9:$D$9,1,MATCH(A811,Inputs!$B$6:$D$6,0)))</x:f>
        <x:v>753.46</x:v>
      </x:c>
      <x:c r="K811" s="20" t="n">
        <x:f>IF(=INDEX(Roster!$F$6:$F$108,MATCH(D811,Roster!$A$6:$A$108,0))="Yes",0,=INDEX(Inputs!$B$8:$D$8,1,MATCH(A811,Inputs!$B$6:$D$6,0))*IF(=INDEX(Roster!$B$6:$B$108,MATCH(D811,Roster!$A$6:$A$108,0))="Principal",INDEX(Inputs!$B$10:$D$10,1,MATCH(A811,Inputs!$B$6:$D$6,0)),IF(=INDEX(Roster!$B$6:$B$108,MATCH(D811,Roster!$A$6:$A$108,0))="Associate Principal",INDEX(Inputs!$B$11:$D$11,1,MATCH(A811,Inputs!$B$6:$D$6,0)),IF(=INDEX(Roster!$B$6:$B$108,MATCH(D811,Roster!$A$6:$A$108,0))="Assistant Principal",INDEX(Inputs!$B$12:$D$12,1,MATCH(A811,Inputs!$B$6:$D$6,0)),0))))</x:f>
        <x:v>0</x:v>
      </x:c>
      <x:c r="L811" s="20" t="n">
        <x:f>IF(INDEX(Roster!$D$6:$D$108,MATCH(D811,Roster!$A$6:$A$108,0))&gt;=25,INDEX(Inputs!$B$19:$D$19,1,MATCH(A811,Inputs!$B$6:$D$6,0)),IF(INDEX(Roster!$D$6:$D$108,MATCH(D811,Roster!$A$6:$A$108,0))&gt;=20,INDEX(Inputs!$B$18:$D$18,1,MATCH(A811,Inputs!$B$6:$D$6,0)),IF(INDEX(Roster!$D$6:$D$108,MATCH(D811,Roster!$A$6:$A$108,0))&gt;=15,INDEX(Inputs!$B$17:$D$17,1,MATCH(A811,Inputs!$B$6:$D$6,0)),IF(INDEX(Roster!$D$6:$D$108,MATCH(D811,Roster!$A$6:$A$108,0))&gt;=10,INDEX(Inputs!$B$16:$D$16,1,MATCH(A811,Inputs!$B$6:$D$6,0)),IF(INDEX(Roster!$D$6:$D$108,MATCH(D811,Roster!$A$6:$A$108,0))&gt;=5,INDEX(Inputs!$B$15:$D$15,1,MATCH(A811,Inputs!$B$6:$D$6,0)),0)))))</x:f>
        <x:v>60</x:v>
      </x:c>
      <x:c r="M811" s="20" t="n">
        <x:f>G811*I811</x:f>
        <x:v>31135</x:v>
      </x:c>
      <x:c r="N811" s="20" t="n">
        <x:f>G811*J811</x:f>
        <x:v>9794.98</x:v>
      </x:c>
      <x:c r="O811" s="20" t="n">
        <x:f>G811*K811</x:f>
        <x:v>0</x:v>
      </x:c>
      <x:c r="P811" s="20" t="n">
        <x:f>G811*L811</x:f>
        <x:v>780</x:v>
      </x:c>
      <x:c r="Q811" s="20" t="n">
        <x:f>H811*INDEX(Inputs!$B$13:$D$13,1,MATCH(A811,Inputs!$B$6:$D$6,0))</x:f>
        <x:v>390</x:v>
      </x:c>
      <x:c r="R811" s="20" t="n">
        <x:f>SUM(M811:Q811)</x:f>
        <x:v>42099.979999999996</x:v>
      </x:c>
      <x:c r="S811" s="20" t="n">
        <x:f>IF(AND(A810=A811,D810=D811),S810+R811,R811)</x:f>
        <x:v>84199.95999999999</x:v>
      </x:c>
      <x:c r="T811" s="20" t="n">
        <x:f>MIN(S811,INDEX(Inputs!$B$20:$D$20,1,MATCH(A811,Inputs!$B$6:$D$6,0)))*INDEX(Inputs!$B$22:$D$22,1,MATCH(A811,Inputs!$B$6:$D$6,0))+MAX(MIN(S811,INDEX(Inputs!$B$21:$D$21,1,MATCH(A811,Inputs!$B$6:$D$6,0)))-INDEX(Inputs!$B$20:$D$20,1,MATCH(A811,Inputs!$B$6:$D$6,0)),0)*INDEX(Inputs!$B$23:$D$23,1,MATCH(A811,Inputs!$B$6:$D$6,0))+MAX(S811-INDEX(Inputs!$B$21:$D$21,1,MATCH(A811,Inputs!$B$6:$D$6,0)),0)*INDEX(Inputs!$B$24:$D$24,1,MATCH(A811,Inputs!$B$6:$D$6,0))</x:f>
        <x:v>6931.296939999999</x:v>
      </x:c>
      <x:c r="U811" s="20" t="n">
        <x:f>IF(AND(A810=A811,D810=D811),T810,0)</x:f>
        <x:v>3710.6484699999996</x:v>
      </x:c>
      <x:c r="V811" s="20" t="n">
        <x:f>T811-U811</x:f>
        <x:v>3220.6484699999996</x:v>
      </x:c>
      <x:c r="W811" s="20" t="n">
        <x:f>R811+V811</x:f>
        <x:v>45320.628469999996</x:v>
      </x:c>
      <x:c r="X811" s="14" t="str">
        <x:f>IF(ABS(W811-SUM(M811:Q811)-V811)&lt;0.01,"OK","Check")</x:f>
        <x:v>OK</x:v>
      </x:c>
    </x:row>
    <x:row r="812">
      <x:c r="A812" s="14" t="n">
        <x:v>2027</x:v>
      </x:c>
      <x:c r="B812" s="14" t="str">
        <x:v>Q3</x:v>
      </x:c>
      <x:c r="C812" s="14" t="n">
        <x:v>3</x:v>
      </x:c>
      <x:c r="D812" s="14" t="n">
        <x:v>99</x:v>
      </x:c>
      <x:c r="E812" s="14" t="str">
        <x:f>INDEX(Roster!$B$6:$B$108,MATCH(D812,Roster!$A$6:$A$108,0))</x:f>
        <x:v>Associate Principal</x:v>
      </x:c>
      <x:c r="F812" s="14" t="str">
        <x:f>INDEX(Roster!$F$6:$F$108,MATCH(D812,Roster!$A$6:$A$108,0))</x:f>
        <x:v>Yes</x:v>
      </x:c>
      <x:c r="G812" s="14" t="n">
        <x:f>INDEX(Inputs!$B$7:$D$7,1,MATCH(A812,Inputs!$B$6:$D$6,0))</x:f>
        <x:v>13</x:v>
      </x:c>
      <x:c r="H812" s="14" t="n">
        <x:f>MIN(=INDEX(Inputs!$B$7:$D$7,1,MATCH(A812,Inputs!$B$6:$D$6,0)),MAX(0,INDEX(Inputs!$B$14:$D$14,1,MATCH(A812,Inputs!$B$6:$D$6,0))-(C812-1)*=INDEX(Inputs!$B$7:$D$7,1,MATCH(A812,Inputs!$B$6:$D$6,0))))</x:f>
        <x:v>13</x:v>
      </x:c>
      <x:c r="I812" s="20" t="n">
        <x:f>INDEX(Inputs!$B$8:$D$8,1,MATCH(A812,Inputs!$B$6:$D$6,0))</x:f>
        <x:v>2395</x:v>
      </x:c>
      <x:c r="J812" s="20" t="n">
        <x:f>INDEX(Roster!$C$6:$C$108,MATCH(D812,Roster!$A$6:$A$108,0))*(1+INDEX(Inputs!$B$9:$D$9,1,MATCH(A812,Inputs!$B$6:$D$6,0)))</x:f>
        <x:v>753.46</x:v>
      </x:c>
      <x:c r="K812" s="20" t="n">
        <x:f>IF(=INDEX(Roster!$F$6:$F$108,MATCH(D812,Roster!$A$6:$A$108,0))="Yes",0,=INDEX(Inputs!$B$8:$D$8,1,MATCH(A812,Inputs!$B$6:$D$6,0))*IF(=INDEX(Roster!$B$6:$B$108,MATCH(D812,Roster!$A$6:$A$108,0))="Principal",INDEX(Inputs!$B$10:$D$10,1,MATCH(A812,Inputs!$B$6:$D$6,0)),IF(=INDEX(Roster!$B$6:$B$108,MATCH(D812,Roster!$A$6:$A$108,0))="Associate Principal",INDEX(Inputs!$B$11:$D$11,1,MATCH(A812,Inputs!$B$6:$D$6,0)),IF(=INDEX(Roster!$B$6:$B$108,MATCH(D812,Roster!$A$6:$A$108,0))="Assistant Principal",INDEX(Inputs!$B$12:$D$12,1,MATCH(A812,Inputs!$B$6:$D$6,0)),0))))</x:f>
        <x:v>0</x:v>
      </x:c>
      <x:c r="L812" s="20" t="n">
        <x:f>IF(INDEX(Roster!$D$6:$D$108,MATCH(D812,Roster!$A$6:$A$108,0))&gt;=25,INDEX(Inputs!$B$19:$D$19,1,MATCH(A812,Inputs!$B$6:$D$6,0)),IF(INDEX(Roster!$D$6:$D$108,MATCH(D812,Roster!$A$6:$A$108,0))&gt;=20,INDEX(Inputs!$B$18:$D$18,1,MATCH(A812,Inputs!$B$6:$D$6,0)),IF(INDEX(Roster!$D$6:$D$108,MATCH(D812,Roster!$A$6:$A$108,0))&gt;=15,INDEX(Inputs!$B$17:$D$17,1,MATCH(A812,Inputs!$B$6:$D$6,0)),IF(INDEX(Roster!$D$6:$D$108,MATCH(D812,Roster!$A$6:$A$108,0))&gt;=10,INDEX(Inputs!$B$16:$D$16,1,MATCH(A812,Inputs!$B$6:$D$6,0)),IF(INDEX(Roster!$D$6:$D$108,MATCH(D812,Roster!$A$6:$A$108,0))&gt;=5,INDEX(Inputs!$B$15:$D$15,1,MATCH(A812,Inputs!$B$6:$D$6,0)),0)))))</x:f>
        <x:v>60</x:v>
      </x:c>
      <x:c r="M812" s="20" t="n">
        <x:f>G812*I812</x:f>
        <x:v>31135</x:v>
      </x:c>
      <x:c r="N812" s="20" t="n">
        <x:f>G812*J812</x:f>
        <x:v>9794.98</x:v>
      </x:c>
      <x:c r="O812" s="20" t="n">
        <x:f>G812*K812</x:f>
        <x:v>0</x:v>
      </x:c>
      <x:c r="P812" s="20" t="n">
        <x:f>G812*L812</x:f>
        <x:v>780</x:v>
      </x:c>
      <x:c r="Q812" s="20" t="n">
        <x:f>H812*INDEX(Inputs!$B$13:$D$13,1,MATCH(A812,Inputs!$B$6:$D$6,0))</x:f>
        <x:v>390</x:v>
      </x:c>
      <x:c r="R812" s="20" t="n">
        <x:f>SUM(M812:Q812)</x:f>
        <x:v>42099.979999999996</x:v>
      </x:c>
      <x:c r="S812" s="20" t="n">
        <x:f>IF(AND(A811=A812,D811=D812),S811+R812,R812)</x:f>
        <x:v>126299.93999999999</x:v>
      </x:c>
      <x:c r="T812" s="20" t="n">
        <x:f>MIN(S812,INDEX(Inputs!$B$20:$D$20,1,MATCH(A812,Inputs!$B$6:$D$6,0)))*INDEX(Inputs!$B$22:$D$22,1,MATCH(A812,Inputs!$B$6:$D$6,0))+MAX(MIN(S812,INDEX(Inputs!$B$21:$D$21,1,MATCH(A812,Inputs!$B$6:$D$6,0)))-INDEX(Inputs!$B$20:$D$20,1,MATCH(A812,Inputs!$B$6:$D$6,0)),0)*INDEX(Inputs!$B$23:$D$23,1,MATCH(A812,Inputs!$B$6:$D$6,0))+MAX(S812-INDEX(Inputs!$B$21:$D$21,1,MATCH(A812,Inputs!$B$6:$D$6,0)),0)*INDEX(Inputs!$B$24:$D$24,1,MATCH(A812,Inputs!$B$6:$D$6,0))</x:f>
        <x:v>9745.29113</x:v>
      </x:c>
      <x:c r="U812" s="20" t="n">
        <x:f>IF(AND(A811=A812,D811=D812),T811,0)</x:f>
        <x:v>6931.296939999999</x:v>
      </x:c>
      <x:c r="V812" s="20" t="n">
        <x:f>T812-U812</x:f>
        <x:v>2813.9941900000003</x:v>
      </x:c>
      <x:c r="W812" s="20" t="n">
        <x:f>R812+V812</x:f>
        <x:v>44913.97418999999</x:v>
      </x:c>
      <x:c r="X812" s="14" t="str">
        <x:f>IF(ABS(W812-SUM(M812:Q812)-V812)&lt;0.01,"OK","Check")</x:f>
        <x:v>OK</x:v>
      </x:c>
    </x:row>
    <x:row r="813">
      <x:c r="A813" s="14" t="n">
        <x:v>2027</x:v>
      </x:c>
      <x:c r="B813" s="14" t="str">
        <x:v>Q4</x:v>
      </x:c>
      <x:c r="C813" s="14" t="n">
        <x:v>4</x:v>
      </x:c>
      <x:c r="D813" s="14" t="n">
        <x:v>99</x:v>
      </x:c>
      <x:c r="E813" s="14" t="str">
        <x:f>INDEX(Roster!$B$6:$B$108,MATCH(D813,Roster!$A$6:$A$108,0))</x:f>
        <x:v>Associate Principal</x:v>
      </x:c>
      <x:c r="F813" s="14" t="str">
        <x:f>INDEX(Roster!$F$6:$F$108,MATCH(D813,Roster!$A$6:$A$108,0))</x:f>
        <x:v>Yes</x:v>
      </x:c>
      <x:c r="G813" s="14" t="n">
        <x:f>INDEX(Inputs!$B$7:$D$7,1,MATCH(A813,Inputs!$B$6:$D$6,0))</x:f>
        <x:v>13</x:v>
      </x:c>
      <x:c r="H813" s="14" t="n">
        <x:f>MIN(=INDEX(Inputs!$B$7:$D$7,1,MATCH(A813,Inputs!$B$6:$D$6,0)),MAX(0,INDEX(Inputs!$B$14:$D$14,1,MATCH(A813,Inputs!$B$6:$D$6,0))-(C813-1)*=INDEX(Inputs!$B$7:$D$7,1,MATCH(A813,Inputs!$B$6:$D$6,0))))</x:f>
        <x:v>0</x:v>
      </x:c>
      <x:c r="I813" s="20" t="n">
        <x:f>INDEX(Inputs!$B$8:$D$8,1,MATCH(A813,Inputs!$B$6:$D$6,0))</x:f>
        <x:v>2395</x:v>
      </x:c>
      <x:c r="J813" s="20" t="n">
        <x:f>INDEX(Roster!$C$6:$C$108,MATCH(D813,Roster!$A$6:$A$108,0))*(1+INDEX(Inputs!$B$9:$D$9,1,MATCH(A813,Inputs!$B$6:$D$6,0)))</x:f>
        <x:v>753.46</x:v>
      </x:c>
      <x:c r="K813" s="20" t="n">
        <x:f>IF(=INDEX(Roster!$F$6:$F$108,MATCH(D813,Roster!$A$6:$A$108,0))="Yes",0,=INDEX(Inputs!$B$8:$D$8,1,MATCH(A813,Inputs!$B$6:$D$6,0))*IF(=INDEX(Roster!$B$6:$B$108,MATCH(D813,Roster!$A$6:$A$108,0))="Principal",INDEX(Inputs!$B$10:$D$10,1,MATCH(A813,Inputs!$B$6:$D$6,0)),IF(=INDEX(Roster!$B$6:$B$108,MATCH(D813,Roster!$A$6:$A$108,0))="Associate Principal",INDEX(Inputs!$B$11:$D$11,1,MATCH(A813,Inputs!$B$6:$D$6,0)),IF(=INDEX(Roster!$B$6:$B$108,MATCH(D813,Roster!$A$6:$A$108,0))="Assistant Principal",INDEX(Inputs!$B$12:$D$12,1,MATCH(A813,Inputs!$B$6:$D$6,0)),0))))</x:f>
        <x:v>0</x:v>
      </x:c>
      <x:c r="L813" s="20" t="n">
        <x:f>IF(INDEX(Roster!$D$6:$D$108,MATCH(D813,Roster!$A$6:$A$108,0))&gt;=25,INDEX(Inputs!$B$19:$D$19,1,MATCH(A813,Inputs!$B$6:$D$6,0)),IF(INDEX(Roster!$D$6:$D$108,MATCH(D813,Roster!$A$6:$A$108,0))&gt;=20,INDEX(Inputs!$B$18:$D$18,1,MATCH(A813,Inputs!$B$6:$D$6,0)),IF(INDEX(Roster!$D$6:$D$108,MATCH(D813,Roster!$A$6:$A$108,0))&gt;=15,INDEX(Inputs!$B$17:$D$17,1,MATCH(A813,Inputs!$B$6:$D$6,0)),IF(INDEX(Roster!$D$6:$D$108,MATCH(D813,Roster!$A$6:$A$108,0))&gt;=10,INDEX(Inputs!$B$16:$D$16,1,MATCH(A813,Inputs!$B$6:$D$6,0)),IF(INDEX(Roster!$D$6:$D$108,MATCH(D813,Roster!$A$6:$A$108,0))&gt;=5,INDEX(Inputs!$B$15:$D$15,1,MATCH(A813,Inputs!$B$6:$D$6,0)),0)))))</x:f>
        <x:v>60</x:v>
      </x:c>
      <x:c r="M813" s="20" t="n">
        <x:f>G813*I813</x:f>
        <x:v>31135</x:v>
      </x:c>
      <x:c r="N813" s="20" t="n">
        <x:f>G813*J813</x:f>
        <x:v>9794.98</x:v>
      </x:c>
      <x:c r="O813" s="20" t="n">
        <x:f>G813*K813</x:f>
        <x:v>0</x:v>
      </x:c>
      <x:c r="P813" s="20" t="n">
        <x:f>G813*L813</x:f>
        <x:v>780</x:v>
      </x:c>
      <x:c r="Q813" s="20" t="n">
        <x:f>H813*INDEX(Inputs!$B$13:$D$13,1,MATCH(A813,Inputs!$B$6:$D$6,0))</x:f>
        <x:v>0</x:v>
      </x:c>
      <x:c r="R813" s="20" t="n">
        <x:f>SUM(M813:Q813)</x:f>
        <x:v>41709.979999999996</x:v>
      </x:c>
      <x:c r="S813" s="20" t="n">
        <x:f>IF(AND(A812=A813,D812=D813),S812+R813,R813)</x:f>
        <x:v>168009.91999999998</x:v>
      </x:c>
      <x:c r="T813" s="20" t="n">
        <x:f>MIN(S813,INDEX(Inputs!$B$20:$D$20,1,MATCH(A813,Inputs!$B$6:$D$6,0)))*INDEX(Inputs!$B$22:$D$22,1,MATCH(A813,Inputs!$B$6:$D$6,0))+MAX(MIN(S813,INDEX(Inputs!$B$21:$D$21,1,MATCH(A813,Inputs!$B$6:$D$6,0)))-INDEX(Inputs!$B$20:$D$20,1,MATCH(A813,Inputs!$B$6:$D$6,0)),0)*INDEX(Inputs!$B$23:$D$23,1,MATCH(A813,Inputs!$B$6:$D$6,0))+MAX(S813-INDEX(Inputs!$B$21:$D$21,1,MATCH(A813,Inputs!$B$6:$D$6,0)),0)*INDEX(Inputs!$B$24:$D$24,1,MATCH(A813,Inputs!$B$6:$D$6,0))</x:f>
        <x:v>10350.08584</x:v>
      </x:c>
      <x:c r="U813" s="20" t="n">
        <x:f>IF(AND(A812=A813,D812=D813),T812,0)</x:f>
        <x:v>9745.29113</x:v>
      </x:c>
      <x:c r="V813" s="20" t="n">
        <x:f>T813-U813</x:f>
        <x:v>604.7947100000001</x:v>
      </x:c>
      <x:c r="W813" s="20" t="n">
        <x:f>R813+V813</x:f>
        <x:v>42314.77471</x:v>
      </x:c>
      <x:c r="X813" s="14" t="str">
        <x:f>IF(ABS(W813-SUM(M813:Q813)-V813)&lt;0.01,"OK","Check")</x:f>
        <x:v>OK</x:v>
      </x:c>
    </x:row>
    <x:row r="814">
      <x:c r="A814" s="14" t="n">
        <x:v>2027</x:v>
      </x:c>
      <x:c r="B814" s="14" t="str">
        <x:v>Q1</x:v>
      </x:c>
      <x:c r="C814" s="14" t="n">
        <x:v>1</x:v>
      </x:c>
      <x:c r="D814" s="14" t="n">
        <x:v>100</x:v>
      </x:c>
      <x:c r="E814" s="14" t="str">
        <x:f>INDEX(Roster!$B$6:$B$108,MATCH(D814,Roster!$A$6:$A$108,0))</x:f>
        <x:v>Associate Principal</x:v>
      </x:c>
      <x:c r="F814" s="14" t="str">
        <x:f>INDEX(Roster!$F$6:$F$108,MATCH(D814,Roster!$A$6:$A$108,0))</x:f>
        <x:v>Yes</x:v>
      </x:c>
      <x:c r="G814" s="14" t="n">
        <x:f>INDEX(Inputs!$B$7:$D$7,1,MATCH(A814,Inputs!$B$6:$D$6,0))</x:f>
        <x:v>13</x:v>
      </x:c>
      <x:c r="H814" s="14" t="n">
        <x:f>MIN(=INDEX(Inputs!$B$7:$D$7,1,MATCH(A814,Inputs!$B$6:$D$6,0)),MAX(0,INDEX(Inputs!$B$14:$D$14,1,MATCH(A814,Inputs!$B$6:$D$6,0))-(C814-1)*=INDEX(Inputs!$B$7:$D$7,1,MATCH(A814,Inputs!$B$6:$D$6,0))))</x:f>
        <x:v>13</x:v>
      </x:c>
      <x:c r="I814" s="20" t="n">
        <x:f>INDEX(Inputs!$B$8:$D$8,1,MATCH(A814,Inputs!$B$6:$D$6,0))</x:f>
        <x:v>2395</x:v>
      </x:c>
      <x:c r="J814" s="20" t="n">
        <x:f>INDEX(Roster!$C$6:$C$108,MATCH(D814,Roster!$A$6:$A$108,0))*(1+INDEX(Inputs!$B$9:$D$9,1,MATCH(A814,Inputs!$B$6:$D$6,0)))</x:f>
        <x:v>600</x:v>
      </x:c>
      <x:c r="K814" s="20" t="n">
        <x:f>IF(=INDEX(Roster!$F$6:$F$108,MATCH(D814,Roster!$A$6:$A$108,0))="Yes",0,=INDEX(Inputs!$B$8:$D$8,1,MATCH(A814,Inputs!$B$6:$D$6,0))*IF(=INDEX(Roster!$B$6:$B$108,MATCH(D814,Roster!$A$6:$A$108,0))="Principal",INDEX(Inputs!$B$10:$D$10,1,MATCH(A814,Inputs!$B$6:$D$6,0)),IF(=INDEX(Roster!$B$6:$B$108,MATCH(D814,Roster!$A$6:$A$108,0))="Associate Principal",INDEX(Inputs!$B$11:$D$11,1,MATCH(A814,Inputs!$B$6:$D$6,0)),IF(=INDEX(Roster!$B$6:$B$108,MATCH(D814,Roster!$A$6:$A$108,0))="Assistant Principal",INDEX(Inputs!$B$12:$D$12,1,MATCH(A814,Inputs!$B$6:$D$6,0)),0))))</x:f>
        <x:v>0</x:v>
      </x:c>
      <x:c r="L814" s="20" t="n">
        <x:f>IF(INDEX(Roster!$D$6:$D$108,MATCH(D814,Roster!$A$6:$A$108,0))&gt;=25,INDEX(Inputs!$B$19:$D$19,1,MATCH(A814,Inputs!$B$6:$D$6,0)),IF(INDEX(Roster!$D$6:$D$108,MATCH(D814,Roster!$A$6:$A$108,0))&gt;=20,INDEX(Inputs!$B$18:$D$18,1,MATCH(A814,Inputs!$B$6:$D$6,0)),IF(INDEX(Roster!$D$6:$D$108,MATCH(D814,Roster!$A$6:$A$108,0))&gt;=15,INDEX(Inputs!$B$17:$D$17,1,MATCH(A814,Inputs!$B$6:$D$6,0)),IF(INDEX(Roster!$D$6:$D$108,MATCH(D814,Roster!$A$6:$A$108,0))&gt;=10,INDEX(Inputs!$B$16:$D$16,1,MATCH(A814,Inputs!$B$6:$D$6,0)),IF(INDEX(Roster!$D$6:$D$108,MATCH(D814,Roster!$A$6:$A$108,0))&gt;=5,INDEX(Inputs!$B$15:$D$15,1,MATCH(A814,Inputs!$B$6:$D$6,0)),0)))))</x:f>
        <x:v>50</x:v>
      </x:c>
      <x:c r="M814" s="20" t="n">
        <x:f>G814*I814</x:f>
        <x:v>31135</x:v>
      </x:c>
      <x:c r="N814" s="20" t="n">
        <x:f>G814*J814</x:f>
        <x:v>7800</x:v>
      </x:c>
      <x:c r="O814" s="20" t="n">
        <x:f>G814*K814</x:f>
        <x:v>0</x:v>
      </x:c>
      <x:c r="P814" s="20" t="n">
        <x:f>G814*L814</x:f>
        <x:v>650</x:v>
      </x:c>
      <x:c r="Q814" s="20" t="n">
        <x:f>H814*INDEX(Inputs!$B$13:$D$13,1,MATCH(A814,Inputs!$B$6:$D$6,0))</x:f>
        <x:v>390</x:v>
      </x:c>
      <x:c r="R814" s="20" t="n">
        <x:f>SUM(M814:Q814)</x:f>
        <x:v>39975</x:v>
      </x:c>
      <x:c r="S814" s="20" t="n">
        <x:f>IF(AND(A813=A814,D813=D814),S813+R814,R814)</x:f>
        <x:v>39975</x:v>
      </x:c>
      <x:c r="T814" s="20" t="n">
        <x:f>MIN(S814,INDEX(Inputs!$B$20:$D$20,1,MATCH(A814,Inputs!$B$6:$D$6,0)))*INDEX(Inputs!$B$22:$D$22,1,MATCH(A814,Inputs!$B$6:$D$6,0))+MAX(MIN(S814,INDEX(Inputs!$B$21:$D$21,1,MATCH(A814,Inputs!$B$6:$D$6,0)))-INDEX(Inputs!$B$20:$D$20,1,MATCH(A814,Inputs!$B$6:$D$6,0)),0)*INDEX(Inputs!$B$23:$D$23,1,MATCH(A814,Inputs!$B$6:$D$6,0))+MAX(S814-INDEX(Inputs!$B$21:$D$21,1,MATCH(A814,Inputs!$B$6:$D$6,0)),0)*INDEX(Inputs!$B$24:$D$24,1,MATCH(A814,Inputs!$B$6:$D$6,0))</x:f>
        <x:v>3548.0875</x:v>
      </x:c>
      <x:c r="U814" s="20" t="n">
        <x:f>IF(AND(A813=A814,D813=D814),T813,0)</x:f>
        <x:v>0</x:v>
      </x:c>
      <x:c r="V814" s="20" t="n">
        <x:f>T814-U814</x:f>
        <x:v>3548.0875</x:v>
      </x:c>
      <x:c r="W814" s="20" t="n">
        <x:f>R814+V814</x:f>
        <x:v>43523.0875</x:v>
      </x:c>
      <x:c r="X814" s="14" t="str">
        <x:f>IF(ABS(W814-SUM(M814:Q814)-V814)&lt;0.01,"OK","Check")</x:f>
        <x:v>OK</x:v>
      </x:c>
    </x:row>
    <x:row r="815">
      <x:c r="A815" s="14" t="n">
        <x:v>2027</x:v>
      </x:c>
      <x:c r="B815" s="14" t="str">
        <x:v>Q2</x:v>
      </x:c>
      <x:c r="C815" s="14" t="n">
        <x:v>2</x:v>
      </x:c>
      <x:c r="D815" s="14" t="n">
        <x:v>100</x:v>
      </x:c>
      <x:c r="E815" s="14" t="str">
        <x:f>INDEX(Roster!$B$6:$B$108,MATCH(D815,Roster!$A$6:$A$108,0))</x:f>
        <x:v>Associate Principal</x:v>
      </x:c>
      <x:c r="F815" s="14" t="str">
        <x:f>INDEX(Roster!$F$6:$F$108,MATCH(D815,Roster!$A$6:$A$108,0))</x:f>
        <x:v>Yes</x:v>
      </x:c>
      <x:c r="G815" s="14" t="n">
        <x:f>INDEX(Inputs!$B$7:$D$7,1,MATCH(A815,Inputs!$B$6:$D$6,0))</x:f>
        <x:v>13</x:v>
      </x:c>
      <x:c r="H815" s="14" t="n">
        <x:f>MIN(=INDEX(Inputs!$B$7:$D$7,1,MATCH(A815,Inputs!$B$6:$D$6,0)),MAX(0,INDEX(Inputs!$B$14:$D$14,1,MATCH(A815,Inputs!$B$6:$D$6,0))-(C815-1)*=INDEX(Inputs!$B$7:$D$7,1,MATCH(A815,Inputs!$B$6:$D$6,0))))</x:f>
        <x:v>13</x:v>
      </x:c>
      <x:c r="I815" s="20" t="n">
        <x:f>INDEX(Inputs!$B$8:$D$8,1,MATCH(A815,Inputs!$B$6:$D$6,0))</x:f>
        <x:v>2395</x:v>
      </x:c>
      <x:c r="J815" s="20" t="n">
        <x:f>INDEX(Roster!$C$6:$C$108,MATCH(D815,Roster!$A$6:$A$108,0))*(1+INDEX(Inputs!$B$9:$D$9,1,MATCH(A815,Inputs!$B$6:$D$6,0)))</x:f>
        <x:v>600</x:v>
      </x:c>
      <x:c r="K815" s="20" t="n">
        <x:f>IF(=INDEX(Roster!$F$6:$F$108,MATCH(D815,Roster!$A$6:$A$108,0))="Yes",0,=INDEX(Inputs!$B$8:$D$8,1,MATCH(A815,Inputs!$B$6:$D$6,0))*IF(=INDEX(Roster!$B$6:$B$108,MATCH(D815,Roster!$A$6:$A$108,0))="Principal",INDEX(Inputs!$B$10:$D$10,1,MATCH(A815,Inputs!$B$6:$D$6,0)),IF(=INDEX(Roster!$B$6:$B$108,MATCH(D815,Roster!$A$6:$A$108,0))="Associate Principal",INDEX(Inputs!$B$11:$D$11,1,MATCH(A815,Inputs!$B$6:$D$6,0)),IF(=INDEX(Roster!$B$6:$B$108,MATCH(D815,Roster!$A$6:$A$108,0))="Assistant Principal",INDEX(Inputs!$B$12:$D$12,1,MATCH(A815,Inputs!$B$6:$D$6,0)),0))))</x:f>
        <x:v>0</x:v>
      </x:c>
      <x:c r="L815" s="20" t="n">
        <x:f>IF(INDEX(Roster!$D$6:$D$108,MATCH(D815,Roster!$A$6:$A$108,0))&gt;=25,INDEX(Inputs!$B$19:$D$19,1,MATCH(A815,Inputs!$B$6:$D$6,0)),IF(INDEX(Roster!$D$6:$D$108,MATCH(D815,Roster!$A$6:$A$108,0))&gt;=20,INDEX(Inputs!$B$18:$D$18,1,MATCH(A815,Inputs!$B$6:$D$6,0)),IF(INDEX(Roster!$D$6:$D$108,MATCH(D815,Roster!$A$6:$A$108,0))&gt;=15,INDEX(Inputs!$B$17:$D$17,1,MATCH(A815,Inputs!$B$6:$D$6,0)),IF(INDEX(Roster!$D$6:$D$108,MATCH(D815,Roster!$A$6:$A$108,0))&gt;=10,INDEX(Inputs!$B$16:$D$16,1,MATCH(A815,Inputs!$B$6:$D$6,0)),IF(INDEX(Roster!$D$6:$D$108,MATCH(D815,Roster!$A$6:$A$108,0))&gt;=5,INDEX(Inputs!$B$15:$D$15,1,MATCH(A815,Inputs!$B$6:$D$6,0)),0)))))</x:f>
        <x:v>50</x:v>
      </x:c>
      <x:c r="M815" s="20" t="n">
        <x:f>G815*I815</x:f>
        <x:v>31135</x:v>
      </x:c>
      <x:c r="N815" s="20" t="n">
        <x:f>G815*J815</x:f>
        <x:v>7800</x:v>
      </x:c>
      <x:c r="O815" s="20" t="n">
        <x:f>G815*K815</x:f>
        <x:v>0</x:v>
      </x:c>
      <x:c r="P815" s="20" t="n">
        <x:f>G815*L815</x:f>
        <x:v>650</x:v>
      </x:c>
      <x:c r="Q815" s="20" t="n">
        <x:f>H815*INDEX(Inputs!$B$13:$D$13,1,MATCH(A815,Inputs!$B$6:$D$6,0))</x:f>
        <x:v>390</x:v>
      </x:c>
      <x:c r="R815" s="20" t="n">
        <x:f>SUM(M815:Q815)</x:f>
        <x:v>39975</x:v>
      </x:c>
      <x:c r="S815" s="20" t="n">
        <x:f>IF(AND(A814=A815,D814=D815),S814+R815,R815)</x:f>
        <x:v>79950</x:v>
      </x:c>
      <x:c r="T815" s="20" t="n">
        <x:f>MIN(S815,INDEX(Inputs!$B$20:$D$20,1,MATCH(A815,Inputs!$B$6:$D$6,0)))*INDEX(Inputs!$B$22:$D$22,1,MATCH(A815,Inputs!$B$6:$D$6,0))+MAX(MIN(S815,INDEX(Inputs!$B$21:$D$21,1,MATCH(A815,Inputs!$B$6:$D$6,0)))-INDEX(Inputs!$B$20:$D$20,1,MATCH(A815,Inputs!$B$6:$D$6,0)),0)*INDEX(Inputs!$B$23:$D$23,1,MATCH(A815,Inputs!$B$6:$D$6,0))+MAX(S815-INDEX(Inputs!$B$21:$D$21,1,MATCH(A815,Inputs!$B$6:$D$6,0)),0)*INDEX(Inputs!$B$24:$D$24,1,MATCH(A815,Inputs!$B$6:$D$6,0))</x:f>
        <x:v>6606.175</x:v>
      </x:c>
      <x:c r="U815" s="20" t="n">
        <x:f>IF(AND(A814=A815,D814=D815),T814,0)</x:f>
        <x:v>3548.0875</x:v>
      </x:c>
      <x:c r="V815" s="20" t="n">
        <x:f>T815-U815</x:f>
        <x:v>3058.0875</x:v>
      </x:c>
      <x:c r="W815" s="20" t="n">
        <x:f>R815+V815</x:f>
        <x:v>43033.0875</x:v>
      </x:c>
      <x:c r="X815" s="14" t="str">
        <x:f>IF(ABS(W815-SUM(M815:Q815)-V815)&lt;0.01,"OK","Check")</x:f>
        <x:v>OK</x:v>
      </x:c>
    </x:row>
    <x:row r="816">
      <x:c r="A816" s="14" t="n">
        <x:v>2027</x:v>
      </x:c>
      <x:c r="B816" s="14" t="str">
        <x:v>Q3</x:v>
      </x:c>
      <x:c r="C816" s="14" t="n">
        <x:v>3</x:v>
      </x:c>
      <x:c r="D816" s="14" t="n">
        <x:v>100</x:v>
      </x:c>
      <x:c r="E816" s="14" t="str">
        <x:f>INDEX(Roster!$B$6:$B$108,MATCH(D816,Roster!$A$6:$A$108,0))</x:f>
        <x:v>Associate Principal</x:v>
      </x:c>
      <x:c r="F816" s="14" t="str">
        <x:f>INDEX(Roster!$F$6:$F$108,MATCH(D816,Roster!$A$6:$A$108,0))</x:f>
        <x:v>Yes</x:v>
      </x:c>
      <x:c r="G816" s="14" t="n">
        <x:f>INDEX(Inputs!$B$7:$D$7,1,MATCH(A816,Inputs!$B$6:$D$6,0))</x:f>
        <x:v>13</x:v>
      </x:c>
      <x:c r="H816" s="14" t="n">
        <x:f>MIN(=INDEX(Inputs!$B$7:$D$7,1,MATCH(A816,Inputs!$B$6:$D$6,0)),MAX(0,INDEX(Inputs!$B$14:$D$14,1,MATCH(A816,Inputs!$B$6:$D$6,0))-(C816-1)*=INDEX(Inputs!$B$7:$D$7,1,MATCH(A816,Inputs!$B$6:$D$6,0))))</x:f>
        <x:v>13</x:v>
      </x:c>
      <x:c r="I816" s="20" t="n">
        <x:f>INDEX(Inputs!$B$8:$D$8,1,MATCH(A816,Inputs!$B$6:$D$6,0))</x:f>
        <x:v>2395</x:v>
      </x:c>
      <x:c r="J816" s="20" t="n">
        <x:f>INDEX(Roster!$C$6:$C$108,MATCH(D816,Roster!$A$6:$A$108,0))*(1+INDEX(Inputs!$B$9:$D$9,1,MATCH(A816,Inputs!$B$6:$D$6,0)))</x:f>
        <x:v>600</x:v>
      </x:c>
      <x:c r="K816" s="20" t="n">
        <x:f>IF(=INDEX(Roster!$F$6:$F$108,MATCH(D816,Roster!$A$6:$A$108,0))="Yes",0,=INDEX(Inputs!$B$8:$D$8,1,MATCH(A816,Inputs!$B$6:$D$6,0))*IF(=INDEX(Roster!$B$6:$B$108,MATCH(D816,Roster!$A$6:$A$108,0))="Principal",INDEX(Inputs!$B$10:$D$10,1,MATCH(A816,Inputs!$B$6:$D$6,0)),IF(=INDEX(Roster!$B$6:$B$108,MATCH(D816,Roster!$A$6:$A$108,0))="Associate Principal",INDEX(Inputs!$B$11:$D$11,1,MATCH(A816,Inputs!$B$6:$D$6,0)),IF(=INDEX(Roster!$B$6:$B$108,MATCH(D816,Roster!$A$6:$A$108,0))="Assistant Principal",INDEX(Inputs!$B$12:$D$12,1,MATCH(A816,Inputs!$B$6:$D$6,0)),0))))</x:f>
        <x:v>0</x:v>
      </x:c>
      <x:c r="L816" s="20" t="n">
        <x:f>IF(INDEX(Roster!$D$6:$D$108,MATCH(D816,Roster!$A$6:$A$108,0))&gt;=25,INDEX(Inputs!$B$19:$D$19,1,MATCH(A816,Inputs!$B$6:$D$6,0)),IF(INDEX(Roster!$D$6:$D$108,MATCH(D816,Roster!$A$6:$A$108,0))&gt;=20,INDEX(Inputs!$B$18:$D$18,1,MATCH(A816,Inputs!$B$6:$D$6,0)),IF(INDEX(Roster!$D$6:$D$108,MATCH(D816,Roster!$A$6:$A$108,0))&gt;=15,INDEX(Inputs!$B$17:$D$17,1,MATCH(A816,Inputs!$B$6:$D$6,0)),IF(INDEX(Roster!$D$6:$D$108,MATCH(D816,Roster!$A$6:$A$108,0))&gt;=10,INDEX(Inputs!$B$16:$D$16,1,MATCH(A816,Inputs!$B$6:$D$6,0)),IF(INDEX(Roster!$D$6:$D$108,MATCH(D816,Roster!$A$6:$A$108,0))&gt;=5,INDEX(Inputs!$B$15:$D$15,1,MATCH(A816,Inputs!$B$6:$D$6,0)),0)))))</x:f>
        <x:v>50</x:v>
      </x:c>
      <x:c r="M816" s="20" t="n">
        <x:f>G816*I816</x:f>
        <x:v>31135</x:v>
      </x:c>
      <x:c r="N816" s="20" t="n">
        <x:f>G816*J816</x:f>
        <x:v>7800</x:v>
      </x:c>
      <x:c r="O816" s="20" t="n">
        <x:f>G816*K816</x:f>
        <x:v>0</x:v>
      </x:c>
      <x:c r="P816" s="20" t="n">
        <x:f>G816*L816</x:f>
        <x:v>650</x:v>
      </x:c>
      <x:c r="Q816" s="20" t="n">
        <x:f>H816*INDEX(Inputs!$B$13:$D$13,1,MATCH(A816,Inputs!$B$6:$D$6,0))</x:f>
        <x:v>390</x:v>
      </x:c>
      <x:c r="R816" s="20" t="n">
        <x:f>SUM(M816:Q816)</x:f>
        <x:v>39975</x:v>
      </x:c>
      <x:c r="S816" s="20" t="n">
        <x:f>IF(AND(A815=A816,D815=D816),S815+R816,R816)</x:f>
        <x:v>119925</x:v>
      </x:c>
      <x:c r="T816" s="20" t="n">
        <x:f>MIN(S816,INDEX(Inputs!$B$20:$D$20,1,MATCH(A816,Inputs!$B$6:$D$6,0)))*INDEX(Inputs!$B$22:$D$22,1,MATCH(A816,Inputs!$B$6:$D$6,0))+MAX(MIN(S816,INDEX(Inputs!$B$21:$D$21,1,MATCH(A816,Inputs!$B$6:$D$6,0)))-INDEX(Inputs!$B$20:$D$20,1,MATCH(A816,Inputs!$B$6:$D$6,0)),0)*INDEX(Inputs!$B$23:$D$23,1,MATCH(A816,Inputs!$B$6:$D$6,0))+MAX(S816-INDEX(Inputs!$B$21:$D$21,1,MATCH(A816,Inputs!$B$6:$D$6,0)),0)*INDEX(Inputs!$B$24:$D$24,1,MATCH(A816,Inputs!$B$6:$D$6,0))</x:f>
        <x:v>9652.8545</x:v>
      </x:c>
      <x:c r="U816" s="20" t="n">
        <x:f>IF(AND(A815=A816,D815=D816),T815,0)</x:f>
        <x:v>6606.175</x:v>
      </x:c>
      <x:c r="V816" s="20" t="n">
        <x:f>T816-U816</x:f>
        <x:v>3046.6794999999993</x:v>
      </x:c>
      <x:c r="W816" s="20" t="n">
        <x:f>R816+V816</x:f>
        <x:v>43021.6795</x:v>
      </x:c>
      <x:c r="X816" s="14" t="str">
        <x:f>IF(ABS(W816-SUM(M816:Q816)-V816)&lt;0.01,"OK","Check")</x:f>
        <x:v>OK</x:v>
      </x:c>
    </x:row>
    <x:row r="817">
      <x:c r="A817" s="14" t="n">
        <x:v>2027</x:v>
      </x:c>
      <x:c r="B817" s="14" t="str">
        <x:v>Q4</x:v>
      </x:c>
      <x:c r="C817" s="14" t="n">
        <x:v>4</x:v>
      </x:c>
      <x:c r="D817" s="14" t="n">
        <x:v>100</x:v>
      </x:c>
      <x:c r="E817" s="14" t="str">
        <x:f>INDEX(Roster!$B$6:$B$108,MATCH(D817,Roster!$A$6:$A$108,0))</x:f>
        <x:v>Associate Principal</x:v>
      </x:c>
      <x:c r="F817" s="14" t="str">
        <x:f>INDEX(Roster!$F$6:$F$108,MATCH(D817,Roster!$A$6:$A$108,0))</x:f>
        <x:v>Yes</x:v>
      </x:c>
      <x:c r="G817" s="14" t="n">
        <x:f>INDEX(Inputs!$B$7:$D$7,1,MATCH(A817,Inputs!$B$6:$D$6,0))</x:f>
        <x:v>13</x:v>
      </x:c>
      <x:c r="H817" s="14" t="n">
        <x:f>MIN(=INDEX(Inputs!$B$7:$D$7,1,MATCH(A817,Inputs!$B$6:$D$6,0)),MAX(0,INDEX(Inputs!$B$14:$D$14,1,MATCH(A817,Inputs!$B$6:$D$6,0))-(C817-1)*=INDEX(Inputs!$B$7:$D$7,1,MATCH(A817,Inputs!$B$6:$D$6,0))))</x:f>
        <x:v>0</x:v>
      </x:c>
      <x:c r="I817" s="20" t="n">
        <x:f>INDEX(Inputs!$B$8:$D$8,1,MATCH(A817,Inputs!$B$6:$D$6,0))</x:f>
        <x:v>2395</x:v>
      </x:c>
      <x:c r="J817" s="20" t="n">
        <x:f>INDEX(Roster!$C$6:$C$108,MATCH(D817,Roster!$A$6:$A$108,0))*(1+INDEX(Inputs!$B$9:$D$9,1,MATCH(A817,Inputs!$B$6:$D$6,0)))</x:f>
        <x:v>600</x:v>
      </x:c>
      <x:c r="K817" s="20" t="n">
        <x:f>IF(=INDEX(Roster!$F$6:$F$108,MATCH(D817,Roster!$A$6:$A$108,0))="Yes",0,=INDEX(Inputs!$B$8:$D$8,1,MATCH(A817,Inputs!$B$6:$D$6,0))*IF(=INDEX(Roster!$B$6:$B$108,MATCH(D817,Roster!$A$6:$A$108,0))="Principal",INDEX(Inputs!$B$10:$D$10,1,MATCH(A817,Inputs!$B$6:$D$6,0)),IF(=INDEX(Roster!$B$6:$B$108,MATCH(D817,Roster!$A$6:$A$108,0))="Associate Principal",INDEX(Inputs!$B$11:$D$11,1,MATCH(A817,Inputs!$B$6:$D$6,0)),IF(=INDEX(Roster!$B$6:$B$108,MATCH(D817,Roster!$A$6:$A$108,0))="Assistant Principal",INDEX(Inputs!$B$12:$D$12,1,MATCH(A817,Inputs!$B$6:$D$6,0)),0))))</x:f>
        <x:v>0</x:v>
      </x:c>
      <x:c r="L817" s="20" t="n">
        <x:f>IF(INDEX(Roster!$D$6:$D$108,MATCH(D817,Roster!$A$6:$A$108,0))&gt;=25,INDEX(Inputs!$B$19:$D$19,1,MATCH(A817,Inputs!$B$6:$D$6,0)),IF(INDEX(Roster!$D$6:$D$108,MATCH(D817,Roster!$A$6:$A$108,0))&gt;=20,INDEX(Inputs!$B$18:$D$18,1,MATCH(A817,Inputs!$B$6:$D$6,0)),IF(INDEX(Roster!$D$6:$D$108,MATCH(D817,Roster!$A$6:$A$108,0))&gt;=15,INDEX(Inputs!$B$17:$D$17,1,MATCH(A817,Inputs!$B$6:$D$6,0)),IF(INDEX(Roster!$D$6:$D$108,MATCH(D817,Roster!$A$6:$A$108,0))&gt;=10,INDEX(Inputs!$B$16:$D$16,1,MATCH(A817,Inputs!$B$6:$D$6,0)),IF(INDEX(Roster!$D$6:$D$108,MATCH(D817,Roster!$A$6:$A$108,0))&gt;=5,INDEX(Inputs!$B$15:$D$15,1,MATCH(A817,Inputs!$B$6:$D$6,0)),0)))))</x:f>
        <x:v>50</x:v>
      </x:c>
      <x:c r="M817" s="20" t="n">
        <x:f>G817*I817</x:f>
        <x:v>31135</x:v>
      </x:c>
      <x:c r="N817" s="20" t="n">
        <x:f>G817*J817</x:f>
        <x:v>7800</x:v>
      </x:c>
      <x:c r="O817" s="20" t="n">
        <x:f>G817*K817</x:f>
        <x:v>0</x:v>
      </x:c>
      <x:c r="P817" s="20" t="n">
        <x:f>G817*L817</x:f>
        <x:v>650</x:v>
      </x:c>
      <x:c r="Q817" s="20" t="n">
        <x:f>H817*INDEX(Inputs!$B$13:$D$13,1,MATCH(A817,Inputs!$B$6:$D$6,0))</x:f>
        <x:v>0</x:v>
      </x:c>
      <x:c r="R817" s="20" t="n">
        <x:f>SUM(M817:Q817)</x:f>
        <x:v>39585</x:v>
      </x:c>
      <x:c r="S817" s="20" t="n">
        <x:f>IF(AND(A816=A817,D816=D817),S816+R817,R817)</x:f>
        <x:v>159510</x:v>
      </x:c>
      <x:c r="T817" s="20" t="n">
        <x:f>MIN(S817,INDEX(Inputs!$B$20:$D$20,1,MATCH(A817,Inputs!$B$6:$D$6,0)))*INDEX(Inputs!$B$22:$D$22,1,MATCH(A817,Inputs!$B$6:$D$6,0))+MAX(MIN(S817,INDEX(Inputs!$B$21:$D$21,1,MATCH(A817,Inputs!$B$6:$D$6,0)))-INDEX(Inputs!$B$20:$D$20,1,MATCH(A817,Inputs!$B$6:$D$6,0)),0)*INDEX(Inputs!$B$23:$D$23,1,MATCH(A817,Inputs!$B$6:$D$6,0))+MAX(S817-INDEX(Inputs!$B$21:$D$21,1,MATCH(A817,Inputs!$B$6:$D$6,0)),0)*INDEX(Inputs!$B$24:$D$24,1,MATCH(A817,Inputs!$B$6:$D$6,0))</x:f>
        <x:v>10226.837</x:v>
      </x:c>
      <x:c r="U817" s="20" t="n">
        <x:f>IF(AND(A816=A817,D816=D817),T816,0)</x:f>
        <x:v>9652.8545</x:v>
      </x:c>
      <x:c r="V817" s="20" t="n">
        <x:f>T817-U817</x:f>
        <x:v>573.9825000000001</x:v>
      </x:c>
      <x:c r="W817" s="20" t="n">
        <x:f>R817+V817</x:f>
        <x:v>40158.9825</x:v>
      </x:c>
      <x:c r="X817" s="14" t="str">
        <x:f>IF(ABS(W817-SUM(M817:Q817)-V817)&lt;0.01,"OK","Check")</x:f>
        <x:v>OK</x:v>
      </x:c>
    </x:row>
    <x:row r="818">
      <x:c r="A818" s="14" t="n">
        <x:v>2027</x:v>
      </x:c>
      <x:c r="B818" s="14" t="str">
        <x:v>Q1</x:v>
      </x:c>
      <x:c r="C818" s="14" t="n">
        <x:v>1</x:v>
      </x:c>
      <x:c r="D818" s="14" t="n">
        <x:v>101</x:v>
      </x:c>
      <x:c r="E818" s="14" t="str">
        <x:f>INDEX(Roster!$B$6:$B$108,MATCH(D818,Roster!$A$6:$A$108,0))</x:f>
      </x:c>
      <x:c r="F818" s="14" t="str">
        <x:f>INDEX(Roster!$F$6:$F$108,MATCH(D818,Roster!$A$6:$A$108,0))</x:f>
        <x:v>No</x:v>
      </x:c>
      <x:c r="G818" s="14" t="n">
        <x:f>INDEX(Inputs!$B$7:$D$7,1,MATCH(A818,Inputs!$B$6:$D$6,0))</x:f>
        <x:v>13</x:v>
      </x:c>
      <x:c r="H818" s="14" t="n">
        <x:f>MIN(=INDEX(Inputs!$B$7:$D$7,1,MATCH(A818,Inputs!$B$6:$D$6,0)),MAX(0,INDEX(Inputs!$B$14:$D$14,1,MATCH(A818,Inputs!$B$6:$D$6,0))-(C818-1)*=INDEX(Inputs!$B$7:$D$7,1,MATCH(A818,Inputs!$B$6:$D$6,0))))</x:f>
        <x:v>13</x:v>
      </x:c>
      <x:c r="I818" s="20" t="n">
        <x:f>INDEX(Inputs!$B$8:$D$8,1,MATCH(A818,Inputs!$B$6:$D$6,0))</x:f>
        <x:v>2395</x:v>
      </x:c>
      <x:c r="J818" s="20" t="n">
        <x:f>INDEX(Roster!$C$6:$C$108,MATCH(D818,Roster!$A$6:$A$108,0))*(1+INDEX(Inputs!$B$9:$D$9,1,MATCH(A818,Inputs!$B$6:$D$6,0)))</x:f>
        <x:v>30</x:v>
      </x:c>
      <x:c r="K818" s="20" t="n">
        <x:f>IF(=INDEX(Roster!$F$6:$F$108,MATCH(D818,Roster!$A$6:$A$108,0))="Yes",0,=INDEX(Inputs!$B$8:$D$8,1,MATCH(A818,Inputs!$B$6:$D$6,0))*IF(=INDEX(Roster!$B$6:$B$108,MATCH(D818,Roster!$A$6:$A$108,0))="Principal",INDEX(Inputs!$B$10:$D$10,1,MATCH(A818,Inputs!$B$6:$D$6,0)),IF(=INDEX(Roster!$B$6:$B$108,MATCH(D818,Roster!$A$6:$A$108,0))="Associate Principal",INDEX(Inputs!$B$11:$D$11,1,MATCH(A818,Inputs!$B$6:$D$6,0)),IF(=INDEX(Roster!$B$6:$B$108,MATCH(D818,Roster!$A$6:$A$108,0))="Assistant Principal",INDEX(Inputs!$B$12:$D$12,1,MATCH(A818,Inputs!$B$6:$D$6,0)),0))))</x:f>
        <x:v>0</x:v>
      </x:c>
      <x:c r="L818" s="20" t="n">
        <x:f>IF(INDEX(Roster!$D$6:$D$108,MATCH(D818,Roster!$A$6:$A$108,0))&gt;=25,INDEX(Inputs!$B$19:$D$19,1,MATCH(A818,Inputs!$B$6:$D$6,0)),IF(INDEX(Roster!$D$6:$D$108,MATCH(D818,Roster!$A$6:$A$108,0))&gt;=20,INDEX(Inputs!$B$18:$D$18,1,MATCH(A818,Inputs!$B$6:$D$6,0)),IF(INDEX(Roster!$D$6:$D$108,MATCH(D818,Roster!$A$6:$A$108,0))&gt;=15,INDEX(Inputs!$B$17:$D$17,1,MATCH(A818,Inputs!$B$6:$D$6,0)),IF(INDEX(Roster!$D$6:$D$108,MATCH(D818,Roster!$A$6:$A$108,0))&gt;=10,INDEX(Inputs!$B$16:$D$16,1,MATCH(A818,Inputs!$B$6:$D$6,0)),IF(INDEX(Roster!$D$6:$D$108,MATCH(D818,Roster!$A$6:$A$108,0))&gt;=5,INDEX(Inputs!$B$15:$D$15,1,MATCH(A818,Inputs!$B$6:$D$6,0)),0)))))</x:f>
        <x:v>0</x:v>
      </x:c>
      <x:c r="M818" s="20" t="n">
        <x:f>G818*I818</x:f>
        <x:v>31135</x:v>
      </x:c>
      <x:c r="N818" s="20" t="n">
        <x:f>G818*J818</x:f>
        <x:v>390</x:v>
      </x:c>
      <x:c r="O818" s="20" t="n">
        <x:f>G818*K818</x:f>
        <x:v>0</x:v>
      </x:c>
      <x:c r="P818" s="20" t="n">
        <x:f>G818*L818</x:f>
        <x:v>0</x:v>
      </x:c>
      <x:c r="Q818" s="20" t="n">
        <x:f>H818*INDEX(Inputs!$B$13:$D$13,1,MATCH(A818,Inputs!$B$6:$D$6,0))</x:f>
        <x:v>390</x:v>
      </x:c>
      <x:c r="R818" s="20" t="n">
        <x:f>SUM(M818:Q818)</x:f>
        <x:v>31915</x:v>
      </x:c>
      <x:c r="S818" s="20" t="n">
        <x:f>IF(AND(A817=A818,D817=D818),S817+R818,R818)</x:f>
        <x:v>31915</x:v>
      </x:c>
      <x:c r="T818" s="20" t="n">
        <x:f>MIN(S818,INDEX(Inputs!$B$20:$D$20,1,MATCH(A818,Inputs!$B$6:$D$6,0)))*INDEX(Inputs!$B$22:$D$22,1,MATCH(A818,Inputs!$B$6:$D$6,0))+MAX(MIN(S818,INDEX(Inputs!$B$21:$D$21,1,MATCH(A818,Inputs!$B$6:$D$6,0)))-INDEX(Inputs!$B$20:$D$20,1,MATCH(A818,Inputs!$B$6:$D$6,0)),0)*INDEX(Inputs!$B$23:$D$23,1,MATCH(A818,Inputs!$B$6:$D$6,0))+MAX(S818-INDEX(Inputs!$B$21:$D$21,1,MATCH(A818,Inputs!$B$6:$D$6,0)),0)*INDEX(Inputs!$B$24:$D$24,1,MATCH(A818,Inputs!$B$6:$D$6,0))</x:f>
        <x:v>2931.4975</x:v>
      </x:c>
      <x:c r="U818" s="20" t="n">
        <x:f>IF(AND(A817=A818,D817=D818),T817,0)</x:f>
        <x:v>0</x:v>
      </x:c>
      <x:c r="V818" s="20" t="n">
        <x:f>T818-U818</x:f>
        <x:v>2931.4975</x:v>
      </x:c>
      <x:c r="W818" s="20" t="n">
        <x:f>R818+V818</x:f>
        <x:v>34846.4975</x:v>
      </x:c>
      <x:c r="X818" s="14" t="str">
        <x:f>IF(ABS(W818-SUM(M818:Q818)-V818)&lt;0.01,"OK","Check")</x:f>
        <x:v>OK</x:v>
      </x:c>
    </x:row>
    <x:row r="819">
      <x:c r="A819" s="14" t="n">
        <x:v>2027</x:v>
      </x:c>
      <x:c r="B819" s="14" t="str">
        <x:v>Q2</x:v>
      </x:c>
      <x:c r="C819" s="14" t="n">
        <x:v>2</x:v>
      </x:c>
      <x:c r="D819" s="14" t="n">
        <x:v>101</x:v>
      </x:c>
      <x:c r="E819" s="14" t="str">
        <x:f>INDEX(Roster!$B$6:$B$108,MATCH(D819,Roster!$A$6:$A$108,0))</x:f>
      </x:c>
      <x:c r="F819" s="14" t="str">
        <x:f>INDEX(Roster!$F$6:$F$108,MATCH(D819,Roster!$A$6:$A$108,0))</x:f>
        <x:v>No</x:v>
      </x:c>
      <x:c r="G819" s="14" t="n">
        <x:f>INDEX(Inputs!$B$7:$D$7,1,MATCH(A819,Inputs!$B$6:$D$6,0))</x:f>
        <x:v>13</x:v>
      </x:c>
      <x:c r="H819" s="14" t="n">
        <x:f>MIN(=INDEX(Inputs!$B$7:$D$7,1,MATCH(A819,Inputs!$B$6:$D$6,0)),MAX(0,INDEX(Inputs!$B$14:$D$14,1,MATCH(A819,Inputs!$B$6:$D$6,0))-(C819-1)*=INDEX(Inputs!$B$7:$D$7,1,MATCH(A819,Inputs!$B$6:$D$6,0))))</x:f>
        <x:v>13</x:v>
      </x:c>
      <x:c r="I819" s="20" t="n">
        <x:f>INDEX(Inputs!$B$8:$D$8,1,MATCH(A819,Inputs!$B$6:$D$6,0))</x:f>
        <x:v>2395</x:v>
      </x:c>
      <x:c r="J819" s="20" t="n">
        <x:f>INDEX(Roster!$C$6:$C$108,MATCH(D819,Roster!$A$6:$A$108,0))*(1+INDEX(Inputs!$B$9:$D$9,1,MATCH(A819,Inputs!$B$6:$D$6,0)))</x:f>
        <x:v>30</x:v>
      </x:c>
      <x:c r="K819" s="20" t="n">
        <x:f>IF(=INDEX(Roster!$F$6:$F$108,MATCH(D819,Roster!$A$6:$A$108,0))="Yes",0,=INDEX(Inputs!$B$8:$D$8,1,MATCH(A819,Inputs!$B$6:$D$6,0))*IF(=INDEX(Roster!$B$6:$B$108,MATCH(D819,Roster!$A$6:$A$108,0))="Principal",INDEX(Inputs!$B$10:$D$10,1,MATCH(A819,Inputs!$B$6:$D$6,0)),IF(=INDEX(Roster!$B$6:$B$108,MATCH(D819,Roster!$A$6:$A$108,0))="Associate Principal",INDEX(Inputs!$B$11:$D$11,1,MATCH(A819,Inputs!$B$6:$D$6,0)),IF(=INDEX(Roster!$B$6:$B$108,MATCH(D819,Roster!$A$6:$A$108,0))="Assistant Principal",INDEX(Inputs!$B$12:$D$12,1,MATCH(A819,Inputs!$B$6:$D$6,0)),0))))</x:f>
        <x:v>0</x:v>
      </x:c>
      <x:c r="L819" s="20" t="n">
        <x:f>IF(INDEX(Roster!$D$6:$D$108,MATCH(D819,Roster!$A$6:$A$108,0))&gt;=25,INDEX(Inputs!$B$19:$D$19,1,MATCH(A819,Inputs!$B$6:$D$6,0)),IF(INDEX(Roster!$D$6:$D$108,MATCH(D819,Roster!$A$6:$A$108,0))&gt;=20,INDEX(Inputs!$B$18:$D$18,1,MATCH(A819,Inputs!$B$6:$D$6,0)),IF(INDEX(Roster!$D$6:$D$108,MATCH(D819,Roster!$A$6:$A$108,0))&gt;=15,INDEX(Inputs!$B$17:$D$17,1,MATCH(A819,Inputs!$B$6:$D$6,0)),IF(INDEX(Roster!$D$6:$D$108,MATCH(D819,Roster!$A$6:$A$108,0))&gt;=10,INDEX(Inputs!$B$16:$D$16,1,MATCH(A819,Inputs!$B$6:$D$6,0)),IF(INDEX(Roster!$D$6:$D$108,MATCH(D819,Roster!$A$6:$A$108,0))&gt;=5,INDEX(Inputs!$B$15:$D$15,1,MATCH(A819,Inputs!$B$6:$D$6,0)),0)))))</x:f>
        <x:v>0</x:v>
      </x:c>
      <x:c r="M819" s="20" t="n">
        <x:f>G819*I819</x:f>
        <x:v>31135</x:v>
      </x:c>
      <x:c r="N819" s="20" t="n">
        <x:f>G819*J819</x:f>
        <x:v>390</x:v>
      </x:c>
      <x:c r="O819" s="20" t="n">
        <x:f>G819*K819</x:f>
        <x:v>0</x:v>
      </x:c>
      <x:c r="P819" s="20" t="n">
        <x:f>G819*L819</x:f>
        <x:v>0</x:v>
      </x:c>
      <x:c r="Q819" s="20" t="n">
        <x:f>H819*INDEX(Inputs!$B$13:$D$13,1,MATCH(A819,Inputs!$B$6:$D$6,0))</x:f>
        <x:v>390</x:v>
      </x:c>
      <x:c r="R819" s="20" t="n">
        <x:f>SUM(M819:Q819)</x:f>
        <x:v>31915</x:v>
      </x:c>
      <x:c r="S819" s="20" t="n">
        <x:f>IF(AND(A818=A819,D818=D819),S818+R819,R819)</x:f>
        <x:v>63830</x:v>
      </x:c>
      <x:c r="T819" s="20" t="n">
        <x:f>MIN(S819,INDEX(Inputs!$B$20:$D$20,1,MATCH(A819,Inputs!$B$6:$D$6,0)))*INDEX(Inputs!$B$22:$D$22,1,MATCH(A819,Inputs!$B$6:$D$6,0))+MAX(MIN(S819,INDEX(Inputs!$B$21:$D$21,1,MATCH(A819,Inputs!$B$6:$D$6,0)))-INDEX(Inputs!$B$20:$D$20,1,MATCH(A819,Inputs!$B$6:$D$6,0)),0)*INDEX(Inputs!$B$23:$D$23,1,MATCH(A819,Inputs!$B$6:$D$6,0))+MAX(S819-INDEX(Inputs!$B$21:$D$21,1,MATCH(A819,Inputs!$B$6:$D$6,0)),0)*INDEX(Inputs!$B$24:$D$24,1,MATCH(A819,Inputs!$B$6:$D$6,0))</x:f>
        <x:v>5372.995</x:v>
      </x:c>
      <x:c r="U819" s="20" t="n">
        <x:f>IF(AND(A818=A819,D818=D819),T818,0)</x:f>
        <x:v>2931.4975</x:v>
      </x:c>
      <x:c r="V819" s="20" t="n">
        <x:f>T819-U819</x:f>
        <x:v>2441.4975</x:v>
      </x:c>
      <x:c r="W819" s="20" t="n">
        <x:f>R819+V819</x:f>
        <x:v>34356.4975</x:v>
      </x:c>
      <x:c r="X819" s="14" t="str">
        <x:f>IF(ABS(W819-SUM(M819:Q819)-V819)&lt;0.01,"OK","Check")</x:f>
        <x:v>OK</x:v>
      </x:c>
    </x:row>
    <x:row r="820">
      <x:c r="A820" s="14" t="n">
        <x:v>2027</x:v>
      </x:c>
      <x:c r="B820" s="14" t="str">
        <x:v>Q3</x:v>
      </x:c>
      <x:c r="C820" s="14" t="n">
        <x:v>3</x:v>
      </x:c>
      <x:c r="D820" s="14" t="n">
        <x:v>101</x:v>
      </x:c>
      <x:c r="E820" s="14" t="str">
        <x:f>INDEX(Roster!$B$6:$B$108,MATCH(D820,Roster!$A$6:$A$108,0))</x:f>
      </x:c>
      <x:c r="F820" s="14" t="str">
        <x:f>INDEX(Roster!$F$6:$F$108,MATCH(D820,Roster!$A$6:$A$108,0))</x:f>
        <x:v>No</x:v>
      </x:c>
      <x:c r="G820" s="14" t="n">
        <x:f>INDEX(Inputs!$B$7:$D$7,1,MATCH(A820,Inputs!$B$6:$D$6,0))</x:f>
        <x:v>13</x:v>
      </x:c>
      <x:c r="H820" s="14" t="n">
        <x:f>MIN(=INDEX(Inputs!$B$7:$D$7,1,MATCH(A820,Inputs!$B$6:$D$6,0)),MAX(0,INDEX(Inputs!$B$14:$D$14,1,MATCH(A820,Inputs!$B$6:$D$6,0))-(C820-1)*=INDEX(Inputs!$B$7:$D$7,1,MATCH(A820,Inputs!$B$6:$D$6,0))))</x:f>
        <x:v>13</x:v>
      </x:c>
      <x:c r="I820" s="20" t="n">
        <x:f>INDEX(Inputs!$B$8:$D$8,1,MATCH(A820,Inputs!$B$6:$D$6,0))</x:f>
        <x:v>2395</x:v>
      </x:c>
      <x:c r="J820" s="20" t="n">
        <x:f>INDEX(Roster!$C$6:$C$108,MATCH(D820,Roster!$A$6:$A$108,0))*(1+INDEX(Inputs!$B$9:$D$9,1,MATCH(A820,Inputs!$B$6:$D$6,0)))</x:f>
        <x:v>30</x:v>
      </x:c>
      <x:c r="K820" s="20" t="n">
        <x:f>IF(=INDEX(Roster!$F$6:$F$108,MATCH(D820,Roster!$A$6:$A$108,0))="Yes",0,=INDEX(Inputs!$B$8:$D$8,1,MATCH(A820,Inputs!$B$6:$D$6,0))*IF(=INDEX(Roster!$B$6:$B$108,MATCH(D820,Roster!$A$6:$A$108,0))="Principal",INDEX(Inputs!$B$10:$D$10,1,MATCH(A820,Inputs!$B$6:$D$6,0)),IF(=INDEX(Roster!$B$6:$B$108,MATCH(D820,Roster!$A$6:$A$108,0))="Associate Principal",INDEX(Inputs!$B$11:$D$11,1,MATCH(A820,Inputs!$B$6:$D$6,0)),IF(=INDEX(Roster!$B$6:$B$108,MATCH(D820,Roster!$A$6:$A$108,0))="Assistant Principal",INDEX(Inputs!$B$12:$D$12,1,MATCH(A820,Inputs!$B$6:$D$6,0)),0))))</x:f>
        <x:v>0</x:v>
      </x:c>
      <x:c r="L820" s="20" t="n">
        <x:f>IF(INDEX(Roster!$D$6:$D$108,MATCH(D820,Roster!$A$6:$A$108,0))&gt;=25,INDEX(Inputs!$B$19:$D$19,1,MATCH(A820,Inputs!$B$6:$D$6,0)),IF(INDEX(Roster!$D$6:$D$108,MATCH(D820,Roster!$A$6:$A$108,0))&gt;=20,INDEX(Inputs!$B$18:$D$18,1,MATCH(A820,Inputs!$B$6:$D$6,0)),IF(INDEX(Roster!$D$6:$D$108,MATCH(D820,Roster!$A$6:$A$108,0))&gt;=15,INDEX(Inputs!$B$17:$D$17,1,MATCH(A820,Inputs!$B$6:$D$6,0)),IF(INDEX(Roster!$D$6:$D$108,MATCH(D820,Roster!$A$6:$A$108,0))&gt;=10,INDEX(Inputs!$B$16:$D$16,1,MATCH(A820,Inputs!$B$6:$D$6,0)),IF(INDEX(Roster!$D$6:$D$108,MATCH(D820,Roster!$A$6:$A$108,0))&gt;=5,INDEX(Inputs!$B$15:$D$15,1,MATCH(A820,Inputs!$B$6:$D$6,0)),0)))))</x:f>
        <x:v>0</x:v>
      </x:c>
      <x:c r="M820" s="20" t="n">
        <x:f>G820*I820</x:f>
        <x:v>31135</x:v>
      </x:c>
      <x:c r="N820" s="20" t="n">
        <x:f>G820*J820</x:f>
        <x:v>390</x:v>
      </x:c>
      <x:c r="O820" s="20" t="n">
        <x:f>G820*K820</x:f>
        <x:v>0</x:v>
      </x:c>
      <x:c r="P820" s="20" t="n">
        <x:f>G820*L820</x:f>
        <x:v>0</x:v>
      </x:c>
      <x:c r="Q820" s="20" t="n">
        <x:f>H820*INDEX(Inputs!$B$13:$D$13,1,MATCH(A820,Inputs!$B$6:$D$6,0))</x:f>
        <x:v>390</x:v>
      </x:c>
      <x:c r="R820" s="20" t="n">
        <x:f>SUM(M820:Q820)</x:f>
        <x:v>31915</x:v>
      </x:c>
      <x:c r="S820" s="20" t="n">
        <x:f>IF(AND(A819=A820,D819=D820),S819+R820,R820)</x:f>
        <x:v>95745</x:v>
      </x:c>
      <x:c r="T820" s="20" t="n">
        <x:f>MIN(S820,INDEX(Inputs!$B$20:$D$20,1,MATCH(A820,Inputs!$B$6:$D$6,0)))*INDEX(Inputs!$B$22:$D$22,1,MATCH(A820,Inputs!$B$6:$D$6,0))+MAX(MIN(S820,INDEX(Inputs!$B$21:$D$21,1,MATCH(A820,Inputs!$B$6:$D$6,0)))-INDEX(Inputs!$B$20:$D$20,1,MATCH(A820,Inputs!$B$6:$D$6,0)),0)*INDEX(Inputs!$B$23:$D$23,1,MATCH(A820,Inputs!$B$6:$D$6,0))+MAX(S820-INDEX(Inputs!$B$21:$D$21,1,MATCH(A820,Inputs!$B$6:$D$6,0)),0)*INDEX(Inputs!$B$24:$D$24,1,MATCH(A820,Inputs!$B$6:$D$6,0))</x:f>
        <x:v>7814.4925</x:v>
      </x:c>
      <x:c r="U820" s="20" t="n">
        <x:f>IF(AND(A819=A820,D819=D820),T819,0)</x:f>
        <x:v>5372.995</x:v>
      </x:c>
      <x:c r="V820" s="20" t="n">
        <x:f>T820-U820</x:f>
        <x:v>2441.4975000000004</x:v>
      </x:c>
      <x:c r="W820" s="20" t="n">
        <x:f>R820+V820</x:f>
        <x:v>34356.4975</x:v>
      </x:c>
      <x:c r="X820" s="14" t="str">
        <x:f>IF(ABS(W820-SUM(M820:Q820)-V820)&lt;0.01,"OK","Check")</x:f>
        <x:v>OK</x:v>
      </x:c>
    </x:row>
    <x:row r="821">
      <x:c r="A821" s="14" t="n">
        <x:v>2027</x:v>
      </x:c>
      <x:c r="B821" s="14" t="str">
        <x:v>Q4</x:v>
      </x:c>
      <x:c r="C821" s="14" t="n">
        <x:v>4</x:v>
      </x:c>
      <x:c r="D821" s="14" t="n">
        <x:v>101</x:v>
      </x:c>
      <x:c r="E821" s="14" t="str">
        <x:f>INDEX(Roster!$B$6:$B$108,MATCH(D821,Roster!$A$6:$A$108,0))</x:f>
      </x:c>
      <x:c r="F821" s="14" t="str">
        <x:f>INDEX(Roster!$F$6:$F$108,MATCH(D821,Roster!$A$6:$A$108,0))</x:f>
        <x:v>No</x:v>
      </x:c>
      <x:c r="G821" s="14" t="n">
        <x:f>INDEX(Inputs!$B$7:$D$7,1,MATCH(A821,Inputs!$B$6:$D$6,0))</x:f>
        <x:v>13</x:v>
      </x:c>
      <x:c r="H821" s="14" t="n">
        <x:f>MIN(=INDEX(Inputs!$B$7:$D$7,1,MATCH(A821,Inputs!$B$6:$D$6,0)),MAX(0,INDEX(Inputs!$B$14:$D$14,1,MATCH(A821,Inputs!$B$6:$D$6,0))-(C821-1)*=INDEX(Inputs!$B$7:$D$7,1,MATCH(A821,Inputs!$B$6:$D$6,0))))</x:f>
        <x:v>0</x:v>
      </x:c>
      <x:c r="I821" s="20" t="n">
        <x:f>INDEX(Inputs!$B$8:$D$8,1,MATCH(A821,Inputs!$B$6:$D$6,0))</x:f>
        <x:v>2395</x:v>
      </x:c>
      <x:c r="J821" s="20" t="n">
        <x:f>INDEX(Roster!$C$6:$C$108,MATCH(D821,Roster!$A$6:$A$108,0))*(1+INDEX(Inputs!$B$9:$D$9,1,MATCH(A821,Inputs!$B$6:$D$6,0)))</x:f>
        <x:v>30</x:v>
      </x:c>
      <x:c r="K821" s="20" t="n">
        <x:f>IF(=INDEX(Roster!$F$6:$F$108,MATCH(D821,Roster!$A$6:$A$108,0))="Yes",0,=INDEX(Inputs!$B$8:$D$8,1,MATCH(A821,Inputs!$B$6:$D$6,0))*IF(=INDEX(Roster!$B$6:$B$108,MATCH(D821,Roster!$A$6:$A$108,0))="Principal",INDEX(Inputs!$B$10:$D$10,1,MATCH(A821,Inputs!$B$6:$D$6,0)),IF(=INDEX(Roster!$B$6:$B$108,MATCH(D821,Roster!$A$6:$A$108,0))="Associate Principal",INDEX(Inputs!$B$11:$D$11,1,MATCH(A821,Inputs!$B$6:$D$6,0)),IF(=INDEX(Roster!$B$6:$B$108,MATCH(D821,Roster!$A$6:$A$108,0))="Assistant Principal",INDEX(Inputs!$B$12:$D$12,1,MATCH(A821,Inputs!$B$6:$D$6,0)),0))))</x:f>
        <x:v>0</x:v>
      </x:c>
      <x:c r="L821" s="20" t="n">
        <x:f>IF(INDEX(Roster!$D$6:$D$108,MATCH(D821,Roster!$A$6:$A$108,0))&gt;=25,INDEX(Inputs!$B$19:$D$19,1,MATCH(A821,Inputs!$B$6:$D$6,0)),IF(INDEX(Roster!$D$6:$D$108,MATCH(D821,Roster!$A$6:$A$108,0))&gt;=20,INDEX(Inputs!$B$18:$D$18,1,MATCH(A821,Inputs!$B$6:$D$6,0)),IF(INDEX(Roster!$D$6:$D$108,MATCH(D821,Roster!$A$6:$A$108,0))&gt;=15,INDEX(Inputs!$B$17:$D$17,1,MATCH(A821,Inputs!$B$6:$D$6,0)),IF(INDEX(Roster!$D$6:$D$108,MATCH(D821,Roster!$A$6:$A$108,0))&gt;=10,INDEX(Inputs!$B$16:$D$16,1,MATCH(A821,Inputs!$B$6:$D$6,0)),IF(INDEX(Roster!$D$6:$D$108,MATCH(D821,Roster!$A$6:$A$108,0))&gt;=5,INDEX(Inputs!$B$15:$D$15,1,MATCH(A821,Inputs!$B$6:$D$6,0)),0)))))</x:f>
        <x:v>0</x:v>
      </x:c>
      <x:c r="M821" s="20" t="n">
        <x:f>G821*I821</x:f>
        <x:v>31135</x:v>
      </x:c>
      <x:c r="N821" s="20" t="n">
        <x:f>G821*J821</x:f>
        <x:v>390</x:v>
      </x:c>
      <x:c r="O821" s="20" t="n">
        <x:f>G821*K821</x:f>
        <x:v>0</x:v>
      </x:c>
      <x:c r="P821" s="20" t="n">
        <x:f>G821*L821</x:f>
        <x:v>0</x:v>
      </x:c>
      <x:c r="Q821" s="20" t="n">
        <x:f>H821*INDEX(Inputs!$B$13:$D$13,1,MATCH(A821,Inputs!$B$6:$D$6,0))</x:f>
        <x:v>0</x:v>
      </x:c>
      <x:c r="R821" s="20" t="n">
        <x:f>SUM(M821:Q821)</x:f>
        <x:v>31525</x:v>
      </x:c>
      <x:c r="S821" s="20" t="n">
        <x:f>IF(AND(A820=A821,D820=D821),S820+R821,R821)</x:f>
        <x:v>127270</x:v>
      </x:c>
      <x:c r="T821" s="20" t="n">
        <x:f>MIN(S821,INDEX(Inputs!$B$20:$D$20,1,MATCH(A821,Inputs!$B$6:$D$6,0)))*INDEX(Inputs!$B$22:$D$22,1,MATCH(A821,Inputs!$B$6:$D$6,0))+MAX(MIN(S821,INDEX(Inputs!$B$21:$D$21,1,MATCH(A821,Inputs!$B$6:$D$6,0)))-INDEX(Inputs!$B$20:$D$20,1,MATCH(A821,Inputs!$B$6:$D$6,0)),0)*INDEX(Inputs!$B$23:$D$23,1,MATCH(A821,Inputs!$B$6:$D$6,0))+MAX(S821-INDEX(Inputs!$B$21:$D$21,1,MATCH(A821,Inputs!$B$6:$D$6,0)),0)*INDEX(Inputs!$B$24:$D$24,1,MATCH(A821,Inputs!$B$6:$D$6,0))</x:f>
        <x:v>9759.357</x:v>
      </x:c>
      <x:c r="U821" s="20" t="n">
        <x:f>IF(AND(A820=A821,D820=D821),T820,0)</x:f>
        <x:v>7814.4925</x:v>
      </x:c>
      <x:c r="V821" s="20" t="n">
        <x:f>T821-U821</x:f>
        <x:v>1944.8644999999997</x:v>
      </x:c>
      <x:c r="W821" s="20" t="n">
        <x:f>R821+V821</x:f>
        <x:v>33469.864499999996</x:v>
      </x:c>
      <x:c r="X821" s="14" t="str">
        <x:f>IF(ABS(W821-SUM(M821:Q821)-V821)&lt;0.01,"OK","Check")</x:f>
        <x:v>OK</x:v>
      </x:c>
    </x:row>
    <x:row r="822">
      <x:c r="A822" s="14" t="n">
        <x:v>2027</x:v>
      </x:c>
      <x:c r="B822" s="14" t="str">
        <x:v>Q1</x:v>
      </x:c>
      <x:c r="C822" s="14" t="n">
        <x:v>1</x:v>
      </x:c>
      <x:c r="D822" s="14" t="n">
        <x:v>102</x:v>
      </x:c>
      <x:c r="E822" s="14" t="str">
        <x:f>INDEX(Roster!$B$6:$B$108,MATCH(D822,Roster!$A$6:$A$108,0))</x:f>
      </x:c>
      <x:c r="F822" s="14" t="str">
        <x:f>INDEX(Roster!$F$6:$F$108,MATCH(D822,Roster!$A$6:$A$108,0))</x:f>
        <x:v>No</x:v>
      </x:c>
      <x:c r="G822" s="14" t="n">
        <x:f>INDEX(Inputs!$B$7:$D$7,1,MATCH(A822,Inputs!$B$6:$D$6,0))</x:f>
        <x:v>13</x:v>
      </x:c>
      <x:c r="H822" s="14" t="n">
        <x:f>MIN(=INDEX(Inputs!$B$7:$D$7,1,MATCH(A822,Inputs!$B$6:$D$6,0)),MAX(0,INDEX(Inputs!$B$14:$D$14,1,MATCH(A822,Inputs!$B$6:$D$6,0))-(C822-1)*=INDEX(Inputs!$B$7:$D$7,1,MATCH(A822,Inputs!$B$6:$D$6,0))))</x:f>
        <x:v>13</x:v>
      </x:c>
      <x:c r="I822" s="20" t="n">
        <x:f>INDEX(Inputs!$B$8:$D$8,1,MATCH(A822,Inputs!$B$6:$D$6,0))</x:f>
        <x:v>2395</x:v>
      </x:c>
      <x:c r="J822" s="20" t="n">
        <x:f>INDEX(Roster!$C$6:$C$108,MATCH(D822,Roster!$A$6:$A$108,0))*(1+INDEX(Inputs!$B$9:$D$9,1,MATCH(A822,Inputs!$B$6:$D$6,0)))</x:f>
        <x:v>20</x:v>
      </x:c>
      <x:c r="K822" s="20" t="n">
        <x:f>IF(=INDEX(Roster!$F$6:$F$108,MATCH(D822,Roster!$A$6:$A$108,0))="Yes",0,=INDEX(Inputs!$B$8:$D$8,1,MATCH(A822,Inputs!$B$6:$D$6,0))*IF(=INDEX(Roster!$B$6:$B$108,MATCH(D822,Roster!$A$6:$A$108,0))="Principal",INDEX(Inputs!$B$10:$D$10,1,MATCH(A822,Inputs!$B$6:$D$6,0)),IF(=INDEX(Roster!$B$6:$B$108,MATCH(D822,Roster!$A$6:$A$108,0))="Associate Principal",INDEX(Inputs!$B$11:$D$11,1,MATCH(A822,Inputs!$B$6:$D$6,0)),IF(=INDEX(Roster!$B$6:$B$108,MATCH(D822,Roster!$A$6:$A$108,0))="Assistant Principal",INDEX(Inputs!$B$12:$D$12,1,MATCH(A822,Inputs!$B$6:$D$6,0)),0))))</x:f>
        <x:v>0</x:v>
      </x:c>
      <x:c r="L822" s="20" t="n">
        <x:f>IF(INDEX(Roster!$D$6:$D$108,MATCH(D822,Roster!$A$6:$A$108,0))&gt;=25,INDEX(Inputs!$B$19:$D$19,1,MATCH(A822,Inputs!$B$6:$D$6,0)),IF(INDEX(Roster!$D$6:$D$108,MATCH(D822,Roster!$A$6:$A$108,0))&gt;=20,INDEX(Inputs!$B$18:$D$18,1,MATCH(A822,Inputs!$B$6:$D$6,0)),IF(INDEX(Roster!$D$6:$D$108,MATCH(D822,Roster!$A$6:$A$108,0))&gt;=15,INDEX(Inputs!$B$17:$D$17,1,MATCH(A822,Inputs!$B$6:$D$6,0)),IF(INDEX(Roster!$D$6:$D$108,MATCH(D822,Roster!$A$6:$A$108,0))&gt;=10,INDEX(Inputs!$B$16:$D$16,1,MATCH(A822,Inputs!$B$6:$D$6,0)),IF(INDEX(Roster!$D$6:$D$108,MATCH(D822,Roster!$A$6:$A$108,0))&gt;=5,INDEX(Inputs!$B$15:$D$15,1,MATCH(A822,Inputs!$B$6:$D$6,0)),0)))))</x:f>
        <x:v>60</x:v>
      </x:c>
      <x:c r="M822" s="20" t="n">
        <x:f>G822*I822</x:f>
        <x:v>31135</x:v>
      </x:c>
      <x:c r="N822" s="20" t="n">
        <x:f>G822*J822</x:f>
        <x:v>260</x:v>
      </x:c>
      <x:c r="O822" s="20" t="n">
        <x:f>G822*K822</x:f>
        <x:v>0</x:v>
      </x:c>
      <x:c r="P822" s="20" t="n">
        <x:f>G822*L822</x:f>
        <x:v>780</x:v>
      </x:c>
      <x:c r="Q822" s="20" t="n">
        <x:f>H822*INDEX(Inputs!$B$13:$D$13,1,MATCH(A822,Inputs!$B$6:$D$6,0))</x:f>
        <x:v>390</x:v>
      </x:c>
      <x:c r="R822" s="20" t="n">
        <x:f>SUM(M822:Q822)</x:f>
        <x:v>32565</x:v>
      </x:c>
      <x:c r="S822" s="20" t="n">
        <x:f>IF(AND(A821=A822,D821=D822),S821+R822,R822)</x:f>
        <x:v>32565</x:v>
      </x:c>
      <x:c r="T822" s="20" t="n">
        <x:f>MIN(S822,INDEX(Inputs!$B$20:$D$20,1,MATCH(A822,Inputs!$B$6:$D$6,0)))*INDEX(Inputs!$B$22:$D$22,1,MATCH(A822,Inputs!$B$6:$D$6,0))+MAX(MIN(S822,INDEX(Inputs!$B$21:$D$21,1,MATCH(A822,Inputs!$B$6:$D$6,0)))-INDEX(Inputs!$B$20:$D$20,1,MATCH(A822,Inputs!$B$6:$D$6,0)),0)*INDEX(Inputs!$B$23:$D$23,1,MATCH(A822,Inputs!$B$6:$D$6,0))+MAX(S822-INDEX(Inputs!$B$21:$D$21,1,MATCH(A822,Inputs!$B$6:$D$6,0)),0)*INDEX(Inputs!$B$24:$D$24,1,MATCH(A822,Inputs!$B$6:$D$6,0))</x:f>
        <x:v>2981.2225</x:v>
      </x:c>
      <x:c r="U822" s="20" t="n">
        <x:f>IF(AND(A821=A822,D821=D822),T821,0)</x:f>
        <x:v>0</x:v>
      </x:c>
      <x:c r="V822" s="20" t="n">
        <x:f>T822-U822</x:f>
        <x:v>2981.2225</x:v>
      </x:c>
      <x:c r="W822" s="20" t="n">
        <x:f>R822+V822</x:f>
        <x:v>35546.2225</x:v>
      </x:c>
      <x:c r="X822" s="14" t="str">
        <x:f>IF(ABS(W822-SUM(M822:Q822)-V822)&lt;0.01,"OK","Check")</x:f>
        <x:v>OK</x:v>
      </x:c>
    </x:row>
    <x:row r="823">
      <x:c r="A823" s="14" t="n">
        <x:v>2027</x:v>
      </x:c>
      <x:c r="B823" s="14" t="str">
        <x:v>Q2</x:v>
      </x:c>
      <x:c r="C823" s="14" t="n">
        <x:v>2</x:v>
      </x:c>
      <x:c r="D823" s="14" t="n">
        <x:v>102</x:v>
      </x:c>
      <x:c r="E823" s="14" t="str">
        <x:f>INDEX(Roster!$B$6:$B$108,MATCH(D823,Roster!$A$6:$A$108,0))</x:f>
      </x:c>
      <x:c r="F823" s="14" t="str">
        <x:f>INDEX(Roster!$F$6:$F$108,MATCH(D823,Roster!$A$6:$A$108,0))</x:f>
        <x:v>No</x:v>
      </x:c>
      <x:c r="G823" s="14" t="n">
        <x:f>INDEX(Inputs!$B$7:$D$7,1,MATCH(A823,Inputs!$B$6:$D$6,0))</x:f>
        <x:v>13</x:v>
      </x:c>
      <x:c r="H823" s="14" t="n">
        <x:f>MIN(=INDEX(Inputs!$B$7:$D$7,1,MATCH(A823,Inputs!$B$6:$D$6,0)),MAX(0,INDEX(Inputs!$B$14:$D$14,1,MATCH(A823,Inputs!$B$6:$D$6,0))-(C823-1)*=INDEX(Inputs!$B$7:$D$7,1,MATCH(A823,Inputs!$B$6:$D$6,0))))</x:f>
        <x:v>13</x:v>
      </x:c>
      <x:c r="I823" s="20" t="n">
        <x:f>INDEX(Inputs!$B$8:$D$8,1,MATCH(A823,Inputs!$B$6:$D$6,0))</x:f>
        <x:v>2395</x:v>
      </x:c>
      <x:c r="J823" s="20" t="n">
        <x:f>INDEX(Roster!$C$6:$C$108,MATCH(D823,Roster!$A$6:$A$108,0))*(1+INDEX(Inputs!$B$9:$D$9,1,MATCH(A823,Inputs!$B$6:$D$6,0)))</x:f>
        <x:v>20</x:v>
      </x:c>
      <x:c r="K823" s="20" t="n">
        <x:f>IF(=INDEX(Roster!$F$6:$F$108,MATCH(D823,Roster!$A$6:$A$108,0))="Yes",0,=INDEX(Inputs!$B$8:$D$8,1,MATCH(A823,Inputs!$B$6:$D$6,0))*IF(=INDEX(Roster!$B$6:$B$108,MATCH(D823,Roster!$A$6:$A$108,0))="Principal",INDEX(Inputs!$B$10:$D$10,1,MATCH(A823,Inputs!$B$6:$D$6,0)),IF(=INDEX(Roster!$B$6:$B$108,MATCH(D823,Roster!$A$6:$A$108,0))="Associate Principal",INDEX(Inputs!$B$11:$D$11,1,MATCH(A823,Inputs!$B$6:$D$6,0)),IF(=INDEX(Roster!$B$6:$B$108,MATCH(D823,Roster!$A$6:$A$108,0))="Assistant Principal",INDEX(Inputs!$B$12:$D$12,1,MATCH(A823,Inputs!$B$6:$D$6,0)),0))))</x:f>
        <x:v>0</x:v>
      </x:c>
      <x:c r="L823" s="20" t="n">
        <x:f>IF(INDEX(Roster!$D$6:$D$108,MATCH(D823,Roster!$A$6:$A$108,0))&gt;=25,INDEX(Inputs!$B$19:$D$19,1,MATCH(A823,Inputs!$B$6:$D$6,0)),IF(INDEX(Roster!$D$6:$D$108,MATCH(D823,Roster!$A$6:$A$108,0))&gt;=20,INDEX(Inputs!$B$18:$D$18,1,MATCH(A823,Inputs!$B$6:$D$6,0)),IF(INDEX(Roster!$D$6:$D$108,MATCH(D823,Roster!$A$6:$A$108,0))&gt;=15,INDEX(Inputs!$B$17:$D$17,1,MATCH(A823,Inputs!$B$6:$D$6,0)),IF(INDEX(Roster!$D$6:$D$108,MATCH(D823,Roster!$A$6:$A$108,0))&gt;=10,INDEX(Inputs!$B$16:$D$16,1,MATCH(A823,Inputs!$B$6:$D$6,0)),IF(INDEX(Roster!$D$6:$D$108,MATCH(D823,Roster!$A$6:$A$108,0))&gt;=5,INDEX(Inputs!$B$15:$D$15,1,MATCH(A823,Inputs!$B$6:$D$6,0)),0)))))</x:f>
        <x:v>60</x:v>
      </x:c>
      <x:c r="M823" s="20" t="n">
        <x:f>G823*I823</x:f>
        <x:v>31135</x:v>
      </x:c>
      <x:c r="N823" s="20" t="n">
        <x:f>G823*J823</x:f>
        <x:v>260</x:v>
      </x:c>
      <x:c r="O823" s="20" t="n">
        <x:f>G823*K823</x:f>
        <x:v>0</x:v>
      </x:c>
      <x:c r="P823" s="20" t="n">
        <x:f>G823*L823</x:f>
        <x:v>780</x:v>
      </x:c>
      <x:c r="Q823" s="20" t="n">
        <x:f>H823*INDEX(Inputs!$B$13:$D$13,1,MATCH(A823,Inputs!$B$6:$D$6,0))</x:f>
        <x:v>390</x:v>
      </x:c>
      <x:c r="R823" s="20" t="n">
        <x:f>SUM(M823:Q823)</x:f>
        <x:v>32565</x:v>
      </x:c>
      <x:c r="S823" s="20" t="n">
        <x:f>IF(AND(A822=A823,D822=D823),S822+R823,R823)</x:f>
        <x:v>65130</x:v>
      </x:c>
      <x:c r="T823" s="20" t="n">
        <x:f>MIN(S823,INDEX(Inputs!$B$20:$D$20,1,MATCH(A823,Inputs!$B$6:$D$6,0)))*INDEX(Inputs!$B$22:$D$22,1,MATCH(A823,Inputs!$B$6:$D$6,0))+MAX(MIN(S823,INDEX(Inputs!$B$21:$D$21,1,MATCH(A823,Inputs!$B$6:$D$6,0)))-INDEX(Inputs!$B$20:$D$20,1,MATCH(A823,Inputs!$B$6:$D$6,0)),0)*INDEX(Inputs!$B$23:$D$23,1,MATCH(A823,Inputs!$B$6:$D$6,0))+MAX(S823-INDEX(Inputs!$B$21:$D$21,1,MATCH(A823,Inputs!$B$6:$D$6,0)),0)*INDEX(Inputs!$B$24:$D$24,1,MATCH(A823,Inputs!$B$6:$D$6,0))</x:f>
        <x:v>5472.445</x:v>
      </x:c>
      <x:c r="U823" s="20" t="n">
        <x:f>IF(AND(A822=A823,D822=D823),T822,0)</x:f>
        <x:v>2981.2225</x:v>
      </x:c>
      <x:c r="V823" s="20" t="n">
        <x:f>T823-U823</x:f>
        <x:v>2491.2225</x:v>
      </x:c>
      <x:c r="W823" s="20" t="n">
        <x:f>R823+V823</x:f>
        <x:v>35056.2225</x:v>
      </x:c>
      <x:c r="X823" s="14" t="str">
        <x:f>IF(ABS(W823-SUM(M823:Q823)-V823)&lt;0.01,"OK","Check")</x:f>
        <x:v>OK</x:v>
      </x:c>
    </x:row>
    <x:row r="824">
      <x:c r="A824" s="14" t="n">
        <x:v>2027</x:v>
      </x:c>
      <x:c r="B824" s="14" t="str">
        <x:v>Q3</x:v>
      </x:c>
      <x:c r="C824" s="14" t="n">
        <x:v>3</x:v>
      </x:c>
      <x:c r="D824" s="14" t="n">
        <x:v>102</x:v>
      </x:c>
      <x:c r="E824" s="14" t="str">
        <x:f>INDEX(Roster!$B$6:$B$108,MATCH(D824,Roster!$A$6:$A$108,0))</x:f>
      </x:c>
      <x:c r="F824" s="14" t="str">
        <x:f>INDEX(Roster!$F$6:$F$108,MATCH(D824,Roster!$A$6:$A$108,0))</x:f>
        <x:v>No</x:v>
      </x:c>
      <x:c r="G824" s="14" t="n">
        <x:f>INDEX(Inputs!$B$7:$D$7,1,MATCH(A824,Inputs!$B$6:$D$6,0))</x:f>
        <x:v>13</x:v>
      </x:c>
      <x:c r="H824" s="14" t="n">
        <x:f>MIN(=INDEX(Inputs!$B$7:$D$7,1,MATCH(A824,Inputs!$B$6:$D$6,0)),MAX(0,INDEX(Inputs!$B$14:$D$14,1,MATCH(A824,Inputs!$B$6:$D$6,0))-(C824-1)*=INDEX(Inputs!$B$7:$D$7,1,MATCH(A824,Inputs!$B$6:$D$6,0))))</x:f>
        <x:v>13</x:v>
      </x:c>
      <x:c r="I824" s="20" t="n">
        <x:f>INDEX(Inputs!$B$8:$D$8,1,MATCH(A824,Inputs!$B$6:$D$6,0))</x:f>
        <x:v>2395</x:v>
      </x:c>
      <x:c r="J824" s="20" t="n">
        <x:f>INDEX(Roster!$C$6:$C$108,MATCH(D824,Roster!$A$6:$A$108,0))*(1+INDEX(Inputs!$B$9:$D$9,1,MATCH(A824,Inputs!$B$6:$D$6,0)))</x:f>
        <x:v>20</x:v>
      </x:c>
      <x:c r="K824" s="20" t="n">
        <x:f>IF(=INDEX(Roster!$F$6:$F$108,MATCH(D824,Roster!$A$6:$A$108,0))="Yes",0,=INDEX(Inputs!$B$8:$D$8,1,MATCH(A824,Inputs!$B$6:$D$6,0))*IF(=INDEX(Roster!$B$6:$B$108,MATCH(D824,Roster!$A$6:$A$108,0))="Principal",INDEX(Inputs!$B$10:$D$10,1,MATCH(A824,Inputs!$B$6:$D$6,0)),IF(=INDEX(Roster!$B$6:$B$108,MATCH(D824,Roster!$A$6:$A$108,0))="Associate Principal",INDEX(Inputs!$B$11:$D$11,1,MATCH(A824,Inputs!$B$6:$D$6,0)),IF(=INDEX(Roster!$B$6:$B$108,MATCH(D824,Roster!$A$6:$A$108,0))="Assistant Principal",INDEX(Inputs!$B$12:$D$12,1,MATCH(A824,Inputs!$B$6:$D$6,0)),0))))</x:f>
        <x:v>0</x:v>
      </x:c>
      <x:c r="L824" s="20" t="n">
        <x:f>IF(INDEX(Roster!$D$6:$D$108,MATCH(D824,Roster!$A$6:$A$108,0))&gt;=25,INDEX(Inputs!$B$19:$D$19,1,MATCH(A824,Inputs!$B$6:$D$6,0)),IF(INDEX(Roster!$D$6:$D$108,MATCH(D824,Roster!$A$6:$A$108,0))&gt;=20,INDEX(Inputs!$B$18:$D$18,1,MATCH(A824,Inputs!$B$6:$D$6,0)),IF(INDEX(Roster!$D$6:$D$108,MATCH(D824,Roster!$A$6:$A$108,0))&gt;=15,INDEX(Inputs!$B$17:$D$17,1,MATCH(A824,Inputs!$B$6:$D$6,0)),IF(INDEX(Roster!$D$6:$D$108,MATCH(D824,Roster!$A$6:$A$108,0))&gt;=10,INDEX(Inputs!$B$16:$D$16,1,MATCH(A824,Inputs!$B$6:$D$6,0)),IF(INDEX(Roster!$D$6:$D$108,MATCH(D824,Roster!$A$6:$A$108,0))&gt;=5,INDEX(Inputs!$B$15:$D$15,1,MATCH(A824,Inputs!$B$6:$D$6,0)),0)))))</x:f>
        <x:v>60</x:v>
      </x:c>
      <x:c r="M824" s="20" t="n">
        <x:f>G824*I824</x:f>
        <x:v>31135</x:v>
      </x:c>
      <x:c r="N824" s="20" t="n">
        <x:f>G824*J824</x:f>
        <x:v>260</x:v>
      </x:c>
      <x:c r="O824" s="20" t="n">
        <x:f>G824*K824</x:f>
        <x:v>0</x:v>
      </x:c>
      <x:c r="P824" s="20" t="n">
        <x:f>G824*L824</x:f>
        <x:v>780</x:v>
      </x:c>
      <x:c r="Q824" s="20" t="n">
        <x:f>H824*INDEX(Inputs!$B$13:$D$13,1,MATCH(A824,Inputs!$B$6:$D$6,0))</x:f>
        <x:v>390</x:v>
      </x:c>
      <x:c r="R824" s="20" t="n">
        <x:f>SUM(M824:Q824)</x:f>
        <x:v>32565</x:v>
      </x:c>
      <x:c r="S824" s="20" t="n">
        <x:f>IF(AND(A823=A824,D823=D824),S823+R824,R824)</x:f>
        <x:v>97695</x:v>
      </x:c>
      <x:c r="T824" s="20" t="n">
        <x:f>MIN(S824,INDEX(Inputs!$B$20:$D$20,1,MATCH(A824,Inputs!$B$6:$D$6,0)))*INDEX(Inputs!$B$22:$D$22,1,MATCH(A824,Inputs!$B$6:$D$6,0))+MAX(MIN(S824,INDEX(Inputs!$B$21:$D$21,1,MATCH(A824,Inputs!$B$6:$D$6,0)))-INDEX(Inputs!$B$20:$D$20,1,MATCH(A824,Inputs!$B$6:$D$6,0)),0)*INDEX(Inputs!$B$23:$D$23,1,MATCH(A824,Inputs!$B$6:$D$6,0))+MAX(S824-INDEX(Inputs!$B$21:$D$21,1,MATCH(A824,Inputs!$B$6:$D$6,0)),0)*INDEX(Inputs!$B$24:$D$24,1,MATCH(A824,Inputs!$B$6:$D$6,0))</x:f>
        <x:v>7963.6675</x:v>
      </x:c>
      <x:c r="U824" s="20" t="n">
        <x:f>IF(AND(A823=A824,D823=D824),T823,0)</x:f>
        <x:v>5472.445</x:v>
      </x:c>
      <x:c r="V824" s="20" t="n">
        <x:f>T824-U824</x:f>
        <x:v>2491.2225</x:v>
      </x:c>
      <x:c r="W824" s="20" t="n">
        <x:f>R824+V824</x:f>
        <x:v>35056.2225</x:v>
      </x:c>
      <x:c r="X824" s="14" t="str">
        <x:f>IF(ABS(W824-SUM(M824:Q824)-V824)&lt;0.01,"OK","Check")</x:f>
        <x:v>OK</x:v>
      </x:c>
    </x:row>
    <x:row r="825">
      <x:c r="A825" s="14" t="n">
        <x:v>2027</x:v>
      </x:c>
      <x:c r="B825" s="14" t="str">
        <x:v>Q4</x:v>
      </x:c>
      <x:c r="C825" s="14" t="n">
        <x:v>4</x:v>
      </x:c>
      <x:c r="D825" s="14" t="n">
        <x:v>102</x:v>
      </x:c>
      <x:c r="E825" s="14" t="str">
        <x:f>INDEX(Roster!$B$6:$B$108,MATCH(D825,Roster!$A$6:$A$108,0))</x:f>
      </x:c>
      <x:c r="F825" s="14" t="str">
        <x:f>INDEX(Roster!$F$6:$F$108,MATCH(D825,Roster!$A$6:$A$108,0))</x:f>
        <x:v>No</x:v>
      </x:c>
      <x:c r="G825" s="14" t="n">
        <x:f>INDEX(Inputs!$B$7:$D$7,1,MATCH(A825,Inputs!$B$6:$D$6,0))</x:f>
        <x:v>13</x:v>
      </x:c>
      <x:c r="H825" s="14" t="n">
        <x:f>MIN(=INDEX(Inputs!$B$7:$D$7,1,MATCH(A825,Inputs!$B$6:$D$6,0)),MAX(0,INDEX(Inputs!$B$14:$D$14,1,MATCH(A825,Inputs!$B$6:$D$6,0))-(C825-1)*=INDEX(Inputs!$B$7:$D$7,1,MATCH(A825,Inputs!$B$6:$D$6,0))))</x:f>
        <x:v>0</x:v>
      </x:c>
      <x:c r="I825" s="20" t="n">
        <x:f>INDEX(Inputs!$B$8:$D$8,1,MATCH(A825,Inputs!$B$6:$D$6,0))</x:f>
        <x:v>2395</x:v>
      </x:c>
      <x:c r="J825" s="20" t="n">
        <x:f>INDEX(Roster!$C$6:$C$108,MATCH(D825,Roster!$A$6:$A$108,0))*(1+INDEX(Inputs!$B$9:$D$9,1,MATCH(A825,Inputs!$B$6:$D$6,0)))</x:f>
        <x:v>20</x:v>
      </x:c>
      <x:c r="K825" s="20" t="n">
        <x:f>IF(=INDEX(Roster!$F$6:$F$108,MATCH(D825,Roster!$A$6:$A$108,0))="Yes",0,=INDEX(Inputs!$B$8:$D$8,1,MATCH(A825,Inputs!$B$6:$D$6,0))*IF(=INDEX(Roster!$B$6:$B$108,MATCH(D825,Roster!$A$6:$A$108,0))="Principal",INDEX(Inputs!$B$10:$D$10,1,MATCH(A825,Inputs!$B$6:$D$6,0)),IF(=INDEX(Roster!$B$6:$B$108,MATCH(D825,Roster!$A$6:$A$108,0))="Associate Principal",INDEX(Inputs!$B$11:$D$11,1,MATCH(A825,Inputs!$B$6:$D$6,0)),IF(=INDEX(Roster!$B$6:$B$108,MATCH(D825,Roster!$A$6:$A$108,0))="Assistant Principal",INDEX(Inputs!$B$12:$D$12,1,MATCH(A825,Inputs!$B$6:$D$6,0)),0))))</x:f>
        <x:v>0</x:v>
      </x:c>
      <x:c r="L825" s="20" t="n">
        <x:f>IF(INDEX(Roster!$D$6:$D$108,MATCH(D825,Roster!$A$6:$A$108,0))&gt;=25,INDEX(Inputs!$B$19:$D$19,1,MATCH(A825,Inputs!$B$6:$D$6,0)),IF(INDEX(Roster!$D$6:$D$108,MATCH(D825,Roster!$A$6:$A$108,0))&gt;=20,INDEX(Inputs!$B$18:$D$18,1,MATCH(A825,Inputs!$B$6:$D$6,0)),IF(INDEX(Roster!$D$6:$D$108,MATCH(D825,Roster!$A$6:$A$108,0))&gt;=15,INDEX(Inputs!$B$17:$D$17,1,MATCH(A825,Inputs!$B$6:$D$6,0)),IF(INDEX(Roster!$D$6:$D$108,MATCH(D825,Roster!$A$6:$A$108,0))&gt;=10,INDEX(Inputs!$B$16:$D$16,1,MATCH(A825,Inputs!$B$6:$D$6,0)),IF(INDEX(Roster!$D$6:$D$108,MATCH(D825,Roster!$A$6:$A$108,0))&gt;=5,INDEX(Inputs!$B$15:$D$15,1,MATCH(A825,Inputs!$B$6:$D$6,0)),0)))))</x:f>
        <x:v>60</x:v>
      </x:c>
      <x:c r="M825" s="20" t="n">
        <x:f>G825*I825</x:f>
        <x:v>31135</x:v>
      </x:c>
      <x:c r="N825" s="20" t="n">
        <x:f>G825*J825</x:f>
        <x:v>260</x:v>
      </x:c>
      <x:c r="O825" s="20" t="n">
        <x:f>G825*K825</x:f>
        <x:v>0</x:v>
      </x:c>
      <x:c r="P825" s="20" t="n">
        <x:f>G825*L825</x:f>
        <x:v>780</x:v>
      </x:c>
      <x:c r="Q825" s="20" t="n">
        <x:f>H825*INDEX(Inputs!$B$13:$D$13,1,MATCH(A825,Inputs!$B$6:$D$6,0))</x:f>
        <x:v>0</x:v>
      </x:c>
      <x:c r="R825" s="20" t="n">
        <x:f>SUM(M825:Q825)</x:f>
        <x:v>32175</x:v>
      </x:c>
      <x:c r="S825" s="20" t="n">
        <x:f>IF(AND(A824=A825,D824=D825),S824+R825,R825)</x:f>
        <x:v>129870</x:v>
      </x:c>
      <x:c r="T825" s="20" t="n">
        <x:f>MIN(S825,INDEX(Inputs!$B$20:$D$20,1,MATCH(A825,Inputs!$B$6:$D$6,0)))*INDEX(Inputs!$B$22:$D$22,1,MATCH(A825,Inputs!$B$6:$D$6,0))+MAX(MIN(S825,INDEX(Inputs!$B$21:$D$21,1,MATCH(A825,Inputs!$B$6:$D$6,0)))-INDEX(Inputs!$B$20:$D$20,1,MATCH(A825,Inputs!$B$6:$D$6,0)),0)*INDEX(Inputs!$B$23:$D$23,1,MATCH(A825,Inputs!$B$6:$D$6,0))+MAX(S825-INDEX(Inputs!$B$21:$D$21,1,MATCH(A825,Inputs!$B$6:$D$6,0)),0)*INDEX(Inputs!$B$24:$D$24,1,MATCH(A825,Inputs!$B$6:$D$6,0))</x:f>
        <x:v>9797.057</x:v>
      </x:c>
      <x:c r="U825" s="20" t="n">
        <x:f>IF(AND(A824=A825,D824=D825),T824,0)</x:f>
        <x:v>7963.6675</x:v>
      </x:c>
      <x:c r="V825" s="20" t="n">
        <x:f>T825-U825</x:f>
        <x:v>1833.3895000000011</x:v>
      </x:c>
      <x:c r="W825" s="20" t="n">
        <x:f>R825+V825</x:f>
        <x:v>34008.389500000005</x:v>
      </x:c>
      <x:c r="X825" s="14" t="str">
        <x:f>IF(ABS(W825-SUM(M825:Q825)-V825)&lt;0.01,"OK","Check")</x:f>
        <x:v>OK</x:v>
      </x:c>
    </x:row>
    <x:row r="826">
      <x:c r="A826" s="14" t="n">
        <x:v>2027</x:v>
      </x:c>
      <x:c r="B826" s="14" t="str">
        <x:v>Q1</x:v>
      </x:c>
      <x:c r="C826" s="14" t="n">
        <x:v>1</x:v>
      </x:c>
      <x:c r="D826" s="14" t="n">
        <x:v>103</x:v>
      </x:c>
      <x:c r="E826" s="14" t="str">
        <x:f>INDEX(Roster!$B$6:$B$108,MATCH(D826,Roster!$A$6:$A$108,0))</x:f>
      </x:c>
      <x:c r="F826" s="14" t="str">
        <x:f>INDEX(Roster!$F$6:$F$108,MATCH(D826,Roster!$A$6:$A$108,0))</x:f>
        <x:v>No</x:v>
      </x:c>
      <x:c r="G826" s="14" t="n">
        <x:f>INDEX(Inputs!$B$7:$D$7,1,MATCH(A826,Inputs!$B$6:$D$6,0))</x:f>
        <x:v>13</x:v>
      </x:c>
      <x:c r="H826" s="14" t="n">
        <x:f>MIN(=INDEX(Inputs!$B$7:$D$7,1,MATCH(A826,Inputs!$B$6:$D$6,0)),MAX(0,INDEX(Inputs!$B$14:$D$14,1,MATCH(A826,Inputs!$B$6:$D$6,0))-(C826-1)*=INDEX(Inputs!$B$7:$D$7,1,MATCH(A826,Inputs!$B$6:$D$6,0))))</x:f>
        <x:v>13</x:v>
      </x:c>
      <x:c r="I826" s="20" t="n">
        <x:f>INDEX(Inputs!$B$8:$D$8,1,MATCH(A826,Inputs!$B$6:$D$6,0))</x:f>
        <x:v>2395</x:v>
      </x:c>
      <x:c r="J826" s="20" t="n">
        <x:f>INDEX(Roster!$C$6:$C$108,MATCH(D826,Roster!$A$6:$A$108,0))*(1+INDEX(Inputs!$B$9:$D$9,1,MATCH(A826,Inputs!$B$6:$D$6,0)))</x:f>
        <x:v>0</x:v>
      </x:c>
      <x:c r="K826" s="20" t="n">
        <x:f>IF(=INDEX(Roster!$F$6:$F$108,MATCH(D826,Roster!$A$6:$A$108,0))="Yes",0,=INDEX(Inputs!$B$8:$D$8,1,MATCH(A826,Inputs!$B$6:$D$6,0))*IF(=INDEX(Roster!$B$6:$B$108,MATCH(D826,Roster!$A$6:$A$108,0))="Principal",INDEX(Inputs!$B$10:$D$10,1,MATCH(A826,Inputs!$B$6:$D$6,0)),IF(=INDEX(Roster!$B$6:$B$108,MATCH(D826,Roster!$A$6:$A$108,0))="Associate Principal",INDEX(Inputs!$B$11:$D$11,1,MATCH(A826,Inputs!$B$6:$D$6,0)),IF(=INDEX(Roster!$B$6:$B$108,MATCH(D826,Roster!$A$6:$A$108,0))="Assistant Principal",INDEX(Inputs!$B$12:$D$12,1,MATCH(A826,Inputs!$B$6:$D$6,0)),0))))</x:f>
        <x:v>0</x:v>
      </x:c>
      <x:c r="L826" s="20" t="n">
        <x:f>IF(INDEX(Roster!$D$6:$D$108,MATCH(D826,Roster!$A$6:$A$108,0))&gt;=25,INDEX(Inputs!$B$19:$D$19,1,MATCH(A826,Inputs!$B$6:$D$6,0)),IF(INDEX(Roster!$D$6:$D$108,MATCH(D826,Roster!$A$6:$A$108,0))&gt;=20,INDEX(Inputs!$B$18:$D$18,1,MATCH(A826,Inputs!$B$6:$D$6,0)),IF(INDEX(Roster!$D$6:$D$108,MATCH(D826,Roster!$A$6:$A$108,0))&gt;=15,INDEX(Inputs!$B$17:$D$17,1,MATCH(A826,Inputs!$B$6:$D$6,0)),IF(INDEX(Roster!$D$6:$D$108,MATCH(D826,Roster!$A$6:$A$108,0))&gt;=10,INDEX(Inputs!$B$16:$D$16,1,MATCH(A826,Inputs!$B$6:$D$6,0)),IF(INDEX(Roster!$D$6:$D$108,MATCH(D826,Roster!$A$6:$A$108,0))&gt;=5,INDEX(Inputs!$B$15:$D$15,1,MATCH(A826,Inputs!$B$6:$D$6,0)),0)))))</x:f>
        <x:v>0</x:v>
      </x:c>
      <x:c r="M826" s="20" t="n">
        <x:f>G826*I826</x:f>
        <x:v>31135</x:v>
      </x:c>
      <x:c r="N826" s="20" t="n">
        <x:f>G826*J826</x:f>
        <x:v>0</x:v>
      </x:c>
      <x:c r="O826" s="20" t="n">
        <x:f>G826*K826</x:f>
        <x:v>0</x:v>
      </x:c>
      <x:c r="P826" s="20" t="n">
        <x:f>G826*L826</x:f>
        <x:v>0</x:v>
      </x:c>
      <x:c r="Q826" s="20" t="n">
        <x:f>H826*INDEX(Inputs!$B$13:$D$13,1,MATCH(A826,Inputs!$B$6:$D$6,0))</x:f>
        <x:v>390</x:v>
      </x:c>
      <x:c r="R826" s="20" t="n">
        <x:f>SUM(M826:Q826)</x:f>
        <x:v>31525</x:v>
      </x:c>
      <x:c r="S826" s="20" t="n">
        <x:f>IF(AND(A825=A826,D825=D826),S825+R826,R826)</x:f>
        <x:v>31525</x:v>
      </x:c>
      <x:c r="T826" s="20" t="n">
        <x:f>MIN(S826,INDEX(Inputs!$B$20:$D$20,1,MATCH(A826,Inputs!$B$6:$D$6,0)))*INDEX(Inputs!$B$22:$D$22,1,MATCH(A826,Inputs!$B$6:$D$6,0))+MAX(MIN(S826,INDEX(Inputs!$B$21:$D$21,1,MATCH(A826,Inputs!$B$6:$D$6,0)))-INDEX(Inputs!$B$20:$D$20,1,MATCH(A826,Inputs!$B$6:$D$6,0)),0)*INDEX(Inputs!$B$23:$D$23,1,MATCH(A826,Inputs!$B$6:$D$6,0))+MAX(S826-INDEX(Inputs!$B$21:$D$21,1,MATCH(A826,Inputs!$B$6:$D$6,0)),0)*INDEX(Inputs!$B$24:$D$24,1,MATCH(A826,Inputs!$B$6:$D$6,0))</x:f>
        <x:v>2901.6625</x:v>
      </x:c>
      <x:c r="U826" s="20" t="n">
        <x:f>IF(AND(A825=A826,D825=D826),T825,0)</x:f>
        <x:v>0</x:v>
      </x:c>
      <x:c r="V826" s="20" t="n">
        <x:f>T826-U826</x:f>
        <x:v>2901.6625</x:v>
      </x:c>
      <x:c r="W826" s="20" t="n">
        <x:f>R826+V826</x:f>
        <x:v>34426.6625</x:v>
      </x:c>
      <x:c r="X826" s="14" t="str">
        <x:f>IF(ABS(W826-SUM(M826:Q826)-V826)&lt;0.01,"OK","Check")</x:f>
        <x:v>OK</x:v>
      </x:c>
    </x:row>
    <x:row r="827">
      <x:c r="A827" s="14" t="n">
        <x:v>2027</x:v>
      </x:c>
      <x:c r="B827" s="14" t="str">
        <x:v>Q2</x:v>
      </x:c>
      <x:c r="C827" s="14" t="n">
        <x:v>2</x:v>
      </x:c>
      <x:c r="D827" s="14" t="n">
        <x:v>103</x:v>
      </x:c>
      <x:c r="E827" s="14" t="str">
        <x:f>INDEX(Roster!$B$6:$B$108,MATCH(D827,Roster!$A$6:$A$108,0))</x:f>
      </x:c>
      <x:c r="F827" s="14" t="str">
        <x:f>INDEX(Roster!$F$6:$F$108,MATCH(D827,Roster!$A$6:$A$108,0))</x:f>
        <x:v>No</x:v>
      </x:c>
      <x:c r="G827" s="14" t="n">
        <x:f>INDEX(Inputs!$B$7:$D$7,1,MATCH(A827,Inputs!$B$6:$D$6,0))</x:f>
        <x:v>13</x:v>
      </x:c>
      <x:c r="H827" s="14" t="n">
        <x:f>MIN(=INDEX(Inputs!$B$7:$D$7,1,MATCH(A827,Inputs!$B$6:$D$6,0)),MAX(0,INDEX(Inputs!$B$14:$D$14,1,MATCH(A827,Inputs!$B$6:$D$6,0))-(C827-1)*=INDEX(Inputs!$B$7:$D$7,1,MATCH(A827,Inputs!$B$6:$D$6,0))))</x:f>
        <x:v>13</x:v>
      </x:c>
      <x:c r="I827" s="20" t="n">
        <x:f>INDEX(Inputs!$B$8:$D$8,1,MATCH(A827,Inputs!$B$6:$D$6,0))</x:f>
        <x:v>2395</x:v>
      </x:c>
      <x:c r="J827" s="20" t="n">
        <x:f>INDEX(Roster!$C$6:$C$108,MATCH(D827,Roster!$A$6:$A$108,0))*(1+INDEX(Inputs!$B$9:$D$9,1,MATCH(A827,Inputs!$B$6:$D$6,0)))</x:f>
        <x:v>0</x:v>
      </x:c>
      <x:c r="K827" s="20" t="n">
        <x:f>IF(=INDEX(Roster!$F$6:$F$108,MATCH(D827,Roster!$A$6:$A$108,0))="Yes",0,=INDEX(Inputs!$B$8:$D$8,1,MATCH(A827,Inputs!$B$6:$D$6,0))*IF(=INDEX(Roster!$B$6:$B$108,MATCH(D827,Roster!$A$6:$A$108,0))="Principal",INDEX(Inputs!$B$10:$D$10,1,MATCH(A827,Inputs!$B$6:$D$6,0)),IF(=INDEX(Roster!$B$6:$B$108,MATCH(D827,Roster!$A$6:$A$108,0))="Associate Principal",INDEX(Inputs!$B$11:$D$11,1,MATCH(A827,Inputs!$B$6:$D$6,0)),IF(=INDEX(Roster!$B$6:$B$108,MATCH(D827,Roster!$A$6:$A$108,0))="Assistant Principal",INDEX(Inputs!$B$12:$D$12,1,MATCH(A827,Inputs!$B$6:$D$6,0)),0))))</x:f>
        <x:v>0</x:v>
      </x:c>
      <x:c r="L827" s="20" t="n">
        <x:f>IF(INDEX(Roster!$D$6:$D$108,MATCH(D827,Roster!$A$6:$A$108,0))&gt;=25,INDEX(Inputs!$B$19:$D$19,1,MATCH(A827,Inputs!$B$6:$D$6,0)),IF(INDEX(Roster!$D$6:$D$108,MATCH(D827,Roster!$A$6:$A$108,0))&gt;=20,INDEX(Inputs!$B$18:$D$18,1,MATCH(A827,Inputs!$B$6:$D$6,0)),IF(INDEX(Roster!$D$6:$D$108,MATCH(D827,Roster!$A$6:$A$108,0))&gt;=15,INDEX(Inputs!$B$17:$D$17,1,MATCH(A827,Inputs!$B$6:$D$6,0)),IF(INDEX(Roster!$D$6:$D$108,MATCH(D827,Roster!$A$6:$A$108,0))&gt;=10,INDEX(Inputs!$B$16:$D$16,1,MATCH(A827,Inputs!$B$6:$D$6,0)),IF(INDEX(Roster!$D$6:$D$108,MATCH(D827,Roster!$A$6:$A$108,0))&gt;=5,INDEX(Inputs!$B$15:$D$15,1,MATCH(A827,Inputs!$B$6:$D$6,0)),0)))))</x:f>
        <x:v>0</x:v>
      </x:c>
      <x:c r="M827" s="20" t="n">
        <x:f>G827*I827</x:f>
        <x:v>31135</x:v>
      </x:c>
      <x:c r="N827" s="20" t="n">
        <x:f>G827*J827</x:f>
        <x:v>0</x:v>
      </x:c>
      <x:c r="O827" s="20" t="n">
        <x:f>G827*K827</x:f>
        <x:v>0</x:v>
      </x:c>
      <x:c r="P827" s="20" t="n">
        <x:f>G827*L827</x:f>
        <x:v>0</x:v>
      </x:c>
      <x:c r="Q827" s="20" t="n">
        <x:f>H827*INDEX(Inputs!$B$13:$D$13,1,MATCH(A827,Inputs!$B$6:$D$6,0))</x:f>
        <x:v>390</x:v>
      </x:c>
      <x:c r="R827" s="20" t="n">
        <x:f>SUM(M827:Q827)</x:f>
        <x:v>31525</x:v>
      </x:c>
      <x:c r="S827" s="20" t="n">
        <x:f>IF(AND(A826=A827,D826=D827),S826+R827,R827)</x:f>
        <x:v>63050</x:v>
      </x:c>
      <x:c r="T827" s="20" t="n">
        <x:f>MIN(S827,INDEX(Inputs!$B$20:$D$20,1,MATCH(A827,Inputs!$B$6:$D$6,0)))*INDEX(Inputs!$B$22:$D$22,1,MATCH(A827,Inputs!$B$6:$D$6,0))+MAX(MIN(S827,INDEX(Inputs!$B$21:$D$21,1,MATCH(A827,Inputs!$B$6:$D$6,0)))-INDEX(Inputs!$B$20:$D$20,1,MATCH(A827,Inputs!$B$6:$D$6,0)),0)*INDEX(Inputs!$B$23:$D$23,1,MATCH(A827,Inputs!$B$6:$D$6,0))+MAX(S827-INDEX(Inputs!$B$21:$D$21,1,MATCH(A827,Inputs!$B$6:$D$6,0)),0)*INDEX(Inputs!$B$24:$D$24,1,MATCH(A827,Inputs!$B$6:$D$6,0))</x:f>
        <x:v>5313.325</x:v>
      </x:c>
      <x:c r="U827" s="20" t="n">
        <x:f>IF(AND(A826=A827,D826=D827),T826,0)</x:f>
        <x:v>2901.6625</x:v>
      </x:c>
      <x:c r="V827" s="20" t="n">
        <x:f>T827-U827</x:f>
        <x:v>2411.6625</x:v>
      </x:c>
      <x:c r="W827" s="20" t="n">
        <x:f>R827+V827</x:f>
        <x:v>33936.6625</x:v>
      </x:c>
      <x:c r="X827" s="14" t="str">
        <x:f>IF(ABS(W827-SUM(M827:Q827)-V827)&lt;0.01,"OK","Check")</x:f>
        <x:v>OK</x:v>
      </x:c>
    </x:row>
    <x:row r="828">
      <x:c r="A828" s="14" t="n">
        <x:v>2027</x:v>
      </x:c>
      <x:c r="B828" s="14" t="str">
        <x:v>Q3</x:v>
      </x:c>
      <x:c r="C828" s="14" t="n">
        <x:v>3</x:v>
      </x:c>
      <x:c r="D828" s="14" t="n">
        <x:v>103</x:v>
      </x:c>
      <x:c r="E828" s="14" t="str">
        <x:f>INDEX(Roster!$B$6:$B$108,MATCH(D828,Roster!$A$6:$A$108,0))</x:f>
      </x:c>
      <x:c r="F828" s="14" t="str">
        <x:f>INDEX(Roster!$F$6:$F$108,MATCH(D828,Roster!$A$6:$A$108,0))</x:f>
        <x:v>No</x:v>
      </x:c>
      <x:c r="G828" s="14" t="n">
        <x:f>INDEX(Inputs!$B$7:$D$7,1,MATCH(A828,Inputs!$B$6:$D$6,0))</x:f>
        <x:v>13</x:v>
      </x:c>
      <x:c r="H828" s="14" t="n">
        <x:f>MIN(=INDEX(Inputs!$B$7:$D$7,1,MATCH(A828,Inputs!$B$6:$D$6,0)),MAX(0,INDEX(Inputs!$B$14:$D$14,1,MATCH(A828,Inputs!$B$6:$D$6,0))-(C828-1)*=INDEX(Inputs!$B$7:$D$7,1,MATCH(A828,Inputs!$B$6:$D$6,0))))</x:f>
        <x:v>13</x:v>
      </x:c>
      <x:c r="I828" s="20" t="n">
        <x:f>INDEX(Inputs!$B$8:$D$8,1,MATCH(A828,Inputs!$B$6:$D$6,0))</x:f>
        <x:v>2395</x:v>
      </x:c>
      <x:c r="J828" s="20" t="n">
        <x:f>INDEX(Roster!$C$6:$C$108,MATCH(D828,Roster!$A$6:$A$108,0))*(1+INDEX(Inputs!$B$9:$D$9,1,MATCH(A828,Inputs!$B$6:$D$6,0)))</x:f>
        <x:v>0</x:v>
      </x:c>
      <x:c r="K828" s="20" t="n">
        <x:f>IF(=INDEX(Roster!$F$6:$F$108,MATCH(D828,Roster!$A$6:$A$108,0))="Yes",0,=INDEX(Inputs!$B$8:$D$8,1,MATCH(A828,Inputs!$B$6:$D$6,0))*IF(=INDEX(Roster!$B$6:$B$108,MATCH(D828,Roster!$A$6:$A$108,0))="Principal",INDEX(Inputs!$B$10:$D$10,1,MATCH(A828,Inputs!$B$6:$D$6,0)),IF(=INDEX(Roster!$B$6:$B$108,MATCH(D828,Roster!$A$6:$A$108,0))="Associate Principal",INDEX(Inputs!$B$11:$D$11,1,MATCH(A828,Inputs!$B$6:$D$6,0)),IF(=INDEX(Roster!$B$6:$B$108,MATCH(D828,Roster!$A$6:$A$108,0))="Assistant Principal",INDEX(Inputs!$B$12:$D$12,1,MATCH(A828,Inputs!$B$6:$D$6,0)),0))))</x:f>
        <x:v>0</x:v>
      </x:c>
      <x:c r="L828" s="20" t="n">
        <x:f>IF(INDEX(Roster!$D$6:$D$108,MATCH(D828,Roster!$A$6:$A$108,0))&gt;=25,INDEX(Inputs!$B$19:$D$19,1,MATCH(A828,Inputs!$B$6:$D$6,0)),IF(INDEX(Roster!$D$6:$D$108,MATCH(D828,Roster!$A$6:$A$108,0))&gt;=20,INDEX(Inputs!$B$18:$D$18,1,MATCH(A828,Inputs!$B$6:$D$6,0)),IF(INDEX(Roster!$D$6:$D$108,MATCH(D828,Roster!$A$6:$A$108,0))&gt;=15,INDEX(Inputs!$B$17:$D$17,1,MATCH(A828,Inputs!$B$6:$D$6,0)),IF(INDEX(Roster!$D$6:$D$108,MATCH(D828,Roster!$A$6:$A$108,0))&gt;=10,INDEX(Inputs!$B$16:$D$16,1,MATCH(A828,Inputs!$B$6:$D$6,0)),IF(INDEX(Roster!$D$6:$D$108,MATCH(D828,Roster!$A$6:$A$108,0))&gt;=5,INDEX(Inputs!$B$15:$D$15,1,MATCH(A828,Inputs!$B$6:$D$6,0)),0)))))</x:f>
        <x:v>0</x:v>
      </x:c>
      <x:c r="M828" s="20" t="n">
        <x:f>G828*I828</x:f>
        <x:v>31135</x:v>
      </x:c>
      <x:c r="N828" s="20" t="n">
        <x:f>G828*J828</x:f>
        <x:v>0</x:v>
      </x:c>
      <x:c r="O828" s="20" t="n">
        <x:f>G828*K828</x:f>
        <x:v>0</x:v>
      </x:c>
      <x:c r="P828" s="20" t="n">
        <x:f>G828*L828</x:f>
        <x:v>0</x:v>
      </x:c>
      <x:c r="Q828" s="20" t="n">
        <x:f>H828*INDEX(Inputs!$B$13:$D$13,1,MATCH(A828,Inputs!$B$6:$D$6,0))</x:f>
        <x:v>390</x:v>
      </x:c>
      <x:c r="R828" s="20" t="n">
        <x:f>SUM(M828:Q828)</x:f>
        <x:v>31525</x:v>
      </x:c>
      <x:c r="S828" s="20" t="n">
        <x:f>IF(AND(A827=A828,D827=D828),S827+R828,R828)</x:f>
        <x:v>94575</x:v>
      </x:c>
      <x:c r="T828" s="20" t="n">
        <x:f>MIN(S828,INDEX(Inputs!$B$20:$D$20,1,MATCH(A828,Inputs!$B$6:$D$6,0)))*INDEX(Inputs!$B$22:$D$22,1,MATCH(A828,Inputs!$B$6:$D$6,0))+MAX(MIN(S828,INDEX(Inputs!$B$21:$D$21,1,MATCH(A828,Inputs!$B$6:$D$6,0)))-INDEX(Inputs!$B$20:$D$20,1,MATCH(A828,Inputs!$B$6:$D$6,0)),0)*INDEX(Inputs!$B$23:$D$23,1,MATCH(A828,Inputs!$B$6:$D$6,0))+MAX(S828-INDEX(Inputs!$B$21:$D$21,1,MATCH(A828,Inputs!$B$6:$D$6,0)),0)*INDEX(Inputs!$B$24:$D$24,1,MATCH(A828,Inputs!$B$6:$D$6,0))</x:f>
        <x:v>7724.9875</x:v>
      </x:c>
      <x:c r="U828" s="20" t="n">
        <x:f>IF(AND(A827=A828,D827=D828),T827,0)</x:f>
        <x:v>5313.325</x:v>
      </x:c>
      <x:c r="V828" s="20" t="n">
        <x:f>T828-U828</x:f>
        <x:v>2411.6625000000004</x:v>
      </x:c>
      <x:c r="W828" s="20" t="n">
        <x:f>R828+V828</x:f>
        <x:v>33936.6625</x:v>
      </x:c>
      <x:c r="X828" s="14" t="str">
        <x:f>IF(ABS(W828-SUM(M828:Q828)-V828)&lt;0.01,"OK","Check")</x:f>
        <x:v>OK</x:v>
      </x:c>
    </x:row>
    <x:row r="829">
      <x:c r="A829" s="14" t="n">
        <x:v>2027</x:v>
      </x:c>
      <x:c r="B829" s="14" t="str">
        <x:v>Q4</x:v>
      </x:c>
      <x:c r="C829" s="14" t="n">
        <x:v>4</x:v>
      </x:c>
      <x:c r="D829" s="14" t="n">
        <x:v>103</x:v>
      </x:c>
      <x:c r="E829" s="14" t="str">
        <x:f>INDEX(Roster!$B$6:$B$108,MATCH(D829,Roster!$A$6:$A$108,0))</x:f>
      </x:c>
      <x:c r="F829" s="14" t="str">
        <x:f>INDEX(Roster!$F$6:$F$108,MATCH(D829,Roster!$A$6:$A$108,0))</x:f>
        <x:v>No</x:v>
      </x:c>
      <x:c r="G829" s="14" t="n">
        <x:f>INDEX(Inputs!$B$7:$D$7,1,MATCH(A829,Inputs!$B$6:$D$6,0))</x:f>
        <x:v>13</x:v>
      </x:c>
      <x:c r="H829" s="14" t="n">
        <x:f>MIN(=INDEX(Inputs!$B$7:$D$7,1,MATCH(A829,Inputs!$B$6:$D$6,0)),MAX(0,INDEX(Inputs!$B$14:$D$14,1,MATCH(A829,Inputs!$B$6:$D$6,0))-(C829-1)*=INDEX(Inputs!$B$7:$D$7,1,MATCH(A829,Inputs!$B$6:$D$6,0))))</x:f>
        <x:v>0</x:v>
      </x:c>
      <x:c r="I829" s="20" t="n">
        <x:f>INDEX(Inputs!$B$8:$D$8,1,MATCH(A829,Inputs!$B$6:$D$6,0))</x:f>
        <x:v>2395</x:v>
      </x:c>
      <x:c r="J829" s="20" t="n">
        <x:f>INDEX(Roster!$C$6:$C$108,MATCH(D829,Roster!$A$6:$A$108,0))*(1+INDEX(Inputs!$B$9:$D$9,1,MATCH(A829,Inputs!$B$6:$D$6,0)))</x:f>
        <x:v>0</x:v>
      </x:c>
      <x:c r="K829" s="20" t="n">
        <x:f>IF(=INDEX(Roster!$F$6:$F$108,MATCH(D829,Roster!$A$6:$A$108,0))="Yes",0,=INDEX(Inputs!$B$8:$D$8,1,MATCH(A829,Inputs!$B$6:$D$6,0))*IF(=INDEX(Roster!$B$6:$B$108,MATCH(D829,Roster!$A$6:$A$108,0))="Principal",INDEX(Inputs!$B$10:$D$10,1,MATCH(A829,Inputs!$B$6:$D$6,0)),IF(=INDEX(Roster!$B$6:$B$108,MATCH(D829,Roster!$A$6:$A$108,0))="Associate Principal",INDEX(Inputs!$B$11:$D$11,1,MATCH(A829,Inputs!$B$6:$D$6,0)),IF(=INDEX(Roster!$B$6:$B$108,MATCH(D829,Roster!$A$6:$A$108,0))="Assistant Principal",INDEX(Inputs!$B$12:$D$12,1,MATCH(A829,Inputs!$B$6:$D$6,0)),0))))</x:f>
        <x:v>0</x:v>
      </x:c>
      <x:c r="L829" s="20" t="n">
        <x:f>IF(INDEX(Roster!$D$6:$D$108,MATCH(D829,Roster!$A$6:$A$108,0))&gt;=25,INDEX(Inputs!$B$19:$D$19,1,MATCH(A829,Inputs!$B$6:$D$6,0)),IF(INDEX(Roster!$D$6:$D$108,MATCH(D829,Roster!$A$6:$A$108,0))&gt;=20,INDEX(Inputs!$B$18:$D$18,1,MATCH(A829,Inputs!$B$6:$D$6,0)),IF(INDEX(Roster!$D$6:$D$108,MATCH(D829,Roster!$A$6:$A$108,0))&gt;=15,INDEX(Inputs!$B$17:$D$17,1,MATCH(A829,Inputs!$B$6:$D$6,0)),IF(INDEX(Roster!$D$6:$D$108,MATCH(D829,Roster!$A$6:$A$108,0))&gt;=10,INDEX(Inputs!$B$16:$D$16,1,MATCH(A829,Inputs!$B$6:$D$6,0)),IF(INDEX(Roster!$D$6:$D$108,MATCH(D829,Roster!$A$6:$A$108,0))&gt;=5,INDEX(Inputs!$B$15:$D$15,1,MATCH(A829,Inputs!$B$6:$D$6,0)),0)))))</x:f>
        <x:v>0</x:v>
      </x:c>
      <x:c r="M829" s="20" t="n">
        <x:f>G829*I829</x:f>
        <x:v>31135</x:v>
      </x:c>
      <x:c r="N829" s="20" t="n">
        <x:f>G829*J829</x:f>
        <x:v>0</x:v>
      </x:c>
      <x:c r="O829" s="20" t="n">
        <x:f>G829*K829</x:f>
        <x:v>0</x:v>
      </x:c>
      <x:c r="P829" s="20" t="n">
        <x:f>G829*L829</x:f>
        <x:v>0</x:v>
      </x:c>
      <x:c r="Q829" s="20" t="n">
        <x:f>H829*INDEX(Inputs!$B$13:$D$13,1,MATCH(A829,Inputs!$B$6:$D$6,0))</x:f>
        <x:v>0</x:v>
      </x:c>
      <x:c r="R829" s="20" t="n">
        <x:f>SUM(M829:Q829)</x:f>
        <x:v>31135</x:v>
      </x:c>
      <x:c r="S829" s="20" t="n">
        <x:f>IF(AND(A828=A829,D828=D829),S828+R829,R829)</x:f>
        <x:v>125710</x:v>
      </x:c>
      <x:c r="T829" s="20" t="n">
        <x:f>MIN(S829,INDEX(Inputs!$B$20:$D$20,1,MATCH(A829,Inputs!$B$6:$D$6,0)))*INDEX(Inputs!$B$22:$D$22,1,MATCH(A829,Inputs!$B$6:$D$6,0))+MAX(MIN(S829,INDEX(Inputs!$B$21:$D$21,1,MATCH(A829,Inputs!$B$6:$D$6,0)))-INDEX(Inputs!$B$20:$D$20,1,MATCH(A829,Inputs!$B$6:$D$6,0)),0)*INDEX(Inputs!$B$23:$D$23,1,MATCH(A829,Inputs!$B$6:$D$6,0))+MAX(S829-INDEX(Inputs!$B$21:$D$21,1,MATCH(A829,Inputs!$B$6:$D$6,0)),0)*INDEX(Inputs!$B$24:$D$24,1,MATCH(A829,Inputs!$B$6:$D$6,0))</x:f>
        <x:v>9736.737</x:v>
      </x:c>
      <x:c r="U829" s="20" t="n">
        <x:f>IF(AND(A828=A829,D828=D829),T828,0)</x:f>
        <x:v>7724.9875</x:v>
      </x:c>
      <x:c r="V829" s="20" t="n">
        <x:f>T829-U829</x:f>
        <x:v>2011.749499999999</x:v>
      </x:c>
      <x:c r="W829" s="20" t="n">
        <x:f>R829+V829</x:f>
        <x:v>33146.7495</x:v>
      </x:c>
      <x:c r="X829" s="14" t="str">
        <x:f>IF(ABS(W829-SUM(M829:Q829)-V829)&lt;0.01,"OK","Check")</x:f>
        <x:v>OK</x:v>
      </x:c>
    </x:row>
    <x:row r="830">
      <x:c r="A830" s="14" t="n">
        <x:v>2028</x:v>
      </x:c>
      <x:c r="B830" s="14" t="str">
        <x:v>Q1</x:v>
      </x:c>
      <x:c r="C830" s="14" t="n">
        <x:v>1</x:v>
      </x:c>
      <x:c r="D830" s="14" t="n">
        <x:v>1</x:v>
      </x:c>
      <x:c r="E830" s="14" t="str">
        <x:f>INDEX(Roster!$B$6:$B$108,MATCH(D830,Roster!$A$6:$A$108,0))</x:f>
        <x:v>Principal</x:v>
      </x:c>
      <x:c r="F830" s="14" t="str">
        <x:f>INDEX(Roster!$F$6:$F$108,MATCH(D830,Roster!$A$6:$A$108,0))</x:f>
        <x:v>No</x:v>
      </x:c>
      <x:c r="G830" s="14" t="n">
        <x:f>INDEX(Inputs!$B$7:$D$7,1,MATCH(A830,Inputs!$B$6:$D$6,0))</x:f>
        <x:v>13</x:v>
      </x:c>
      <x:c r="H830" s="14" t="n">
        <x:f>MIN(=INDEX(Inputs!$B$7:$D$7,1,MATCH(A830,Inputs!$B$6:$D$6,0)),MAX(0,INDEX(Inputs!$B$14:$D$14,1,MATCH(A830,Inputs!$B$6:$D$6,0))-(C830-1)*=INDEX(Inputs!$B$7:$D$7,1,MATCH(A830,Inputs!$B$6:$D$6,0))))</x:f>
        <x:v>13</x:v>
      </x:c>
      <x:c r="I830" s="20" t="n">
        <x:f>INDEX(Inputs!$B$8:$D$8,1,MATCH(A830,Inputs!$B$6:$D$6,0))</x:f>
        <x:v>2395</x:v>
      </x:c>
      <x:c r="J830" s="20" t="n">
        <x:f>INDEX(Roster!$C$6:$C$108,MATCH(D830,Roster!$A$6:$A$108,0))*(1+INDEX(Inputs!$B$9:$D$9,1,MATCH(A830,Inputs!$B$6:$D$6,0)))</x:f>
        <x:v>300</x:v>
      </x:c>
      <x:c r="K830" s="20" t="n">
        <x:f>IF(=INDEX(Roster!$F$6:$F$108,MATCH(D830,Roster!$A$6:$A$108,0))="Yes",0,=INDEX(Inputs!$B$8:$D$8,1,MATCH(A830,Inputs!$B$6:$D$6,0))*IF(=INDEX(Roster!$B$6:$B$108,MATCH(D830,Roster!$A$6:$A$108,0))="Principal",INDEX(Inputs!$B$10:$D$10,1,MATCH(A830,Inputs!$B$6:$D$6,0)),IF(=INDEX(Roster!$B$6:$B$108,MATCH(D830,Roster!$A$6:$A$108,0))="Associate Principal",INDEX(Inputs!$B$11:$D$11,1,MATCH(A830,Inputs!$B$6:$D$6,0)),IF(=INDEX(Roster!$B$6:$B$108,MATCH(D830,Roster!$A$6:$A$108,0))="Assistant Principal",INDEX(Inputs!$B$12:$D$12,1,MATCH(A830,Inputs!$B$6:$D$6,0)),0))))</x:f>
        <x:v>479</x:v>
      </x:c>
      <x:c r="L830" s="20" t="n">
        <x:f>IF(INDEX(Roster!$D$6:$D$108,MATCH(D830,Roster!$A$6:$A$108,0))&gt;=25,INDEX(Inputs!$B$19:$D$19,1,MATCH(A830,Inputs!$B$6:$D$6,0)),IF(INDEX(Roster!$D$6:$D$108,MATCH(D830,Roster!$A$6:$A$108,0))&gt;=20,INDEX(Inputs!$B$18:$D$18,1,MATCH(A830,Inputs!$B$6:$D$6,0)),IF(INDEX(Roster!$D$6:$D$108,MATCH(D830,Roster!$A$6:$A$108,0))&gt;=15,INDEX(Inputs!$B$17:$D$17,1,MATCH(A830,Inputs!$B$6:$D$6,0)),IF(INDEX(Roster!$D$6:$D$108,MATCH(D830,Roster!$A$6:$A$108,0))&gt;=10,INDEX(Inputs!$B$16:$D$16,1,MATCH(A830,Inputs!$B$6:$D$6,0)),IF(INDEX(Roster!$D$6:$D$108,MATCH(D830,Roster!$A$6:$A$108,0))&gt;=5,INDEX(Inputs!$B$15:$D$15,1,MATCH(A830,Inputs!$B$6:$D$6,0)),0)))))</x:f>
        <x:v>0</x:v>
      </x:c>
      <x:c r="M830" s="20" t="n">
        <x:f>G830*I830</x:f>
        <x:v>31135</x:v>
      </x:c>
      <x:c r="N830" s="20" t="n">
        <x:f>G830*J830</x:f>
        <x:v>3900</x:v>
      </x:c>
      <x:c r="O830" s="20" t="n">
        <x:f>G830*K830</x:f>
        <x:v>6227</x:v>
      </x:c>
      <x:c r="P830" s="20" t="n">
        <x:f>G830*L830</x:f>
        <x:v>0</x:v>
      </x:c>
      <x:c r="Q830" s="20" t="n">
        <x:f>H830*INDEX(Inputs!$B$13:$D$13,1,MATCH(A830,Inputs!$B$6:$D$6,0))</x:f>
        <x:v>390</x:v>
      </x:c>
      <x:c r="R830" s="20" t="n">
        <x:f>SUM(M830:Q830)</x:f>
        <x:v>41652</x:v>
      </x:c>
      <x:c r="S830" s="20" t="n">
        <x:f>IF(AND(A829=A830,D829=D830),S829+R830,R830)</x:f>
        <x:v>41652</x:v>
      </x:c>
      <x:c r="T830" s="20" t="n">
        <x:f>MIN(S830,INDEX(Inputs!$B$20:$D$20,1,MATCH(A830,Inputs!$B$6:$D$6,0)))*INDEX(Inputs!$B$22:$D$22,1,MATCH(A830,Inputs!$B$6:$D$6,0))+MAX(MIN(S830,INDEX(Inputs!$B$21:$D$21,1,MATCH(A830,Inputs!$B$6:$D$6,0)))-INDEX(Inputs!$B$20:$D$20,1,MATCH(A830,Inputs!$B$6:$D$6,0)),0)*INDEX(Inputs!$B$23:$D$23,1,MATCH(A830,Inputs!$B$6:$D$6,0))+MAX(S830-INDEX(Inputs!$B$21:$D$21,1,MATCH(A830,Inputs!$B$6:$D$6,0)),0)*INDEX(Inputs!$B$24:$D$24,1,MATCH(A830,Inputs!$B$6:$D$6,0))</x:f>
        <x:v>3676.378</x:v>
      </x:c>
      <x:c r="U830" s="20" t="n">
        <x:f>IF(AND(A829=A830,D829=D830),T829,0)</x:f>
        <x:v>0</x:v>
      </x:c>
      <x:c r="V830" s="20" t="n">
        <x:f>T830-U830</x:f>
        <x:v>3676.378</x:v>
      </x:c>
      <x:c r="W830" s="20" t="n">
        <x:f>R830+V830</x:f>
        <x:v>45328.378</x:v>
      </x:c>
      <x:c r="X830" s="14" t="str">
        <x:f>IF(ABS(W830-SUM(M830:Q830)-V830)&lt;0.01,"OK","Check")</x:f>
        <x:v>OK</x:v>
      </x:c>
    </x:row>
    <x:row r="831">
      <x:c r="A831" s="14" t="n">
        <x:v>2028</x:v>
      </x:c>
      <x:c r="B831" s="14" t="str">
        <x:v>Q2</x:v>
      </x:c>
      <x:c r="C831" s="14" t="n">
        <x:v>2</x:v>
      </x:c>
      <x:c r="D831" s="14" t="n">
        <x:v>1</x:v>
      </x:c>
      <x:c r="E831" s="14" t="str">
        <x:f>INDEX(Roster!$B$6:$B$108,MATCH(D831,Roster!$A$6:$A$108,0))</x:f>
        <x:v>Principal</x:v>
      </x:c>
      <x:c r="F831" s="14" t="str">
        <x:f>INDEX(Roster!$F$6:$F$108,MATCH(D831,Roster!$A$6:$A$108,0))</x:f>
        <x:v>No</x:v>
      </x:c>
      <x:c r="G831" s="14" t="n">
        <x:f>INDEX(Inputs!$B$7:$D$7,1,MATCH(A831,Inputs!$B$6:$D$6,0))</x:f>
        <x:v>13</x:v>
      </x:c>
      <x:c r="H831" s="14" t="n">
        <x:f>MIN(=INDEX(Inputs!$B$7:$D$7,1,MATCH(A831,Inputs!$B$6:$D$6,0)),MAX(0,INDEX(Inputs!$B$14:$D$14,1,MATCH(A831,Inputs!$B$6:$D$6,0))-(C831-1)*=INDEX(Inputs!$B$7:$D$7,1,MATCH(A831,Inputs!$B$6:$D$6,0))))</x:f>
        <x:v>13</x:v>
      </x:c>
      <x:c r="I831" s="20" t="n">
        <x:f>INDEX(Inputs!$B$8:$D$8,1,MATCH(A831,Inputs!$B$6:$D$6,0))</x:f>
        <x:v>2395</x:v>
      </x:c>
      <x:c r="J831" s="20" t="n">
        <x:f>INDEX(Roster!$C$6:$C$108,MATCH(D831,Roster!$A$6:$A$108,0))*(1+INDEX(Inputs!$B$9:$D$9,1,MATCH(A831,Inputs!$B$6:$D$6,0)))</x:f>
        <x:v>300</x:v>
      </x:c>
      <x:c r="K831" s="20" t="n">
        <x:f>IF(=INDEX(Roster!$F$6:$F$108,MATCH(D831,Roster!$A$6:$A$108,0))="Yes",0,=INDEX(Inputs!$B$8:$D$8,1,MATCH(A831,Inputs!$B$6:$D$6,0))*IF(=INDEX(Roster!$B$6:$B$108,MATCH(D831,Roster!$A$6:$A$108,0))="Principal",INDEX(Inputs!$B$10:$D$10,1,MATCH(A831,Inputs!$B$6:$D$6,0)),IF(=INDEX(Roster!$B$6:$B$108,MATCH(D831,Roster!$A$6:$A$108,0))="Associate Principal",INDEX(Inputs!$B$11:$D$11,1,MATCH(A831,Inputs!$B$6:$D$6,0)),IF(=INDEX(Roster!$B$6:$B$108,MATCH(D831,Roster!$A$6:$A$108,0))="Assistant Principal",INDEX(Inputs!$B$12:$D$12,1,MATCH(A831,Inputs!$B$6:$D$6,0)),0))))</x:f>
        <x:v>479</x:v>
      </x:c>
      <x:c r="L831" s="20" t="n">
        <x:f>IF(INDEX(Roster!$D$6:$D$108,MATCH(D831,Roster!$A$6:$A$108,0))&gt;=25,INDEX(Inputs!$B$19:$D$19,1,MATCH(A831,Inputs!$B$6:$D$6,0)),IF(INDEX(Roster!$D$6:$D$108,MATCH(D831,Roster!$A$6:$A$108,0))&gt;=20,INDEX(Inputs!$B$18:$D$18,1,MATCH(A831,Inputs!$B$6:$D$6,0)),IF(INDEX(Roster!$D$6:$D$108,MATCH(D831,Roster!$A$6:$A$108,0))&gt;=15,INDEX(Inputs!$B$17:$D$17,1,MATCH(A831,Inputs!$B$6:$D$6,0)),IF(INDEX(Roster!$D$6:$D$108,MATCH(D831,Roster!$A$6:$A$108,0))&gt;=10,INDEX(Inputs!$B$16:$D$16,1,MATCH(A831,Inputs!$B$6:$D$6,0)),IF(INDEX(Roster!$D$6:$D$108,MATCH(D831,Roster!$A$6:$A$108,0))&gt;=5,INDEX(Inputs!$B$15:$D$15,1,MATCH(A831,Inputs!$B$6:$D$6,0)),0)))))</x:f>
        <x:v>0</x:v>
      </x:c>
      <x:c r="M831" s="20" t="n">
        <x:f>G831*I831</x:f>
        <x:v>31135</x:v>
      </x:c>
      <x:c r="N831" s="20" t="n">
        <x:f>G831*J831</x:f>
        <x:v>3900</x:v>
      </x:c>
      <x:c r="O831" s="20" t="n">
        <x:f>G831*K831</x:f>
        <x:v>6227</x:v>
      </x:c>
      <x:c r="P831" s="20" t="n">
        <x:f>G831*L831</x:f>
        <x:v>0</x:v>
      </x:c>
      <x:c r="Q831" s="20" t="n">
        <x:f>H831*INDEX(Inputs!$B$13:$D$13,1,MATCH(A831,Inputs!$B$6:$D$6,0))</x:f>
        <x:v>390</x:v>
      </x:c>
      <x:c r="R831" s="20" t="n">
        <x:f>SUM(M831:Q831)</x:f>
        <x:v>41652</x:v>
      </x:c>
      <x:c r="S831" s="20" t="n">
        <x:f>IF(AND(A830=A831,D830=D831),S830+R831,R831)</x:f>
        <x:v>83304</x:v>
      </x:c>
      <x:c r="T831" s="20" t="n">
        <x:f>MIN(S831,INDEX(Inputs!$B$20:$D$20,1,MATCH(A831,Inputs!$B$6:$D$6,0)))*INDEX(Inputs!$B$22:$D$22,1,MATCH(A831,Inputs!$B$6:$D$6,0))+MAX(MIN(S831,INDEX(Inputs!$B$21:$D$21,1,MATCH(A831,Inputs!$B$6:$D$6,0)))-INDEX(Inputs!$B$20:$D$20,1,MATCH(A831,Inputs!$B$6:$D$6,0)),0)*INDEX(Inputs!$B$23:$D$23,1,MATCH(A831,Inputs!$B$6:$D$6,0))+MAX(S831-INDEX(Inputs!$B$21:$D$21,1,MATCH(A831,Inputs!$B$6:$D$6,0)),0)*INDEX(Inputs!$B$24:$D$24,1,MATCH(A831,Inputs!$B$6:$D$6,0))</x:f>
        <x:v>6862.756</x:v>
      </x:c>
      <x:c r="U831" s="20" t="n">
        <x:f>IF(AND(A830=A831,D830=D831),T830,0)</x:f>
        <x:v>3676.378</x:v>
      </x:c>
      <x:c r="V831" s="20" t="n">
        <x:f>T831-U831</x:f>
        <x:v>3186.378</x:v>
      </x:c>
      <x:c r="W831" s="20" t="n">
        <x:f>R831+V831</x:f>
        <x:v>44838.378</x:v>
      </x:c>
      <x:c r="X831" s="14" t="str">
        <x:f>IF(ABS(W831-SUM(M831:Q831)-V831)&lt;0.01,"OK","Check")</x:f>
        <x:v>OK</x:v>
      </x:c>
    </x:row>
    <x:row r="832">
      <x:c r="A832" s="14" t="n">
        <x:v>2028</x:v>
      </x:c>
      <x:c r="B832" s="14" t="str">
        <x:v>Q3</x:v>
      </x:c>
      <x:c r="C832" s="14" t="n">
        <x:v>3</x:v>
      </x:c>
      <x:c r="D832" s="14" t="n">
        <x:v>1</x:v>
      </x:c>
      <x:c r="E832" s="14" t="str">
        <x:f>INDEX(Roster!$B$6:$B$108,MATCH(D832,Roster!$A$6:$A$108,0))</x:f>
        <x:v>Principal</x:v>
      </x:c>
      <x:c r="F832" s="14" t="str">
        <x:f>INDEX(Roster!$F$6:$F$108,MATCH(D832,Roster!$A$6:$A$108,0))</x:f>
        <x:v>No</x:v>
      </x:c>
      <x:c r="G832" s="14" t="n">
        <x:f>INDEX(Inputs!$B$7:$D$7,1,MATCH(A832,Inputs!$B$6:$D$6,0))</x:f>
        <x:v>13</x:v>
      </x:c>
      <x:c r="H832" s="14" t="n">
        <x:f>MIN(=INDEX(Inputs!$B$7:$D$7,1,MATCH(A832,Inputs!$B$6:$D$6,0)),MAX(0,INDEX(Inputs!$B$14:$D$14,1,MATCH(A832,Inputs!$B$6:$D$6,0))-(C832-1)*=INDEX(Inputs!$B$7:$D$7,1,MATCH(A832,Inputs!$B$6:$D$6,0))))</x:f>
        <x:v>13</x:v>
      </x:c>
      <x:c r="I832" s="20" t="n">
        <x:f>INDEX(Inputs!$B$8:$D$8,1,MATCH(A832,Inputs!$B$6:$D$6,0))</x:f>
        <x:v>2395</x:v>
      </x:c>
      <x:c r="J832" s="20" t="n">
        <x:f>INDEX(Roster!$C$6:$C$108,MATCH(D832,Roster!$A$6:$A$108,0))*(1+INDEX(Inputs!$B$9:$D$9,1,MATCH(A832,Inputs!$B$6:$D$6,0)))</x:f>
        <x:v>300</x:v>
      </x:c>
      <x:c r="K832" s="20" t="n">
        <x:f>IF(=INDEX(Roster!$F$6:$F$108,MATCH(D832,Roster!$A$6:$A$108,0))="Yes",0,=INDEX(Inputs!$B$8:$D$8,1,MATCH(A832,Inputs!$B$6:$D$6,0))*IF(=INDEX(Roster!$B$6:$B$108,MATCH(D832,Roster!$A$6:$A$108,0))="Principal",INDEX(Inputs!$B$10:$D$10,1,MATCH(A832,Inputs!$B$6:$D$6,0)),IF(=INDEX(Roster!$B$6:$B$108,MATCH(D832,Roster!$A$6:$A$108,0))="Associate Principal",INDEX(Inputs!$B$11:$D$11,1,MATCH(A832,Inputs!$B$6:$D$6,0)),IF(=INDEX(Roster!$B$6:$B$108,MATCH(D832,Roster!$A$6:$A$108,0))="Assistant Principal",INDEX(Inputs!$B$12:$D$12,1,MATCH(A832,Inputs!$B$6:$D$6,0)),0))))</x:f>
        <x:v>479</x:v>
      </x:c>
      <x:c r="L832" s="20" t="n">
        <x:f>IF(INDEX(Roster!$D$6:$D$108,MATCH(D832,Roster!$A$6:$A$108,0))&gt;=25,INDEX(Inputs!$B$19:$D$19,1,MATCH(A832,Inputs!$B$6:$D$6,0)),IF(INDEX(Roster!$D$6:$D$108,MATCH(D832,Roster!$A$6:$A$108,0))&gt;=20,INDEX(Inputs!$B$18:$D$18,1,MATCH(A832,Inputs!$B$6:$D$6,0)),IF(INDEX(Roster!$D$6:$D$108,MATCH(D832,Roster!$A$6:$A$108,0))&gt;=15,INDEX(Inputs!$B$17:$D$17,1,MATCH(A832,Inputs!$B$6:$D$6,0)),IF(INDEX(Roster!$D$6:$D$108,MATCH(D832,Roster!$A$6:$A$108,0))&gt;=10,INDEX(Inputs!$B$16:$D$16,1,MATCH(A832,Inputs!$B$6:$D$6,0)),IF(INDEX(Roster!$D$6:$D$108,MATCH(D832,Roster!$A$6:$A$108,0))&gt;=5,INDEX(Inputs!$B$15:$D$15,1,MATCH(A832,Inputs!$B$6:$D$6,0)),0)))))</x:f>
        <x:v>0</x:v>
      </x:c>
      <x:c r="M832" s="20" t="n">
        <x:f>G832*I832</x:f>
        <x:v>31135</x:v>
      </x:c>
      <x:c r="N832" s="20" t="n">
        <x:f>G832*J832</x:f>
        <x:v>3900</x:v>
      </x:c>
      <x:c r="O832" s="20" t="n">
        <x:f>G832*K832</x:f>
        <x:v>6227</x:v>
      </x:c>
      <x:c r="P832" s="20" t="n">
        <x:f>G832*L832</x:f>
        <x:v>0</x:v>
      </x:c>
      <x:c r="Q832" s="20" t="n">
        <x:f>H832*INDEX(Inputs!$B$13:$D$13,1,MATCH(A832,Inputs!$B$6:$D$6,0))</x:f>
        <x:v>390</x:v>
      </x:c>
      <x:c r="R832" s="20" t="n">
        <x:f>SUM(M832:Q832)</x:f>
        <x:v>41652</x:v>
      </x:c>
      <x:c r="S832" s="20" t="n">
        <x:f>IF(AND(A831=A832,D831=D832),S831+R832,R832)</x:f>
        <x:v>124956</x:v>
      </x:c>
      <x:c r="T832" s="20" t="n">
        <x:f>MIN(S832,INDEX(Inputs!$B$20:$D$20,1,MATCH(A832,Inputs!$B$6:$D$6,0)))*INDEX(Inputs!$B$22:$D$22,1,MATCH(A832,Inputs!$B$6:$D$6,0))+MAX(MIN(S832,INDEX(Inputs!$B$21:$D$21,1,MATCH(A832,Inputs!$B$6:$D$6,0)))-INDEX(Inputs!$B$20:$D$20,1,MATCH(A832,Inputs!$B$6:$D$6,0)),0)*INDEX(Inputs!$B$23:$D$23,1,MATCH(A832,Inputs!$B$6:$D$6,0))+MAX(S832-INDEX(Inputs!$B$21:$D$21,1,MATCH(A832,Inputs!$B$6:$D$6,0)),0)*INDEX(Inputs!$B$24:$D$24,1,MATCH(A832,Inputs!$B$6:$D$6,0))</x:f>
        <x:v>9725.804</x:v>
      </x:c>
      <x:c r="U832" s="20" t="n">
        <x:f>IF(AND(A831=A832,D831=D832),T831,0)</x:f>
        <x:v>6862.756</x:v>
      </x:c>
      <x:c r="V832" s="20" t="n">
        <x:f>T832-U832</x:f>
        <x:v>2863.048</x:v>
      </x:c>
      <x:c r="W832" s="20" t="n">
        <x:f>R832+V832</x:f>
        <x:v>44515.048</x:v>
      </x:c>
      <x:c r="X832" s="14" t="str">
        <x:f>IF(ABS(W832-SUM(M832:Q832)-V832)&lt;0.01,"OK","Check")</x:f>
        <x:v>OK</x:v>
      </x:c>
    </x:row>
    <x:row r="833">
      <x:c r="A833" s="14" t="n">
        <x:v>2028</x:v>
      </x:c>
      <x:c r="B833" s="14" t="str">
        <x:v>Q4</x:v>
      </x:c>
      <x:c r="C833" s="14" t="n">
        <x:v>4</x:v>
      </x:c>
      <x:c r="D833" s="14" t="n">
        <x:v>1</x:v>
      </x:c>
      <x:c r="E833" s="14" t="str">
        <x:f>INDEX(Roster!$B$6:$B$108,MATCH(D833,Roster!$A$6:$A$108,0))</x:f>
        <x:v>Principal</x:v>
      </x:c>
      <x:c r="F833" s="14" t="str">
        <x:f>INDEX(Roster!$F$6:$F$108,MATCH(D833,Roster!$A$6:$A$108,0))</x:f>
        <x:v>No</x:v>
      </x:c>
      <x:c r="G833" s="14" t="n">
        <x:f>INDEX(Inputs!$B$7:$D$7,1,MATCH(A833,Inputs!$B$6:$D$6,0))</x:f>
        <x:v>13</x:v>
      </x:c>
      <x:c r="H833" s="14" t="n">
        <x:f>MIN(=INDEX(Inputs!$B$7:$D$7,1,MATCH(A833,Inputs!$B$6:$D$6,0)),MAX(0,INDEX(Inputs!$B$14:$D$14,1,MATCH(A833,Inputs!$B$6:$D$6,0))-(C833-1)*=INDEX(Inputs!$B$7:$D$7,1,MATCH(A833,Inputs!$B$6:$D$6,0))))</x:f>
        <x:v>0</x:v>
      </x:c>
      <x:c r="I833" s="20" t="n">
        <x:f>INDEX(Inputs!$B$8:$D$8,1,MATCH(A833,Inputs!$B$6:$D$6,0))</x:f>
        <x:v>2395</x:v>
      </x:c>
      <x:c r="J833" s="20" t="n">
        <x:f>INDEX(Roster!$C$6:$C$108,MATCH(D833,Roster!$A$6:$A$108,0))*(1+INDEX(Inputs!$B$9:$D$9,1,MATCH(A833,Inputs!$B$6:$D$6,0)))</x:f>
        <x:v>300</x:v>
      </x:c>
      <x:c r="K833" s="20" t="n">
        <x:f>IF(=INDEX(Roster!$F$6:$F$108,MATCH(D833,Roster!$A$6:$A$108,0))="Yes",0,=INDEX(Inputs!$B$8:$D$8,1,MATCH(A833,Inputs!$B$6:$D$6,0))*IF(=INDEX(Roster!$B$6:$B$108,MATCH(D833,Roster!$A$6:$A$108,0))="Principal",INDEX(Inputs!$B$10:$D$10,1,MATCH(A833,Inputs!$B$6:$D$6,0)),IF(=INDEX(Roster!$B$6:$B$108,MATCH(D833,Roster!$A$6:$A$108,0))="Associate Principal",INDEX(Inputs!$B$11:$D$11,1,MATCH(A833,Inputs!$B$6:$D$6,0)),IF(=INDEX(Roster!$B$6:$B$108,MATCH(D833,Roster!$A$6:$A$108,0))="Assistant Principal",INDEX(Inputs!$B$12:$D$12,1,MATCH(A833,Inputs!$B$6:$D$6,0)),0))))</x:f>
        <x:v>479</x:v>
      </x:c>
      <x:c r="L833" s="20" t="n">
        <x:f>IF(INDEX(Roster!$D$6:$D$108,MATCH(D833,Roster!$A$6:$A$108,0))&gt;=25,INDEX(Inputs!$B$19:$D$19,1,MATCH(A833,Inputs!$B$6:$D$6,0)),IF(INDEX(Roster!$D$6:$D$108,MATCH(D833,Roster!$A$6:$A$108,0))&gt;=20,INDEX(Inputs!$B$18:$D$18,1,MATCH(A833,Inputs!$B$6:$D$6,0)),IF(INDEX(Roster!$D$6:$D$108,MATCH(D833,Roster!$A$6:$A$108,0))&gt;=15,INDEX(Inputs!$B$17:$D$17,1,MATCH(A833,Inputs!$B$6:$D$6,0)),IF(INDEX(Roster!$D$6:$D$108,MATCH(D833,Roster!$A$6:$A$108,0))&gt;=10,INDEX(Inputs!$B$16:$D$16,1,MATCH(A833,Inputs!$B$6:$D$6,0)),IF(INDEX(Roster!$D$6:$D$108,MATCH(D833,Roster!$A$6:$A$108,0))&gt;=5,INDEX(Inputs!$B$15:$D$15,1,MATCH(A833,Inputs!$B$6:$D$6,0)),0)))))</x:f>
        <x:v>0</x:v>
      </x:c>
      <x:c r="M833" s="20" t="n">
        <x:f>G833*I833</x:f>
        <x:v>31135</x:v>
      </x:c>
      <x:c r="N833" s="20" t="n">
        <x:f>G833*J833</x:f>
        <x:v>3900</x:v>
      </x:c>
      <x:c r="O833" s="20" t="n">
        <x:f>G833*K833</x:f>
        <x:v>6227</x:v>
      </x:c>
      <x:c r="P833" s="20" t="n">
        <x:f>G833*L833</x:f>
        <x:v>0</x:v>
      </x:c>
      <x:c r="Q833" s="20" t="n">
        <x:f>H833*INDEX(Inputs!$B$13:$D$13,1,MATCH(A833,Inputs!$B$6:$D$6,0))</x:f>
        <x:v>0</x:v>
      </x:c>
      <x:c r="R833" s="20" t="n">
        <x:f>SUM(M833:Q833)</x:f>
        <x:v>41262</x:v>
      </x:c>
      <x:c r="S833" s="20" t="n">
        <x:f>IF(AND(A832=A833,D832=D833),S832+R833,R833)</x:f>
        <x:v>166218</x:v>
      </x:c>
      <x:c r="T833" s="20" t="n">
        <x:f>MIN(S833,INDEX(Inputs!$B$20:$D$20,1,MATCH(A833,Inputs!$B$6:$D$6,0)))*INDEX(Inputs!$B$22:$D$22,1,MATCH(A833,Inputs!$B$6:$D$6,0))+MAX(MIN(S833,INDEX(Inputs!$B$21:$D$21,1,MATCH(A833,Inputs!$B$6:$D$6,0)))-INDEX(Inputs!$B$20:$D$20,1,MATCH(A833,Inputs!$B$6:$D$6,0)),0)*INDEX(Inputs!$B$23:$D$23,1,MATCH(A833,Inputs!$B$6:$D$6,0))+MAX(S833-INDEX(Inputs!$B$21:$D$21,1,MATCH(A833,Inputs!$B$6:$D$6,0)),0)*INDEX(Inputs!$B$24:$D$24,1,MATCH(A833,Inputs!$B$6:$D$6,0))</x:f>
        <x:v>10324.103</x:v>
      </x:c>
      <x:c r="U833" s="20" t="n">
        <x:f>IF(AND(A832=A833,D832=D833),T832,0)</x:f>
        <x:v>9725.804</x:v>
      </x:c>
      <x:c r="V833" s="20" t="n">
        <x:f>T833-U833</x:f>
        <x:v>598.2989999999991</x:v>
      </x:c>
      <x:c r="W833" s="20" t="n">
        <x:f>R833+V833</x:f>
        <x:v>41860.299</x:v>
      </x:c>
      <x:c r="X833" s="14" t="str">
        <x:f>IF(ABS(W833-SUM(M833:Q833)-V833)&lt;0.01,"OK","Check")</x:f>
        <x:v>OK</x:v>
      </x:c>
    </x:row>
    <x:row r="834">
      <x:c r="A834" s="14" t="n">
        <x:v>2028</x:v>
      </x:c>
      <x:c r="B834" s="14" t="str">
        <x:v>Q1</x:v>
      </x:c>
      <x:c r="C834" s="14" t="n">
        <x:v>1</x:v>
      </x:c>
      <x:c r="D834" s="14" t="n">
        <x:v>2</x:v>
      </x:c>
      <x:c r="E834" s="14" t="str">
        <x:f>INDEX(Roster!$B$6:$B$108,MATCH(D834,Roster!$A$6:$A$108,0))</x:f>
      </x:c>
      <x:c r="F834" s="14" t="str">
        <x:f>INDEX(Roster!$F$6:$F$108,MATCH(D834,Roster!$A$6:$A$108,0))</x:f>
        <x:v>No</x:v>
      </x:c>
      <x:c r="G834" s="14" t="n">
        <x:f>INDEX(Inputs!$B$7:$D$7,1,MATCH(A834,Inputs!$B$6:$D$6,0))</x:f>
        <x:v>13</x:v>
      </x:c>
      <x:c r="H834" s="14" t="n">
        <x:f>MIN(=INDEX(Inputs!$B$7:$D$7,1,MATCH(A834,Inputs!$B$6:$D$6,0)),MAX(0,INDEX(Inputs!$B$14:$D$14,1,MATCH(A834,Inputs!$B$6:$D$6,0))-(C834-1)*=INDEX(Inputs!$B$7:$D$7,1,MATCH(A834,Inputs!$B$6:$D$6,0))))</x:f>
        <x:v>13</x:v>
      </x:c>
      <x:c r="I834" s="20" t="n">
        <x:f>INDEX(Inputs!$B$8:$D$8,1,MATCH(A834,Inputs!$B$6:$D$6,0))</x:f>
        <x:v>2395</x:v>
      </x:c>
      <x:c r="J834" s="20" t="n">
        <x:f>INDEX(Roster!$C$6:$C$108,MATCH(D834,Roster!$A$6:$A$108,0))*(1+INDEX(Inputs!$B$9:$D$9,1,MATCH(A834,Inputs!$B$6:$D$6,0)))</x:f>
        <x:v>0</x:v>
      </x:c>
      <x:c r="K834" s="20" t="n">
        <x:f>IF(=INDEX(Roster!$F$6:$F$108,MATCH(D834,Roster!$A$6:$A$108,0))="Yes",0,=INDEX(Inputs!$B$8:$D$8,1,MATCH(A834,Inputs!$B$6:$D$6,0))*IF(=INDEX(Roster!$B$6:$B$108,MATCH(D834,Roster!$A$6:$A$108,0))="Principal",INDEX(Inputs!$B$10:$D$10,1,MATCH(A834,Inputs!$B$6:$D$6,0)),IF(=INDEX(Roster!$B$6:$B$108,MATCH(D834,Roster!$A$6:$A$108,0))="Associate Principal",INDEX(Inputs!$B$11:$D$11,1,MATCH(A834,Inputs!$B$6:$D$6,0)),IF(=INDEX(Roster!$B$6:$B$108,MATCH(D834,Roster!$A$6:$A$108,0))="Assistant Principal",INDEX(Inputs!$B$12:$D$12,1,MATCH(A834,Inputs!$B$6:$D$6,0)),0))))</x:f>
        <x:v>0</x:v>
      </x:c>
      <x:c r="L834" s="20" t="n">
        <x:f>IF(INDEX(Roster!$D$6:$D$108,MATCH(D834,Roster!$A$6:$A$108,0))&gt;=25,INDEX(Inputs!$B$19:$D$19,1,MATCH(A834,Inputs!$B$6:$D$6,0)),IF(INDEX(Roster!$D$6:$D$108,MATCH(D834,Roster!$A$6:$A$108,0))&gt;=20,INDEX(Inputs!$B$18:$D$18,1,MATCH(A834,Inputs!$B$6:$D$6,0)),IF(INDEX(Roster!$D$6:$D$108,MATCH(D834,Roster!$A$6:$A$108,0))&gt;=15,INDEX(Inputs!$B$17:$D$17,1,MATCH(A834,Inputs!$B$6:$D$6,0)),IF(INDEX(Roster!$D$6:$D$108,MATCH(D834,Roster!$A$6:$A$108,0))&gt;=10,INDEX(Inputs!$B$16:$D$16,1,MATCH(A834,Inputs!$B$6:$D$6,0)),IF(INDEX(Roster!$D$6:$D$108,MATCH(D834,Roster!$A$6:$A$108,0))&gt;=5,INDEX(Inputs!$B$15:$D$15,1,MATCH(A834,Inputs!$B$6:$D$6,0)),0)))))</x:f>
        <x:v>50</x:v>
      </x:c>
      <x:c r="M834" s="20" t="n">
        <x:f>G834*I834</x:f>
        <x:v>31135</x:v>
      </x:c>
      <x:c r="N834" s="20" t="n">
        <x:f>G834*J834</x:f>
        <x:v>0</x:v>
      </x:c>
      <x:c r="O834" s="20" t="n">
        <x:f>G834*K834</x:f>
        <x:v>0</x:v>
      </x:c>
      <x:c r="P834" s="20" t="n">
        <x:f>G834*L834</x:f>
        <x:v>650</x:v>
      </x:c>
      <x:c r="Q834" s="20" t="n">
        <x:f>H834*INDEX(Inputs!$B$13:$D$13,1,MATCH(A834,Inputs!$B$6:$D$6,0))</x:f>
        <x:v>390</x:v>
      </x:c>
      <x:c r="R834" s="20" t="n">
        <x:f>SUM(M834:Q834)</x:f>
        <x:v>32175</x:v>
      </x:c>
      <x:c r="S834" s="20" t="n">
        <x:f>IF(AND(A833=A834,D833=D834),S833+R834,R834)</x:f>
        <x:v>32175</x:v>
      </x:c>
      <x:c r="T834" s="20" t="n">
        <x:f>MIN(S834,INDEX(Inputs!$B$20:$D$20,1,MATCH(A834,Inputs!$B$6:$D$6,0)))*INDEX(Inputs!$B$22:$D$22,1,MATCH(A834,Inputs!$B$6:$D$6,0))+MAX(MIN(S834,INDEX(Inputs!$B$21:$D$21,1,MATCH(A834,Inputs!$B$6:$D$6,0)))-INDEX(Inputs!$B$20:$D$20,1,MATCH(A834,Inputs!$B$6:$D$6,0)),0)*INDEX(Inputs!$B$23:$D$23,1,MATCH(A834,Inputs!$B$6:$D$6,0))+MAX(S834-INDEX(Inputs!$B$21:$D$21,1,MATCH(A834,Inputs!$B$6:$D$6,0)),0)*INDEX(Inputs!$B$24:$D$24,1,MATCH(A834,Inputs!$B$6:$D$6,0))</x:f>
        <x:v>2951.3875</x:v>
      </x:c>
      <x:c r="U834" s="20" t="n">
        <x:f>IF(AND(A833=A834,D833=D834),T833,0)</x:f>
        <x:v>0</x:v>
      </x:c>
      <x:c r="V834" s="20" t="n">
        <x:f>T834-U834</x:f>
        <x:v>2951.3875</x:v>
      </x:c>
      <x:c r="W834" s="20" t="n">
        <x:f>R834+V834</x:f>
        <x:v>35126.3875</x:v>
      </x:c>
      <x:c r="X834" s="14" t="str">
        <x:f>IF(ABS(W834-SUM(M834:Q834)-V834)&lt;0.01,"OK","Check")</x:f>
        <x:v>OK</x:v>
      </x:c>
    </x:row>
    <x:row r="835">
      <x:c r="A835" s="14" t="n">
        <x:v>2028</x:v>
      </x:c>
      <x:c r="B835" s="14" t="str">
        <x:v>Q2</x:v>
      </x:c>
      <x:c r="C835" s="14" t="n">
        <x:v>2</x:v>
      </x:c>
      <x:c r="D835" s="14" t="n">
        <x:v>2</x:v>
      </x:c>
      <x:c r="E835" s="14" t="str">
        <x:f>INDEX(Roster!$B$6:$B$108,MATCH(D835,Roster!$A$6:$A$108,0))</x:f>
      </x:c>
      <x:c r="F835" s="14" t="str">
        <x:f>INDEX(Roster!$F$6:$F$108,MATCH(D835,Roster!$A$6:$A$108,0))</x:f>
        <x:v>No</x:v>
      </x:c>
      <x:c r="G835" s="14" t="n">
        <x:f>INDEX(Inputs!$B$7:$D$7,1,MATCH(A835,Inputs!$B$6:$D$6,0))</x:f>
        <x:v>13</x:v>
      </x:c>
      <x:c r="H835" s="14" t="n">
        <x:f>MIN(=INDEX(Inputs!$B$7:$D$7,1,MATCH(A835,Inputs!$B$6:$D$6,0)),MAX(0,INDEX(Inputs!$B$14:$D$14,1,MATCH(A835,Inputs!$B$6:$D$6,0))-(C835-1)*=INDEX(Inputs!$B$7:$D$7,1,MATCH(A835,Inputs!$B$6:$D$6,0))))</x:f>
        <x:v>13</x:v>
      </x:c>
      <x:c r="I835" s="20" t="n">
        <x:f>INDEX(Inputs!$B$8:$D$8,1,MATCH(A835,Inputs!$B$6:$D$6,0))</x:f>
        <x:v>2395</x:v>
      </x:c>
      <x:c r="J835" s="20" t="n">
        <x:f>INDEX(Roster!$C$6:$C$108,MATCH(D835,Roster!$A$6:$A$108,0))*(1+INDEX(Inputs!$B$9:$D$9,1,MATCH(A835,Inputs!$B$6:$D$6,0)))</x:f>
        <x:v>0</x:v>
      </x:c>
      <x:c r="K835" s="20" t="n">
        <x:f>IF(=INDEX(Roster!$F$6:$F$108,MATCH(D835,Roster!$A$6:$A$108,0))="Yes",0,=INDEX(Inputs!$B$8:$D$8,1,MATCH(A835,Inputs!$B$6:$D$6,0))*IF(=INDEX(Roster!$B$6:$B$108,MATCH(D835,Roster!$A$6:$A$108,0))="Principal",INDEX(Inputs!$B$10:$D$10,1,MATCH(A835,Inputs!$B$6:$D$6,0)),IF(=INDEX(Roster!$B$6:$B$108,MATCH(D835,Roster!$A$6:$A$108,0))="Associate Principal",INDEX(Inputs!$B$11:$D$11,1,MATCH(A835,Inputs!$B$6:$D$6,0)),IF(=INDEX(Roster!$B$6:$B$108,MATCH(D835,Roster!$A$6:$A$108,0))="Assistant Principal",INDEX(Inputs!$B$12:$D$12,1,MATCH(A835,Inputs!$B$6:$D$6,0)),0))))</x:f>
        <x:v>0</x:v>
      </x:c>
      <x:c r="L835" s="20" t="n">
        <x:f>IF(INDEX(Roster!$D$6:$D$108,MATCH(D835,Roster!$A$6:$A$108,0))&gt;=25,INDEX(Inputs!$B$19:$D$19,1,MATCH(A835,Inputs!$B$6:$D$6,0)),IF(INDEX(Roster!$D$6:$D$108,MATCH(D835,Roster!$A$6:$A$108,0))&gt;=20,INDEX(Inputs!$B$18:$D$18,1,MATCH(A835,Inputs!$B$6:$D$6,0)),IF(INDEX(Roster!$D$6:$D$108,MATCH(D835,Roster!$A$6:$A$108,0))&gt;=15,INDEX(Inputs!$B$17:$D$17,1,MATCH(A835,Inputs!$B$6:$D$6,0)),IF(INDEX(Roster!$D$6:$D$108,MATCH(D835,Roster!$A$6:$A$108,0))&gt;=10,INDEX(Inputs!$B$16:$D$16,1,MATCH(A835,Inputs!$B$6:$D$6,0)),IF(INDEX(Roster!$D$6:$D$108,MATCH(D835,Roster!$A$6:$A$108,0))&gt;=5,INDEX(Inputs!$B$15:$D$15,1,MATCH(A835,Inputs!$B$6:$D$6,0)),0)))))</x:f>
        <x:v>50</x:v>
      </x:c>
      <x:c r="M835" s="20" t="n">
        <x:f>G835*I835</x:f>
        <x:v>31135</x:v>
      </x:c>
      <x:c r="N835" s="20" t="n">
        <x:f>G835*J835</x:f>
        <x:v>0</x:v>
      </x:c>
      <x:c r="O835" s="20" t="n">
        <x:f>G835*K835</x:f>
        <x:v>0</x:v>
      </x:c>
      <x:c r="P835" s="20" t="n">
        <x:f>G835*L835</x:f>
        <x:v>650</x:v>
      </x:c>
      <x:c r="Q835" s="20" t="n">
        <x:f>H835*INDEX(Inputs!$B$13:$D$13,1,MATCH(A835,Inputs!$B$6:$D$6,0))</x:f>
        <x:v>390</x:v>
      </x:c>
      <x:c r="R835" s="20" t="n">
        <x:f>SUM(M835:Q835)</x:f>
        <x:v>32175</x:v>
      </x:c>
      <x:c r="S835" s="20" t="n">
        <x:f>IF(AND(A834=A835,D834=D835),S834+R835,R835)</x:f>
        <x:v>64350</x:v>
      </x:c>
      <x:c r="T835" s="20" t="n">
        <x:f>MIN(S835,INDEX(Inputs!$B$20:$D$20,1,MATCH(A835,Inputs!$B$6:$D$6,0)))*INDEX(Inputs!$B$22:$D$22,1,MATCH(A835,Inputs!$B$6:$D$6,0))+MAX(MIN(S835,INDEX(Inputs!$B$21:$D$21,1,MATCH(A835,Inputs!$B$6:$D$6,0)))-INDEX(Inputs!$B$20:$D$20,1,MATCH(A835,Inputs!$B$6:$D$6,0)),0)*INDEX(Inputs!$B$23:$D$23,1,MATCH(A835,Inputs!$B$6:$D$6,0))+MAX(S835-INDEX(Inputs!$B$21:$D$21,1,MATCH(A835,Inputs!$B$6:$D$6,0)),0)*INDEX(Inputs!$B$24:$D$24,1,MATCH(A835,Inputs!$B$6:$D$6,0))</x:f>
        <x:v>5412.775</x:v>
      </x:c>
      <x:c r="U835" s="20" t="n">
        <x:f>IF(AND(A834=A835,D834=D835),T834,0)</x:f>
        <x:v>2951.3875</x:v>
      </x:c>
      <x:c r="V835" s="20" t="n">
        <x:f>T835-U835</x:f>
        <x:v>2461.3875</x:v>
      </x:c>
      <x:c r="W835" s="20" t="n">
        <x:f>R835+V835</x:f>
        <x:v>34636.3875</x:v>
      </x:c>
      <x:c r="X835" s="14" t="str">
        <x:f>IF(ABS(W835-SUM(M835:Q835)-V835)&lt;0.01,"OK","Check")</x:f>
        <x:v>OK</x:v>
      </x:c>
    </x:row>
    <x:row r="836">
      <x:c r="A836" s="14" t="n">
        <x:v>2028</x:v>
      </x:c>
      <x:c r="B836" s="14" t="str">
        <x:v>Q3</x:v>
      </x:c>
      <x:c r="C836" s="14" t="n">
        <x:v>3</x:v>
      </x:c>
      <x:c r="D836" s="14" t="n">
        <x:v>2</x:v>
      </x:c>
      <x:c r="E836" s="14" t="str">
        <x:f>INDEX(Roster!$B$6:$B$108,MATCH(D836,Roster!$A$6:$A$108,0))</x:f>
      </x:c>
      <x:c r="F836" s="14" t="str">
        <x:f>INDEX(Roster!$F$6:$F$108,MATCH(D836,Roster!$A$6:$A$108,0))</x:f>
        <x:v>No</x:v>
      </x:c>
      <x:c r="G836" s="14" t="n">
        <x:f>INDEX(Inputs!$B$7:$D$7,1,MATCH(A836,Inputs!$B$6:$D$6,0))</x:f>
        <x:v>13</x:v>
      </x:c>
      <x:c r="H836" s="14" t="n">
        <x:f>MIN(=INDEX(Inputs!$B$7:$D$7,1,MATCH(A836,Inputs!$B$6:$D$6,0)),MAX(0,INDEX(Inputs!$B$14:$D$14,1,MATCH(A836,Inputs!$B$6:$D$6,0))-(C836-1)*=INDEX(Inputs!$B$7:$D$7,1,MATCH(A836,Inputs!$B$6:$D$6,0))))</x:f>
        <x:v>13</x:v>
      </x:c>
      <x:c r="I836" s="20" t="n">
        <x:f>INDEX(Inputs!$B$8:$D$8,1,MATCH(A836,Inputs!$B$6:$D$6,0))</x:f>
        <x:v>2395</x:v>
      </x:c>
      <x:c r="J836" s="20" t="n">
        <x:f>INDEX(Roster!$C$6:$C$108,MATCH(D836,Roster!$A$6:$A$108,0))*(1+INDEX(Inputs!$B$9:$D$9,1,MATCH(A836,Inputs!$B$6:$D$6,0)))</x:f>
        <x:v>0</x:v>
      </x:c>
      <x:c r="K836" s="20" t="n">
        <x:f>IF(=INDEX(Roster!$F$6:$F$108,MATCH(D836,Roster!$A$6:$A$108,0))="Yes",0,=INDEX(Inputs!$B$8:$D$8,1,MATCH(A836,Inputs!$B$6:$D$6,0))*IF(=INDEX(Roster!$B$6:$B$108,MATCH(D836,Roster!$A$6:$A$108,0))="Principal",INDEX(Inputs!$B$10:$D$10,1,MATCH(A836,Inputs!$B$6:$D$6,0)),IF(=INDEX(Roster!$B$6:$B$108,MATCH(D836,Roster!$A$6:$A$108,0))="Associate Principal",INDEX(Inputs!$B$11:$D$11,1,MATCH(A836,Inputs!$B$6:$D$6,0)),IF(=INDEX(Roster!$B$6:$B$108,MATCH(D836,Roster!$A$6:$A$108,0))="Assistant Principal",INDEX(Inputs!$B$12:$D$12,1,MATCH(A836,Inputs!$B$6:$D$6,0)),0))))</x:f>
        <x:v>0</x:v>
      </x:c>
      <x:c r="L836" s="20" t="n">
        <x:f>IF(INDEX(Roster!$D$6:$D$108,MATCH(D836,Roster!$A$6:$A$108,0))&gt;=25,INDEX(Inputs!$B$19:$D$19,1,MATCH(A836,Inputs!$B$6:$D$6,0)),IF(INDEX(Roster!$D$6:$D$108,MATCH(D836,Roster!$A$6:$A$108,0))&gt;=20,INDEX(Inputs!$B$18:$D$18,1,MATCH(A836,Inputs!$B$6:$D$6,0)),IF(INDEX(Roster!$D$6:$D$108,MATCH(D836,Roster!$A$6:$A$108,0))&gt;=15,INDEX(Inputs!$B$17:$D$17,1,MATCH(A836,Inputs!$B$6:$D$6,0)),IF(INDEX(Roster!$D$6:$D$108,MATCH(D836,Roster!$A$6:$A$108,0))&gt;=10,INDEX(Inputs!$B$16:$D$16,1,MATCH(A836,Inputs!$B$6:$D$6,0)),IF(INDEX(Roster!$D$6:$D$108,MATCH(D836,Roster!$A$6:$A$108,0))&gt;=5,INDEX(Inputs!$B$15:$D$15,1,MATCH(A836,Inputs!$B$6:$D$6,0)),0)))))</x:f>
        <x:v>50</x:v>
      </x:c>
      <x:c r="M836" s="20" t="n">
        <x:f>G836*I836</x:f>
        <x:v>31135</x:v>
      </x:c>
      <x:c r="N836" s="20" t="n">
        <x:f>G836*J836</x:f>
        <x:v>0</x:v>
      </x:c>
      <x:c r="O836" s="20" t="n">
        <x:f>G836*K836</x:f>
        <x:v>0</x:v>
      </x:c>
      <x:c r="P836" s="20" t="n">
        <x:f>G836*L836</x:f>
        <x:v>650</x:v>
      </x:c>
      <x:c r="Q836" s="20" t="n">
        <x:f>H836*INDEX(Inputs!$B$13:$D$13,1,MATCH(A836,Inputs!$B$6:$D$6,0))</x:f>
        <x:v>390</x:v>
      </x:c>
      <x:c r="R836" s="20" t="n">
        <x:f>SUM(M836:Q836)</x:f>
        <x:v>32175</x:v>
      </x:c>
      <x:c r="S836" s="20" t="n">
        <x:f>IF(AND(A835=A836,D835=D836),S835+R836,R836)</x:f>
        <x:v>96525</x:v>
      </x:c>
      <x:c r="T836" s="20" t="n">
        <x:f>MIN(S836,INDEX(Inputs!$B$20:$D$20,1,MATCH(A836,Inputs!$B$6:$D$6,0)))*INDEX(Inputs!$B$22:$D$22,1,MATCH(A836,Inputs!$B$6:$D$6,0))+MAX(MIN(S836,INDEX(Inputs!$B$21:$D$21,1,MATCH(A836,Inputs!$B$6:$D$6,0)))-INDEX(Inputs!$B$20:$D$20,1,MATCH(A836,Inputs!$B$6:$D$6,0)),0)*INDEX(Inputs!$B$23:$D$23,1,MATCH(A836,Inputs!$B$6:$D$6,0))+MAX(S836-INDEX(Inputs!$B$21:$D$21,1,MATCH(A836,Inputs!$B$6:$D$6,0)),0)*INDEX(Inputs!$B$24:$D$24,1,MATCH(A836,Inputs!$B$6:$D$6,0))</x:f>
        <x:v>7874.162499999999</x:v>
      </x:c>
      <x:c r="U836" s="20" t="n">
        <x:f>IF(AND(A835=A836,D835=D836),T835,0)</x:f>
        <x:v>5412.775</x:v>
      </x:c>
      <x:c r="V836" s="20" t="n">
        <x:f>T836-U836</x:f>
        <x:v>2461.3875</x:v>
      </x:c>
      <x:c r="W836" s="20" t="n">
        <x:f>R836+V836</x:f>
        <x:v>34636.3875</x:v>
      </x:c>
      <x:c r="X836" s="14" t="str">
        <x:f>IF(ABS(W836-SUM(M836:Q836)-V836)&lt;0.01,"OK","Check")</x:f>
        <x:v>OK</x:v>
      </x:c>
    </x:row>
    <x:row r="837">
      <x:c r="A837" s="14" t="n">
        <x:v>2028</x:v>
      </x:c>
      <x:c r="B837" s="14" t="str">
        <x:v>Q4</x:v>
      </x:c>
      <x:c r="C837" s="14" t="n">
        <x:v>4</x:v>
      </x:c>
      <x:c r="D837" s="14" t="n">
        <x:v>2</x:v>
      </x:c>
      <x:c r="E837" s="14" t="str">
        <x:f>INDEX(Roster!$B$6:$B$108,MATCH(D837,Roster!$A$6:$A$108,0))</x:f>
      </x:c>
      <x:c r="F837" s="14" t="str">
        <x:f>INDEX(Roster!$F$6:$F$108,MATCH(D837,Roster!$A$6:$A$108,0))</x:f>
        <x:v>No</x:v>
      </x:c>
      <x:c r="G837" s="14" t="n">
        <x:f>INDEX(Inputs!$B$7:$D$7,1,MATCH(A837,Inputs!$B$6:$D$6,0))</x:f>
        <x:v>13</x:v>
      </x:c>
      <x:c r="H837" s="14" t="n">
        <x:f>MIN(=INDEX(Inputs!$B$7:$D$7,1,MATCH(A837,Inputs!$B$6:$D$6,0)),MAX(0,INDEX(Inputs!$B$14:$D$14,1,MATCH(A837,Inputs!$B$6:$D$6,0))-(C837-1)*=INDEX(Inputs!$B$7:$D$7,1,MATCH(A837,Inputs!$B$6:$D$6,0))))</x:f>
        <x:v>0</x:v>
      </x:c>
      <x:c r="I837" s="20" t="n">
        <x:f>INDEX(Inputs!$B$8:$D$8,1,MATCH(A837,Inputs!$B$6:$D$6,0))</x:f>
        <x:v>2395</x:v>
      </x:c>
      <x:c r="J837" s="20" t="n">
        <x:f>INDEX(Roster!$C$6:$C$108,MATCH(D837,Roster!$A$6:$A$108,0))*(1+INDEX(Inputs!$B$9:$D$9,1,MATCH(A837,Inputs!$B$6:$D$6,0)))</x:f>
        <x:v>0</x:v>
      </x:c>
      <x:c r="K837" s="20" t="n">
        <x:f>IF(=INDEX(Roster!$F$6:$F$108,MATCH(D837,Roster!$A$6:$A$108,0))="Yes",0,=INDEX(Inputs!$B$8:$D$8,1,MATCH(A837,Inputs!$B$6:$D$6,0))*IF(=INDEX(Roster!$B$6:$B$108,MATCH(D837,Roster!$A$6:$A$108,0))="Principal",INDEX(Inputs!$B$10:$D$10,1,MATCH(A837,Inputs!$B$6:$D$6,0)),IF(=INDEX(Roster!$B$6:$B$108,MATCH(D837,Roster!$A$6:$A$108,0))="Associate Principal",INDEX(Inputs!$B$11:$D$11,1,MATCH(A837,Inputs!$B$6:$D$6,0)),IF(=INDEX(Roster!$B$6:$B$108,MATCH(D837,Roster!$A$6:$A$108,0))="Assistant Principal",INDEX(Inputs!$B$12:$D$12,1,MATCH(A837,Inputs!$B$6:$D$6,0)),0))))</x:f>
        <x:v>0</x:v>
      </x:c>
      <x:c r="L837" s="20" t="n">
        <x:f>IF(INDEX(Roster!$D$6:$D$108,MATCH(D837,Roster!$A$6:$A$108,0))&gt;=25,INDEX(Inputs!$B$19:$D$19,1,MATCH(A837,Inputs!$B$6:$D$6,0)),IF(INDEX(Roster!$D$6:$D$108,MATCH(D837,Roster!$A$6:$A$108,0))&gt;=20,INDEX(Inputs!$B$18:$D$18,1,MATCH(A837,Inputs!$B$6:$D$6,0)),IF(INDEX(Roster!$D$6:$D$108,MATCH(D837,Roster!$A$6:$A$108,0))&gt;=15,INDEX(Inputs!$B$17:$D$17,1,MATCH(A837,Inputs!$B$6:$D$6,0)),IF(INDEX(Roster!$D$6:$D$108,MATCH(D837,Roster!$A$6:$A$108,0))&gt;=10,INDEX(Inputs!$B$16:$D$16,1,MATCH(A837,Inputs!$B$6:$D$6,0)),IF(INDEX(Roster!$D$6:$D$108,MATCH(D837,Roster!$A$6:$A$108,0))&gt;=5,INDEX(Inputs!$B$15:$D$15,1,MATCH(A837,Inputs!$B$6:$D$6,0)),0)))))</x:f>
        <x:v>50</x:v>
      </x:c>
      <x:c r="M837" s="20" t="n">
        <x:f>G837*I837</x:f>
        <x:v>31135</x:v>
      </x:c>
      <x:c r="N837" s="20" t="n">
        <x:f>G837*J837</x:f>
        <x:v>0</x:v>
      </x:c>
      <x:c r="O837" s="20" t="n">
        <x:f>G837*K837</x:f>
        <x:v>0</x:v>
      </x:c>
      <x:c r="P837" s="20" t="n">
        <x:f>G837*L837</x:f>
        <x:v>650</x:v>
      </x:c>
      <x:c r="Q837" s="20" t="n">
        <x:f>H837*INDEX(Inputs!$B$13:$D$13,1,MATCH(A837,Inputs!$B$6:$D$6,0))</x:f>
        <x:v>0</x:v>
      </x:c>
      <x:c r="R837" s="20" t="n">
        <x:f>SUM(M837:Q837)</x:f>
        <x:v>31785</x:v>
      </x:c>
      <x:c r="S837" s="20" t="n">
        <x:f>IF(AND(A836=A837,D836=D837),S836+R837,R837)</x:f>
        <x:v>128310</x:v>
      </x:c>
      <x:c r="T837" s="20" t="n">
        <x:f>MIN(S837,INDEX(Inputs!$B$20:$D$20,1,MATCH(A837,Inputs!$B$6:$D$6,0)))*INDEX(Inputs!$B$22:$D$22,1,MATCH(A837,Inputs!$B$6:$D$6,0))+MAX(MIN(S837,INDEX(Inputs!$B$21:$D$21,1,MATCH(A837,Inputs!$B$6:$D$6,0)))-INDEX(Inputs!$B$20:$D$20,1,MATCH(A837,Inputs!$B$6:$D$6,0)),0)*INDEX(Inputs!$B$23:$D$23,1,MATCH(A837,Inputs!$B$6:$D$6,0))+MAX(S837-INDEX(Inputs!$B$21:$D$21,1,MATCH(A837,Inputs!$B$6:$D$6,0)),0)*INDEX(Inputs!$B$24:$D$24,1,MATCH(A837,Inputs!$B$6:$D$6,0))</x:f>
        <x:v>9774.437</x:v>
      </x:c>
      <x:c r="U837" s="20" t="n">
        <x:f>IF(AND(A836=A837,D836=D837),T836,0)</x:f>
        <x:v>7874.162499999999</x:v>
      </x:c>
      <x:c r="V837" s="20" t="n">
        <x:f>T837-U837</x:f>
        <x:v>1900.2745000000004</x:v>
      </x:c>
      <x:c r="W837" s="20" t="n">
        <x:f>R837+V837</x:f>
        <x:v>33685.2745</x:v>
      </x:c>
      <x:c r="X837" s="14" t="str">
        <x:f>IF(ABS(W837-SUM(M837:Q837)-V837)&lt;0.01,"OK","Check")</x:f>
        <x:v>OK</x:v>
      </x:c>
    </x:row>
    <x:row r="838">
      <x:c r="A838" s="14" t="n">
        <x:v>2028</x:v>
      </x:c>
      <x:c r="B838" s="14" t="str">
        <x:v>Q1</x:v>
      </x:c>
      <x:c r="C838" s="14" t="n">
        <x:v>1</x:v>
      </x:c>
      <x:c r="D838" s="14" t="n">
        <x:v>3</x:v>
      </x:c>
      <x:c r="E838" s="14" t="str">
        <x:f>INDEX(Roster!$B$6:$B$108,MATCH(D838,Roster!$A$6:$A$108,0))</x:f>
        <x:v>Principal</x:v>
      </x:c>
      <x:c r="F838" s="14" t="str">
        <x:f>INDEX(Roster!$F$6:$F$108,MATCH(D838,Roster!$A$6:$A$108,0))</x:f>
        <x:v>No</x:v>
      </x:c>
      <x:c r="G838" s="14" t="n">
        <x:f>INDEX(Inputs!$B$7:$D$7,1,MATCH(A838,Inputs!$B$6:$D$6,0))</x:f>
        <x:v>13</x:v>
      </x:c>
      <x:c r="H838" s="14" t="n">
        <x:f>MIN(=INDEX(Inputs!$B$7:$D$7,1,MATCH(A838,Inputs!$B$6:$D$6,0)),MAX(0,INDEX(Inputs!$B$14:$D$14,1,MATCH(A838,Inputs!$B$6:$D$6,0))-(C838-1)*=INDEX(Inputs!$B$7:$D$7,1,MATCH(A838,Inputs!$B$6:$D$6,0))))</x:f>
        <x:v>13</x:v>
      </x:c>
      <x:c r="I838" s="20" t="n">
        <x:f>INDEX(Inputs!$B$8:$D$8,1,MATCH(A838,Inputs!$B$6:$D$6,0))</x:f>
        <x:v>2395</x:v>
      </x:c>
      <x:c r="J838" s="20" t="n">
        <x:f>INDEX(Roster!$C$6:$C$108,MATCH(D838,Roster!$A$6:$A$108,0))*(1+INDEX(Inputs!$B$9:$D$9,1,MATCH(A838,Inputs!$B$6:$D$6,0)))</x:f>
        <x:v>500</x:v>
      </x:c>
      <x:c r="K838" s="20" t="n">
        <x:f>IF(=INDEX(Roster!$F$6:$F$108,MATCH(D838,Roster!$A$6:$A$108,0))="Yes",0,=INDEX(Inputs!$B$8:$D$8,1,MATCH(A838,Inputs!$B$6:$D$6,0))*IF(=INDEX(Roster!$B$6:$B$108,MATCH(D838,Roster!$A$6:$A$108,0))="Principal",INDEX(Inputs!$B$10:$D$10,1,MATCH(A838,Inputs!$B$6:$D$6,0)),IF(=INDEX(Roster!$B$6:$B$108,MATCH(D838,Roster!$A$6:$A$108,0))="Associate Principal",INDEX(Inputs!$B$11:$D$11,1,MATCH(A838,Inputs!$B$6:$D$6,0)),IF(=INDEX(Roster!$B$6:$B$108,MATCH(D838,Roster!$A$6:$A$108,0))="Assistant Principal",INDEX(Inputs!$B$12:$D$12,1,MATCH(A838,Inputs!$B$6:$D$6,0)),0))))</x:f>
        <x:v>479</x:v>
      </x:c>
      <x:c r="L838" s="20" t="n">
        <x:f>IF(INDEX(Roster!$D$6:$D$108,MATCH(D838,Roster!$A$6:$A$108,0))&gt;=25,INDEX(Inputs!$B$19:$D$19,1,MATCH(A838,Inputs!$B$6:$D$6,0)),IF(INDEX(Roster!$D$6:$D$108,MATCH(D838,Roster!$A$6:$A$108,0))&gt;=20,INDEX(Inputs!$B$18:$D$18,1,MATCH(A838,Inputs!$B$6:$D$6,0)),IF(INDEX(Roster!$D$6:$D$108,MATCH(D838,Roster!$A$6:$A$108,0))&gt;=15,INDEX(Inputs!$B$17:$D$17,1,MATCH(A838,Inputs!$B$6:$D$6,0)),IF(INDEX(Roster!$D$6:$D$108,MATCH(D838,Roster!$A$6:$A$108,0))&gt;=10,INDEX(Inputs!$B$16:$D$16,1,MATCH(A838,Inputs!$B$6:$D$6,0)),IF(INDEX(Roster!$D$6:$D$108,MATCH(D838,Roster!$A$6:$A$108,0))&gt;=5,INDEX(Inputs!$B$15:$D$15,1,MATCH(A838,Inputs!$B$6:$D$6,0)),0)))))</x:f>
        <x:v>60</x:v>
      </x:c>
      <x:c r="M838" s="20" t="n">
        <x:f>G838*I838</x:f>
        <x:v>31135</x:v>
      </x:c>
      <x:c r="N838" s="20" t="n">
        <x:f>G838*J838</x:f>
        <x:v>6500</x:v>
      </x:c>
      <x:c r="O838" s="20" t="n">
        <x:f>G838*K838</x:f>
        <x:v>6227</x:v>
      </x:c>
      <x:c r="P838" s="20" t="n">
        <x:f>G838*L838</x:f>
        <x:v>780</x:v>
      </x:c>
      <x:c r="Q838" s="20" t="n">
        <x:f>H838*INDEX(Inputs!$B$13:$D$13,1,MATCH(A838,Inputs!$B$6:$D$6,0))</x:f>
        <x:v>390</x:v>
      </x:c>
      <x:c r="R838" s="20" t="n">
        <x:f>SUM(M838:Q838)</x:f>
        <x:v>45032</x:v>
      </x:c>
      <x:c r="S838" s="20" t="n">
        <x:f>IF(AND(A837=A838,D837=D838),S837+R838,R838)</x:f>
        <x:v>45032</x:v>
      </x:c>
      <x:c r="T838" s="20" t="n">
        <x:f>MIN(S838,INDEX(Inputs!$B$20:$D$20,1,MATCH(A838,Inputs!$B$6:$D$6,0)))*INDEX(Inputs!$B$22:$D$22,1,MATCH(A838,Inputs!$B$6:$D$6,0))+MAX(MIN(S838,INDEX(Inputs!$B$21:$D$21,1,MATCH(A838,Inputs!$B$6:$D$6,0)))-INDEX(Inputs!$B$20:$D$20,1,MATCH(A838,Inputs!$B$6:$D$6,0)),0)*INDEX(Inputs!$B$23:$D$23,1,MATCH(A838,Inputs!$B$6:$D$6,0))+MAX(S838-INDEX(Inputs!$B$21:$D$21,1,MATCH(A838,Inputs!$B$6:$D$6,0)),0)*INDEX(Inputs!$B$24:$D$24,1,MATCH(A838,Inputs!$B$6:$D$6,0))</x:f>
        <x:v>3934.948</x:v>
      </x:c>
      <x:c r="U838" s="20" t="n">
        <x:f>IF(AND(A837=A838,D837=D838),T837,0)</x:f>
        <x:v>0</x:v>
      </x:c>
      <x:c r="V838" s="20" t="n">
        <x:f>T838-U838</x:f>
        <x:v>3934.948</x:v>
      </x:c>
      <x:c r="W838" s="20" t="n">
        <x:f>R838+V838</x:f>
        <x:v>48966.948</x:v>
      </x:c>
      <x:c r="X838" s="14" t="str">
        <x:f>IF(ABS(W838-SUM(M838:Q838)-V838)&lt;0.01,"OK","Check")</x:f>
        <x:v>OK</x:v>
      </x:c>
    </x:row>
    <x:row r="839">
      <x:c r="A839" s="14" t="n">
        <x:v>2028</x:v>
      </x:c>
      <x:c r="B839" s="14" t="str">
        <x:v>Q2</x:v>
      </x:c>
      <x:c r="C839" s="14" t="n">
        <x:v>2</x:v>
      </x:c>
      <x:c r="D839" s="14" t="n">
        <x:v>3</x:v>
      </x:c>
      <x:c r="E839" s="14" t="str">
        <x:f>INDEX(Roster!$B$6:$B$108,MATCH(D839,Roster!$A$6:$A$108,0))</x:f>
        <x:v>Principal</x:v>
      </x:c>
      <x:c r="F839" s="14" t="str">
        <x:f>INDEX(Roster!$F$6:$F$108,MATCH(D839,Roster!$A$6:$A$108,0))</x:f>
        <x:v>No</x:v>
      </x:c>
      <x:c r="G839" s="14" t="n">
        <x:f>INDEX(Inputs!$B$7:$D$7,1,MATCH(A839,Inputs!$B$6:$D$6,0))</x:f>
        <x:v>13</x:v>
      </x:c>
      <x:c r="H839" s="14" t="n">
        <x:f>MIN(=INDEX(Inputs!$B$7:$D$7,1,MATCH(A839,Inputs!$B$6:$D$6,0)),MAX(0,INDEX(Inputs!$B$14:$D$14,1,MATCH(A839,Inputs!$B$6:$D$6,0))-(C839-1)*=INDEX(Inputs!$B$7:$D$7,1,MATCH(A839,Inputs!$B$6:$D$6,0))))</x:f>
        <x:v>13</x:v>
      </x:c>
      <x:c r="I839" s="20" t="n">
        <x:f>INDEX(Inputs!$B$8:$D$8,1,MATCH(A839,Inputs!$B$6:$D$6,0))</x:f>
        <x:v>2395</x:v>
      </x:c>
      <x:c r="J839" s="20" t="n">
        <x:f>INDEX(Roster!$C$6:$C$108,MATCH(D839,Roster!$A$6:$A$108,0))*(1+INDEX(Inputs!$B$9:$D$9,1,MATCH(A839,Inputs!$B$6:$D$6,0)))</x:f>
        <x:v>500</x:v>
      </x:c>
      <x:c r="K839" s="20" t="n">
        <x:f>IF(=INDEX(Roster!$F$6:$F$108,MATCH(D839,Roster!$A$6:$A$108,0))="Yes",0,=INDEX(Inputs!$B$8:$D$8,1,MATCH(A839,Inputs!$B$6:$D$6,0))*IF(=INDEX(Roster!$B$6:$B$108,MATCH(D839,Roster!$A$6:$A$108,0))="Principal",INDEX(Inputs!$B$10:$D$10,1,MATCH(A839,Inputs!$B$6:$D$6,0)),IF(=INDEX(Roster!$B$6:$B$108,MATCH(D839,Roster!$A$6:$A$108,0))="Associate Principal",INDEX(Inputs!$B$11:$D$11,1,MATCH(A839,Inputs!$B$6:$D$6,0)),IF(=INDEX(Roster!$B$6:$B$108,MATCH(D839,Roster!$A$6:$A$108,0))="Assistant Principal",INDEX(Inputs!$B$12:$D$12,1,MATCH(A839,Inputs!$B$6:$D$6,0)),0))))</x:f>
        <x:v>479</x:v>
      </x:c>
      <x:c r="L839" s="20" t="n">
        <x:f>IF(INDEX(Roster!$D$6:$D$108,MATCH(D839,Roster!$A$6:$A$108,0))&gt;=25,INDEX(Inputs!$B$19:$D$19,1,MATCH(A839,Inputs!$B$6:$D$6,0)),IF(INDEX(Roster!$D$6:$D$108,MATCH(D839,Roster!$A$6:$A$108,0))&gt;=20,INDEX(Inputs!$B$18:$D$18,1,MATCH(A839,Inputs!$B$6:$D$6,0)),IF(INDEX(Roster!$D$6:$D$108,MATCH(D839,Roster!$A$6:$A$108,0))&gt;=15,INDEX(Inputs!$B$17:$D$17,1,MATCH(A839,Inputs!$B$6:$D$6,0)),IF(INDEX(Roster!$D$6:$D$108,MATCH(D839,Roster!$A$6:$A$108,0))&gt;=10,INDEX(Inputs!$B$16:$D$16,1,MATCH(A839,Inputs!$B$6:$D$6,0)),IF(INDEX(Roster!$D$6:$D$108,MATCH(D839,Roster!$A$6:$A$108,0))&gt;=5,INDEX(Inputs!$B$15:$D$15,1,MATCH(A839,Inputs!$B$6:$D$6,0)),0)))))</x:f>
        <x:v>60</x:v>
      </x:c>
      <x:c r="M839" s="20" t="n">
        <x:f>G839*I839</x:f>
        <x:v>31135</x:v>
      </x:c>
      <x:c r="N839" s="20" t="n">
        <x:f>G839*J839</x:f>
        <x:v>6500</x:v>
      </x:c>
      <x:c r="O839" s="20" t="n">
        <x:f>G839*K839</x:f>
        <x:v>6227</x:v>
      </x:c>
      <x:c r="P839" s="20" t="n">
        <x:f>G839*L839</x:f>
        <x:v>780</x:v>
      </x:c>
      <x:c r="Q839" s="20" t="n">
        <x:f>H839*INDEX(Inputs!$B$13:$D$13,1,MATCH(A839,Inputs!$B$6:$D$6,0))</x:f>
        <x:v>390</x:v>
      </x:c>
      <x:c r="R839" s="20" t="n">
        <x:f>SUM(M839:Q839)</x:f>
        <x:v>45032</x:v>
      </x:c>
      <x:c r="S839" s="20" t="n">
        <x:f>IF(AND(A838=A839,D838=D839),S838+R839,R839)</x:f>
        <x:v>90064</x:v>
      </x:c>
      <x:c r="T839" s="20" t="n">
        <x:f>MIN(S839,INDEX(Inputs!$B$20:$D$20,1,MATCH(A839,Inputs!$B$6:$D$6,0)))*INDEX(Inputs!$B$22:$D$22,1,MATCH(A839,Inputs!$B$6:$D$6,0))+MAX(MIN(S839,INDEX(Inputs!$B$21:$D$21,1,MATCH(A839,Inputs!$B$6:$D$6,0)))-INDEX(Inputs!$B$20:$D$20,1,MATCH(A839,Inputs!$B$6:$D$6,0)),0)*INDEX(Inputs!$B$23:$D$23,1,MATCH(A839,Inputs!$B$6:$D$6,0))+MAX(S839-INDEX(Inputs!$B$21:$D$21,1,MATCH(A839,Inputs!$B$6:$D$6,0)),0)*INDEX(Inputs!$B$24:$D$24,1,MATCH(A839,Inputs!$B$6:$D$6,0))</x:f>
        <x:v>7379.896</x:v>
      </x:c>
      <x:c r="U839" s="20" t="n">
        <x:f>IF(AND(A838=A839,D838=D839),T838,0)</x:f>
        <x:v>3934.948</x:v>
      </x:c>
      <x:c r="V839" s="20" t="n">
        <x:f>T839-U839</x:f>
        <x:v>3444.948</x:v>
      </x:c>
      <x:c r="W839" s="20" t="n">
        <x:f>R839+V839</x:f>
        <x:v>48476.948</x:v>
      </x:c>
      <x:c r="X839" s="14" t="str">
        <x:f>IF(ABS(W839-SUM(M839:Q839)-V839)&lt;0.01,"OK","Check")</x:f>
        <x:v>OK</x:v>
      </x:c>
    </x:row>
    <x:row r="840">
      <x:c r="A840" s="14" t="n">
        <x:v>2028</x:v>
      </x:c>
      <x:c r="B840" s="14" t="str">
        <x:v>Q3</x:v>
      </x:c>
      <x:c r="C840" s="14" t="n">
        <x:v>3</x:v>
      </x:c>
      <x:c r="D840" s="14" t="n">
        <x:v>3</x:v>
      </x:c>
      <x:c r="E840" s="14" t="str">
        <x:f>INDEX(Roster!$B$6:$B$108,MATCH(D840,Roster!$A$6:$A$108,0))</x:f>
        <x:v>Principal</x:v>
      </x:c>
      <x:c r="F840" s="14" t="str">
        <x:f>INDEX(Roster!$F$6:$F$108,MATCH(D840,Roster!$A$6:$A$108,0))</x:f>
        <x:v>No</x:v>
      </x:c>
      <x:c r="G840" s="14" t="n">
        <x:f>INDEX(Inputs!$B$7:$D$7,1,MATCH(A840,Inputs!$B$6:$D$6,0))</x:f>
        <x:v>13</x:v>
      </x:c>
      <x:c r="H840" s="14" t="n">
        <x:f>MIN(=INDEX(Inputs!$B$7:$D$7,1,MATCH(A840,Inputs!$B$6:$D$6,0)),MAX(0,INDEX(Inputs!$B$14:$D$14,1,MATCH(A840,Inputs!$B$6:$D$6,0))-(C840-1)*=INDEX(Inputs!$B$7:$D$7,1,MATCH(A840,Inputs!$B$6:$D$6,0))))</x:f>
        <x:v>13</x:v>
      </x:c>
      <x:c r="I840" s="20" t="n">
        <x:f>INDEX(Inputs!$B$8:$D$8,1,MATCH(A840,Inputs!$B$6:$D$6,0))</x:f>
        <x:v>2395</x:v>
      </x:c>
      <x:c r="J840" s="20" t="n">
        <x:f>INDEX(Roster!$C$6:$C$108,MATCH(D840,Roster!$A$6:$A$108,0))*(1+INDEX(Inputs!$B$9:$D$9,1,MATCH(A840,Inputs!$B$6:$D$6,0)))</x:f>
        <x:v>500</x:v>
      </x:c>
      <x:c r="K840" s="20" t="n">
        <x:f>IF(=INDEX(Roster!$F$6:$F$108,MATCH(D840,Roster!$A$6:$A$108,0))="Yes",0,=INDEX(Inputs!$B$8:$D$8,1,MATCH(A840,Inputs!$B$6:$D$6,0))*IF(=INDEX(Roster!$B$6:$B$108,MATCH(D840,Roster!$A$6:$A$108,0))="Principal",INDEX(Inputs!$B$10:$D$10,1,MATCH(A840,Inputs!$B$6:$D$6,0)),IF(=INDEX(Roster!$B$6:$B$108,MATCH(D840,Roster!$A$6:$A$108,0))="Associate Principal",INDEX(Inputs!$B$11:$D$11,1,MATCH(A840,Inputs!$B$6:$D$6,0)),IF(=INDEX(Roster!$B$6:$B$108,MATCH(D840,Roster!$A$6:$A$108,0))="Assistant Principal",INDEX(Inputs!$B$12:$D$12,1,MATCH(A840,Inputs!$B$6:$D$6,0)),0))))</x:f>
        <x:v>479</x:v>
      </x:c>
      <x:c r="L840" s="20" t="n">
        <x:f>IF(INDEX(Roster!$D$6:$D$108,MATCH(D840,Roster!$A$6:$A$108,0))&gt;=25,INDEX(Inputs!$B$19:$D$19,1,MATCH(A840,Inputs!$B$6:$D$6,0)),IF(INDEX(Roster!$D$6:$D$108,MATCH(D840,Roster!$A$6:$A$108,0))&gt;=20,INDEX(Inputs!$B$18:$D$18,1,MATCH(A840,Inputs!$B$6:$D$6,0)),IF(INDEX(Roster!$D$6:$D$108,MATCH(D840,Roster!$A$6:$A$108,0))&gt;=15,INDEX(Inputs!$B$17:$D$17,1,MATCH(A840,Inputs!$B$6:$D$6,0)),IF(INDEX(Roster!$D$6:$D$108,MATCH(D840,Roster!$A$6:$A$108,0))&gt;=10,INDEX(Inputs!$B$16:$D$16,1,MATCH(A840,Inputs!$B$6:$D$6,0)),IF(INDEX(Roster!$D$6:$D$108,MATCH(D840,Roster!$A$6:$A$108,0))&gt;=5,INDEX(Inputs!$B$15:$D$15,1,MATCH(A840,Inputs!$B$6:$D$6,0)),0)))))</x:f>
        <x:v>60</x:v>
      </x:c>
      <x:c r="M840" s="20" t="n">
        <x:f>G840*I840</x:f>
        <x:v>31135</x:v>
      </x:c>
      <x:c r="N840" s="20" t="n">
        <x:f>G840*J840</x:f>
        <x:v>6500</x:v>
      </x:c>
      <x:c r="O840" s="20" t="n">
        <x:f>G840*K840</x:f>
        <x:v>6227</x:v>
      </x:c>
      <x:c r="P840" s="20" t="n">
        <x:f>G840*L840</x:f>
        <x:v>780</x:v>
      </x:c>
      <x:c r="Q840" s="20" t="n">
        <x:f>H840*INDEX(Inputs!$B$13:$D$13,1,MATCH(A840,Inputs!$B$6:$D$6,0))</x:f>
        <x:v>390</x:v>
      </x:c>
      <x:c r="R840" s="20" t="n">
        <x:f>SUM(M840:Q840)</x:f>
        <x:v>45032</x:v>
      </x:c>
      <x:c r="S840" s="20" t="n">
        <x:f>IF(AND(A839=A840,D839=D840),S839+R840,R840)</x:f>
        <x:v>135096</x:v>
      </x:c>
      <x:c r="T840" s="20" t="n">
        <x:f>MIN(S840,INDEX(Inputs!$B$20:$D$20,1,MATCH(A840,Inputs!$B$6:$D$6,0)))*INDEX(Inputs!$B$22:$D$22,1,MATCH(A840,Inputs!$B$6:$D$6,0))+MAX(MIN(S840,INDEX(Inputs!$B$21:$D$21,1,MATCH(A840,Inputs!$B$6:$D$6,0)))-INDEX(Inputs!$B$20:$D$20,1,MATCH(A840,Inputs!$B$6:$D$6,0)),0)*INDEX(Inputs!$B$23:$D$23,1,MATCH(A840,Inputs!$B$6:$D$6,0))+MAX(S840-INDEX(Inputs!$B$21:$D$21,1,MATCH(A840,Inputs!$B$6:$D$6,0)),0)*INDEX(Inputs!$B$24:$D$24,1,MATCH(A840,Inputs!$B$6:$D$6,0))</x:f>
        <x:v>9872.833999999999</x:v>
      </x:c>
      <x:c r="U840" s="20" t="n">
        <x:f>IF(AND(A839=A840,D839=D840),T839,0)</x:f>
        <x:v>7379.896</x:v>
      </x:c>
      <x:c r="V840" s="20" t="n">
        <x:f>T840-U840</x:f>
        <x:v>2492.937999999999</x:v>
      </x:c>
      <x:c r="W840" s="20" t="n">
        <x:f>R840+V840</x:f>
        <x:v>47524.938</x:v>
      </x:c>
      <x:c r="X840" s="14" t="str">
        <x:f>IF(ABS(W840-SUM(M840:Q840)-V840)&lt;0.01,"OK","Check")</x:f>
        <x:v>OK</x:v>
      </x:c>
    </x:row>
    <x:row r="841">
      <x:c r="A841" s="14" t="n">
        <x:v>2028</x:v>
      </x:c>
      <x:c r="B841" s="14" t="str">
        <x:v>Q4</x:v>
      </x:c>
      <x:c r="C841" s="14" t="n">
        <x:v>4</x:v>
      </x:c>
      <x:c r="D841" s="14" t="n">
        <x:v>3</x:v>
      </x:c>
      <x:c r="E841" s="14" t="str">
        <x:f>INDEX(Roster!$B$6:$B$108,MATCH(D841,Roster!$A$6:$A$108,0))</x:f>
        <x:v>Principal</x:v>
      </x:c>
      <x:c r="F841" s="14" t="str">
        <x:f>INDEX(Roster!$F$6:$F$108,MATCH(D841,Roster!$A$6:$A$108,0))</x:f>
        <x:v>No</x:v>
      </x:c>
      <x:c r="G841" s="14" t="n">
        <x:f>INDEX(Inputs!$B$7:$D$7,1,MATCH(A841,Inputs!$B$6:$D$6,0))</x:f>
        <x:v>13</x:v>
      </x:c>
      <x:c r="H841" s="14" t="n">
        <x:f>MIN(=INDEX(Inputs!$B$7:$D$7,1,MATCH(A841,Inputs!$B$6:$D$6,0)),MAX(0,INDEX(Inputs!$B$14:$D$14,1,MATCH(A841,Inputs!$B$6:$D$6,0))-(C841-1)*=INDEX(Inputs!$B$7:$D$7,1,MATCH(A841,Inputs!$B$6:$D$6,0))))</x:f>
        <x:v>0</x:v>
      </x:c>
      <x:c r="I841" s="20" t="n">
        <x:f>INDEX(Inputs!$B$8:$D$8,1,MATCH(A841,Inputs!$B$6:$D$6,0))</x:f>
        <x:v>2395</x:v>
      </x:c>
      <x:c r="J841" s="20" t="n">
        <x:f>INDEX(Roster!$C$6:$C$108,MATCH(D841,Roster!$A$6:$A$108,0))*(1+INDEX(Inputs!$B$9:$D$9,1,MATCH(A841,Inputs!$B$6:$D$6,0)))</x:f>
        <x:v>500</x:v>
      </x:c>
      <x:c r="K841" s="20" t="n">
        <x:f>IF(=INDEX(Roster!$F$6:$F$108,MATCH(D841,Roster!$A$6:$A$108,0))="Yes",0,=INDEX(Inputs!$B$8:$D$8,1,MATCH(A841,Inputs!$B$6:$D$6,0))*IF(=INDEX(Roster!$B$6:$B$108,MATCH(D841,Roster!$A$6:$A$108,0))="Principal",INDEX(Inputs!$B$10:$D$10,1,MATCH(A841,Inputs!$B$6:$D$6,0)),IF(=INDEX(Roster!$B$6:$B$108,MATCH(D841,Roster!$A$6:$A$108,0))="Associate Principal",INDEX(Inputs!$B$11:$D$11,1,MATCH(A841,Inputs!$B$6:$D$6,0)),IF(=INDEX(Roster!$B$6:$B$108,MATCH(D841,Roster!$A$6:$A$108,0))="Assistant Principal",INDEX(Inputs!$B$12:$D$12,1,MATCH(A841,Inputs!$B$6:$D$6,0)),0))))</x:f>
        <x:v>479</x:v>
      </x:c>
      <x:c r="L841" s="20" t="n">
        <x:f>IF(INDEX(Roster!$D$6:$D$108,MATCH(D841,Roster!$A$6:$A$108,0))&gt;=25,INDEX(Inputs!$B$19:$D$19,1,MATCH(A841,Inputs!$B$6:$D$6,0)),IF(INDEX(Roster!$D$6:$D$108,MATCH(D841,Roster!$A$6:$A$108,0))&gt;=20,INDEX(Inputs!$B$18:$D$18,1,MATCH(A841,Inputs!$B$6:$D$6,0)),IF(INDEX(Roster!$D$6:$D$108,MATCH(D841,Roster!$A$6:$A$108,0))&gt;=15,INDEX(Inputs!$B$17:$D$17,1,MATCH(A841,Inputs!$B$6:$D$6,0)),IF(INDEX(Roster!$D$6:$D$108,MATCH(D841,Roster!$A$6:$A$108,0))&gt;=10,INDEX(Inputs!$B$16:$D$16,1,MATCH(A841,Inputs!$B$6:$D$6,0)),IF(INDEX(Roster!$D$6:$D$108,MATCH(D841,Roster!$A$6:$A$108,0))&gt;=5,INDEX(Inputs!$B$15:$D$15,1,MATCH(A841,Inputs!$B$6:$D$6,0)),0)))))</x:f>
        <x:v>60</x:v>
      </x:c>
      <x:c r="M841" s="20" t="n">
        <x:f>G841*I841</x:f>
        <x:v>31135</x:v>
      </x:c>
      <x:c r="N841" s="20" t="n">
        <x:f>G841*J841</x:f>
        <x:v>6500</x:v>
      </x:c>
      <x:c r="O841" s="20" t="n">
        <x:f>G841*K841</x:f>
        <x:v>6227</x:v>
      </x:c>
      <x:c r="P841" s="20" t="n">
        <x:f>G841*L841</x:f>
        <x:v>780</x:v>
      </x:c>
      <x:c r="Q841" s="20" t="n">
        <x:f>H841*INDEX(Inputs!$B$13:$D$13,1,MATCH(A841,Inputs!$B$6:$D$6,0))</x:f>
        <x:v>0</x:v>
      </x:c>
      <x:c r="R841" s="20" t="n">
        <x:f>SUM(M841:Q841)</x:f>
        <x:v>44642</x:v>
      </x:c>
      <x:c r="S841" s="20" t="n">
        <x:f>IF(AND(A840=A841,D840=D841),S840+R841,R841)</x:f>
        <x:v>179738</x:v>
      </x:c>
      <x:c r="T841" s="20" t="n">
        <x:f>MIN(S841,INDEX(Inputs!$B$20:$D$20,1,MATCH(A841,Inputs!$B$6:$D$6,0)))*INDEX(Inputs!$B$22:$D$22,1,MATCH(A841,Inputs!$B$6:$D$6,0))+MAX(MIN(S841,INDEX(Inputs!$B$21:$D$21,1,MATCH(A841,Inputs!$B$6:$D$6,0)))-INDEX(Inputs!$B$20:$D$20,1,MATCH(A841,Inputs!$B$6:$D$6,0)),0)*INDEX(Inputs!$B$23:$D$23,1,MATCH(A841,Inputs!$B$6:$D$6,0))+MAX(S841-INDEX(Inputs!$B$21:$D$21,1,MATCH(A841,Inputs!$B$6:$D$6,0)),0)*INDEX(Inputs!$B$24:$D$24,1,MATCH(A841,Inputs!$B$6:$D$6,0))</x:f>
        <x:v>10520.143</x:v>
      </x:c>
      <x:c r="U841" s="20" t="n">
        <x:f>IF(AND(A840=A841,D840=D841),T840,0)</x:f>
        <x:v>9872.833999999999</x:v>
      </x:c>
      <x:c r="V841" s="20" t="n">
        <x:f>T841-U841</x:f>
        <x:v>647.3090000000011</x:v>
      </x:c>
      <x:c r="W841" s="20" t="n">
        <x:f>R841+V841</x:f>
        <x:v>45289.309</x:v>
      </x:c>
      <x:c r="X841" s="14" t="str">
        <x:f>IF(ABS(W841-SUM(M841:Q841)-V841)&lt;0.01,"OK","Check")</x:f>
        <x:v>OK</x:v>
      </x:c>
    </x:row>
    <x:row r="842">
      <x:c r="A842" s="14" t="n">
        <x:v>2028</x:v>
      </x:c>
      <x:c r="B842" s="14" t="str">
        <x:v>Q1</x:v>
      </x:c>
      <x:c r="C842" s="14" t="n">
        <x:v>1</x:v>
      </x:c>
      <x:c r="D842" s="14" t="n">
        <x:v>4</x:v>
      </x:c>
      <x:c r="E842" s="14" t="str">
        <x:f>INDEX(Roster!$B$6:$B$108,MATCH(D842,Roster!$A$6:$A$108,0))</x:f>
      </x:c>
      <x:c r="F842" s="14" t="str">
        <x:f>INDEX(Roster!$F$6:$F$108,MATCH(D842,Roster!$A$6:$A$108,0))</x:f>
        <x:v>No</x:v>
      </x:c>
      <x:c r="G842" s="14" t="n">
        <x:f>INDEX(Inputs!$B$7:$D$7,1,MATCH(A842,Inputs!$B$6:$D$6,0))</x:f>
        <x:v>13</x:v>
      </x:c>
      <x:c r="H842" s="14" t="n">
        <x:f>MIN(=INDEX(Inputs!$B$7:$D$7,1,MATCH(A842,Inputs!$B$6:$D$6,0)),MAX(0,INDEX(Inputs!$B$14:$D$14,1,MATCH(A842,Inputs!$B$6:$D$6,0))-(C842-1)*=INDEX(Inputs!$B$7:$D$7,1,MATCH(A842,Inputs!$B$6:$D$6,0))))</x:f>
        <x:v>13</x:v>
      </x:c>
      <x:c r="I842" s="20" t="n">
        <x:f>INDEX(Inputs!$B$8:$D$8,1,MATCH(A842,Inputs!$B$6:$D$6,0))</x:f>
        <x:v>2395</x:v>
      </x:c>
      <x:c r="J842" s="20" t="n">
        <x:f>INDEX(Roster!$C$6:$C$108,MATCH(D842,Roster!$A$6:$A$108,0))*(1+INDEX(Inputs!$B$9:$D$9,1,MATCH(A842,Inputs!$B$6:$D$6,0)))</x:f>
        <x:v>50</x:v>
      </x:c>
      <x:c r="K842" s="20" t="n">
        <x:f>IF(=INDEX(Roster!$F$6:$F$108,MATCH(D842,Roster!$A$6:$A$108,0))="Yes",0,=INDEX(Inputs!$B$8:$D$8,1,MATCH(A842,Inputs!$B$6:$D$6,0))*IF(=INDEX(Roster!$B$6:$B$108,MATCH(D842,Roster!$A$6:$A$108,0))="Principal",INDEX(Inputs!$B$10:$D$10,1,MATCH(A842,Inputs!$B$6:$D$6,0)),IF(=INDEX(Roster!$B$6:$B$108,MATCH(D842,Roster!$A$6:$A$108,0))="Associate Principal",INDEX(Inputs!$B$11:$D$11,1,MATCH(A842,Inputs!$B$6:$D$6,0)),IF(=INDEX(Roster!$B$6:$B$108,MATCH(D842,Roster!$A$6:$A$108,0))="Assistant Principal",INDEX(Inputs!$B$12:$D$12,1,MATCH(A842,Inputs!$B$6:$D$6,0)),0))))</x:f>
        <x:v>0</x:v>
      </x:c>
      <x:c r="L842" s="20" t="n">
        <x:f>IF(INDEX(Roster!$D$6:$D$108,MATCH(D842,Roster!$A$6:$A$108,0))&gt;=25,INDEX(Inputs!$B$19:$D$19,1,MATCH(A842,Inputs!$B$6:$D$6,0)),IF(INDEX(Roster!$D$6:$D$108,MATCH(D842,Roster!$A$6:$A$108,0))&gt;=20,INDEX(Inputs!$B$18:$D$18,1,MATCH(A842,Inputs!$B$6:$D$6,0)),IF(INDEX(Roster!$D$6:$D$108,MATCH(D842,Roster!$A$6:$A$108,0))&gt;=15,INDEX(Inputs!$B$17:$D$17,1,MATCH(A842,Inputs!$B$6:$D$6,0)),IF(INDEX(Roster!$D$6:$D$108,MATCH(D842,Roster!$A$6:$A$108,0))&gt;=10,INDEX(Inputs!$B$16:$D$16,1,MATCH(A842,Inputs!$B$6:$D$6,0)),IF(INDEX(Roster!$D$6:$D$108,MATCH(D842,Roster!$A$6:$A$108,0))&gt;=5,INDEX(Inputs!$B$15:$D$15,1,MATCH(A842,Inputs!$B$6:$D$6,0)),0)))))</x:f>
        <x:v>90</x:v>
      </x:c>
      <x:c r="M842" s="20" t="n">
        <x:f>G842*I842</x:f>
        <x:v>31135</x:v>
      </x:c>
      <x:c r="N842" s="20" t="n">
        <x:f>G842*J842</x:f>
        <x:v>650</x:v>
      </x:c>
      <x:c r="O842" s="20" t="n">
        <x:f>G842*K842</x:f>
        <x:v>0</x:v>
      </x:c>
      <x:c r="P842" s="20" t="n">
        <x:f>G842*L842</x:f>
        <x:v>1170</x:v>
      </x:c>
      <x:c r="Q842" s="20" t="n">
        <x:f>H842*INDEX(Inputs!$B$13:$D$13,1,MATCH(A842,Inputs!$B$6:$D$6,0))</x:f>
        <x:v>390</x:v>
      </x:c>
      <x:c r="R842" s="20" t="n">
        <x:f>SUM(M842:Q842)</x:f>
        <x:v>33345</x:v>
      </x:c>
      <x:c r="S842" s="20" t="n">
        <x:f>IF(AND(A841=A842,D841=D842),S841+R842,R842)</x:f>
        <x:v>33345</x:v>
      </x:c>
      <x:c r="T842" s="20" t="n">
        <x:f>MIN(S842,INDEX(Inputs!$B$20:$D$20,1,MATCH(A842,Inputs!$B$6:$D$6,0)))*INDEX(Inputs!$B$22:$D$22,1,MATCH(A842,Inputs!$B$6:$D$6,0))+MAX(MIN(S842,INDEX(Inputs!$B$21:$D$21,1,MATCH(A842,Inputs!$B$6:$D$6,0)))-INDEX(Inputs!$B$20:$D$20,1,MATCH(A842,Inputs!$B$6:$D$6,0)),0)*INDEX(Inputs!$B$23:$D$23,1,MATCH(A842,Inputs!$B$6:$D$6,0))+MAX(S842-INDEX(Inputs!$B$21:$D$21,1,MATCH(A842,Inputs!$B$6:$D$6,0)),0)*INDEX(Inputs!$B$24:$D$24,1,MATCH(A842,Inputs!$B$6:$D$6,0))</x:f>
        <x:v>3040.8925</x:v>
      </x:c>
      <x:c r="U842" s="20" t="n">
        <x:f>IF(AND(A841=A842,D841=D842),T841,0)</x:f>
        <x:v>0</x:v>
      </x:c>
      <x:c r="V842" s="20" t="n">
        <x:f>T842-U842</x:f>
        <x:v>3040.8925</x:v>
      </x:c>
      <x:c r="W842" s="20" t="n">
        <x:f>R842+V842</x:f>
        <x:v>36385.8925</x:v>
      </x:c>
      <x:c r="X842" s="14" t="str">
        <x:f>IF(ABS(W842-SUM(M842:Q842)-V842)&lt;0.01,"OK","Check")</x:f>
        <x:v>OK</x:v>
      </x:c>
    </x:row>
    <x:row r="843">
      <x:c r="A843" s="14" t="n">
        <x:v>2028</x:v>
      </x:c>
      <x:c r="B843" s="14" t="str">
        <x:v>Q2</x:v>
      </x:c>
      <x:c r="C843" s="14" t="n">
        <x:v>2</x:v>
      </x:c>
      <x:c r="D843" s="14" t="n">
        <x:v>4</x:v>
      </x:c>
      <x:c r="E843" s="14" t="str">
        <x:f>INDEX(Roster!$B$6:$B$108,MATCH(D843,Roster!$A$6:$A$108,0))</x:f>
      </x:c>
      <x:c r="F843" s="14" t="str">
        <x:f>INDEX(Roster!$F$6:$F$108,MATCH(D843,Roster!$A$6:$A$108,0))</x:f>
        <x:v>No</x:v>
      </x:c>
      <x:c r="G843" s="14" t="n">
        <x:f>INDEX(Inputs!$B$7:$D$7,1,MATCH(A843,Inputs!$B$6:$D$6,0))</x:f>
        <x:v>13</x:v>
      </x:c>
      <x:c r="H843" s="14" t="n">
        <x:f>MIN(=INDEX(Inputs!$B$7:$D$7,1,MATCH(A843,Inputs!$B$6:$D$6,0)),MAX(0,INDEX(Inputs!$B$14:$D$14,1,MATCH(A843,Inputs!$B$6:$D$6,0))-(C843-1)*=INDEX(Inputs!$B$7:$D$7,1,MATCH(A843,Inputs!$B$6:$D$6,0))))</x:f>
        <x:v>13</x:v>
      </x:c>
      <x:c r="I843" s="20" t="n">
        <x:f>INDEX(Inputs!$B$8:$D$8,1,MATCH(A843,Inputs!$B$6:$D$6,0))</x:f>
        <x:v>2395</x:v>
      </x:c>
      <x:c r="J843" s="20" t="n">
        <x:f>INDEX(Roster!$C$6:$C$108,MATCH(D843,Roster!$A$6:$A$108,0))*(1+INDEX(Inputs!$B$9:$D$9,1,MATCH(A843,Inputs!$B$6:$D$6,0)))</x:f>
        <x:v>50</x:v>
      </x:c>
      <x:c r="K843" s="20" t="n">
        <x:f>IF(=INDEX(Roster!$F$6:$F$108,MATCH(D843,Roster!$A$6:$A$108,0))="Yes",0,=INDEX(Inputs!$B$8:$D$8,1,MATCH(A843,Inputs!$B$6:$D$6,0))*IF(=INDEX(Roster!$B$6:$B$108,MATCH(D843,Roster!$A$6:$A$108,0))="Principal",INDEX(Inputs!$B$10:$D$10,1,MATCH(A843,Inputs!$B$6:$D$6,0)),IF(=INDEX(Roster!$B$6:$B$108,MATCH(D843,Roster!$A$6:$A$108,0))="Associate Principal",INDEX(Inputs!$B$11:$D$11,1,MATCH(A843,Inputs!$B$6:$D$6,0)),IF(=INDEX(Roster!$B$6:$B$108,MATCH(D843,Roster!$A$6:$A$108,0))="Assistant Principal",INDEX(Inputs!$B$12:$D$12,1,MATCH(A843,Inputs!$B$6:$D$6,0)),0))))</x:f>
        <x:v>0</x:v>
      </x:c>
      <x:c r="L843" s="20" t="n">
        <x:f>IF(INDEX(Roster!$D$6:$D$108,MATCH(D843,Roster!$A$6:$A$108,0))&gt;=25,INDEX(Inputs!$B$19:$D$19,1,MATCH(A843,Inputs!$B$6:$D$6,0)),IF(INDEX(Roster!$D$6:$D$108,MATCH(D843,Roster!$A$6:$A$108,0))&gt;=20,INDEX(Inputs!$B$18:$D$18,1,MATCH(A843,Inputs!$B$6:$D$6,0)),IF(INDEX(Roster!$D$6:$D$108,MATCH(D843,Roster!$A$6:$A$108,0))&gt;=15,INDEX(Inputs!$B$17:$D$17,1,MATCH(A843,Inputs!$B$6:$D$6,0)),IF(INDEX(Roster!$D$6:$D$108,MATCH(D843,Roster!$A$6:$A$108,0))&gt;=10,INDEX(Inputs!$B$16:$D$16,1,MATCH(A843,Inputs!$B$6:$D$6,0)),IF(INDEX(Roster!$D$6:$D$108,MATCH(D843,Roster!$A$6:$A$108,0))&gt;=5,INDEX(Inputs!$B$15:$D$15,1,MATCH(A843,Inputs!$B$6:$D$6,0)),0)))))</x:f>
        <x:v>90</x:v>
      </x:c>
      <x:c r="M843" s="20" t="n">
        <x:f>G843*I843</x:f>
        <x:v>31135</x:v>
      </x:c>
      <x:c r="N843" s="20" t="n">
        <x:f>G843*J843</x:f>
        <x:v>650</x:v>
      </x:c>
      <x:c r="O843" s="20" t="n">
        <x:f>G843*K843</x:f>
        <x:v>0</x:v>
      </x:c>
      <x:c r="P843" s="20" t="n">
        <x:f>G843*L843</x:f>
        <x:v>1170</x:v>
      </x:c>
      <x:c r="Q843" s="20" t="n">
        <x:f>H843*INDEX(Inputs!$B$13:$D$13,1,MATCH(A843,Inputs!$B$6:$D$6,0))</x:f>
        <x:v>390</x:v>
      </x:c>
      <x:c r="R843" s="20" t="n">
        <x:f>SUM(M843:Q843)</x:f>
        <x:v>33345</x:v>
      </x:c>
      <x:c r="S843" s="20" t="n">
        <x:f>IF(AND(A842=A843,D842=D843),S842+R843,R843)</x:f>
        <x:v>66690</x:v>
      </x:c>
      <x:c r="T843" s="20" t="n">
        <x:f>MIN(S843,INDEX(Inputs!$B$20:$D$20,1,MATCH(A843,Inputs!$B$6:$D$6,0)))*INDEX(Inputs!$B$22:$D$22,1,MATCH(A843,Inputs!$B$6:$D$6,0))+MAX(MIN(S843,INDEX(Inputs!$B$21:$D$21,1,MATCH(A843,Inputs!$B$6:$D$6,0)))-INDEX(Inputs!$B$20:$D$20,1,MATCH(A843,Inputs!$B$6:$D$6,0)),0)*INDEX(Inputs!$B$23:$D$23,1,MATCH(A843,Inputs!$B$6:$D$6,0))+MAX(S843-INDEX(Inputs!$B$21:$D$21,1,MATCH(A843,Inputs!$B$6:$D$6,0)),0)*INDEX(Inputs!$B$24:$D$24,1,MATCH(A843,Inputs!$B$6:$D$6,0))</x:f>
        <x:v>5591.785</x:v>
      </x:c>
      <x:c r="U843" s="20" t="n">
        <x:f>IF(AND(A842=A843,D842=D843),T842,0)</x:f>
        <x:v>3040.8925</x:v>
      </x:c>
      <x:c r="V843" s="20" t="n">
        <x:f>T843-U843</x:f>
        <x:v>2550.8925</x:v>
      </x:c>
      <x:c r="W843" s="20" t="n">
        <x:f>R843+V843</x:f>
        <x:v>35895.8925</x:v>
      </x:c>
      <x:c r="X843" s="14" t="str">
        <x:f>IF(ABS(W843-SUM(M843:Q843)-V843)&lt;0.01,"OK","Check")</x:f>
        <x:v>OK</x:v>
      </x:c>
    </x:row>
    <x:row r="844">
      <x:c r="A844" s="14" t="n">
        <x:v>2028</x:v>
      </x:c>
      <x:c r="B844" s="14" t="str">
        <x:v>Q3</x:v>
      </x:c>
      <x:c r="C844" s="14" t="n">
        <x:v>3</x:v>
      </x:c>
      <x:c r="D844" s="14" t="n">
        <x:v>4</x:v>
      </x:c>
      <x:c r="E844" s="14" t="str">
        <x:f>INDEX(Roster!$B$6:$B$108,MATCH(D844,Roster!$A$6:$A$108,0))</x:f>
      </x:c>
      <x:c r="F844" s="14" t="str">
        <x:f>INDEX(Roster!$F$6:$F$108,MATCH(D844,Roster!$A$6:$A$108,0))</x:f>
        <x:v>No</x:v>
      </x:c>
      <x:c r="G844" s="14" t="n">
        <x:f>INDEX(Inputs!$B$7:$D$7,1,MATCH(A844,Inputs!$B$6:$D$6,0))</x:f>
        <x:v>13</x:v>
      </x:c>
      <x:c r="H844" s="14" t="n">
        <x:f>MIN(=INDEX(Inputs!$B$7:$D$7,1,MATCH(A844,Inputs!$B$6:$D$6,0)),MAX(0,INDEX(Inputs!$B$14:$D$14,1,MATCH(A844,Inputs!$B$6:$D$6,0))-(C844-1)*=INDEX(Inputs!$B$7:$D$7,1,MATCH(A844,Inputs!$B$6:$D$6,0))))</x:f>
        <x:v>13</x:v>
      </x:c>
      <x:c r="I844" s="20" t="n">
        <x:f>INDEX(Inputs!$B$8:$D$8,1,MATCH(A844,Inputs!$B$6:$D$6,0))</x:f>
        <x:v>2395</x:v>
      </x:c>
      <x:c r="J844" s="20" t="n">
        <x:f>INDEX(Roster!$C$6:$C$108,MATCH(D844,Roster!$A$6:$A$108,0))*(1+INDEX(Inputs!$B$9:$D$9,1,MATCH(A844,Inputs!$B$6:$D$6,0)))</x:f>
        <x:v>50</x:v>
      </x:c>
      <x:c r="K844" s="20" t="n">
        <x:f>IF(=INDEX(Roster!$F$6:$F$108,MATCH(D844,Roster!$A$6:$A$108,0))="Yes",0,=INDEX(Inputs!$B$8:$D$8,1,MATCH(A844,Inputs!$B$6:$D$6,0))*IF(=INDEX(Roster!$B$6:$B$108,MATCH(D844,Roster!$A$6:$A$108,0))="Principal",INDEX(Inputs!$B$10:$D$10,1,MATCH(A844,Inputs!$B$6:$D$6,0)),IF(=INDEX(Roster!$B$6:$B$108,MATCH(D844,Roster!$A$6:$A$108,0))="Associate Principal",INDEX(Inputs!$B$11:$D$11,1,MATCH(A844,Inputs!$B$6:$D$6,0)),IF(=INDEX(Roster!$B$6:$B$108,MATCH(D844,Roster!$A$6:$A$108,0))="Assistant Principal",INDEX(Inputs!$B$12:$D$12,1,MATCH(A844,Inputs!$B$6:$D$6,0)),0))))</x:f>
        <x:v>0</x:v>
      </x:c>
      <x:c r="L844" s="20" t="n">
        <x:f>IF(INDEX(Roster!$D$6:$D$108,MATCH(D844,Roster!$A$6:$A$108,0))&gt;=25,INDEX(Inputs!$B$19:$D$19,1,MATCH(A844,Inputs!$B$6:$D$6,0)),IF(INDEX(Roster!$D$6:$D$108,MATCH(D844,Roster!$A$6:$A$108,0))&gt;=20,INDEX(Inputs!$B$18:$D$18,1,MATCH(A844,Inputs!$B$6:$D$6,0)),IF(INDEX(Roster!$D$6:$D$108,MATCH(D844,Roster!$A$6:$A$108,0))&gt;=15,INDEX(Inputs!$B$17:$D$17,1,MATCH(A844,Inputs!$B$6:$D$6,0)),IF(INDEX(Roster!$D$6:$D$108,MATCH(D844,Roster!$A$6:$A$108,0))&gt;=10,INDEX(Inputs!$B$16:$D$16,1,MATCH(A844,Inputs!$B$6:$D$6,0)),IF(INDEX(Roster!$D$6:$D$108,MATCH(D844,Roster!$A$6:$A$108,0))&gt;=5,INDEX(Inputs!$B$15:$D$15,1,MATCH(A844,Inputs!$B$6:$D$6,0)),0)))))</x:f>
        <x:v>90</x:v>
      </x:c>
      <x:c r="M844" s="20" t="n">
        <x:f>G844*I844</x:f>
        <x:v>31135</x:v>
      </x:c>
      <x:c r="N844" s="20" t="n">
        <x:f>G844*J844</x:f>
        <x:v>650</x:v>
      </x:c>
      <x:c r="O844" s="20" t="n">
        <x:f>G844*K844</x:f>
        <x:v>0</x:v>
      </x:c>
      <x:c r="P844" s="20" t="n">
        <x:f>G844*L844</x:f>
        <x:v>1170</x:v>
      </x:c>
      <x:c r="Q844" s="20" t="n">
        <x:f>H844*INDEX(Inputs!$B$13:$D$13,1,MATCH(A844,Inputs!$B$6:$D$6,0))</x:f>
        <x:v>390</x:v>
      </x:c>
      <x:c r="R844" s="20" t="n">
        <x:f>SUM(M844:Q844)</x:f>
        <x:v>33345</x:v>
      </x:c>
      <x:c r="S844" s="20" t="n">
        <x:f>IF(AND(A843=A844,D843=D844),S843+R844,R844)</x:f>
        <x:v>100035</x:v>
      </x:c>
      <x:c r="T844" s="20" t="n">
        <x:f>MIN(S844,INDEX(Inputs!$B$20:$D$20,1,MATCH(A844,Inputs!$B$6:$D$6,0)))*INDEX(Inputs!$B$22:$D$22,1,MATCH(A844,Inputs!$B$6:$D$6,0))+MAX(MIN(S844,INDEX(Inputs!$B$21:$D$21,1,MATCH(A844,Inputs!$B$6:$D$6,0)))-INDEX(Inputs!$B$20:$D$20,1,MATCH(A844,Inputs!$B$6:$D$6,0)),0)*INDEX(Inputs!$B$23:$D$23,1,MATCH(A844,Inputs!$B$6:$D$6,0))+MAX(S844-INDEX(Inputs!$B$21:$D$21,1,MATCH(A844,Inputs!$B$6:$D$6,0)),0)*INDEX(Inputs!$B$24:$D$24,1,MATCH(A844,Inputs!$B$6:$D$6,0))</x:f>
        <x:v>8142.6775</x:v>
      </x:c>
      <x:c r="U844" s="20" t="n">
        <x:f>IF(AND(A843=A844,D843=D844),T843,0)</x:f>
        <x:v>5591.785</x:v>
      </x:c>
      <x:c r="V844" s="20" t="n">
        <x:f>T844-U844</x:f>
        <x:v>2550.8925</x:v>
      </x:c>
      <x:c r="W844" s="20" t="n">
        <x:f>R844+V844</x:f>
        <x:v>35895.8925</x:v>
      </x:c>
      <x:c r="X844" s="14" t="str">
        <x:f>IF(ABS(W844-SUM(M844:Q844)-V844)&lt;0.01,"OK","Check")</x:f>
        <x:v>OK</x:v>
      </x:c>
    </x:row>
    <x:row r="845">
      <x:c r="A845" s="14" t="n">
        <x:v>2028</x:v>
      </x:c>
      <x:c r="B845" s="14" t="str">
        <x:v>Q4</x:v>
      </x:c>
      <x:c r="C845" s="14" t="n">
        <x:v>4</x:v>
      </x:c>
      <x:c r="D845" s="14" t="n">
        <x:v>4</x:v>
      </x:c>
      <x:c r="E845" s="14" t="str">
        <x:f>INDEX(Roster!$B$6:$B$108,MATCH(D845,Roster!$A$6:$A$108,0))</x:f>
      </x:c>
      <x:c r="F845" s="14" t="str">
        <x:f>INDEX(Roster!$F$6:$F$108,MATCH(D845,Roster!$A$6:$A$108,0))</x:f>
        <x:v>No</x:v>
      </x:c>
      <x:c r="G845" s="14" t="n">
        <x:f>INDEX(Inputs!$B$7:$D$7,1,MATCH(A845,Inputs!$B$6:$D$6,0))</x:f>
        <x:v>13</x:v>
      </x:c>
      <x:c r="H845" s="14" t="n">
        <x:f>MIN(=INDEX(Inputs!$B$7:$D$7,1,MATCH(A845,Inputs!$B$6:$D$6,0)),MAX(0,INDEX(Inputs!$B$14:$D$14,1,MATCH(A845,Inputs!$B$6:$D$6,0))-(C845-1)*=INDEX(Inputs!$B$7:$D$7,1,MATCH(A845,Inputs!$B$6:$D$6,0))))</x:f>
        <x:v>0</x:v>
      </x:c>
      <x:c r="I845" s="20" t="n">
        <x:f>INDEX(Inputs!$B$8:$D$8,1,MATCH(A845,Inputs!$B$6:$D$6,0))</x:f>
        <x:v>2395</x:v>
      </x:c>
      <x:c r="J845" s="20" t="n">
        <x:f>INDEX(Roster!$C$6:$C$108,MATCH(D845,Roster!$A$6:$A$108,0))*(1+INDEX(Inputs!$B$9:$D$9,1,MATCH(A845,Inputs!$B$6:$D$6,0)))</x:f>
        <x:v>50</x:v>
      </x:c>
      <x:c r="K845" s="20" t="n">
        <x:f>IF(=INDEX(Roster!$F$6:$F$108,MATCH(D845,Roster!$A$6:$A$108,0))="Yes",0,=INDEX(Inputs!$B$8:$D$8,1,MATCH(A845,Inputs!$B$6:$D$6,0))*IF(=INDEX(Roster!$B$6:$B$108,MATCH(D845,Roster!$A$6:$A$108,0))="Principal",INDEX(Inputs!$B$10:$D$10,1,MATCH(A845,Inputs!$B$6:$D$6,0)),IF(=INDEX(Roster!$B$6:$B$108,MATCH(D845,Roster!$A$6:$A$108,0))="Associate Principal",INDEX(Inputs!$B$11:$D$11,1,MATCH(A845,Inputs!$B$6:$D$6,0)),IF(=INDEX(Roster!$B$6:$B$108,MATCH(D845,Roster!$A$6:$A$108,0))="Assistant Principal",INDEX(Inputs!$B$12:$D$12,1,MATCH(A845,Inputs!$B$6:$D$6,0)),0))))</x:f>
        <x:v>0</x:v>
      </x:c>
      <x:c r="L845" s="20" t="n">
        <x:f>IF(INDEX(Roster!$D$6:$D$108,MATCH(D845,Roster!$A$6:$A$108,0))&gt;=25,INDEX(Inputs!$B$19:$D$19,1,MATCH(A845,Inputs!$B$6:$D$6,0)),IF(INDEX(Roster!$D$6:$D$108,MATCH(D845,Roster!$A$6:$A$108,0))&gt;=20,INDEX(Inputs!$B$18:$D$18,1,MATCH(A845,Inputs!$B$6:$D$6,0)),IF(INDEX(Roster!$D$6:$D$108,MATCH(D845,Roster!$A$6:$A$108,0))&gt;=15,INDEX(Inputs!$B$17:$D$17,1,MATCH(A845,Inputs!$B$6:$D$6,0)),IF(INDEX(Roster!$D$6:$D$108,MATCH(D845,Roster!$A$6:$A$108,0))&gt;=10,INDEX(Inputs!$B$16:$D$16,1,MATCH(A845,Inputs!$B$6:$D$6,0)),IF(INDEX(Roster!$D$6:$D$108,MATCH(D845,Roster!$A$6:$A$108,0))&gt;=5,INDEX(Inputs!$B$15:$D$15,1,MATCH(A845,Inputs!$B$6:$D$6,0)),0)))))</x:f>
        <x:v>90</x:v>
      </x:c>
      <x:c r="M845" s="20" t="n">
        <x:f>G845*I845</x:f>
        <x:v>31135</x:v>
      </x:c>
      <x:c r="N845" s="20" t="n">
        <x:f>G845*J845</x:f>
        <x:v>650</x:v>
      </x:c>
      <x:c r="O845" s="20" t="n">
        <x:f>G845*K845</x:f>
        <x:v>0</x:v>
      </x:c>
      <x:c r="P845" s="20" t="n">
        <x:f>G845*L845</x:f>
        <x:v>1170</x:v>
      </x:c>
      <x:c r="Q845" s="20" t="n">
        <x:f>H845*INDEX(Inputs!$B$13:$D$13,1,MATCH(A845,Inputs!$B$6:$D$6,0))</x:f>
        <x:v>0</x:v>
      </x:c>
      <x:c r="R845" s="20" t="n">
        <x:f>SUM(M845:Q845)</x:f>
        <x:v>32955</x:v>
      </x:c>
      <x:c r="S845" s="20" t="n">
        <x:f>IF(AND(A844=A845,D844=D845),S844+R845,R845)</x:f>
        <x:v>132990</x:v>
      </x:c>
      <x:c r="T845" s="20" t="n">
        <x:f>MIN(S845,INDEX(Inputs!$B$20:$D$20,1,MATCH(A845,Inputs!$B$6:$D$6,0)))*INDEX(Inputs!$B$22:$D$22,1,MATCH(A845,Inputs!$B$6:$D$6,0))+MAX(MIN(S845,INDEX(Inputs!$B$21:$D$21,1,MATCH(A845,Inputs!$B$6:$D$6,0)))-INDEX(Inputs!$B$20:$D$20,1,MATCH(A845,Inputs!$B$6:$D$6,0)),0)*INDEX(Inputs!$B$23:$D$23,1,MATCH(A845,Inputs!$B$6:$D$6,0))+MAX(S845-INDEX(Inputs!$B$21:$D$21,1,MATCH(A845,Inputs!$B$6:$D$6,0)),0)*INDEX(Inputs!$B$24:$D$24,1,MATCH(A845,Inputs!$B$6:$D$6,0))</x:f>
        <x:v>9842.297</x:v>
      </x:c>
      <x:c r="U845" s="20" t="n">
        <x:f>IF(AND(A844=A845,D844=D845),T844,0)</x:f>
        <x:v>8142.6775</x:v>
      </x:c>
      <x:c r="V845" s="20" t="n">
        <x:f>T845-U845</x:f>
        <x:v>1699.6195000000007</x:v>
      </x:c>
      <x:c r="W845" s="20" t="n">
        <x:f>R845+V845</x:f>
        <x:v>34654.6195</x:v>
      </x:c>
      <x:c r="X845" s="14" t="str">
        <x:f>IF(ABS(W845-SUM(M845:Q845)-V845)&lt;0.01,"OK","Check")</x:f>
        <x:v>OK</x:v>
      </x:c>
    </x:row>
    <x:row r="846">
      <x:c r="A846" s="14" t="n">
        <x:v>2028</x:v>
      </x:c>
      <x:c r="B846" s="14" t="str">
        <x:v>Q1</x:v>
      </x:c>
      <x:c r="C846" s="14" t="n">
        <x:v>1</x:v>
      </x:c>
      <x:c r="D846" s="14" t="n">
        <x:v>5</x:v>
      </x:c>
      <x:c r="E846" s="14" t="str">
        <x:f>INDEX(Roster!$B$6:$B$108,MATCH(D846,Roster!$A$6:$A$108,0))</x:f>
        <x:v>Associate Principal</x:v>
      </x:c>
      <x:c r="F846" s="14" t="str">
        <x:f>INDEX(Roster!$F$6:$F$108,MATCH(D846,Roster!$A$6:$A$108,0))</x:f>
        <x:v>Yes</x:v>
      </x:c>
      <x:c r="G846" s="14" t="n">
        <x:f>INDEX(Inputs!$B$7:$D$7,1,MATCH(A846,Inputs!$B$6:$D$6,0))</x:f>
        <x:v>13</x:v>
      </x:c>
      <x:c r="H846" s="14" t="n">
        <x:f>MIN(=INDEX(Inputs!$B$7:$D$7,1,MATCH(A846,Inputs!$B$6:$D$6,0)),MAX(0,INDEX(Inputs!$B$14:$D$14,1,MATCH(A846,Inputs!$B$6:$D$6,0))-(C846-1)*=INDEX(Inputs!$B$7:$D$7,1,MATCH(A846,Inputs!$B$6:$D$6,0))))</x:f>
        <x:v>13</x:v>
      </x:c>
      <x:c r="I846" s="20" t="n">
        <x:f>INDEX(Inputs!$B$8:$D$8,1,MATCH(A846,Inputs!$B$6:$D$6,0))</x:f>
        <x:v>2395</x:v>
      </x:c>
      <x:c r="J846" s="20" t="n">
        <x:f>INDEX(Roster!$C$6:$C$108,MATCH(D846,Roster!$A$6:$A$108,0))*(1+INDEX(Inputs!$B$9:$D$9,1,MATCH(A846,Inputs!$B$6:$D$6,0)))</x:f>
        <x:v>350</x:v>
      </x:c>
      <x:c r="K846" s="20" t="n">
        <x:f>IF(=INDEX(Roster!$F$6:$F$108,MATCH(D846,Roster!$A$6:$A$108,0))="Yes",0,=INDEX(Inputs!$B$8:$D$8,1,MATCH(A846,Inputs!$B$6:$D$6,0))*IF(=INDEX(Roster!$B$6:$B$108,MATCH(D846,Roster!$A$6:$A$108,0))="Principal",INDEX(Inputs!$B$10:$D$10,1,MATCH(A846,Inputs!$B$6:$D$6,0)),IF(=INDEX(Roster!$B$6:$B$108,MATCH(D846,Roster!$A$6:$A$108,0))="Associate Principal",INDEX(Inputs!$B$11:$D$11,1,MATCH(A846,Inputs!$B$6:$D$6,0)),IF(=INDEX(Roster!$B$6:$B$108,MATCH(D846,Roster!$A$6:$A$108,0))="Assistant Principal",INDEX(Inputs!$B$12:$D$12,1,MATCH(A846,Inputs!$B$6:$D$6,0)),0))))</x:f>
        <x:v>0</x:v>
      </x:c>
      <x:c r="L846" s="20" t="n">
        <x:f>IF(INDEX(Roster!$D$6:$D$108,MATCH(D846,Roster!$A$6:$A$108,0))&gt;=25,INDEX(Inputs!$B$19:$D$19,1,MATCH(A846,Inputs!$B$6:$D$6,0)),IF(INDEX(Roster!$D$6:$D$108,MATCH(D846,Roster!$A$6:$A$108,0))&gt;=20,INDEX(Inputs!$B$18:$D$18,1,MATCH(A846,Inputs!$B$6:$D$6,0)),IF(INDEX(Roster!$D$6:$D$108,MATCH(D846,Roster!$A$6:$A$108,0))&gt;=15,INDEX(Inputs!$B$17:$D$17,1,MATCH(A846,Inputs!$B$6:$D$6,0)),IF(INDEX(Roster!$D$6:$D$108,MATCH(D846,Roster!$A$6:$A$108,0))&gt;=10,INDEX(Inputs!$B$16:$D$16,1,MATCH(A846,Inputs!$B$6:$D$6,0)),IF(INDEX(Roster!$D$6:$D$108,MATCH(D846,Roster!$A$6:$A$108,0))&gt;=5,INDEX(Inputs!$B$15:$D$15,1,MATCH(A846,Inputs!$B$6:$D$6,0)),0)))))</x:f>
        <x:v>80</x:v>
      </x:c>
      <x:c r="M846" s="20" t="n">
        <x:f>G846*I846</x:f>
        <x:v>31135</x:v>
      </x:c>
      <x:c r="N846" s="20" t="n">
        <x:f>G846*J846</x:f>
        <x:v>4550</x:v>
      </x:c>
      <x:c r="O846" s="20" t="n">
        <x:f>G846*K846</x:f>
        <x:v>0</x:v>
      </x:c>
      <x:c r="P846" s="20" t="n">
        <x:f>G846*L846</x:f>
        <x:v>1040</x:v>
      </x:c>
      <x:c r="Q846" s="20" t="n">
        <x:f>H846*INDEX(Inputs!$B$13:$D$13,1,MATCH(A846,Inputs!$B$6:$D$6,0))</x:f>
        <x:v>390</x:v>
      </x:c>
      <x:c r="R846" s="20" t="n">
        <x:f>SUM(M846:Q846)</x:f>
        <x:v>37115</x:v>
      </x:c>
      <x:c r="S846" s="20" t="n">
        <x:f>IF(AND(A845=A846,D845=D846),S845+R846,R846)</x:f>
        <x:v>37115</x:v>
      </x:c>
      <x:c r="T846" s="20" t="n">
        <x:f>MIN(S846,INDEX(Inputs!$B$20:$D$20,1,MATCH(A846,Inputs!$B$6:$D$6,0)))*INDEX(Inputs!$B$22:$D$22,1,MATCH(A846,Inputs!$B$6:$D$6,0))+MAX(MIN(S846,INDEX(Inputs!$B$21:$D$21,1,MATCH(A846,Inputs!$B$6:$D$6,0)))-INDEX(Inputs!$B$20:$D$20,1,MATCH(A846,Inputs!$B$6:$D$6,0)),0)*INDEX(Inputs!$B$23:$D$23,1,MATCH(A846,Inputs!$B$6:$D$6,0))+MAX(S846-INDEX(Inputs!$B$21:$D$21,1,MATCH(A846,Inputs!$B$6:$D$6,0)),0)*INDEX(Inputs!$B$24:$D$24,1,MATCH(A846,Inputs!$B$6:$D$6,0))</x:f>
        <x:v>3329.2975</x:v>
      </x:c>
      <x:c r="U846" s="20" t="n">
        <x:f>IF(AND(A845=A846,D845=D846),T845,0)</x:f>
        <x:v>0</x:v>
      </x:c>
      <x:c r="V846" s="20" t="n">
        <x:f>T846-U846</x:f>
        <x:v>3329.2975</x:v>
      </x:c>
      <x:c r="W846" s="20" t="n">
        <x:f>R846+V846</x:f>
        <x:v>40444.2975</x:v>
      </x:c>
      <x:c r="X846" s="14" t="str">
        <x:f>IF(ABS(W846-SUM(M846:Q846)-V846)&lt;0.01,"OK","Check")</x:f>
        <x:v>OK</x:v>
      </x:c>
    </x:row>
    <x:row r="847">
      <x:c r="A847" s="14" t="n">
        <x:v>2028</x:v>
      </x:c>
      <x:c r="B847" s="14" t="str">
        <x:v>Q2</x:v>
      </x:c>
      <x:c r="C847" s="14" t="n">
        <x:v>2</x:v>
      </x:c>
      <x:c r="D847" s="14" t="n">
        <x:v>5</x:v>
      </x:c>
      <x:c r="E847" s="14" t="str">
        <x:f>INDEX(Roster!$B$6:$B$108,MATCH(D847,Roster!$A$6:$A$108,0))</x:f>
        <x:v>Associate Principal</x:v>
      </x:c>
      <x:c r="F847" s="14" t="str">
        <x:f>INDEX(Roster!$F$6:$F$108,MATCH(D847,Roster!$A$6:$A$108,0))</x:f>
        <x:v>Yes</x:v>
      </x:c>
      <x:c r="G847" s="14" t="n">
        <x:f>INDEX(Inputs!$B$7:$D$7,1,MATCH(A847,Inputs!$B$6:$D$6,0))</x:f>
        <x:v>13</x:v>
      </x:c>
      <x:c r="H847" s="14" t="n">
        <x:f>MIN(=INDEX(Inputs!$B$7:$D$7,1,MATCH(A847,Inputs!$B$6:$D$6,0)),MAX(0,INDEX(Inputs!$B$14:$D$14,1,MATCH(A847,Inputs!$B$6:$D$6,0))-(C847-1)*=INDEX(Inputs!$B$7:$D$7,1,MATCH(A847,Inputs!$B$6:$D$6,0))))</x:f>
        <x:v>13</x:v>
      </x:c>
      <x:c r="I847" s="20" t="n">
        <x:f>INDEX(Inputs!$B$8:$D$8,1,MATCH(A847,Inputs!$B$6:$D$6,0))</x:f>
        <x:v>2395</x:v>
      </x:c>
      <x:c r="J847" s="20" t="n">
        <x:f>INDEX(Roster!$C$6:$C$108,MATCH(D847,Roster!$A$6:$A$108,0))*(1+INDEX(Inputs!$B$9:$D$9,1,MATCH(A847,Inputs!$B$6:$D$6,0)))</x:f>
        <x:v>350</x:v>
      </x:c>
      <x:c r="K847" s="20" t="n">
        <x:f>IF(=INDEX(Roster!$F$6:$F$108,MATCH(D847,Roster!$A$6:$A$108,0))="Yes",0,=INDEX(Inputs!$B$8:$D$8,1,MATCH(A847,Inputs!$B$6:$D$6,0))*IF(=INDEX(Roster!$B$6:$B$108,MATCH(D847,Roster!$A$6:$A$108,0))="Principal",INDEX(Inputs!$B$10:$D$10,1,MATCH(A847,Inputs!$B$6:$D$6,0)),IF(=INDEX(Roster!$B$6:$B$108,MATCH(D847,Roster!$A$6:$A$108,0))="Associate Principal",INDEX(Inputs!$B$11:$D$11,1,MATCH(A847,Inputs!$B$6:$D$6,0)),IF(=INDEX(Roster!$B$6:$B$108,MATCH(D847,Roster!$A$6:$A$108,0))="Assistant Principal",INDEX(Inputs!$B$12:$D$12,1,MATCH(A847,Inputs!$B$6:$D$6,0)),0))))</x:f>
        <x:v>0</x:v>
      </x:c>
      <x:c r="L847" s="20" t="n">
        <x:f>IF(INDEX(Roster!$D$6:$D$108,MATCH(D847,Roster!$A$6:$A$108,0))&gt;=25,INDEX(Inputs!$B$19:$D$19,1,MATCH(A847,Inputs!$B$6:$D$6,0)),IF(INDEX(Roster!$D$6:$D$108,MATCH(D847,Roster!$A$6:$A$108,0))&gt;=20,INDEX(Inputs!$B$18:$D$18,1,MATCH(A847,Inputs!$B$6:$D$6,0)),IF(INDEX(Roster!$D$6:$D$108,MATCH(D847,Roster!$A$6:$A$108,0))&gt;=15,INDEX(Inputs!$B$17:$D$17,1,MATCH(A847,Inputs!$B$6:$D$6,0)),IF(INDEX(Roster!$D$6:$D$108,MATCH(D847,Roster!$A$6:$A$108,0))&gt;=10,INDEX(Inputs!$B$16:$D$16,1,MATCH(A847,Inputs!$B$6:$D$6,0)),IF(INDEX(Roster!$D$6:$D$108,MATCH(D847,Roster!$A$6:$A$108,0))&gt;=5,INDEX(Inputs!$B$15:$D$15,1,MATCH(A847,Inputs!$B$6:$D$6,0)),0)))))</x:f>
        <x:v>80</x:v>
      </x:c>
      <x:c r="M847" s="20" t="n">
        <x:f>G847*I847</x:f>
        <x:v>31135</x:v>
      </x:c>
      <x:c r="N847" s="20" t="n">
        <x:f>G847*J847</x:f>
        <x:v>4550</x:v>
      </x:c>
      <x:c r="O847" s="20" t="n">
        <x:f>G847*K847</x:f>
        <x:v>0</x:v>
      </x:c>
      <x:c r="P847" s="20" t="n">
        <x:f>G847*L847</x:f>
        <x:v>1040</x:v>
      </x:c>
      <x:c r="Q847" s="20" t="n">
        <x:f>H847*INDEX(Inputs!$B$13:$D$13,1,MATCH(A847,Inputs!$B$6:$D$6,0))</x:f>
        <x:v>390</x:v>
      </x:c>
      <x:c r="R847" s="20" t="n">
        <x:f>SUM(M847:Q847)</x:f>
        <x:v>37115</x:v>
      </x:c>
      <x:c r="S847" s="20" t="n">
        <x:f>IF(AND(A846=A847,D846=D847),S846+R847,R847)</x:f>
        <x:v>74230</x:v>
      </x:c>
      <x:c r="T847" s="20" t="n">
        <x:f>MIN(S847,INDEX(Inputs!$B$20:$D$20,1,MATCH(A847,Inputs!$B$6:$D$6,0)))*INDEX(Inputs!$B$22:$D$22,1,MATCH(A847,Inputs!$B$6:$D$6,0))+MAX(MIN(S847,INDEX(Inputs!$B$21:$D$21,1,MATCH(A847,Inputs!$B$6:$D$6,0)))-INDEX(Inputs!$B$20:$D$20,1,MATCH(A847,Inputs!$B$6:$D$6,0)),0)*INDEX(Inputs!$B$23:$D$23,1,MATCH(A847,Inputs!$B$6:$D$6,0))+MAX(S847-INDEX(Inputs!$B$21:$D$21,1,MATCH(A847,Inputs!$B$6:$D$6,0)),0)*INDEX(Inputs!$B$24:$D$24,1,MATCH(A847,Inputs!$B$6:$D$6,0))</x:f>
        <x:v>6168.595</x:v>
      </x:c>
      <x:c r="U847" s="20" t="n">
        <x:f>IF(AND(A846=A847,D846=D847),T846,0)</x:f>
        <x:v>3329.2975</x:v>
      </x:c>
      <x:c r="V847" s="20" t="n">
        <x:f>T847-U847</x:f>
        <x:v>2839.2975</x:v>
      </x:c>
      <x:c r="W847" s="20" t="n">
        <x:f>R847+V847</x:f>
        <x:v>39954.2975</x:v>
      </x:c>
      <x:c r="X847" s="14" t="str">
        <x:f>IF(ABS(W847-SUM(M847:Q847)-V847)&lt;0.01,"OK","Check")</x:f>
        <x:v>OK</x:v>
      </x:c>
    </x:row>
    <x:row r="848">
      <x:c r="A848" s="14" t="n">
        <x:v>2028</x:v>
      </x:c>
      <x:c r="B848" s="14" t="str">
        <x:v>Q3</x:v>
      </x:c>
      <x:c r="C848" s="14" t="n">
        <x:v>3</x:v>
      </x:c>
      <x:c r="D848" s="14" t="n">
        <x:v>5</x:v>
      </x:c>
      <x:c r="E848" s="14" t="str">
        <x:f>INDEX(Roster!$B$6:$B$108,MATCH(D848,Roster!$A$6:$A$108,0))</x:f>
        <x:v>Associate Principal</x:v>
      </x:c>
      <x:c r="F848" s="14" t="str">
        <x:f>INDEX(Roster!$F$6:$F$108,MATCH(D848,Roster!$A$6:$A$108,0))</x:f>
        <x:v>Yes</x:v>
      </x:c>
      <x:c r="G848" s="14" t="n">
        <x:f>INDEX(Inputs!$B$7:$D$7,1,MATCH(A848,Inputs!$B$6:$D$6,0))</x:f>
        <x:v>13</x:v>
      </x:c>
      <x:c r="H848" s="14" t="n">
        <x:f>MIN(=INDEX(Inputs!$B$7:$D$7,1,MATCH(A848,Inputs!$B$6:$D$6,0)),MAX(0,INDEX(Inputs!$B$14:$D$14,1,MATCH(A848,Inputs!$B$6:$D$6,0))-(C848-1)*=INDEX(Inputs!$B$7:$D$7,1,MATCH(A848,Inputs!$B$6:$D$6,0))))</x:f>
        <x:v>13</x:v>
      </x:c>
      <x:c r="I848" s="20" t="n">
        <x:f>INDEX(Inputs!$B$8:$D$8,1,MATCH(A848,Inputs!$B$6:$D$6,0))</x:f>
        <x:v>2395</x:v>
      </x:c>
      <x:c r="J848" s="20" t="n">
        <x:f>INDEX(Roster!$C$6:$C$108,MATCH(D848,Roster!$A$6:$A$108,0))*(1+INDEX(Inputs!$B$9:$D$9,1,MATCH(A848,Inputs!$B$6:$D$6,0)))</x:f>
        <x:v>350</x:v>
      </x:c>
      <x:c r="K848" s="20" t="n">
        <x:f>IF(=INDEX(Roster!$F$6:$F$108,MATCH(D848,Roster!$A$6:$A$108,0))="Yes",0,=INDEX(Inputs!$B$8:$D$8,1,MATCH(A848,Inputs!$B$6:$D$6,0))*IF(=INDEX(Roster!$B$6:$B$108,MATCH(D848,Roster!$A$6:$A$108,0))="Principal",INDEX(Inputs!$B$10:$D$10,1,MATCH(A848,Inputs!$B$6:$D$6,0)),IF(=INDEX(Roster!$B$6:$B$108,MATCH(D848,Roster!$A$6:$A$108,0))="Associate Principal",INDEX(Inputs!$B$11:$D$11,1,MATCH(A848,Inputs!$B$6:$D$6,0)),IF(=INDEX(Roster!$B$6:$B$108,MATCH(D848,Roster!$A$6:$A$108,0))="Assistant Principal",INDEX(Inputs!$B$12:$D$12,1,MATCH(A848,Inputs!$B$6:$D$6,0)),0))))</x:f>
        <x:v>0</x:v>
      </x:c>
      <x:c r="L848" s="20" t="n">
        <x:f>IF(INDEX(Roster!$D$6:$D$108,MATCH(D848,Roster!$A$6:$A$108,0))&gt;=25,INDEX(Inputs!$B$19:$D$19,1,MATCH(A848,Inputs!$B$6:$D$6,0)),IF(INDEX(Roster!$D$6:$D$108,MATCH(D848,Roster!$A$6:$A$108,0))&gt;=20,INDEX(Inputs!$B$18:$D$18,1,MATCH(A848,Inputs!$B$6:$D$6,0)),IF(INDEX(Roster!$D$6:$D$108,MATCH(D848,Roster!$A$6:$A$108,0))&gt;=15,INDEX(Inputs!$B$17:$D$17,1,MATCH(A848,Inputs!$B$6:$D$6,0)),IF(INDEX(Roster!$D$6:$D$108,MATCH(D848,Roster!$A$6:$A$108,0))&gt;=10,INDEX(Inputs!$B$16:$D$16,1,MATCH(A848,Inputs!$B$6:$D$6,0)),IF(INDEX(Roster!$D$6:$D$108,MATCH(D848,Roster!$A$6:$A$108,0))&gt;=5,INDEX(Inputs!$B$15:$D$15,1,MATCH(A848,Inputs!$B$6:$D$6,0)),0)))))</x:f>
        <x:v>80</x:v>
      </x:c>
      <x:c r="M848" s="20" t="n">
        <x:f>G848*I848</x:f>
        <x:v>31135</x:v>
      </x:c>
      <x:c r="N848" s="20" t="n">
        <x:f>G848*J848</x:f>
        <x:v>4550</x:v>
      </x:c>
      <x:c r="O848" s="20" t="n">
        <x:f>G848*K848</x:f>
        <x:v>0</x:v>
      </x:c>
      <x:c r="P848" s="20" t="n">
        <x:f>G848*L848</x:f>
        <x:v>1040</x:v>
      </x:c>
      <x:c r="Q848" s="20" t="n">
        <x:f>H848*INDEX(Inputs!$B$13:$D$13,1,MATCH(A848,Inputs!$B$6:$D$6,0))</x:f>
        <x:v>390</x:v>
      </x:c>
      <x:c r="R848" s="20" t="n">
        <x:f>SUM(M848:Q848)</x:f>
        <x:v>37115</x:v>
      </x:c>
      <x:c r="S848" s="20" t="n">
        <x:f>IF(AND(A847=A848,D847=D848),S847+R848,R848)</x:f>
        <x:v>111345</x:v>
      </x:c>
      <x:c r="T848" s="20" t="n">
        <x:f>MIN(S848,INDEX(Inputs!$B$20:$D$20,1,MATCH(A848,Inputs!$B$6:$D$6,0)))*INDEX(Inputs!$B$22:$D$22,1,MATCH(A848,Inputs!$B$6:$D$6,0))+MAX(MIN(S848,INDEX(Inputs!$B$21:$D$21,1,MATCH(A848,Inputs!$B$6:$D$6,0)))-INDEX(Inputs!$B$20:$D$20,1,MATCH(A848,Inputs!$B$6:$D$6,0)),0)*INDEX(Inputs!$B$23:$D$23,1,MATCH(A848,Inputs!$B$6:$D$6,0))+MAX(S848-INDEX(Inputs!$B$21:$D$21,1,MATCH(A848,Inputs!$B$6:$D$6,0)),0)*INDEX(Inputs!$B$24:$D$24,1,MATCH(A848,Inputs!$B$6:$D$6,0))</x:f>
        <x:v>9007.8925</x:v>
      </x:c>
      <x:c r="U848" s="20" t="n">
        <x:f>IF(AND(A847=A848,D847=D848),T847,0)</x:f>
        <x:v>6168.595</x:v>
      </x:c>
      <x:c r="V848" s="20" t="n">
        <x:f>T848-U848</x:f>
        <x:v>2839.2974999999997</x:v>
      </x:c>
      <x:c r="W848" s="20" t="n">
        <x:f>R848+V848</x:f>
        <x:v>39954.2975</x:v>
      </x:c>
      <x:c r="X848" s="14" t="str">
        <x:f>IF(ABS(W848-SUM(M848:Q848)-V848)&lt;0.01,"OK","Check")</x:f>
        <x:v>OK</x:v>
      </x:c>
    </x:row>
    <x:row r="849">
      <x:c r="A849" s="14" t="n">
        <x:v>2028</x:v>
      </x:c>
      <x:c r="B849" s="14" t="str">
        <x:v>Q4</x:v>
      </x:c>
      <x:c r="C849" s="14" t="n">
        <x:v>4</x:v>
      </x:c>
      <x:c r="D849" s="14" t="n">
        <x:v>5</x:v>
      </x:c>
      <x:c r="E849" s="14" t="str">
        <x:f>INDEX(Roster!$B$6:$B$108,MATCH(D849,Roster!$A$6:$A$108,0))</x:f>
        <x:v>Associate Principal</x:v>
      </x:c>
      <x:c r="F849" s="14" t="str">
        <x:f>INDEX(Roster!$F$6:$F$108,MATCH(D849,Roster!$A$6:$A$108,0))</x:f>
        <x:v>Yes</x:v>
      </x:c>
      <x:c r="G849" s="14" t="n">
        <x:f>INDEX(Inputs!$B$7:$D$7,1,MATCH(A849,Inputs!$B$6:$D$6,0))</x:f>
        <x:v>13</x:v>
      </x:c>
      <x:c r="H849" s="14" t="n">
        <x:f>MIN(=INDEX(Inputs!$B$7:$D$7,1,MATCH(A849,Inputs!$B$6:$D$6,0)),MAX(0,INDEX(Inputs!$B$14:$D$14,1,MATCH(A849,Inputs!$B$6:$D$6,0))-(C849-1)*=INDEX(Inputs!$B$7:$D$7,1,MATCH(A849,Inputs!$B$6:$D$6,0))))</x:f>
        <x:v>0</x:v>
      </x:c>
      <x:c r="I849" s="20" t="n">
        <x:f>INDEX(Inputs!$B$8:$D$8,1,MATCH(A849,Inputs!$B$6:$D$6,0))</x:f>
        <x:v>2395</x:v>
      </x:c>
      <x:c r="J849" s="20" t="n">
        <x:f>INDEX(Roster!$C$6:$C$108,MATCH(D849,Roster!$A$6:$A$108,0))*(1+INDEX(Inputs!$B$9:$D$9,1,MATCH(A849,Inputs!$B$6:$D$6,0)))</x:f>
        <x:v>350</x:v>
      </x:c>
      <x:c r="K849" s="20" t="n">
        <x:f>IF(=INDEX(Roster!$F$6:$F$108,MATCH(D849,Roster!$A$6:$A$108,0))="Yes",0,=INDEX(Inputs!$B$8:$D$8,1,MATCH(A849,Inputs!$B$6:$D$6,0))*IF(=INDEX(Roster!$B$6:$B$108,MATCH(D849,Roster!$A$6:$A$108,0))="Principal",INDEX(Inputs!$B$10:$D$10,1,MATCH(A849,Inputs!$B$6:$D$6,0)),IF(=INDEX(Roster!$B$6:$B$108,MATCH(D849,Roster!$A$6:$A$108,0))="Associate Principal",INDEX(Inputs!$B$11:$D$11,1,MATCH(A849,Inputs!$B$6:$D$6,0)),IF(=INDEX(Roster!$B$6:$B$108,MATCH(D849,Roster!$A$6:$A$108,0))="Assistant Principal",INDEX(Inputs!$B$12:$D$12,1,MATCH(A849,Inputs!$B$6:$D$6,0)),0))))</x:f>
        <x:v>0</x:v>
      </x:c>
      <x:c r="L849" s="20" t="n">
        <x:f>IF(INDEX(Roster!$D$6:$D$108,MATCH(D849,Roster!$A$6:$A$108,0))&gt;=25,INDEX(Inputs!$B$19:$D$19,1,MATCH(A849,Inputs!$B$6:$D$6,0)),IF(INDEX(Roster!$D$6:$D$108,MATCH(D849,Roster!$A$6:$A$108,0))&gt;=20,INDEX(Inputs!$B$18:$D$18,1,MATCH(A849,Inputs!$B$6:$D$6,0)),IF(INDEX(Roster!$D$6:$D$108,MATCH(D849,Roster!$A$6:$A$108,0))&gt;=15,INDEX(Inputs!$B$17:$D$17,1,MATCH(A849,Inputs!$B$6:$D$6,0)),IF(INDEX(Roster!$D$6:$D$108,MATCH(D849,Roster!$A$6:$A$108,0))&gt;=10,INDEX(Inputs!$B$16:$D$16,1,MATCH(A849,Inputs!$B$6:$D$6,0)),IF(INDEX(Roster!$D$6:$D$108,MATCH(D849,Roster!$A$6:$A$108,0))&gt;=5,INDEX(Inputs!$B$15:$D$15,1,MATCH(A849,Inputs!$B$6:$D$6,0)),0)))))</x:f>
        <x:v>80</x:v>
      </x:c>
      <x:c r="M849" s="20" t="n">
        <x:f>G849*I849</x:f>
        <x:v>31135</x:v>
      </x:c>
      <x:c r="N849" s="20" t="n">
        <x:f>G849*J849</x:f>
        <x:v>4550</x:v>
      </x:c>
      <x:c r="O849" s="20" t="n">
        <x:f>G849*K849</x:f>
        <x:v>0</x:v>
      </x:c>
      <x:c r="P849" s="20" t="n">
        <x:f>G849*L849</x:f>
        <x:v>1040</x:v>
      </x:c>
      <x:c r="Q849" s="20" t="n">
        <x:f>H849*INDEX(Inputs!$B$13:$D$13,1,MATCH(A849,Inputs!$B$6:$D$6,0))</x:f>
        <x:v>0</x:v>
      </x:c>
      <x:c r="R849" s="20" t="n">
        <x:f>SUM(M849:Q849)</x:f>
        <x:v>36725</x:v>
      </x:c>
      <x:c r="S849" s="20" t="n">
        <x:f>IF(AND(A848=A849,D848=D849),S848+R849,R849)</x:f>
        <x:v>148070</x:v>
      </x:c>
      <x:c r="T849" s="20" t="n">
        <x:f>MIN(S849,INDEX(Inputs!$B$20:$D$20,1,MATCH(A849,Inputs!$B$6:$D$6,0)))*INDEX(Inputs!$B$22:$D$22,1,MATCH(A849,Inputs!$B$6:$D$6,0))+MAX(MIN(S849,INDEX(Inputs!$B$21:$D$21,1,MATCH(A849,Inputs!$B$6:$D$6,0)))-INDEX(Inputs!$B$20:$D$20,1,MATCH(A849,Inputs!$B$6:$D$6,0)),0)*INDEX(Inputs!$B$23:$D$23,1,MATCH(A849,Inputs!$B$6:$D$6,0))+MAX(S849-INDEX(Inputs!$B$21:$D$21,1,MATCH(A849,Inputs!$B$6:$D$6,0)),0)*INDEX(Inputs!$B$24:$D$24,1,MATCH(A849,Inputs!$B$6:$D$6,0))</x:f>
        <x:v>10060.957</x:v>
      </x:c>
      <x:c r="U849" s="20" t="n">
        <x:f>IF(AND(A848=A849,D848=D849),T848,0)</x:f>
        <x:v>9007.8925</x:v>
      </x:c>
      <x:c r="V849" s="20" t="n">
        <x:f>T849-U849</x:f>
        <x:v>1053.0645000000004</x:v>
      </x:c>
      <x:c r="W849" s="20" t="n">
        <x:f>R849+V849</x:f>
        <x:v>37778.0645</x:v>
      </x:c>
      <x:c r="X849" s="14" t="str">
        <x:f>IF(ABS(W849-SUM(M849:Q849)-V849)&lt;0.01,"OK","Check")</x:f>
        <x:v>OK</x:v>
      </x:c>
    </x:row>
    <x:row r="850">
      <x:c r="A850" s="14" t="n">
        <x:v>2028</x:v>
      </x:c>
      <x:c r="B850" s="14" t="str">
        <x:v>Q1</x:v>
      </x:c>
      <x:c r="C850" s="14" t="n">
        <x:v>1</x:v>
      </x:c>
      <x:c r="D850" s="14" t="n">
        <x:v>6</x:v>
      </x:c>
      <x:c r="E850" s="14" t="str">
        <x:f>INDEX(Roster!$B$6:$B$108,MATCH(D850,Roster!$A$6:$A$108,0))</x:f>
        <x:v>Principal</x:v>
      </x:c>
      <x:c r="F850" s="14" t="str">
        <x:f>INDEX(Roster!$F$6:$F$108,MATCH(D850,Roster!$A$6:$A$108,0))</x:f>
        <x:v>No</x:v>
      </x:c>
      <x:c r="G850" s="14" t="n">
        <x:f>INDEX(Inputs!$B$7:$D$7,1,MATCH(A850,Inputs!$B$6:$D$6,0))</x:f>
        <x:v>13</x:v>
      </x:c>
      <x:c r="H850" s="14" t="n">
        <x:f>MIN(=INDEX(Inputs!$B$7:$D$7,1,MATCH(A850,Inputs!$B$6:$D$6,0)),MAX(0,INDEX(Inputs!$B$14:$D$14,1,MATCH(A850,Inputs!$B$6:$D$6,0))-(C850-1)*=INDEX(Inputs!$B$7:$D$7,1,MATCH(A850,Inputs!$B$6:$D$6,0))))</x:f>
        <x:v>13</x:v>
      </x:c>
      <x:c r="I850" s="20" t="n">
        <x:f>INDEX(Inputs!$B$8:$D$8,1,MATCH(A850,Inputs!$B$6:$D$6,0))</x:f>
        <x:v>2395</x:v>
      </x:c>
      <x:c r="J850" s="20" t="n">
        <x:f>INDEX(Roster!$C$6:$C$108,MATCH(D850,Roster!$A$6:$A$108,0))*(1+INDEX(Inputs!$B$9:$D$9,1,MATCH(A850,Inputs!$B$6:$D$6,0)))</x:f>
        <x:v>1500</x:v>
      </x:c>
      <x:c r="K850" s="20" t="n">
        <x:f>IF(=INDEX(Roster!$F$6:$F$108,MATCH(D850,Roster!$A$6:$A$108,0))="Yes",0,=INDEX(Inputs!$B$8:$D$8,1,MATCH(A850,Inputs!$B$6:$D$6,0))*IF(=INDEX(Roster!$B$6:$B$108,MATCH(D850,Roster!$A$6:$A$108,0))="Principal",INDEX(Inputs!$B$10:$D$10,1,MATCH(A850,Inputs!$B$6:$D$6,0)),IF(=INDEX(Roster!$B$6:$B$108,MATCH(D850,Roster!$A$6:$A$108,0))="Associate Principal",INDEX(Inputs!$B$11:$D$11,1,MATCH(A850,Inputs!$B$6:$D$6,0)),IF(=INDEX(Roster!$B$6:$B$108,MATCH(D850,Roster!$A$6:$A$108,0))="Assistant Principal",INDEX(Inputs!$B$12:$D$12,1,MATCH(A850,Inputs!$B$6:$D$6,0)),0))))</x:f>
        <x:v>479</x:v>
      </x:c>
      <x:c r="L850" s="20" t="n">
        <x:f>IF(INDEX(Roster!$D$6:$D$108,MATCH(D850,Roster!$A$6:$A$108,0))&gt;=25,INDEX(Inputs!$B$19:$D$19,1,MATCH(A850,Inputs!$B$6:$D$6,0)),IF(INDEX(Roster!$D$6:$D$108,MATCH(D850,Roster!$A$6:$A$108,0))&gt;=20,INDEX(Inputs!$B$18:$D$18,1,MATCH(A850,Inputs!$B$6:$D$6,0)),IF(INDEX(Roster!$D$6:$D$108,MATCH(D850,Roster!$A$6:$A$108,0))&gt;=15,INDEX(Inputs!$B$17:$D$17,1,MATCH(A850,Inputs!$B$6:$D$6,0)),IF(INDEX(Roster!$D$6:$D$108,MATCH(D850,Roster!$A$6:$A$108,0))&gt;=10,INDEX(Inputs!$B$16:$D$16,1,MATCH(A850,Inputs!$B$6:$D$6,0)),IF(INDEX(Roster!$D$6:$D$108,MATCH(D850,Roster!$A$6:$A$108,0))&gt;=5,INDEX(Inputs!$B$15:$D$15,1,MATCH(A850,Inputs!$B$6:$D$6,0)),0)))))</x:f>
        <x:v>60</x:v>
      </x:c>
      <x:c r="M850" s="20" t="n">
        <x:f>G850*I850</x:f>
        <x:v>31135</x:v>
      </x:c>
      <x:c r="N850" s="20" t="n">
        <x:f>G850*J850</x:f>
        <x:v>19500</x:v>
      </x:c>
      <x:c r="O850" s="20" t="n">
        <x:f>G850*K850</x:f>
        <x:v>6227</x:v>
      </x:c>
      <x:c r="P850" s="20" t="n">
        <x:f>G850*L850</x:f>
        <x:v>780</x:v>
      </x:c>
      <x:c r="Q850" s="20" t="n">
        <x:f>H850*INDEX(Inputs!$B$13:$D$13,1,MATCH(A850,Inputs!$B$6:$D$6,0))</x:f>
        <x:v>390</x:v>
      </x:c>
      <x:c r="R850" s="20" t="n">
        <x:f>SUM(M850:Q850)</x:f>
        <x:v>58032</x:v>
      </x:c>
      <x:c r="S850" s="20" t="n">
        <x:f>IF(AND(A849=A850,D849=D850),S849+R850,R850)</x:f>
        <x:v>58032</x:v>
      </x:c>
      <x:c r="T850" s="20" t="n">
        <x:f>MIN(S850,INDEX(Inputs!$B$20:$D$20,1,MATCH(A850,Inputs!$B$6:$D$6,0)))*INDEX(Inputs!$B$22:$D$22,1,MATCH(A850,Inputs!$B$6:$D$6,0))+MAX(MIN(S850,INDEX(Inputs!$B$21:$D$21,1,MATCH(A850,Inputs!$B$6:$D$6,0)))-INDEX(Inputs!$B$20:$D$20,1,MATCH(A850,Inputs!$B$6:$D$6,0)),0)*INDEX(Inputs!$B$23:$D$23,1,MATCH(A850,Inputs!$B$6:$D$6,0))+MAX(S850-INDEX(Inputs!$B$21:$D$21,1,MATCH(A850,Inputs!$B$6:$D$6,0)),0)*INDEX(Inputs!$B$24:$D$24,1,MATCH(A850,Inputs!$B$6:$D$6,0))</x:f>
        <x:v>4929.448</x:v>
      </x:c>
      <x:c r="U850" s="20" t="n">
        <x:f>IF(AND(A849=A850,D849=D850),T849,0)</x:f>
        <x:v>0</x:v>
      </x:c>
      <x:c r="V850" s="20" t="n">
        <x:f>T850-U850</x:f>
        <x:v>4929.448</x:v>
      </x:c>
      <x:c r="W850" s="20" t="n">
        <x:f>R850+V850</x:f>
        <x:v>62961.448000000004</x:v>
      </x:c>
      <x:c r="X850" s="14" t="str">
        <x:f>IF(ABS(W850-SUM(M850:Q850)-V850)&lt;0.01,"OK","Check")</x:f>
        <x:v>OK</x:v>
      </x:c>
    </x:row>
    <x:row r="851">
      <x:c r="A851" s="14" t="n">
        <x:v>2028</x:v>
      </x:c>
      <x:c r="B851" s="14" t="str">
        <x:v>Q2</x:v>
      </x:c>
      <x:c r="C851" s="14" t="n">
        <x:v>2</x:v>
      </x:c>
      <x:c r="D851" s="14" t="n">
        <x:v>6</x:v>
      </x:c>
      <x:c r="E851" s="14" t="str">
        <x:f>INDEX(Roster!$B$6:$B$108,MATCH(D851,Roster!$A$6:$A$108,0))</x:f>
        <x:v>Principal</x:v>
      </x:c>
      <x:c r="F851" s="14" t="str">
        <x:f>INDEX(Roster!$F$6:$F$108,MATCH(D851,Roster!$A$6:$A$108,0))</x:f>
        <x:v>No</x:v>
      </x:c>
      <x:c r="G851" s="14" t="n">
        <x:f>INDEX(Inputs!$B$7:$D$7,1,MATCH(A851,Inputs!$B$6:$D$6,0))</x:f>
        <x:v>13</x:v>
      </x:c>
      <x:c r="H851" s="14" t="n">
        <x:f>MIN(=INDEX(Inputs!$B$7:$D$7,1,MATCH(A851,Inputs!$B$6:$D$6,0)),MAX(0,INDEX(Inputs!$B$14:$D$14,1,MATCH(A851,Inputs!$B$6:$D$6,0))-(C851-1)*=INDEX(Inputs!$B$7:$D$7,1,MATCH(A851,Inputs!$B$6:$D$6,0))))</x:f>
        <x:v>13</x:v>
      </x:c>
      <x:c r="I851" s="20" t="n">
        <x:f>INDEX(Inputs!$B$8:$D$8,1,MATCH(A851,Inputs!$B$6:$D$6,0))</x:f>
        <x:v>2395</x:v>
      </x:c>
      <x:c r="J851" s="20" t="n">
        <x:f>INDEX(Roster!$C$6:$C$108,MATCH(D851,Roster!$A$6:$A$108,0))*(1+INDEX(Inputs!$B$9:$D$9,1,MATCH(A851,Inputs!$B$6:$D$6,0)))</x:f>
        <x:v>1500</x:v>
      </x:c>
      <x:c r="K851" s="20" t="n">
        <x:f>IF(=INDEX(Roster!$F$6:$F$108,MATCH(D851,Roster!$A$6:$A$108,0))="Yes",0,=INDEX(Inputs!$B$8:$D$8,1,MATCH(A851,Inputs!$B$6:$D$6,0))*IF(=INDEX(Roster!$B$6:$B$108,MATCH(D851,Roster!$A$6:$A$108,0))="Principal",INDEX(Inputs!$B$10:$D$10,1,MATCH(A851,Inputs!$B$6:$D$6,0)),IF(=INDEX(Roster!$B$6:$B$108,MATCH(D851,Roster!$A$6:$A$108,0))="Associate Principal",INDEX(Inputs!$B$11:$D$11,1,MATCH(A851,Inputs!$B$6:$D$6,0)),IF(=INDEX(Roster!$B$6:$B$108,MATCH(D851,Roster!$A$6:$A$108,0))="Assistant Principal",INDEX(Inputs!$B$12:$D$12,1,MATCH(A851,Inputs!$B$6:$D$6,0)),0))))</x:f>
        <x:v>479</x:v>
      </x:c>
      <x:c r="L851" s="20" t="n">
        <x:f>IF(INDEX(Roster!$D$6:$D$108,MATCH(D851,Roster!$A$6:$A$108,0))&gt;=25,INDEX(Inputs!$B$19:$D$19,1,MATCH(A851,Inputs!$B$6:$D$6,0)),IF(INDEX(Roster!$D$6:$D$108,MATCH(D851,Roster!$A$6:$A$108,0))&gt;=20,INDEX(Inputs!$B$18:$D$18,1,MATCH(A851,Inputs!$B$6:$D$6,0)),IF(INDEX(Roster!$D$6:$D$108,MATCH(D851,Roster!$A$6:$A$108,0))&gt;=15,INDEX(Inputs!$B$17:$D$17,1,MATCH(A851,Inputs!$B$6:$D$6,0)),IF(INDEX(Roster!$D$6:$D$108,MATCH(D851,Roster!$A$6:$A$108,0))&gt;=10,INDEX(Inputs!$B$16:$D$16,1,MATCH(A851,Inputs!$B$6:$D$6,0)),IF(INDEX(Roster!$D$6:$D$108,MATCH(D851,Roster!$A$6:$A$108,0))&gt;=5,INDEX(Inputs!$B$15:$D$15,1,MATCH(A851,Inputs!$B$6:$D$6,0)),0)))))</x:f>
        <x:v>60</x:v>
      </x:c>
      <x:c r="M851" s="20" t="n">
        <x:f>G851*I851</x:f>
        <x:v>31135</x:v>
      </x:c>
      <x:c r="N851" s="20" t="n">
        <x:f>G851*J851</x:f>
        <x:v>19500</x:v>
      </x:c>
      <x:c r="O851" s="20" t="n">
        <x:f>G851*K851</x:f>
        <x:v>6227</x:v>
      </x:c>
      <x:c r="P851" s="20" t="n">
        <x:f>G851*L851</x:f>
        <x:v>780</x:v>
      </x:c>
      <x:c r="Q851" s="20" t="n">
        <x:f>H851*INDEX(Inputs!$B$13:$D$13,1,MATCH(A851,Inputs!$B$6:$D$6,0))</x:f>
        <x:v>390</x:v>
      </x:c>
      <x:c r="R851" s="20" t="n">
        <x:f>SUM(M851:Q851)</x:f>
        <x:v>58032</x:v>
      </x:c>
      <x:c r="S851" s="20" t="n">
        <x:f>IF(AND(A850=A851,D850=D851),S850+R851,R851)</x:f>
        <x:v>116064</x:v>
      </x:c>
      <x:c r="T851" s="20" t="n">
        <x:f>MIN(S851,INDEX(Inputs!$B$20:$D$20,1,MATCH(A851,Inputs!$B$6:$D$6,0)))*INDEX(Inputs!$B$22:$D$22,1,MATCH(A851,Inputs!$B$6:$D$6,0))+MAX(MIN(S851,INDEX(Inputs!$B$21:$D$21,1,MATCH(A851,Inputs!$B$6:$D$6,0)))-INDEX(Inputs!$B$20:$D$20,1,MATCH(A851,Inputs!$B$6:$D$6,0)),0)*INDEX(Inputs!$B$23:$D$23,1,MATCH(A851,Inputs!$B$6:$D$6,0))+MAX(S851-INDEX(Inputs!$B$21:$D$21,1,MATCH(A851,Inputs!$B$6:$D$6,0)),0)*INDEX(Inputs!$B$24:$D$24,1,MATCH(A851,Inputs!$B$6:$D$6,0))</x:f>
        <x:v>9368.896</x:v>
      </x:c>
      <x:c r="U851" s="20" t="n">
        <x:f>IF(AND(A850=A851,D850=D851),T850,0)</x:f>
        <x:v>4929.448</x:v>
      </x:c>
      <x:c r="V851" s="20" t="n">
        <x:f>T851-U851</x:f>
        <x:v>4439.448</x:v>
      </x:c>
      <x:c r="W851" s="20" t="n">
        <x:f>R851+V851</x:f>
        <x:v>62471.448000000004</x:v>
      </x:c>
      <x:c r="X851" s="14" t="str">
        <x:f>IF(ABS(W851-SUM(M851:Q851)-V851)&lt;0.01,"OK","Check")</x:f>
        <x:v>OK</x:v>
      </x:c>
    </x:row>
    <x:row r="852">
      <x:c r="A852" s="14" t="n">
        <x:v>2028</x:v>
      </x:c>
      <x:c r="B852" s="14" t="str">
        <x:v>Q3</x:v>
      </x:c>
      <x:c r="C852" s="14" t="n">
        <x:v>3</x:v>
      </x:c>
      <x:c r="D852" s="14" t="n">
        <x:v>6</x:v>
      </x:c>
      <x:c r="E852" s="14" t="str">
        <x:f>INDEX(Roster!$B$6:$B$108,MATCH(D852,Roster!$A$6:$A$108,0))</x:f>
        <x:v>Principal</x:v>
      </x:c>
      <x:c r="F852" s="14" t="str">
        <x:f>INDEX(Roster!$F$6:$F$108,MATCH(D852,Roster!$A$6:$A$108,0))</x:f>
        <x:v>No</x:v>
      </x:c>
      <x:c r="G852" s="14" t="n">
        <x:f>INDEX(Inputs!$B$7:$D$7,1,MATCH(A852,Inputs!$B$6:$D$6,0))</x:f>
        <x:v>13</x:v>
      </x:c>
      <x:c r="H852" s="14" t="n">
        <x:f>MIN(=INDEX(Inputs!$B$7:$D$7,1,MATCH(A852,Inputs!$B$6:$D$6,0)),MAX(0,INDEX(Inputs!$B$14:$D$14,1,MATCH(A852,Inputs!$B$6:$D$6,0))-(C852-1)*=INDEX(Inputs!$B$7:$D$7,1,MATCH(A852,Inputs!$B$6:$D$6,0))))</x:f>
        <x:v>13</x:v>
      </x:c>
      <x:c r="I852" s="20" t="n">
        <x:f>INDEX(Inputs!$B$8:$D$8,1,MATCH(A852,Inputs!$B$6:$D$6,0))</x:f>
        <x:v>2395</x:v>
      </x:c>
      <x:c r="J852" s="20" t="n">
        <x:f>INDEX(Roster!$C$6:$C$108,MATCH(D852,Roster!$A$6:$A$108,0))*(1+INDEX(Inputs!$B$9:$D$9,1,MATCH(A852,Inputs!$B$6:$D$6,0)))</x:f>
        <x:v>1500</x:v>
      </x:c>
      <x:c r="K852" s="20" t="n">
        <x:f>IF(=INDEX(Roster!$F$6:$F$108,MATCH(D852,Roster!$A$6:$A$108,0))="Yes",0,=INDEX(Inputs!$B$8:$D$8,1,MATCH(A852,Inputs!$B$6:$D$6,0))*IF(=INDEX(Roster!$B$6:$B$108,MATCH(D852,Roster!$A$6:$A$108,0))="Principal",INDEX(Inputs!$B$10:$D$10,1,MATCH(A852,Inputs!$B$6:$D$6,0)),IF(=INDEX(Roster!$B$6:$B$108,MATCH(D852,Roster!$A$6:$A$108,0))="Associate Principal",INDEX(Inputs!$B$11:$D$11,1,MATCH(A852,Inputs!$B$6:$D$6,0)),IF(=INDEX(Roster!$B$6:$B$108,MATCH(D852,Roster!$A$6:$A$108,0))="Assistant Principal",INDEX(Inputs!$B$12:$D$12,1,MATCH(A852,Inputs!$B$6:$D$6,0)),0))))</x:f>
        <x:v>479</x:v>
      </x:c>
      <x:c r="L852" s="20" t="n">
        <x:f>IF(INDEX(Roster!$D$6:$D$108,MATCH(D852,Roster!$A$6:$A$108,0))&gt;=25,INDEX(Inputs!$B$19:$D$19,1,MATCH(A852,Inputs!$B$6:$D$6,0)),IF(INDEX(Roster!$D$6:$D$108,MATCH(D852,Roster!$A$6:$A$108,0))&gt;=20,INDEX(Inputs!$B$18:$D$18,1,MATCH(A852,Inputs!$B$6:$D$6,0)),IF(INDEX(Roster!$D$6:$D$108,MATCH(D852,Roster!$A$6:$A$108,0))&gt;=15,INDEX(Inputs!$B$17:$D$17,1,MATCH(A852,Inputs!$B$6:$D$6,0)),IF(INDEX(Roster!$D$6:$D$108,MATCH(D852,Roster!$A$6:$A$108,0))&gt;=10,INDEX(Inputs!$B$16:$D$16,1,MATCH(A852,Inputs!$B$6:$D$6,0)),IF(INDEX(Roster!$D$6:$D$108,MATCH(D852,Roster!$A$6:$A$108,0))&gt;=5,INDEX(Inputs!$B$15:$D$15,1,MATCH(A852,Inputs!$B$6:$D$6,0)),0)))))</x:f>
        <x:v>60</x:v>
      </x:c>
      <x:c r="M852" s="20" t="n">
        <x:f>G852*I852</x:f>
        <x:v>31135</x:v>
      </x:c>
      <x:c r="N852" s="20" t="n">
        <x:f>G852*J852</x:f>
        <x:v>19500</x:v>
      </x:c>
      <x:c r="O852" s="20" t="n">
        <x:f>G852*K852</x:f>
        <x:v>6227</x:v>
      </x:c>
      <x:c r="P852" s="20" t="n">
        <x:f>G852*L852</x:f>
        <x:v>780</x:v>
      </x:c>
      <x:c r="Q852" s="20" t="n">
        <x:f>H852*INDEX(Inputs!$B$13:$D$13,1,MATCH(A852,Inputs!$B$6:$D$6,0))</x:f>
        <x:v>390</x:v>
      </x:c>
      <x:c r="R852" s="20" t="n">
        <x:f>SUM(M852:Q852)</x:f>
        <x:v>58032</x:v>
      </x:c>
      <x:c r="S852" s="20" t="n">
        <x:f>IF(AND(A851=A852,D851=D852),S851+R852,R852)</x:f>
        <x:v>174096</x:v>
      </x:c>
      <x:c r="T852" s="20" t="n">
        <x:f>MIN(S852,INDEX(Inputs!$B$20:$D$20,1,MATCH(A852,Inputs!$B$6:$D$6,0)))*INDEX(Inputs!$B$22:$D$22,1,MATCH(A852,Inputs!$B$6:$D$6,0))+MAX(MIN(S852,INDEX(Inputs!$B$21:$D$21,1,MATCH(A852,Inputs!$B$6:$D$6,0)))-INDEX(Inputs!$B$20:$D$20,1,MATCH(A852,Inputs!$B$6:$D$6,0)),0)*INDEX(Inputs!$B$23:$D$23,1,MATCH(A852,Inputs!$B$6:$D$6,0))+MAX(S852-INDEX(Inputs!$B$21:$D$21,1,MATCH(A852,Inputs!$B$6:$D$6,0)),0)*INDEX(Inputs!$B$24:$D$24,1,MATCH(A852,Inputs!$B$6:$D$6,0))</x:f>
        <x:v>10438.333999999999</x:v>
      </x:c>
      <x:c r="U852" s="20" t="n">
        <x:f>IF(AND(A851=A852,D851=D852),T851,0)</x:f>
        <x:v>9368.896</x:v>
      </x:c>
      <x:c r="V852" s="20" t="n">
        <x:f>T852-U852</x:f>
        <x:v>1069.4379999999983</x:v>
      </x:c>
      <x:c r="W852" s="20" t="n">
        <x:f>R852+V852</x:f>
        <x:v>59101.437999999995</x:v>
      </x:c>
      <x:c r="X852" s="14" t="str">
        <x:f>IF(ABS(W852-SUM(M852:Q852)-V852)&lt;0.01,"OK","Check")</x:f>
        <x:v>OK</x:v>
      </x:c>
    </x:row>
    <x:row r="853">
      <x:c r="A853" s="14" t="n">
        <x:v>2028</x:v>
      </x:c>
      <x:c r="B853" s="14" t="str">
        <x:v>Q4</x:v>
      </x:c>
      <x:c r="C853" s="14" t="n">
        <x:v>4</x:v>
      </x:c>
      <x:c r="D853" s="14" t="n">
        <x:v>6</x:v>
      </x:c>
      <x:c r="E853" s="14" t="str">
        <x:f>INDEX(Roster!$B$6:$B$108,MATCH(D853,Roster!$A$6:$A$108,0))</x:f>
        <x:v>Principal</x:v>
      </x:c>
      <x:c r="F853" s="14" t="str">
        <x:f>INDEX(Roster!$F$6:$F$108,MATCH(D853,Roster!$A$6:$A$108,0))</x:f>
        <x:v>No</x:v>
      </x:c>
      <x:c r="G853" s="14" t="n">
        <x:f>INDEX(Inputs!$B$7:$D$7,1,MATCH(A853,Inputs!$B$6:$D$6,0))</x:f>
        <x:v>13</x:v>
      </x:c>
      <x:c r="H853" s="14" t="n">
        <x:f>MIN(=INDEX(Inputs!$B$7:$D$7,1,MATCH(A853,Inputs!$B$6:$D$6,0)),MAX(0,INDEX(Inputs!$B$14:$D$14,1,MATCH(A853,Inputs!$B$6:$D$6,0))-(C853-1)*=INDEX(Inputs!$B$7:$D$7,1,MATCH(A853,Inputs!$B$6:$D$6,0))))</x:f>
        <x:v>0</x:v>
      </x:c>
      <x:c r="I853" s="20" t="n">
        <x:f>INDEX(Inputs!$B$8:$D$8,1,MATCH(A853,Inputs!$B$6:$D$6,0))</x:f>
        <x:v>2395</x:v>
      </x:c>
      <x:c r="J853" s="20" t="n">
        <x:f>INDEX(Roster!$C$6:$C$108,MATCH(D853,Roster!$A$6:$A$108,0))*(1+INDEX(Inputs!$B$9:$D$9,1,MATCH(A853,Inputs!$B$6:$D$6,0)))</x:f>
        <x:v>1500</x:v>
      </x:c>
      <x:c r="K853" s="20" t="n">
        <x:f>IF(=INDEX(Roster!$F$6:$F$108,MATCH(D853,Roster!$A$6:$A$108,0))="Yes",0,=INDEX(Inputs!$B$8:$D$8,1,MATCH(A853,Inputs!$B$6:$D$6,0))*IF(=INDEX(Roster!$B$6:$B$108,MATCH(D853,Roster!$A$6:$A$108,0))="Principal",INDEX(Inputs!$B$10:$D$10,1,MATCH(A853,Inputs!$B$6:$D$6,0)),IF(=INDEX(Roster!$B$6:$B$108,MATCH(D853,Roster!$A$6:$A$108,0))="Associate Principal",INDEX(Inputs!$B$11:$D$11,1,MATCH(A853,Inputs!$B$6:$D$6,0)),IF(=INDEX(Roster!$B$6:$B$108,MATCH(D853,Roster!$A$6:$A$108,0))="Assistant Principal",INDEX(Inputs!$B$12:$D$12,1,MATCH(A853,Inputs!$B$6:$D$6,0)),0))))</x:f>
        <x:v>479</x:v>
      </x:c>
      <x:c r="L853" s="20" t="n">
        <x:f>IF(INDEX(Roster!$D$6:$D$108,MATCH(D853,Roster!$A$6:$A$108,0))&gt;=25,INDEX(Inputs!$B$19:$D$19,1,MATCH(A853,Inputs!$B$6:$D$6,0)),IF(INDEX(Roster!$D$6:$D$108,MATCH(D853,Roster!$A$6:$A$108,0))&gt;=20,INDEX(Inputs!$B$18:$D$18,1,MATCH(A853,Inputs!$B$6:$D$6,0)),IF(INDEX(Roster!$D$6:$D$108,MATCH(D853,Roster!$A$6:$A$108,0))&gt;=15,INDEX(Inputs!$B$17:$D$17,1,MATCH(A853,Inputs!$B$6:$D$6,0)),IF(INDEX(Roster!$D$6:$D$108,MATCH(D853,Roster!$A$6:$A$108,0))&gt;=10,INDEX(Inputs!$B$16:$D$16,1,MATCH(A853,Inputs!$B$6:$D$6,0)),IF(INDEX(Roster!$D$6:$D$108,MATCH(D853,Roster!$A$6:$A$108,0))&gt;=5,INDEX(Inputs!$B$15:$D$15,1,MATCH(A853,Inputs!$B$6:$D$6,0)),0)))))</x:f>
        <x:v>60</x:v>
      </x:c>
      <x:c r="M853" s="20" t="n">
        <x:f>G853*I853</x:f>
        <x:v>31135</x:v>
      </x:c>
      <x:c r="N853" s="20" t="n">
        <x:f>G853*J853</x:f>
        <x:v>19500</x:v>
      </x:c>
      <x:c r="O853" s="20" t="n">
        <x:f>G853*K853</x:f>
        <x:v>6227</x:v>
      </x:c>
      <x:c r="P853" s="20" t="n">
        <x:f>G853*L853</x:f>
        <x:v>780</x:v>
      </x:c>
      <x:c r="Q853" s="20" t="n">
        <x:f>H853*INDEX(Inputs!$B$13:$D$13,1,MATCH(A853,Inputs!$B$6:$D$6,0))</x:f>
        <x:v>0</x:v>
      </x:c>
      <x:c r="R853" s="20" t="n">
        <x:f>SUM(M853:Q853)</x:f>
        <x:v>57642</x:v>
      </x:c>
      <x:c r="S853" s="20" t="n">
        <x:f>IF(AND(A852=A853,D852=D853),S852+R853,R853)</x:f>
        <x:v>231738</x:v>
      </x:c>
      <x:c r="T853" s="20" t="n">
        <x:f>MIN(S853,INDEX(Inputs!$B$20:$D$20,1,MATCH(A853,Inputs!$B$6:$D$6,0)))*INDEX(Inputs!$B$22:$D$22,1,MATCH(A853,Inputs!$B$6:$D$6,0))+MAX(MIN(S853,INDEX(Inputs!$B$21:$D$21,1,MATCH(A853,Inputs!$B$6:$D$6,0)))-INDEX(Inputs!$B$20:$D$20,1,MATCH(A853,Inputs!$B$6:$D$6,0)),0)*INDEX(Inputs!$B$23:$D$23,1,MATCH(A853,Inputs!$B$6:$D$6,0))+MAX(S853-INDEX(Inputs!$B$21:$D$21,1,MATCH(A853,Inputs!$B$6:$D$6,0)),0)*INDEX(Inputs!$B$24:$D$24,1,MATCH(A853,Inputs!$B$6:$D$6,0))</x:f>
        <x:v>11274.143</x:v>
      </x:c>
      <x:c r="U853" s="20" t="n">
        <x:f>IF(AND(A852=A853,D852=D853),T852,0)</x:f>
        <x:v>10438.333999999999</x:v>
      </x:c>
      <x:c r="V853" s="20" t="n">
        <x:f>T853-U853</x:f>
        <x:v>835.8090000000011</x:v>
      </x:c>
      <x:c r="W853" s="20" t="n">
        <x:f>R853+V853</x:f>
        <x:v>58477.809</x:v>
      </x:c>
      <x:c r="X853" s="14" t="str">
        <x:f>IF(ABS(W853-SUM(M853:Q853)-V853)&lt;0.01,"OK","Check")</x:f>
        <x:v>OK</x:v>
      </x:c>
    </x:row>
    <x:row r="854">
      <x:c r="A854" s="14" t="n">
        <x:v>2028</x:v>
      </x:c>
      <x:c r="B854" s="14" t="str">
        <x:v>Q1</x:v>
      </x:c>
      <x:c r="C854" s="14" t="n">
        <x:v>1</x:v>
      </x:c>
      <x:c r="D854" s="14" t="n">
        <x:v>7</x:v>
      </x:c>
      <x:c r="E854" s="14" t="str">
        <x:f>INDEX(Roster!$B$6:$B$108,MATCH(D854,Roster!$A$6:$A$108,0))</x:f>
        <x:v>Principal</x:v>
      </x:c>
      <x:c r="F854" s="14" t="str">
        <x:f>INDEX(Roster!$F$6:$F$108,MATCH(D854,Roster!$A$6:$A$108,0))</x:f>
        <x:v>No</x:v>
      </x:c>
      <x:c r="G854" s="14" t="n">
        <x:f>INDEX(Inputs!$B$7:$D$7,1,MATCH(A854,Inputs!$B$6:$D$6,0))</x:f>
        <x:v>13</x:v>
      </x:c>
      <x:c r="H854" s="14" t="n">
        <x:f>MIN(=INDEX(Inputs!$B$7:$D$7,1,MATCH(A854,Inputs!$B$6:$D$6,0)),MAX(0,INDEX(Inputs!$B$14:$D$14,1,MATCH(A854,Inputs!$B$6:$D$6,0))-(C854-1)*=INDEX(Inputs!$B$7:$D$7,1,MATCH(A854,Inputs!$B$6:$D$6,0))))</x:f>
        <x:v>13</x:v>
      </x:c>
      <x:c r="I854" s="20" t="n">
        <x:f>INDEX(Inputs!$B$8:$D$8,1,MATCH(A854,Inputs!$B$6:$D$6,0))</x:f>
        <x:v>2395</x:v>
      </x:c>
      <x:c r="J854" s="20" t="n">
        <x:f>INDEX(Roster!$C$6:$C$108,MATCH(D854,Roster!$A$6:$A$108,0))*(1+INDEX(Inputs!$B$9:$D$9,1,MATCH(A854,Inputs!$B$6:$D$6,0)))</x:f>
        <x:v>1400</x:v>
      </x:c>
      <x:c r="K854" s="20" t="n">
        <x:f>IF(=INDEX(Roster!$F$6:$F$108,MATCH(D854,Roster!$A$6:$A$108,0))="Yes",0,=INDEX(Inputs!$B$8:$D$8,1,MATCH(A854,Inputs!$B$6:$D$6,0))*IF(=INDEX(Roster!$B$6:$B$108,MATCH(D854,Roster!$A$6:$A$108,0))="Principal",INDEX(Inputs!$B$10:$D$10,1,MATCH(A854,Inputs!$B$6:$D$6,0)),IF(=INDEX(Roster!$B$6:$B$108,MATCH(D854,Roster!$A$6:$A$108,0))="Associate Principal",INDEX(Inputs!$B$11:$D$11,1,MATCH(A854,Inputs!$B$6:$D$6,0)),IF(=INDEX(Roster!$B$6:$B$108,MATCH(D854,Roster!$A$6:$A$108,0))="Assistant Principal",INDEX(Inputs!$B$12:$D$12,1,MATCH(A854,Inputs!$B$6:$D$6,0)),0))))</x:f>
        <x:v>479</x:v>
      </x:c>
      <x:c r="L854" s="20" t="n">
        <x:f>IF(INDEX(Roster!$D$6:$D$108,MATCH(D854,Roster!$A$6:$A$108,0))&gt;=25,INDEX(Inputs!$B$19:$D$19,1,MATCH(A854,Inputs!$B$6:$D$6,0)),IF(INDEX(Roster!$D$6:$D$108,MATCH(D854,Roster!$A$6:$A$108,0))&gt;=20,INDEX(Inputs!$B$18:$D$18,1,MATCH(A854,Inputs!$B$6:$D$6,0)),IF(INDEX(Roster!$D$6:$D$108,MATCH(D854,Roster!$A$6:$A$108,0))&gt;=15,INDEX(Inputs!$B$17:$D$17,1,MATCH(A854,Inputs!$B$6:$D$6,0)),IF(INDEX(Roster!$D$6:$D$108,MATCH(D854,Roster!$A$6:$A$108,0))&gt;=10,INDEX(Inputs!$B$16:$D$16,1,MATCH(A854,Inputs!$B$6:$D$6,0)),IF(INDEX(Roster!$D$6:$D$108,MATCH(D854,Roster!$A$6:$A$108,0))&gt;=5,INDEX(Inputs!$B$15:$D$15,1,MATCH(A854,Inputs!$B$6:$D$6,0)),0)))))</x:f>
        <x:v>50</x:v>
      </x:c>
      <x:c r="M854" s="20" t="n">
        <x:f>G854*I854</x:f>
        <x:v>31135</x:v>
      </x:c>
      <x:c r="N854" s="20" t="n">
        <x:f>G854*J854</x:f>
        <x:v>18200</x:v>
      </x:c>
      <x:c r="O854" s="20" t="n">
        <x:f>G854*K854</x:f>
        <x:v>6227</x:v>
      </x:c>
      <x:c r="P854" s="20" t="n">
        <x:f>G854*L854</x:f>
        <x:v>650</x:v>
      </x:c>
      <x:c r="Q854" s="20" t="n">
        <x:f>H854*INDEX(Inputs!$B$13:$D$13,1,MATCH(A854,Inputs!$B$6:$D$6,0))</x:f>
        <x:v>390</x:v>
      </x:c>
      <x:c r="R854" s="20" t="n">
        <x:f>SUM(M854:Q854)</x:f>
        <x:v>56602</x:v>
      </x:c>
      <x:c r="S854" s="20" t="n">
        <x:f>IF(AND(A853=A854,D853=D854),S853+R854,R854)</x:f>
        <x:v>56602</x:v>
      </x:c>
      <x:c r="T854" s="20" t="n">
        <x:f>MIN(S854,INDEX(Inputs!$B$20:$D$20,1,MATCH(A854,Inputs!$B$6:$D$6,0)))*INDEX(Inputs!$B$22:$D$22,1,MATCH(A854,Inputs!$B$6:$D$6,0))+MAX(MIN(S854,INDEX(Inputs!$B$21:$D$21,1,MATCH(A854,Inputs!$B$6:$D$6,0)))-INDEX(Inputs!$B$20:$D$20,1,MATCH(A854,Inputs!$B$6:$D$6,0)),0)*INDEX(Inputs!$B$23:$D$23,1,MATCH(A854,Inputs!$B$6:$D$6,0))+MAX(S854-INDEX(Inputs!$B$21:$D$21,1,MATCH(A854,Inputs!$B$6:$D$6,0)),0)*INDEX(Inputs!$B$24:$D$24,1,MATCH(A854,Inputs!$B$6:$D$6,0))</x:f>
        <x:v>4820.053</x:v>
      </x:c>
      <x:c r="U854" s="20" t="n">
        <x:f>IF(AND(A853=A854,D853=D854),T853,0)</x:f>
        <x:v>0</x:v>
      </x:c>
      <x:c r="V854" s="20" t="n">
        <x:f>T854-U854</x:f>
        <x:v>4820.053</x:v>
      </x:c>
      <x:c r="W854" s="20" t="n">
        <x:f>R854+V854</x:f>
        <x:v>61422.053</x:v>
      </x:c>
      <x:c r="X854" s="14" t="str">
        <x:f>IF(ABS(W854-SUM(M854:Q854)-V854)&lt;0.01,"OK","Check")</x:f>
        <x:v>OK</x:v>
      </x:c>
    </x:row>
    <x:row r="855">
      <x:c r="A855" s="14" t="n">
        <x:v>2028</x:v>
      </x:c>
      <x:c r="B855" s="14" t="str">
        <x:v>Q2</x:v>
      </x:c>
      <x:c r="C855" s="14" t="n">
        <x:v>2</x:v>
      </x:c>
      <x:c r="D855" s="14" t="n">
        <x:v>7</x:v>
      </x:c>
      <x:c r="E855" s="14" t="str">
        <x:f>INDEX(Roster!$B$6:$B$108,MATCH(D855,Roster!$A$6:$A$108,0))</x:f>
        <x:v>Principal</x:v>
      </x:c>
      <x:c r="F855" s="14" t="str">
        <x:f>INDEX(Roster!$F$6:$F$108,MATCH(D855,Roster!$A$6:$A$108,0))</x:f>
        <x:v>No</x:v>
      </x:c>
      <x:c r="G855" s="14" t="n">
        <x:f>INDEX(Inputs!$B$7:$D$7,1,MATCH(A855,Inputs!$B$6:$D$6,0))</x:f>
        <x:v>13</x:v>
      </x:c>
      <x:c r="H855" s="14" t="n">
        <x:f>MIN(=INDEX(Inputs!$B$7:$D$7,1,MATCH(A855,Inputs!$B$6:$D$6,0)),MAX(0,INDEX(Inputs!$B$14:$D$14,1,MATCH(A855,Inputs!$B$6:$D$6,0))-(C855-1)*=INDEX(Inputs!$B$7:$D$7,1,MATCH(A855,Inputs!$B$6:$D$6,0))))</x:f>
        <x:v>13</x:v>
      </x:c>
      <x:c r="I855" s="20" t="n">
        <x:f>INDEX(Inputs!$B$8:$D$8,1,MATCH(A855,Inputs!$B$6:$D$6,0))</x:f>
        <x:v>2395</x:v>
      </x:c>
      <x:c r="J855" s="20" t="n">
        <x:f>INDEX(Roster!$C$6:$C$108,MATCH(D855,Roster!$A$6:$A$108,0))*(1+INDEX(Inputs!$B$9:$D$9,1,MATCH(A855,Inputs!$B$6:$D$6,0)))</x:f>
        <x:v>1400</x:v>
      </x:c>
      <x:c r="K855" s="20" t="n">
        <x:f>IF(=INDEX(Roster!$F$6:$F$108,MATCH(D855,Roster!$A$6:$A$108,0))="Yes",0,=INDEX(Inputs!$B$8:$D$8,1,MATCH(A855,Inputs!$B$6:$D$6,0))*IF(=INDEX(Roster!$B$6:$B$108,MATCH(D855,Roster!$A$6:$A$108,0))="Principal",INDEX(Inputs!$B$10:$D$10,1,MATCH(A855,Inputs!$B$6:$D$6,0)),IF(=INDEX(Roster!$B$6:$B$108,MATCH(D855,Roster!$A$6:$A$108,0))="Associate Principal",INDEX(Inputs!$B$11:$D$11,1,MATCH(A855,Inputs!$B$6:$D$6,0)),IF(=INDEX(Roster!$B$6:$B$108,MATCH(D855,Roster!$A$6:$A$108,0))="Assistant Principal",INDEX(Inputs!$B$12:$D$12,1,MATCH(A855,Inputs!$B$6:$D$6,0)),0))))</x:f>
        <x:v>479</x:v>
      </x:c>
      <x:c r="L855" s="20" t="n">
        <x:f>IF(INDEX(Roster!$D$6:$D$108,MATCH(D855,Roster!$A$6:$A$108,0))&gt;=25,INDEX(Inputs!$B$19:$D$19,1,MATCH(A855,Inputs!$B$6:$D$6,0)),IF(INDEX(Roster!$D$6:$D$108,MATCH(D855,Roster!$A$6:$A$108,0))&gt;=20,INDEX(Inputs!$B$18:$D$18,1,MATCH(A855,Inputs!$B$6:$D$6,0)),IF(INDEX(Roster!$D$6:$D$108,MATCH(D855,Roster!$A$6:$A$108,0))&gt;=15,INDEX(Inputs!$B$17:$D$17,1,MATCH(A855,Inputs!$B$6:$D$6,0)),IF(INDEX(Roster!$D$6:$D$108,MATCH(D855,Roster!$A$6:$A$108,0))&gt;=10,INDEX(Inputs!$B$16:$D$16,1,MATCH(A855,Inputs!$B$6:$D$6,0)),IF(INDEX(Roster!$D$6:$D$108,MATCH(D855,Roster!$A$6:$A$108,0))&gt;=5,INDEX(Inputs!$B$15:$D$15,1,MATCH(A855,Inputs!$B$6:$D$6,0)),0)))))</x:f>
        <x:v>50</x:v>
      </x:c>
      <x:c r="M855" s="20" t="n">
        <x:f>G855*I855</x:f>
        <x:v>31135</x:v>
      </x:c>
      <x:c r="N855" s="20" t="n">
        <x:f>G855*J855</x:f>
        <x:v>18200</x:v>
      </x:c>
      <x:c r="O855" s="20" t="n">
        <x:f>G855*K855</x:f>
        <x:v>6227</x:v>
      </x:c>
      <x:c r="P855" s="20" t="n">
        <x:f>G855*L855</x:f>
        <x:v>650</x:v>
      </x:c>
      <x:c r="Q855" s="20" t="n">
        <x:f>H855*INDEX(Inputs!$B$13:$D$13,1,MATCH(A855,Inputs!$B$6:$D$6,0))</x:f>
        <x:v>390</x:v>
      </x:c>
      <x:c r="R855" s="20" t="n">
        <x:f>SUM(M855:Q855)</x:f>
        <x:v>56602</x:v>
      </x:c>
      <x:c r="S855" s="20" t="n">
        <x:f>IF(AND(A854=A855,D854=D855),S854+R855,R855)</x:f>
        <x:v>113204</x:v>
      </x:c>
      <x:c r="T855" s="20" t="n">
        <x:f>MIN(S855,INDEX(Inputs!$B$20:$D$20,1,MATCH(A855,Inputs!$B$6:$D$6,0)))*INDEX(Inputs!$B$22:$D$22,1,MATCH(A855,Inputs!$B$6:$D$6,0))+MAX(MIN(S855,INDEX(Inputs!$B$21:$D$21,1,MATCH(A855,Inputs!$B$6:$D$6,0)))-INDEX(Inputs!$B$20:$D$20,1,MATCH(A855,Inputs!$B$6:$D$6,0)),0)*INDEX(Inputs!$B$23:$D$23,1,MATCH(A855,Inputs!$B$6:$D$6,0))+MAX(S855-INDEX(Inputs!$B$21:$D$21,1,MATCH(A855,Inputs!$B$6:$D$6,0)),0)*INDEX(Inputs!$B$24:$D$24,1,MATCH(A855,Inputs!$B$6:$D$6,0))</x:f>
        <x:v>9150.106</x:v>
      </x:c>
      <x:c r="U855" s="20" t="n">
        <x:f>IF(AND(A854=A855,D854=D855),T854,0)</x:f>
        <x:v>4820.053</x:v>
      </x:c>
      <x:c r="V855" s="20" t="n">
        <x:f>T855-U855</x:f>
        <x:v>4330.053</x:v>
      </x:c>
      <x:c r="W855" s="20" t="n">
        <x:f>R855+V855</x:f>
        <x:v>60932.053</x:v>
      </x:c>
      <x:c r="X855" s="14" t="str">
        <x:f>IF(ABS(W855-SUM(M855:Q855)-V855)&lt;0.01,"OK","Check")</x:f>
        <x:v>OK</x:v>
      </x:c>
    </x:row>
    <x:row r="856">
      <x:c r="A856" s="14" t="n">
        <x:v>2028</x:v>
      </x:c>
      <x:c r="B856" s="14" t="str">
        <x:v>Q3</x:v>
      </x:c>
      <x:c r="C856" s="14" t="n">
        <x:v>3</x:v>
      </x:c>
      <x:c r="D856" s="14" t="n">
        <x:v>7</x:v>
      </x:c>
      <x:c r="E856" s="14" t="str">
        <x:f>INDEX(Roster!$B$6:$B$108,MATCH(D856,Roster!$A$6:$A$108,0))</x:f>
        <x:v>Principal</x:v>
      </x:c>
      <x:c r="F856" s="14" t="str">
        <x:f>INDEX(Roster!$F$6:$F$108,MATCH(D856,Roster!$A$6:$A$108,0))</x:f>
        <x:v>No</x:v>
      </x:c>
      <x:c r="G856" s="14" t="n">
        <x:f>INDEX(Inputs!$B$7:$D$7,1,MATCH(A856,Inputs!$B$6:$D$6,0))</x:f>
        <x:v>13</x:v>
      </x:c>
      <x:c r="H856" s="14" t="n">
        <x:f>MIN(=INDEX(Inputs!$B$7:$D$7,1,MATCH(A856,Inputs!$B$6:$D$6,0)),MAX(0,INDEX(Inputs!$B$14:$D$14,1,MATCH(A856,Inputs!$B$6:$D$6,0))-(C856-1)*=INDEX(Inputs!$B$7:$D$7,1,MATCH(A856,Inputs!$B$6:$D$6,0))))</x:f>
        <x:v>13</x:v>
      </x:c>
      <x:c r="I856" s="20" t="n">
        <x:f>INDEX(Inputs!$B$8:$D$8,1,MATCH(A856,Inputs!$B$6:$D$6,0))</x:f>
        <x:v>2395</x:v>
      </x:c>
      <x:c r="J856" s="20" t="n">
        <x:f>INDEX(Roster!$C$6:$C$108,MATCH(D856,Roster!$A$6:$A$108,0))*(1+INDEX(Inputs!$B$9:$D$9,1,MATCH(A856,Inputs!$B$6:$D$6,0)))</x:f>
        <x:v>1400</x:v>
      </x:c>
      <x:c r="K856" s="20" t="n">
        <x:f>IF(=INDEX(Roster!$F$6:$F$108,MATCH(D856,Roster!$A$6:$A$108,0))="Yes",0,=INDEX(Inputs!$B$8:$D$8,1,MATCH(A856,Inputs!$B$6:$D$6,0))*IF(=INDEX(Roster!$B$6:$B$108,MATCH(D856,Roster!$A$6:$A$108,0))="Principal",INDEX(Inputs!$B$10:$D$10,1,MATCH(A856,Inputs!$B$6:$D$6,0)),IF(=INDEX(Roster!$B$6:$B$108,MATCH(D856,Roster!$A$6:$A$108,0))="Associate Principal",INDEX(Inputs!$B$11:$D$11,1,MATCH(A856,Inputs!$B$6:$D$6,0)),IF(=INDEX(Roster!$B$6:$B$108,MATCH(D856,Roster!$A$6:$A$108,0))="Assistant Principal",INDEX(Inputs!$B$12:$D$12,1,MATCH(A856,Inputs!$B$6:$D$6,0)),0))))</x:f>
        <x:v>479</x:v>
      </x:c>
      <x:c r="L856" s="20" t="n">
        <x:f>IF(INDEX(Roster!$D$6:$D$108,MATCH(D856,Roster!$A$6:$A$108,0))&gt;=25,INDEX(Inputs!$B$19:$D$19,1,MATCH(A856,Inputs!$B$6:$D$6,0)),IF(INDEX(Roster!$D$6:$D$108,MATCH(D856,Roster!$A$6:$A$108,0))&gt;=20,INDEX(Inputs!$B$18:$D$18,1,MATCH(A856,Inputs!$B$6:$D$6,0)),IF(INDEX(Roster!$D$6:$D$108,MATCH(D856,Roster!$A$6:$A$108,0))&gt;=15,INDEX(Inputs!$B$17:$D$17,1,MATCH(A856,Inputs!$B$6:$D$6,0)),IF(INDEX(Roster!$D$6:$D$108,MATCH(D856,Roster!$A$6:$A$108,0))&gt;=10,INDEX(Inputs!$B$16:$D$16,1,MATCH(A856,Inputs!$B$6:$D$6,0)),IF(INDEX(Roster!$D$6:$D$108,MATCH(D856,Roster!$A$6:$A$108,0))&gt;=5,INDEX(Inputs!$B$15:$D$15,1,MATCH(A856,Inputs!$B$6:$D$6,0)),0)))))</x:f>
        <x:v>50</x:v>
      </x:c>
      <x:c r="M856" s="20" t="n">
        <x:f>G856*I856</x:f>
        <x:v>31135</x:v>
      </x:c>
      <x:c r="N856" s="20" t="n">
        <x:f>G856*J856</x:f>
        <x:v>18200</x:v>
      </x:c>
      <x:c r="O856" s="20" t="n">
        <x:f>G856*K856</x:f>
        <x:v>6227</x:v>
      </x:c>
      <x:c r="P856" s="20" t="n">
        <x:f>G856*L856</x:f>
        <x:v>650</x:v>
      </x:c>
      <x:c r="Q856" s="20" t="n">
        <x:f>H856*INDEX(Inputs!$B$13:$D$13,1,MATCH(A856,Inputs!$B$6:$D$6,0))</x:f>
        <x:v>390</x:v>
      </x:c>
      <x:c r="R856" s="20" t="n">
        <x:f>SUM(M856:Q856)</x:f>
        <x:v>56602</x:v>
      </x:c>
      <x:c r="S856" s="20" t="n">
        <x:f>IF(AND(A855=A856,D855=D856),S855+R856,R856)</x:f>
        <x:v>169806</x:v>
      </x:c>
      <x:c r="T856" s="20" t="n">
        <x:f>MIN(S856,INDEX(Inputs!$B$20:$D$20,1,MATCH(A856,Inputs!$B$6:$D$6,0)))*INDEX(Inputs!$B$22:$D$22,1,MATCH(A856,Inputs!$B$6:$D$6,0))+MAX(MIN(S856,INDEX(Inputs!$B$21:$D$21,1,MATCH(A856,Inputs!$B$6:$D$6,0)))-INDEX(Inputs!$B$20:$D$20,1,MATCH(A856,Inputs!$B$6:$D$6,0)),0)*INDEX(Inputs!$B$23:$D$23,1,MATCH(A856,Inputs!$B$6:$D$6,0))+MAX(S856-INDEX(Inputs!$B$21:$D$21,1,MATCH(A856,Inputs!$B$6:$D$6,0)),0)*INDEX(Inputs!$B$24:$D$24,1,MATCH(A856,Inputs!$B$6:$D$6,0))</x:f>
        <x:v>10376.128999999999</x:v>
      </x:c>
      <x:c r="U856" s="20" t="n">
        <x:f>IF(AND(A855=A856,D855=D856),T855,0)</x:f>
        <x:v>9150.106</x:v>
      </x:c>
      <x:c r="V856" s="20" t="n">
        <x:f>T856-U856</x:f>
        <x:v>1226.0229999999992</x:v>
      </x:c>
      <x:c r="W856" s="20" t="n">
        <x:f>R856+V856</x:f>
        <x:v>57828.023</x:v>
      </x:c>
      <x:c r="X856" s="14" t="str">
        <x:f>IF(ABS(W856-SUM(M856:Q856)-V856)&lt;0.01,"OK","Check")</x:f>
        <x:v>OK</x:v>
      </x:c>
    </x:row>
    <x:row r="857">
      <x:c r="A857" s="14" t="n">
        <x:v>2028</x:v>
      </x:c>
      <x:c r="B857" s="14" t="str">
        <x:v>Q4</x:v>
      </x:c>
      <x:c r="C857" s="14" t="n">
        <x:v>4</x:v>
      </x:c>
      <x:c r="D857" s="14" t="n">
        <x:v>7</x:v>
      </x:c>
      <x:c r="E857" s="14" t="str">
        <x:f>INDEX(Roster!$B$6:$B$108,MATCH(D857,Roster!$A$6:$A$108,0))</x:f>
        <x:v>Principal</x:v>
      </x:c>
      <x:c r="F857" s="14" t="str">
        <x:f>INDEX(Roster!$F$6:$F$108,MATCH(D857,Roster!$A$6:$A$108,0))</x:f>
        <x:v>No</x:v>
      </x:c>
      <x:c r="G857" s="14" t="n">
        <x:f>INDEX(Inputs!$B$7:$D$7,1,MATCH(A857,Inputs!$B$6:$D$6,0))</x:f>
        <x:v>13</x:v>
      </x:c>
      <x:c r="H857" s="14" t="n">
        <x:f>MIN(=INDEX(Inputs!$B$7:$D$7,1,MATCH(A857,Inputs!$B$6:$D$6,0)),MAX(0,INDEX(Inputs!$B$14:$D$14,1,MATCH(A857,Inputs!$B$6:$D$6,0))-(C857-1)*=INDEX(Inputs!$B$7:$D$7,1,MATCH(A857,Inputs!$B$6:$D$6,0))))</x:f>
        <x:v>0</x:v>
      </x:c>
      <x:c r="I857" s="20" t="n">
        <x:f>INDEX(Inputs!$B$8:$D$8,1,MATCH(A857,Inputs!$B$6:$D$6,0))</x:f>
        <x:v>2395</x:v>
      </x:c>
      <x:c r="J857" s="20" t="n">
        <x:f>INDEX(Roster!$C$6:$C$108,MATCH(D857,Roster!$A$6:$A$108,0))*(1+INDEX(Inputs!$B$9:$D$9,1,MATCH(A857,Inputs!$B$6:$D$6,0)))</x:f>
        <x:v>1400</x:v>
      </x:c>
      <x:c r="K857" s="20" t="n">
        <x:f>IF(=INDEX(Roster!$F$6:$F$108,MATCH(D857,Roster!$A$6:$A$108,0))="Yes",0,=INDEX(Inputs!$B$8:$D$8,1,MATCH(A857,Inputs!$B$6:$D$6,0))*IF(=INDEX(Roster!$B$6:$B$108,MATCH(D857,Roster!$A$6:$A$108,0))="Principal",INDEX(Inputs!$B$10:$D$10,1,MATCH(A857,Inputs!$B$6:$D$6,0)),IF(=INDEX(Roster!$B$6:$B$108,MATCH(D857,Roster!$A$6:$A$108,0))="Associate Principal",INDEX(Inputs!$B$11:$D$11,1,MATCH(A857,Inputs!$B$6:$D$6,0)),IF(=INDEX(Roster!$B$6:$B$108,MATCH(D857,Roster!$A$6:$A$108,0))="Assistant Principal",INDEX(Inputs!$B$12:$D$12,1,MATCH(A857,Inputs!$B$6:$D$6,0)),0))))</x:f>
        <x:v>479</x:v>
      </x:c>
      <x:c r="L857" s="20" t="n">
        <x:f>IF(INDEX(Roster!$D$6:$D$108,MATCH(D857,Roster!$A$6:$A$108,0))&gt;=25,INDEX(Inputs!$B$19:$D$19,1,MATCH(A857,Inputs!$B$6:$D$6,0)),IF(INDEX(Roster!$D$6:$D$108,MATCH(D857,Roster!$A$6:$A$108,0))&gt;=20,INDEX(Inputs!$B$18:$D$18,1,MATCH(A857,Inputs!$B$6:$D$6,0)),IF(INDEX(Roster!$D$6:$D$108,MATCH(D857,Roster!$A$6:$A$108,0))&gt;=15,INDEX(Inputs!$B$17:$D$17,1,MATCH(A857,Inputs!$B$6:$D$6,0)),IF(INDEX(Roster!$D$6:$D$108,MATCH(D857,Roster!$A$6:$A$108,0))&gt;=10,INDEX(Inputs!$B$16:$D$16,1,MATCH(A857,Inputs!$B$6:$D$6,0)),IF(INDEX(Roster!$D$6:$D$108,MATCH(D857,Roster!$A$6:$A$108,0))&gt;=5,INDEX(Inputs!$B$15:$D$15,1,MATCH(A857,Inputs!$B$6:$D$6,0)),0)))))</x:f>
        <x:v>50</x:v>
      </x:c>
      <x:c r="M857" s="20" t="n">
        <x:f>G857*I857</x:f>
        <x:v>31135</x:v>
      </x:c>
      <x:c r="N857" s="20" t="n">
        <x:f>G857*J857</x:f>
        <x:v>18200</x:v>
      </x:c>
      <x:c r="O857" s="20" t="n">
        <x:f>G857*K857</x:f>
        <x:v>6227</x:v>
      </x:c>
      <x:c r="P857" s="20" t="n">
        <x:f>G857*L857</x:f>
        <x:v>650</x:v>
      </x:c>
      <x:c r="Q857" s="20" t="n">
        <x:f>H857*INDEX(Inputs!$B$13:$D$13,1,MATCH(A857,Inputs!$B$6:$D$6,0))</x:f>
        <x:v>0</x:v>
      </x:c>
      <x:c r="R857" s="20" t="n">
        <x:f>SUM(M857:Q857)</x:f>
        <x:v>56212</x:v>
      </x:c>
      <x:c r="S857" s="20" t="n">
        <x:f>IF(AND(A856=A857,D856=D857),S856+R857,R857)</x:f>
        <x:v>226018</x:v>
      </x:c>
      <x:c r="T857" s="20" t="n">
        <x:f>MIN(S857,INDEX(Inputs!$B$20:$D$20,1,MATCH(A857,Inputs!$B$6:$D$6,0)))*INDEX(Inputs!$B$22:$D$22,1,MATCH(A857,Inputs!$B$6:$D$6,0))+MAX(MIN(S857,INDEX(Inputs!$B$21:$D$21,1,MATCH(A857,Inputs!$B$6:$D$6,0)))-INDEX(Inputs!$B$20:$D$20,1,MATCH(A857,Inputs!$B$6:$D$6,0)),0)*INDEX(Inputs!$B$23:$D$23,1,MATCH(A857,Inputs!$B$6:$D$6,0))+MAX(S857-INDEX(Inputs!$B$21:$D$21,1,MATCH(A857,Inputs!$B$6:$D$6,0)),0)*INDEX(Inputs!$B$24:$D$24,1,MATCH(A857,Inputs!$B$6:$D$6,0))</x:f>
        <x:v>11191.203</x:v>
      </x:c>
      <x:c r="U857" s="20" t="n">
        <x:f>IF(AND(A856=A857,D856=D857),T856,0)</x:f>
        <x:v>10376.128999999999</x:v>
      </x:c>
      <x:c r="V857" s="20" t="n">
        <x:f>T857-U857</x:f>
        <x:v>815.0740000000005</x:v>
      </x:c>
      <x:c r="W857" s="20" t="n">
        <x:f>R857+V857</x:f>
        <x:v>57027.074</x:v>
      </x:c>
      <x:c r="X857" s="14" t="str">
        <x:f>IF(ABS(W857-SUM(M857:Q857)-V857)&lt;0.01,"OK","Check")</x:f>
        <x:v>OK</x:v>
      </x:c>
    </x:row>
    <x:row r="858">
      <x:c r="A858" s="14" t="n">
        <x:v>2028</x:v>
      </x:c>
      <x:c r="B858" s="14" t="str">
        <x:v>Q1</x:v>
      </x:c>
      <x:c r="C858" s="14" t="n">
        <x:v>1</x:v>
      </x:c>
      <x:c r="D858" s="14" t="n">
        <x:v>8</x:v>
      </x:c>
      <x:c r="E858" s="14" t="str">
        <x:f>INDEX(Roster!$B$6:$B$108,MATCH(D858,Roster!$A$6:$A$108,0))</x:f>
        <x:v>Principal</x:v>
      </x:c>
      <x:c r="F858" s="14" t="str">
        <x:f>INDEX(Roster!$F$6:$F$108,MATCH(D858,Roster!$A$6:$A$108,0))</x:f>
        <x:v>No</x:v>
      </x:c>
      <x:c r="G858" s="14" t="n">
        <x:f>INDEX(Inputs!$B$7:$D$7,1,MATCH(A858,Inputs!$B$6:$D$6,0))</x:f>
        <x:v>13</x:v>
      </x:c>
      <x:c r="H858" s="14" t="n">
        <x:f>MIN(=INDEX(Inputs!$B$7:$D$7,1,MATCH(A858,Inputs!$B$6:$D$6,0)),MAX(0,INDEX(Inputs!$B$14:$D$14,1,MATCH(A858,Inputs!$B$6:$D$6,0))-(C858-1)*=INDEX(Inputs!$B$7:$D$7,1,MATCH(A858,Inputs!$B$6:$D$6,0))))</x:f>
        <x:v>13</x:v>
      </x:c>
      <x:c r="I858" s="20" t="n">
        <x:f>INDEX(Inputs!$B$8:$D$8,1,MATCH(A858,Inputs!$B$6:$D$6,0))</x:f>
        <x:v>2395</x:v>
      </x:c>
      <x:c r="J858" s="20" t="n">
        <x:f>INDEX(Roster!$C$6:$C$108,MATCH(D858,Roster!$A$6:$A$108,0))*(1+INDEX(Inputs!$B$9:$D$9,1,MATCH(A858,Inputs!$B$6:$D$6,0)))</x:f>
        <x:v>700</x:v>
      </x:c>
      <x:c r="K858" s="20" t="n">
        <x:f>IF(=INDEX(Roster!$F$6:$F$108,MATCH(D858,Roster!$A$6:$A$108,0))="Yes",0,=INDEX(Inputs!$B$8:$D$8,1,MATCH(A858,Inputs!$B$6:$D$6,0))*IF(=INDEX(Roster!$B$6:$B$108,MATCH(D858,Roster!$A$6:$A$108,0))="Principal",INDEX(Inputs!$B$10:$D$10,1,MATCH(A858,Inputs!$B$6:$D$6,0)),IF(=INDEX(Roster!$B$6:$B$108,MATCH(D858,Roster!$A$6:$A$108,0))="Associate Principal",INDEX(Inputs!$B$11:$D$11,1,MATCH(A858,Inputs!$B$6:$D$6,0)),IF(=INDEX(Roster!$B$6:$B$108,MATCH(D858,Roster!$A$6:$A$108,0))="Assistant Principal",INDEX(Inputs!$B$12:$D$12,1,MATCH(A858,Inputs!$B$6:$D$6,0)),0))))</x:f>
        <x:v>479</x:v>
      </x:c>
      <x:c r="L858" s="20" t="n">
        <x:f>IF(INDEX(Roster!$D$6:$D$108,MATCH(D858,Roster!$A$6:$A$108,0))&gt;=25,INDEX(Inputs!$B$19:$D$19,1,MATCH(A858,Inputs!$B$6:$D$6,0)),IF(INDEX(Roster!$D$6:$D$108,MATCH(D858,Roster!$A$6:$A$108,0))&gt;=20,INDEX(Inputs!$B$18:$D$18,1,MATCH(A858,Inputs!$B$6:$D$6,0)),IF(INDEX(Roster!$D$6:$D$108,MATCH(D858,Roster!$A$6:$A$108,0))&gt;=15,INDEX(Inputs!$B$17:$D$17,1,MATCH(A858,Inputs!$B$6:$D$6,0)),IF(INDEX(Roster!$D$6:$D$108,MATCH(D858,Roster!$A$6:$A$108,0))&gt;=10,INDEX(Inputs!$B$16:$D$16,1,MATCH(A858,Inputs!$B$6:$D$6,0)),IF(INDEX(Roster!$D$6:$D$108,MATCH(D858,Roster!$A$6:$A$108,0))&gt;=5,INDEX(Inputs!$B$15:$D$15,1,MATCH(A858,Inputs!$B$6:$D$6,0)),0)))))</x:f>
        <x:v>50</x:v>
      </x:c>
      <x:c r="M858" s="20" t="n">
        <x:f>G858*I858</x:f>
        <x:v>31135</x:v>
      </x:c>
      <x:c r="N858" s="20" t="n">
        <x:f>G858*J858</x:f>
        <x:v>9100</x:v>
      </x:c>
      <x:c r="O858" s="20" t="n">
        <x:f>G858*K858</x:f>
        <x:v>6227</x:v>
      </x:c>
      <x:c r="P858" s="20" t="n">
        <x:f>G858*L858</x:f>
        <x:v>650</x:v>
      </x:c>
      <x:c r="Q858" s="20" t="n">
        <x:f>H858*INDEX(Inputs!$B$13:$D$13,1,MATCH(A858,Inputs!$B$6:$D$6,0))</x:f>
        <x:v>390</x:v>
      </x:c>
      <x:c r="R858" s="20" t="n">
        <x:f>SUM(M858:Q858)</x:f>
        <x:v>47502</x:v>
      </x:c>
      <x:c r="S858" s="20" t="n">
        <x:f>IF(AND(A857=A858,D857=D858),S857+R858,R858)</x:f>
        <x:v>47502</x:v>
      </x:c>
      <x:c r="T858" s="20" t="n">
        <x:f>MIN(S858,INDEX(Inputs!$B$20:$D$20,1,MATCH(A858,Inputs!$B$6:$D$6,0)))*INDEX(Inputs!$B$22:$D$22,1,MATCH(A858,Inputs!$B$6:$D$6,0))+MAX(MIN(S858,INDEX(Inputs!$B$21:$D$21,1,MATCH(A858,Inputs!$B$6:$D$6,0)))-INDEX(Inputs!$B$20:$D$20,1,MATCH(A858,Inputs!$B$6:$D$6,0)),0)*INDEX(Inputs!$B$23:$D$23,1,MATCH(A858,Inputs!$B$6:$D$6,0))+MAX(S858-INDEX(Inputs!$B$21:$D$21,1,MATCH(A858,Inputs!$B$6:$D$6,0)),0)*INDEX(Inputs!$B$24:$D$24,1,MATCH(A858,Inputs!$B$6:$D$6,0))</x:f>
        <x:v>4123.903</x:v>
      </x:c>
      <x:c r="U858" s="20" t="n">
        <x:f>IF(AND(A857=A858,D857=D858),T857,0)</x:f>
        <x:v>0</x:v>
      </x:c>
      <x:c r="V858" s="20" t="n">
        <x:f>T858-U858</x:f>
        <x:v>4123.903</x:v>
      </x:c>
      <x:c r="W858" s="20" t="n">
        <x:f>R858+V858</x:f>
        <x:v>51625.903</x:v>
      </x:c>
      <x:c r="X858" s="14" t="str">
        <x:f>IF(ABS(W858-SUM(M858:Q858)-V858)&lt;0.01,"OK","Check")</x:f>
        <x:v>OK</x:v>
      </x:c>
    </x:row>
    <x:row r="859">
      <x:c r="A859" s="14" t="n">
        <x:v>2028</x:v>
      </x:c>
      <x:c r="B859" s="14" t="str">
        <x:v>Q2</x:v>
      </x:c>
      <x:c r="C859" s="14" t="n">
        <x:v>2</x:v>
      </x:c>
      <x:c r="D859" s="14" t="n">
        <x:v>8</x:v>
      </x:c>
      <x:c r="E859" s="14" t="str">
        <x:f>INDEX(Roster!$B$6:$B$108,MATCH(D859,Roster!$A$6:$A$108,0))</x:f>
        <x:v>Principal</x:v>
      </x:c>
      <x:c r="F859" s="14" t="str">
        <x:f>INDEX(Roster!$F$6:$F$108,MATCH(D859,Roster!$A$6:$A$108,0))</x:f>
        <x:v>No</x:v>
      </x:c>
      <x:c r="G859" s="14" t="n">
        <x:f>INDEX(Inputs!$B$7:$D$7,1,MATCH(A859,Inputs!$B$6:$D$6,0))</x:f>
        <x:v>13</x:v>
      </x:c>
      <x:c r="H859" s="14" t="n">
        <x:f>MIN(=INDEX(Inputs!$B$7:$D$7,1,MATCH(A859,Inputs!$B$6:$D$6,0)),MAX(0,INDEX(Inputs!$B$14:$D$14,1,MATCH(A859,Inputs!$B$6:$D$6,0))-(C859-1)*=INDEX(Inputs!$B$7:$D$7,1,MATCH(A859,Inputs!$B$6:$D$6,0))))</x:f>
        <x:v>13</x:v>
      </x:c>
      <x:c r="I859" s="20" t="n">
        <x:f>INDEX(Inputs!$B$8:$D$8,1,MATCH(A859,Inputs!$B$6:$D$6,0))</x:f>
        <x:v>2395</x:v>
      </x:c>
      <x:c r="J859" s="20" t="n">
        <x:f>INDEX(Roster!$C$6:$C$108,MATCH(D859,Roster!$A$6:$A$108,0))*(1+INDEX(Inputs!$B$9:$D$9,1,MATCH(A859,Inputs!$B$6:$D$6,0)))</x:f>
        <x:v>700</x:v>
      </x:c>
      <x:c r="K859" s="20" t="n">
        <x:f>IF(=INDEX(Roster!$F$6:$F$108,MATCH(D859,Roster!$A$6:$A$108,0))="Yes",0,=INDEX(Inputs!$B$8:$D$8,1,MATCH(A859,Inputs!$B$6:$D$6,0))*IF(=INDEX(Roster!$B$6:$B$108,MATCH(D859,Roster!$A$6:$A$108,0))="Principal",INDEX(Inputs!$B$10:$D$10,1,MATCH(A859,Inputs!$B$6:$D$6,0)),IF(=INDEX(Roster!$B$6:$B$108,MATCH(D859,Roster!$A$6:$A$108,0))="Associate Principal",INDEX(Inputs!$B$11:$D$11,1,MATCH(A859,Inputs!$B$6:$D$6,0)),IF(=INDEX(Roster!$B$6:$B$108,MATCH(D859,Roster!$A$6:$A$108,0))="Assistant Principal",INDEX(Inputs!$B$12:$D$12,1,MATCH(A859,Inputs!$B$6:$D$6,0)),0))))</x:f>
        <x:v>479</x:v>
      </x:c>
      <x:c r="L859" s="20" t="n">
        <x:f>IF(INDEX(Roster!$D$6:$D$108,MATCH(D859,Roster!$A$6:$A$108,0))&gt;=25,INDEX(Inputs!$B$19:$D$19,1,MATCH(A859,Inputs!$B$6:$D$6,0)),IF(INDEX(Roster!$D$6:$D$108,MATCH(D859,Roster!$A$6:$A$108,0))&gt;=20,INDEX(Inputs!$B$18:$D$18,1,MATCH(A859,Inputs!$B$6:$D$6,0)),IF(INDEX(Roster!$D$6:$D$108,MATCH(D859,Roster!$A$6:$A$108,0))&gt;=15,INDEX(Inputs!$B$17:$D$17,1,MATCH(A859,Inputs!$B$6:$D$6,0)),IF(INDEX(Roster!$D$6:$D$108,MATCH(D859,Roster!$A$6:$A$108,0))&gt;=10,INDEX(Inputs!$B$16:$D$16,1,MATCH(A859,Inputs!$B$6:$D$6,0)),IF(INDEX(Roster!$D$6:$D$108,MATCH(D859,Roster!$A$6:$A$108,0))&gt;=5,INDEX(Inputs!$B$15:$D$15,1,MATCH(A859,Inputs!$B$6:$D$6,0)),0)))))</x:f>
        <x:v>50</x:v>
      </x:c>
      <x:c r="M859" s="20" t="n">
        <x:f>G859*I859</x:f>
        <x:v>31135</x:v>
      </x:c>
      <x:c r="N859" s="20" t="n">
        <x:f>G859*J859</x:f>
        <x:v>9100</x:v>
      </x:c>
      <x:c r="O859" s="20" t="n">
        <x:f>G859*K859</x:f>
        <x:v>6227</x:v>
      </x:c>
      <x:c r="P859" s="20" t="n">
        <x:f>G859*L859</x:f>
        <x:v>650</x:v>
      </x:c>
      <x:c r="Q859" s="20" t="n">
        <x:f>H859*INDEX(Inputs!$B$13:$D$13,1,MATCH(A859,Inputs!$B$6:$D$6,0))</x:f>
        <x:v>390</x:v>
      </x:c>
      <x:c r="R859" s="20" t="n">
        <x:f>SUM(M859:Q859)</x:f>
        <x:v>47502</x:v>
      </x:c>
      <x:c r="S859" s="20" t="n">
        <x:f>IF(AND(A858=A859,D858=D859),S858+R859,R859)</x:f>
        <x:v>95004</x:v>
      </x:c>
      <x:c r="T859" s="20" t="n">
        <x:f>MIN(S859,INDEX(Inputs!$B$20:$D$20,1,MATCH(A859,Inputs!$B$6:$D$6,0)))*INDEX(Inputs!$B$22:$D$22,1,MATCH(A859,Inputs!$B$6:$D$6,0))+MAX(MIN(S859,INDEX(Inputs!$B$21:$D$21,1,MATCH(A859,Inputs!$B$6:$D$6,0)))-INDEX(Inputs!$B$20:$D$20,1,MATCH(A859,Inputs!$B$6:$D$6,0)),0)*INDEX(Inputs!$B$23:$D$23,1,MATCH(A859,Inputs!$B$6:$D$6,0))+MAX(S859-INDEX(Inputs!$B$21:$D$21,1,MATCH(A859,Inputs!$B$6:$D$6,0)),0)*INDEX(Inputs!$B$24:$D$24,1,MATCH(A859,Inputs!$B$6:$D$6,0))</x:f>
        <x:v>7757.806</x:v>
      </x:c>
      <x:c r="U859" s="20" t="n">
        <x:f>IF(AND(A858=A859,D858=D859),T858,0)</x:f>
        <x:v>4123.903</x:v>
      </x:c>
      <x:c r="V859" s="20" t="n">
        <x:f>T859-U859</x:f>
        <x:v>3633.9029999999993</x:v>
      </x:c>
      <x:c r="W859" s="20" t="n">
        <x:f>R859+V859</x:f>
        <x:v>51135.903</x:v>
      </x:c>
      <x:c r="X859" s="14" t="str">
        <x:f>IF(ABS(W859-SUM(M859:Q859)-V859)&lt;0.01,"OK","Check")</x:f>
        <x:v>OK</x:v>
      </x:c>
    </x:row>
    <x:row r="860">
      <x:c r="A860" s="14" t="n">
        <x:v>2028</x:v>
      </x:c>
      <x:c r="B860" s="14" t="str">
        <x:v>Q3</x:v>
      </x:c>
      <x:c r="C860" s="14" t="n">
        <x:v>3</x:v>
      </x:c>
      <x:c r="D860" s="14" t="n">
        <x:v>8</x:v>
      </x:c>
      <x:c r="E860" s="14" t="str">
        <x:f>INDEX(Roster!$B$6:$B$108,MATCH(D860,Roster!$A$6:$A$108,0))</x:f>
        <x:v>Principal</x:v>
      </x:c>
      <x:c r="F860" s="14" t="str">
        <x:f>INDEX(Roster!$F$6:$F$108,MATCH(D860,Roster!$A$6:$A$108,0))</x:f>
        <x:v>No</x:v>
      </x:c>
      <x:c r="G860" s="14" t="n">
        <x:f>INDEX(Inputs!$B$7:$D$7,1,MATCH(A860,Inputs!$B$6:$D$6,0))</x:f>
        <x:v>13</x:v>
      </x:c>
      <x:c r="H860" s="14" t="n">
        <x:f>MIN(=INDEX(Inputs!$B$7:$D$7,1,MATCH(A860,Inputs!$B$6:$D$6,0)),MAX(0,INDEX(Inputs!$B$14:$D$14,1,MATCH(A860,Inputs!$B$6:$D$6,0))-(C860-1)*=INDEX(Inputs!$B$7:$D$7,1,MATCH(A860,Inputs!$B$6:$D$6,0))))</x:f>
        <x:v>13</x:v>
      </x:c>
      <x:c r="I860" s="20" t="n">
        <x:f>INDEX(Inputs!$B$8:$D$8,1,MATCH(A860,Inputs!$B$6:$D$6,0))</x:f>
        <x:v>2395</x:v>
      </x:c>
      <x:c r="J860" s="20" t="n">
        <x:f>INDEX(Roster!$C$6:$C$108,MATCH(D860,Roster!$A$6:$A$108,0))*(1+INDEX(Inputs!$B$9:$D$9,1,MATCH(A860,Inputs!$B$6:$D$6,0)))</x:f>
        <x:v>700</x:v>
      </x:c>
      <x:c r="K860" s="20" t="n">
        <x:f>IF(=INDEX(Roster!$F$6:$F$108,MATCH(D860,Roster!$A$6:$A$108,0))="Yes",0,=INDEX(Inputs!$B$8:$D$8,1,MATCH(A860,Inputs!$B$6:$D$6,0))*IF(=INDEX(Roster!$B$6:$B$108,MATCH(D860,Roster!$A$6:$A$108,0))="Principal",INDEX(Inputs!$B$10:$D$10,1,MATCH(A860,Inputs!$B$6:$D$6,0)),IF(=INDEX(Roster!$B$6:$B$108,MATCH(D860,Roster!$A$6:$A$108,0))="Associate Principal",INDEX(Inputs!$B$11:$D$11,1,MATCH(A860,Inputs!$B$6:$D$6,0)),IF(=INDEX(Roster!$B$6:$B$108,MATCH(D860,Roster!$A$6:$A$108,0))="Assistant Principal",INDEX(Inputs!$B$12:$D$12,1,MATCH(A860,Inputs!$B$6:$D$6,0)),0))))</x:f>
        <x:v>479</x:v>
      </x:c>
      <x:c r="L860" s="20" t="n">
        <x:f>IF(INDEX(Roster!$D$6:$D$108,MATCH(D860,Roster!$A$6:$A$108,0))&gt;=25,INDEX(Inputs!$B$19:$D$19,1,MATCH(A860,Inputs!$B$6:$D$6,0)),IF(INDEX(Roster!$D$6:$D$108,MATCH(D860,Roster!$A$6:$A$108,0))&gt;=20,INDEX(Inputs!$B$18:$D$18,1,MATCH(A860,Inputs!$B$6:$D$6,0)),IF(INDEX(Roster!$D$6:$D$108,MATCH(D860,Roster!$A$6:$A$108,0))&gt;=15,INDEX(Inputs!$B$17:$D$17,1,MATCH(A860,Inputs!$B$6:$D$6,0)),IF(INDEX(Roster!$D$6:$D$108,MATCH(D860,Roster!$A$6:$A$108,0))&gt;=10,INDEX(Inputs!$B$16:$D$16,1,MATCH(A860,Inputs!$B$6:$D$6,0)),IF(INDEX(Roster!$D$6:$D$108,MATCH(D860,Roster!$A$6:$A$108,0))&gt;=5,INDEX(Inputs!$B$15:$D$15,1,MATCH(A860,Inputs!$B$6:$D$6,0)),0)))))</x:f>
        <x:v>50</x:v>
      </x:c>
      <x:c r="M860" s="20" t="n">
        <x:f>G860*I860</x:f>
        <x:v>31135</x:v>
      </x:c>
      <x:c r="N860" s="20" t="n">
        <x:f>G860*J860</x:f>
        <x:v>9100</x:v>
      </x:c>
      <x:c r="O860" s="20" t="n">
        <x:f>G860*K860</x:f>
        <x:v>6227</x:v>
      </x:c>
      <x:c r="P860" s="20" t="n">
        <x:f>G860*L860</x:f>
        <x:v>650</x:v>
      </x:c>
      <x:c r="Q860" s="20" t="n">
        <x:f>H860*INDEX(Inputs!$B$13:$D$13,1,MATCH(A860,Inputs!$B$6:$D$6,0))</x:f>
        <x:v>390</x:v>
      </x:c>
      <x:c r="R860" s="20" t="n">
        <x:f>SUM(M860:Q860)</x:f>
        <x:v>47502</x:v>
      </x:c>
      <x:c r="S860" s="20" t="n">
        <x:f>IF(AND(A859=A860,D859=D860),S859+R860,R860)</x:f>
        <x:v>142506</x:v>
      </x:c>
      <x:c r="T860" s="20" t="n">
        <x:f>MIN(S860,INDEX(Inputs!$B$20:$D$20,1,MATCH(A860,Inputs!$B$6:$D$6,0)))*INDEX(Inputs!$B$22:$D$22,1,MATCH(A860,Inputs!$B$6:$D$6,0))+MAX(MIN(S860,INDEX(Inputs!$B$21:$D$21,1,MATCH(A860,Inputs!$B$6:$D$6,0)))-INDEX(Inputs!$B$20:$D$20,1,MATCH(A860,Inputs!$B$6:$D$6,0)),0)*INDEX(Inputs!$B$23:$D$23,1,MATCH(A860,Inputs!$B$6:$D$6,0))+MAX(S860-INDEX(Inputs!$B$21:$D$21,1,MATCH(A860,Inputs!$B$6:$D$6,0)),0)*INDEX(Inputs!$B$24:$D$24,1,MATCH(A860,Inputs!$B$6:$D$6,0))</x:f>
        <x:v>9980.279</x:v>
      </x:c>
      <x:c r="U860" s="20" t="n">
        <x:f>IF(AND(A859=A860,D859=D860),T859,0)</x:f>
        <x:v>7757.806</x:v>
      </x:c>
      <x:c r="V860" s="20" t="n">
        <x:f>T860-U860</x:f>
        <x:v>2222.473000000001</x:v>
      </x:c>
      <x:c r="W860" s="20" t="n">
        <x:f>R860+V860</x:f>
        <x:v>49724.473</x:v>
      </x:c>
      <x:c r="X860" s="14" t="str">
        <x:f>IF(ABS(W860-SUM(M860:Q860)-V860)&lt;0.01,"OK","Check")</x:f>
        <x:v>OK</x:v>
      </x:c>
    </x:row>
    <x:row r="861">
      <x:c r="A861" s="14" t="n">
        <x:v>2028</x:v>
      </x:c>
      <x:c r="B861" s="14" t="str">
        <x:v>Q4</x:v>
      </x:c>
      <x:c r="C861" s="14" t="n">
        <x:v>4</x:v>
      </x:c>
      <x:c r="D861" s="14" t="n">
        <x:v>8</x:v>
      </x:c>
      <x:c r="E861" s="14" t="str">
        <x:f>INDEX(Roster!$B$6:$B$108,MATCH(D861,Roster!$A$6:$A$108,0))</x:f>
        <x:v>Principal</x:v>
      </x:c>
      <x:c r="F861" s="14" t="str">
        <x:f>INDEX(Roster!$F$6:$F$108,MATCH(D861,Roster!$A$6:$A$108,0))</x:f>
        <x:v>No</x:v>
      </x:c>
      <x:c r="G861" s="14" t="n">
        <x:f>INDEX(Inputs!$B$7:$D$7,1,MATCH(A861,Inputs!$B$6:$D$6,0))</x:f>
        <x:v>13</x:v>
      </x:c>
      <x:c r="H861" s="14" t="n">
        <x:f>MIN(=INDEX(Inputs!$B$7:$D$7,1,MATCH(A861,Inputs!$B$6:$D$6,0)),MAX(0,INDEX(Inputs!$B$14:$D$14,1,MATCH(A861,Inputs!$B$6:$D$6,0))-(C861-1)*=INDEX(Inputs!$B$7:$D$7,1,MATCH(A861,Inputs!$B$6:$D$6,0))))</x:f>
        <x:v>0</x:v>
      </x:c>
      <x:c r="I861" s="20" t="n">
        <x:f>INDEX(Inputs!$B$8:$D$8,1,MATCH(A861,Inputs!$B$6:$D$6,0))</x:f>
        <x:v>2395</x:v>
      </x:c>
      <x:c r="J861" s="20" t="n">
        <x:f>INDEX(Roster!$C$6:$C$108,MATCH(D861,Roster!$A$6:$A$108,0))*(1+INDEX(Inputs!$B$9:$D$9,1,MATCH(A861,Inputs!$B$6:$D$6,0)))</x:f>
        <x:v>700</x:v>
      </x:c>
      <x:c r="K861" s="20" t="n">
        <x:f>IF(=INDEX(Roster!$F$6:$F$108,MATCH(D861,Roster!$A$6:$A$108,0))="Yes",0,=INDEX(Inputs!$B$8:$D$8,1,MATCH(A861,Inputs!$B$6:$D$6,0))*IF(=INDEX(Roster!$B$6:$B$108,MATCH(D861,Roster!$A$6:$A$108,0))="Principal",INDEX(Inputs!$B$10:$D$10,1,MATCH(A861,Inputs!$B$6:$D$6,0)),IF(=INDEX(Roster!$B$6:$B$108,MATCH(D861,Roster!$A$6:$A$108,0))="Associate Principal",INDEX(Inputs!$B$11:$D$11,1,MATCH(A861,Inputs!$B$6:$D$6,0)),IF(=INDEX(Roster!$B$6:$B$108,MATCH(D861,Roster!$A$6:$A$108,0))="Assistant Principal",INDEX(Inputs!$B$12:$D$12,1,MATCH(A861,Inputs!$B$6:$D$6,0)),0))))</x:f>
        <x:v>479</x:v>
      </x:c>
      <x:c r="L861" s="20" t="n">
        <x:f>IF(INDEX(Roster!$D$6:$D$108,MATCH(D861,Roster!$A$6:$A$108,0))&gt;=25,INDEX(Inputs!$B$19:$D$19,1,MATCH(A861,Inputs!$B$6:$D$6,0)),IF(INDEX(Roster!$D$6:$D$108,MATCH(D861,Roster!$A$6:$A$108,0))&gt;=20,INDEX(Inputs!$B$18:$D$18,1,MATCH(A861,Inputs!$B$6:$D$6,0)),IF(INDEX(Roster!$D$6:$D$108,MATCH(D861,Roster!$A$6:$A$108,0))&gt;=15,INDEX(Inputs!$B$17:$D$17,1,MATCH(A861,Inputs!$B$6:$D$6,0)),IF(INDEX(Roster!$D$6:$D$108,MATCH(D861,Roster!$A$6:$A$108,0))&gt;=10,INDEX(Inputs!$B$16:$D$16,1,MATCH(A861,Inputs!$B$6:$D$6,0)),IF(INDEX(Roster!$D$6:$D$108,MATCH(D861,Roster!$A$6:$A$108,0))&gt;=5,INDEX(Inputs!$B$15:$D$15,1,MATCH(A861,Inputs!$B$6:$D$6,0)),0)))))</x:f>
        <x:v>50</x:v>
      </x:c>
      <x:c r="M861" s="20" t="n">
        <x:f>G861*I861</x:f>
        <x:v>31135</x:v>
      </x:c>
      <x:c r="N861" s="20" t="n">
        <x:f>G861*J861</x:f>
        <x:v>9100</x:v>
      </x:c>
      <x:c r="O861" s="20" t="n">
        <x:f>G861*K861</x:f>
        <x:v>6227</x:v>
      </x:c>
      <x:c r="P861" s="20" t="n">
        <x:f>G861*L861</x:f>
        <x:v>650</x:v>
      </x:c>
      <x:c r="Q861" s="20" t="n">
        <x:f>H861*INDEX(Inputs!$B$13:$D$13,1,MATCH(A861,Inputs!$B$6:$D$6,0))</x:f>
        <x:v>0</x:v>
      </x:c>
      <x:c r="R861" s="20" t="n">
        <x:f>SUM(M861:Q861)</x:f>
        <x:v>47112</x:v>
      </x:c>
      <x:c r="S861" s="20" t="n">
        <x:f>IF(AND(A860=A861,D860=D861),S860+R861,R861)</x:f>
        <x:v>189618</x:v>
      </x:c>
      <x:c r="T861" s="20" t="n">
        <x:f>MIN(S861,INDEX(Inputs!$B$20:$D$20,1,MATCH(A861,Inputs!$B$6:$D$6,0)))*INDEX(Inputs!$B$22:$D$22,1,MATCH(A861,Inputs!$B$6:$D$6,0))+MAX(MIN(S861,INDEX(Inputs!$B$21:$D$21,1,MATCH(A861,Inputs!$B$6:$D$6,0)))-INDEX(Inputs!$B$20:$D$20,1,MATCH(A861,Inputs!$B$6:$D$6,0)),0)*INDEX(Inputs!$B$23:$D$23,1,MATCH(A861,Inputs!$B$6:$D$6,0))+MAX(S861-INDEX(Inputs!$B$21:$D$21,1,MATCH(A861,Inputs!$B$6:$D$6,0)),0)*INDEX(Inputs!$B$24:$D$24,1,MATCH(A861,Inputs!$B$6:$D$6,0))</x:f>
        <x:v>10663.403</x:v>
      </x:c>
      <x:c r="U861" s="20" t="n">
        <x:f>IF(AND(A860=A861,D860=D861),T860,0)</x:f>
        <x:v>9980.279</x:v>
      </x:c>
      <x:c r="V861" s="20" t="n">
        <x:f>T861-U861</x:f>
        <x:v>683.1239999999998</x:v>
      </x:c>
      <x:c r="W861" s="20" t="n">
        <x:f>R861+V861</x:f>
        <x:v>47795.123999999996</x:v>
      </x:c>
      <x:c r="X861" s="14" t="str">
        <x:f>IF(ABS(W861-SUM(M861:Q861)-V861)&lt;0.01,"OK","Check")</x:f>
        <x:v>OK</x:v>
      </x:c>
    </x:row>
    <x:row r="862">
      <x:c r="A862" s="14" t="n">
        <x:v>2028</x:v>
      </x:c>
      <x:c r="B862" s="14" t="str">
        <x:v>Q1</x:v>
      </x:c>
      <x:c r="C862" s="14" t="n">
        <x:v>1</x:v>
      </x:c>
      <x:c r="D862" s="14" t="n">
        <x:v>9</x:v>
      </x:c>
      <x:c r="E862" s="14" t="str">
        <x:f>INDEX(Roster!$B$6:$B$108,MATCH(D862,Roster!$A$6:$A$108,0))</x:f>
      </x:c>
      <x:c r="F862" s="14" t="str">
        <x:f>INDEX(Roster!$F$6:$F$108,MATCH(D862,Roster!$A$6:$A$108,0))</x:f>
        <x:v>No</x:v>
      </x:c>
      <x:c r="G862" s="14" t="n">
        <x:f>INDEX(Inputs!$B$7:$D$7,1,MATCH(A862,Inputs!$B$6:$D$6,0))</x:f>
        <x:v>13</x:v>
      </x:c>
      <x:c r="H862" s="14" t="n">
        <x:f>MIN(=INDEX(Inputs!$B$7:$D$7,1,MATCH(A862,Inputs!$B$6:$D$6,0)),MAX(0,INDEX(Inputs!$B$14:$D$14,1,MATCH(A862,Inputs!$B$6:$D$6,0))-(C862-1)*=INDEX(Inputs!$B$7:$D$7,1,MATCH(A862,Inputs!$B$6:$D$6,0))))</x:f>
        <x:v>13</x:v>
      </x:c>
      <x:c r="I862" s="20" t="n">
        <x:f>INDEX(Inputs!$B$8:$D$8,1,MATCH(A862,Inputs!$B$6:$D$6,0))</x:f>
        <x:v>2395</x:v>
      </x:c>
      <x:c r="J862" s="20" t="n">
        <x:f>INDEX(Roster!$C$6:$C$108,MATCH(D862,Roster!$A$6:$A$108,0))*(1+INDEX(Inputs!$B$9:$D$9,1,MATCH(A862,Inputs!$B$6:$D$6,0)))</x:f>
        <x:v>40</x:v>
      </x:c>
      <x:c r="K862" s="20" t="n">
        <x:f>IF(=INDEX(Roster!$F$6:$F$108,MATCH(D862,Roster!$A$6:$A$108,0))="Yes",0,=INDEX(Inputs!$B$8:$D$8,1,MATCH(A862,Inputs!$B$6:$D$6,0))*IF(=INDEX(Roster!$B$6:$B$108,MATCH(D862,Roster!$A$6:$A$108,0))="Principal",INDEX(Inputs!$B$10:$D$10,1,MATCH(A862,Inputs!$B$6:$D$6,0)),IF(=INDEX(Roster!$B$6:$B$108,MATCH(D862,Roster!$A$6:$A$108,0))="Associate Principal",INDEX(Inputs!$B$11:$D$11,1,MATCH(A862,Inputs!$B$6:$D$6,0)),IF(=INDEX(Roster!$B$6:$B$108,MATCH(D862,Roster!$A$6:$A$108,0))="Assistant Principal",INDEX(Inputs!$B$12:$D$12,1,MATCH(A862,Inputs!$B$6:$D$6,0)),0))))</x:f>
        <x:v>0</x:v>
      </x:c>
      <x:c r="L862" s="20" t="n">
        <x:f>IF(INDEX(Roster!$D$6:$D$108,MATCH(D862,Roster!$A$6:$A$108,0))&gt;=25,INDEX(Inputs!$B$19:$D$19,1,MATCH(A862,Inputs!$B$6:$D$6,0)),IF(INDEX(Roster!$D$6:$D$108,MATCH(D862,Roster!$A$6:$A$108,0))&gt;=20,INDEX(Inputs!$B$18:$D$18,1,MATCH(A862,Inputs!$B$6:$D$6,0)),IF(INDEX(Roster!$D$6:$D$108,MATCH(D862,Roster!$A$6:$A$108,0))&gt;=15,INDEX(Inputs!$B$17:$D$17,1,MATCH(A862,Inputs!$B$6:$D$6,0)),IF(INDEX(Roster!$D$6:$D$108,MATCH(D862,Roster!$A$6:$A$108,0))&gt;=10,INDEX(Inputs!$B$16:$D$16,1,MATCH(A862,Inputs!$B$6:$D$6,0)),IF(INDEX(Roster!$D$6:$D$108,MATCH(D862,Roster!$A$6:$A$108,0))&gt;=5,INDEX(Inputs!$B$15:$D$15,1,MATCH(A862,Inputs!$B$6:$D$6,0)),0)))))</x:f>
        <x:v>80</x:v>
      </x:c>
      <x:c r="M862" s="20" t="n">
        <x:f>G862*I862</x:f>
        <x:v>31135</x:v>
      </x:c>
      <x:c r="N862" s="20" t="n">
        <x:f>G862*J862</x:f>
        <x:v>520</x:v>
      </x:c>
      <x:c r="O862" s="20" t="n">
        <x:f>G862*K862</x:f>
        <x:v>0</x:v>
      </x:c>
      <x:c r="P862" s="20" t="n">
        <x:f>G862*L862</x:f>
        <x:v>1040</x:v>
      </x:c>
      <x:c r="Q862" s="20" t="n">
        <x:f>H862*INDEX(Inputs!$B$13:$D$13,1,MATCH(A862,Inputs!$B$6:$D$6,0))</x:f>
        <x:v>390</x:v>
      </x:c>
      <x:c r="R862" s="20" t="n">
        <x:f>SUM(M862:Q862)</x:f>
        <x:v>33085</x:v>
      </x:c>
      <x:c r="S862" s="20" t="n">
        <x:f>IF(AND(A861=A862,D861=D862),S861+R862,R862)</x:f>
        <x:v>33085</x:v>
      </x:c>
      <x:c r="T862" s="20" t="n">
        <x:f>MIN(S862,INDEX(Inputs!$B$20:$D$20,1,MATCH(A862,Inputs!$B$6:$D$6,0)))*INDEX(Inputs!$B$22:$D$22,1,MATCH(A862,Inputs!$B$6:$D$6,0))+MAX(MIN(S862,INDEX(Inputs!$B$21:$D$21,1,MATCH(A862,Inputs!$B$6:$D$6,0)))-INDEX(Inputs!$B$20:$D$20,1,MATCH(A862,Inputs!$B$6:$D$6,0)),0)*INDEX(Inputs!$B$23:$D$23,1,MATCH(A862,Inputs!$B$6:$D$6,0))+MAX(S862-INDEX(Inputs!$B$21:$D$21,1,MATCH(A862,Inputs!$B$6:$D$6,0)),0)*INDEX(Inputs!$B$24:$D$24,1,MATCH(A862,Inputs!$B$6:$D$6,0))</x:f>
        <x:v>3021.0025</x:v>
      </x:c>
      <x:c r="U862" s="20" t="n">
        <x:f>IF(AND(A861=A862,D861=D862),T861,0)</x:f>
        <x:v>0</x:v>
      </x:c>
      <x:c r="V862" s="20" t="n">
        <x:f>T862-U862</x:f>
        <x:v>3021.0025</x:v>
      </x:c>
      <x:c r="W862" s="20" t="n">
        <x:f>R862+V862</x:f>
        <x:v>36106.0025</x:v>
      </x:c>
      <x:c r="X862" s="14" t="str">
        <x:f>IF(ABS(W862-SUM(M862:Q862)-V862)&lt;0.01,"OK","Check")</x:f>
        <x:v>OK</x:v>
      </x:c>
    </x:row>
    <x:row r="863">
      <x:c r="A863" s="14" t="n">
        <x:v>2028</x:v>
      </x:c>
      <x:c r="B863" s="14" t="str">
        <x:v>Q2</x:v>
      </x:c>
      <x:c r="C863" s="14" t="n">
        <x:v>2</x:v>
      </x:c>
      <x:c r="D863" s="14" t="n">
        <x:v>9</x:v>
      </x:c>
      <x:c r="E863" s="14" t="str">
        <x:f>INDEX(Roster!$B$6:$B$108,MATCH(D863,Roster!$A$6:$A$108,0))</x:f>
      </x:c>
      <x:c r="F863" s="14" t="str">
        <x:f>INDEX(Roster!$F$6:$F$108,MATCH(D863,Roster!$A$6:$A$108,0))</x:f>
        <x:v>No</x:v>
      </x:c>
      <x:c r="G863" s="14" t="n">
        <x:f>INDEX(Inputs!$B$7:$D$7,1,MATCH(A863,Inputs!$B$6:$D$6,0))</x:f>
        <x:v>13</x:v>
      </x:c>
      <x:c r="H863" s="14" t="n">
        <x:f>MIN(=INDEX(Inputs!$B$7:$D$7,1,MATCH(A863,Inputs!$B$6:$D$6,0)),MAX(0,INDEX(Inputs!$B$14:$D$14,1,MATCH(A863,Inputs!$B$6:$D$6,0))-(C863-1)*=INDEX(Inputs!$B$7:$D$7,1,MATCH(A863,Inputs!$B$6:$D$6,0))))</x:f>
        <x:v>13</x:v>
      </x:c>
      <x:c r="I863" s="20" t="n">
        <x:f>INDEX(Inputs!$B$8:$D$8,1,MATCH(A863,Inputs!$B$6:$D$6,0))</x:f>
        <x:v>2395</x:v>
      </x:c>
      <x:c r="J863" s="20" t="n">
        <x:f>INDEX(Roster!$C$6:$C$108,MATCH(D863,Roster!$A$6:$A$108,0))*(1+INDEX(Inputs!$B$9:$D$9,1,MATCH(A863,Inputs!$B$6:$D$6,0)))</x:f>
        <x:v>40</x:v>
      </x:c>
      <x:c r="K863" s="20" t="n">
        <x:f>IF(=INDEX(Roster!$F$6:$F$108,MATCH(D863,Roster!$A$6:$A$108,0))="Yes",0,=INDEX(Inputs!$B$8:$D$8,1,MATCH(A863,Inputs!$B$6:$D$6,0))*IF(=INDEX(Roster!$B$6:$B$108,MATCH(D863,Roster!$A$6:$A$108,0))="Principal",INDEX(Inputs!$B$10:$D$10,1,MATCH(A863,Inputs!$B$6:$D$6,0)),IF(=INDEX(Roster!$B$6:$B$108,MATCH(D863,Roster!$A$6:$A$108,0))="Associate Principal",INDEX(Inputs!$B$11:$D$11,1,MATCH(A863,Inputs!$B$6:$D$6,0)),IF(=INDEX(Roster!$B$6:$B$108,MATCH(D863,Roster!$A$6:$A$108,0))="Assistant Principal",INDEX(Inputs!$B$12:$D$12,1,MATCH(A863,Inputs!$B$6:$D$6,0)),0))))</x:f>
        <x:v>0</x:v>
      </x:c>
      <x:c r="L863" s="20" t="n">
        <x:f>IF(INDEX(Roster!$D$6:$D$108,MATCH(D863,Roster!$A$6:$A$108,0))&gt;=25,INDEX(Inputs!$B$19:$D$19,1,MATCH(A863,Inputs!$B$6:$D$6,0)),IF(INDEX(Roster!$D$6:$D$108,MATCH(D863,Roster!$A$6:$A$108,0))&gt;=20,INDEX(Inputs!$B$18:$D$18,1,MATCH(A863,Inputs!$B$6:$D$6,0)),IF(INDEX(Roster!$D$6:$D$108,MATCH(D863,Roster!$A$6:$A$108,0))&gt;=15,INDEX(Inputs!$B$17:$D$17,1,MATCH(A863,Inputs!$B$6:$D$6,0)),IF(INDEX(Roster!$D$6:$D$108,MATCH(D863,Roster!$A$6:$A$108,0))&gt;=10,INDEX(Inputs!$B$16:$D$16,1,MATCH(A863,Inputs!$B$6:$D$6,0)),IF(INDEX(Roster!$D$6:$D$108,MATCH(D863,Roster!$A$6:$A$108,0))&gt;=5,INDEX(Inputs!$B$15:$D$15,1,MATCH(A863,Inputs!$B$6:$D$6,0)),0)))))</x:f>
        <x:v>80</x:v>
      </x:c>
      <x:c r="M863" s="20" t="n">
        <x:f>G863*I863</x:f>
        <x:v>31135</x:v>
      </x:c>
      <x:c r="N863" s="20" t="n">
        <x:f>G863*J863</x:f>
        <x:v>520</x:v>
      </x:c>
      <x:c r="O863" s="20" t="n">
        <x:f>G863*K863</x:f>
        <x:v>0</x:v>
      </x:c>
      <x:c r="P863" s="20" t="n">
        <x:f>G863*L863</x:f>
        <x:v>1040</x:v>
      </x:c>
      <x:c r="Q863" s="20" t="n">
        <x:f>H863*INDEX(Inputs!$B$13:$D$13,1,MATCH(A863,Inputs!$B$6:$D$6,0))</x:f>
        <x:v>390</x:v>
      </x:c>
      <x:c r="R863" s="20" t="n">
        <x:f>SUM(M863:Q863)</x:f>
        <x:v>33085</x:v>
      </x:c>
      <x:c r="S863" s="20" t="n">
        <x:f>IF(AND(A862=A863,D862=D863),S862+R863,R863)</x:f>
        <x:v>66170</x:v>
      </x:c>
      <x:c r="T863" s="20" t="n">
        <x:f>MIN(S863,INDEX(Inputs!$B$20:$D$20,1,MATCH(A863,Inputs!$B$6:$D$6,0)))*INDEX(Inputs!$B$22:$D$22,1,MATCH(A863,Inputs!$B$6:$D$6,0))+MAX(MIN(S863,INDEX(Inputs!$B$21:$D$21,1,MATCH(A863,Inputs!$B$6:$D$6,0)))-INDEX(Inputs!$B$20:$D$20,1,MATCH(A863,Inputs!$B$6:$D$6,0)),0)*INDEX(Inputs!$B$23:$D$23,1,MATCH(A863,Inputs!$B$6:$D$6,0))+MAX(S863-INDEX(Inputs!$B$21:$D$21,1,MATCH(A863,Inputs!$B$6:$D$6,0)),0)*INDEX(Inputs!$B$24:$D$24,1,MATCH(A863,Inputs!$B$6:$D$6,0))</x:f>
        <x:v>5552.005</x:v>
      </x:c>
      <x:c r="U863" s="20" t="n">
        <x:f>IF(AND(A862=A863,D862=D863),T862,0)</x:f>
        <x:v>3021.0025</x:v>
      </x:c>
      <x:c r="V863" s="20" t="n">
        <x:f>T863-U863</x:f>
        <x:v>2531.0025</x:v>
      </x:c>
      <x:c r="W863" s="20" t="n">
        <x:f>R863+V863</x:f>
        <x:v>35616.0025</x:v>
      </x:c>
      <x:c r="X863" s="14" t="str">
        <x:f>IF(ABS(W863-SUM(M863:Q863)-V863)&lt;0.01,"OK","Check")</x:f>
        <x:v>OK</x:v>
      </x:c>
    </x:row>
    <x:row r="864">
      <x:c r="A864" s="14" t="n">
        <x:v>2028</x:v>
      </x:c>
      <x:c r="B864" s="14" t="str">
        <x:v>Q3</x:v>
      </x:c>
      <x:c r="C864" s="14" t="n">
        <x:v>3</x:v>
      </x:c>
      <x:c r="D864" s="14" t="n">
        <x:v>9</x:v>
      </x:c>
      <x:c r="E864" s="14" t="str">
        <x:f>INDEX(Roster!$B$6:$B$108,MATCH(D864,Roster!$A$6:$A$108,0))</x:f>
      </x:c>
      <x:c r="F864" s="14" t="str">
        <x:f>INDEX(Roster!$F$6:$F$108,MATCH(D864,Roster!$A$6:$A$108,0))</x:f>
        <x:v>No</x:v>
      </x:c>
      <x:c r="G864" s="14" t="n">
        <x:f>INDEX(Inputs!$B$7:$D$7,1,MATCH(A864,Inputs!$B$6:$D$6,0))</x:f>
        <x:v>13</x:v>
      </x:c>
      <x:c r="H864" s="14" t="n">
        <x:f>MIN(=INDEX(Inputs!$B$7:$D$7,1,MATCH(A864,Inputs!$B$6:$D$6,0)),MAX(0,INDEX(Inputs!$B$14:$D$14,1,MATCH(A864,Inputs!$B$6:$D$6,0))-(C864-1)*=INDEX(Inputs!$B$7:$D$7,1,MATCH(A864,Inputs!$B$6:$D$6,0))))</x:f>
        <x:v>13</x:v>
      </x:c>
      <x:c r="I864" s="20" t="n">
        <x:f>INDEX(Inputs!$B$8:$D$8,1,MATCH(A864,Inputs!$B$6:$D$6,0))</x:f>
        <x:v>2395</x:v>
      </x:c>
      <x:c r="J864" s="20" t="n">
        <x:f>INDEX(Roster!$C$6:$C$108,MATCH(D864,Roster!$A$6:$A$108,0))*(1+INDEX(Inputs!$B$9:$D$9,1,MATCH(A864,Inputs!$B$6:$D$6,0)))</x:f>
        <x:v>40</x:v>
      </x:c>
      <x:c r="K864" s="20" t="n">
        <x:f>IF(=INDEX(Roster!$F$6:$F$108,MATCH(D864,Roster!$A$6:$A$108,0))="Yes",0,=INDEX(Inputs!$B$8:$D$8,1,MATCH(A864,Inputs!$B$6:$D$6,0))*IF(=INDEX(Roster!$B$6:$B$108,MATCH(D864,Roster!$A$6:$A$108,0))="Principal",INDEX(Inputs!$B$10:$D$10,1,MATCH(A864,Inputs!$B$6:$D$6,0)),IF(=INDEX(Roster!$B$6:$B$108,MATCH(D864,Roster!$A$6:$A$108,0))="Associate Principal",INDEX(Inputs!$B$11:$D$11,1,MATCH(A864,Inputs!$B$6:$D$6,0)),IF(=INDEX(Roster!$B$6:$B$108,MATCH(D864,Roster!$A$6:$A$108,0))="Assistant Principal",INDEX(Inputs!$B$12:$D$12,1,MATCH(A864,Inputs!$B$6:$D$6,0)),0))))</x:f>
        <x:v>0</x:v>
      </x:c>
      <x:c r="L864" s="20" t="n">
        <x:f>IF(INDEX(Roster!$D$6:$D$108,MATCH(D864,Roster!$A$6:$A$108,0))&gt;=25,INDEX(Inputs!$B$19:$D$19,1,MATCH(A864,Inputs!$B$6:$D$6,0)),IF(INDEX(Roster!$D$6:$D$108,MATCH(D864,Roster!$A$6:$A$108,0))&gt;=20,INDEX(Inputs!$B$18:$D$18,1,MATCH(A864,Inputs!$B$6:$D$6,0)),IF(INDEX(Roster!$D$6:$D$108,MATCH(D864,Roster!$A$6:$A$108,0))&gt;=15,INDEX(Inputs!$B$17:$D$17,1,MATCH(A864,Inputs!$B$6:$D$6,0)),IF(INDEX(Roster!$D$6:$D$108,MATCH(D864,Roster!$A$6:$A$108,0))&gt;=10,INDEX(Inputs!$B$16:$D$16,1,MATCH(A864,Inputs!$B$6:$D$6,0)),IF(INDEX(Roster!$D$6:$D$108,MATCH(D864,Roster!$A$6:$A$108,0))&gt;=5,INDEX(Inputs!$B$15:$D$15,1,MATCH(A864,Inputs!$B$6:$D$6,0)),0)))))</x:f>
        <x:v>80</x:v>
      </x:c>
      <x:c r="M864" s="20" t="n">
        <x:f>G864*I864</x:f>
        <x:v>31135</x:v>
      </x:c>
      <x:c r="N864" s="20" t="n">
        <x:f>G864*J864</x:f>
        <x:v>520</x:v>
      </x:c>
      <x:c r="O864" s="20" t="n">
        <x:f>G864*K864</x:f>
        <x:v>0</x:v>
      </x:c>
      <x:c r="P864" s="20" t="n">
        <x:f>G864*L864</x:f>
        <x:v>1040</x:v>
      </x:c>
      <x:c r="Q864" s="20" t="n">
        <x:f>H864*INDEX(Inputs!$B$13:$D$13,1,MATCH(A864,Inputs!$B$6:$D$6,0))</x:f>
        <x:v>390</x:v>
      </x:c>
      <x:c r="R864" s="20" t="n">
        <x:f>SUM(M864:Q864)</x:f>
        <x:v>33085</x:v>
      </x:c>
      <x:c r="S864" s="20" t="n">
        <x:f>IF(AND(A863=A864,D863=D864),S863+R864,R864)</x:f>
        <x:v>99255</x:v>
      </x:c>
      <x:c r="T864" s="20" t="n">
        <x:f>MIN(S864,INDEX(Inputs!$B$20:$D$20,1,MATCH(A864,Inputs!$B$6:$D$6,0)))*INDEX(Inputs!$B$22:$D$22,1,MATCH(A864,Inputs!$B$6:$D$6,0))+MAX(MIN(S864,INDEX(Inputs!$B$21:$D$21,1,MATCH(A864,Inputs!$B$6:$D$6,0)))-INDEX(Inputs!$B$20:$D$20,1,MATCH(A864,Inputs!$B$6:$D$6,0)),0)*INDEX(Inputs!$B$23:$D$23,1,MATCH(A864,Inputs!$B$6:$D$6,0))+MAX(S864-INDEX(Inputs!$B$21:$D$21,1,MATCH(A864,Inputs!$B$6:$D$6,0)),0)*INDEX(Inputs!$B$24:$D$24,1,MATCH(A864,Inputs!$B$6:$D$6,0))</x:f>
        <x:v>8083.0075</x:v>
      </x:c>
      <x:c r="U864" s="20" t="n">
        <x:f>IF(AND(A863=A864,D863=D864),T863,0)</x:f>
        <x:v>5552.005</x:v>
      </x:c>
      <x:c r="V864" s="20" t="n">
        <x:f>T864-U864</x:f>
        <x:v>2531.0024999999996</x:v>
      </x:c>
      <x:c r="W864" s="20" t="n">
        <x:f>R864+V864</x:f>
        <x:v>35616.0025</x:v>
      </x:c>
      <x:c r="X864" s="14" t="str">
        <x:f>IF(ABS(W864-SUM(M864:Q864)-V864)&lt;0.01,"OK","Check")</x:f>
        <x:v>OK</x:v>
      </x:c>
    </x:row>
    <x:row r="865">
      <x:c r="A865" s="14" t="n">
        <x:v>2028</x:v>
      </x:c>
      <x:c r="B865" s="14" t="str">
        <x:v>Q4</x:v>
      </x:c>
      <x:c r="C865" s="14" t="n">
        <x:v>4</x:v>
      </x:c>
      <x:c r="D865" s="14" t="n">
        <x:v>9</x:v>
      </x:c>
      <x:c r="E865" s="14" t="str">
        <x:f>INDEX(Roster!$B$6:$B$108,MATCH(D865,Roster!$A$6:$A$108,0))</x:f>
      </x:c>
      <x:c r="F865" s="14" t="str">
        <x:f>INDEX(Roster!$F$6:$F$108,MATCH(D865,Roster!$A$6:$A$108,0))</x:f>
        <x:v>No</x:v>
      </x:c>
      <x:c r="G865" s="14" t="n">
        <x:f>INDEX(Inputs!$B$7:$D$7,1,MATCH(A865,Inputs!$B$6:$D$6,0))</x:f>
        <x:v>13</x:v>
      </x:c>
      <x:c r="H865" s="14" t="n">
        <x:f>MIN(=INDEX(Inputs!$B$7:$D$7,1,MATCH(A865,Inputs!$B$6:$D$6,0)),MAX(0,INDEX(Inputs!$B$14:$D$14,1,MATCH(A865,Inputs!$B$6:$D$6,0))-(C865-1)*=INDEX(Inputs!$B$7:$D$7,1,MATCH(A865,Inputs!$B$6:$D$6,0))))</x:f>
        <x:v>0</x:v>
      </x:c>
      <x:c r="I865" s="20" t="n">
        <x:f>INDEX(Inputs!$B$8:$D$8,1,MATCH(A865,Inputs!$B$6:$D$6,0))</x:f>
        <x:v>2395</x:v>
      </x:c>
      <x:c r="J865" s="20" t="n">
        <x:f>INDEX(Roster!$C$6:$C$108,MATCH(D865,Roster!$A$6:$A$108,0))*(1+INDEX(Inputs!$B$9:$D$9,1,MATCH(A865,Inputs!$B$6:$D$6,0)))</x:f>
        <x:v>40</x:v>
      </x:c>
      <x:c r="K865" s="20" t="n">
        <x:f>IF(=INDEX(Roster!$F$6:$F$108,MATCH(D865,Roster!$A$6:$A$108,0))="Yes",0,=INDEX(Inputs!$B$8:$D$8,1,MATCH(A865,Inputs!$B$6:$D$6,0))*IF(=INDEX(Roster!$B$6:$B$108,MATCH(D865,Roster!$A$6:$A$108,0))="Principal",INDEX(Inputs!$B$10:$D$10,1,MATCH(A865,Inputs!$B$6:$D$6,0)),IF(=INDEX(Roster!$B$6:$B$108,MATCH(D865,Roster!$A$6:$A$108,0))="Associate Principal",INDEX(Inputs!$B$11:$D$11,1,MATCH(A865,Inputs!$B$6:$D$6,0)),IF(=INDEX(Roster!$B$6:$B$108,MATCH(D865,Roster!$A$6:$A$108,0))="Assistant Principal",INDEX(Inputs!$B$12:$D$12,1,MATCH(A865,Inputs!$B$6:$D$6,0)),0))))</x:f>
        <x:v>0</x:v>
      </x:c>
      <x:c r="L865" s="20" t="n">
        <x:f>IF(INDEX(Roster!$D$6:$D$108,MATCH(D865,Roster!$A$6:$A$108,0))&gt;=25,INDEX(Inputs!$B$19:$D$19,1,MATCH(A865,Inputs!$B$6:$D$6,0)),IF(INDEX(Roster!$D$6:$D$108,MATCH(D865,Roster!$A$6:$A$108,0))&gt;=20,INDEX(Inputs!$B$18:$D$18,1,MATCH(A865,Inputs!$B$6:$D$6,0)),IF(INDEX(Roster!$D$6:$D$108,MATCH(D865,Roster!$A$6:$A$108,0))&gt;=15,INDEX(Inputs!$B$17:$D$17,1,MATCH(A865,Inputs!$B$6:$D$6,0)),IF(INDEX(Roster!$D$6:$D$108,MATCH(D865,Roster!$A$6:$A$108,0))&gt;=10,INDEX(Inputs!$B$16:$D$16,1,MATCH(A865,Inputs!$B$6:$D$6,0)),IF(INDEX(Roster!$D$6:$D$108,MATCH(D865,Roster!$A$6:$A$108,0))&gt;=5,INDEX(Inputs!$B$15:$D$15,1,MATCH(A865,Inputs!$B$6:$D$6,0)),0)))))</x:f>
        <x:v>80</x:v>
      </x:c>
      <x:c r="M865" s="20" t="n">
        <x:f>G865*I865</x:f>
        <x:v>31135</x:v>
      </x:c>
      <x:c r="N865" s="20" t="n">
        <x:f>G865*J865</x:f>
        <x:v>520</x:v>
      </x:c>
      <x:c r="O865" s="20" t="n">
        <x:f>G865*K865</x:f>
        <x:v>0</x:v>
      </x:c>
      <x:c r="P865" s="20" t="n">
        <x:f>G865*L865</x:f>
        <x:v>1040</x:v>
      </x:c>
      <x:c r="Q865" s="20" t="n">
        <x:f>H865*INDEX(Inputs!$B$13:$D$13,1,MATCH(A865,Inputs!$B$6:$D$6,0))</x:f>
        <x:v>0</x:v>
      </x:c>
      <x:c r="R865" s="20" t="n">
        <x:f>SUM(M865:Q865)</x:f>
        <x:v>32695</x:v>
      </x:c>
      <x:c r="S865" s="20" t="n">
        <x:f>IF(AND(A864=A865,D864=D865),S864+R865,R865)</x:f>
        <x:v>131950</x:v>
      </x:c>
      <x:c r="T865" s="20" t="n">
        <x:f>MIN(S865,INDEX(Inputs!$B$20:$D$20,1,MATCH(A865,Inputs!$B$6:$D$6,0)))*INDEX(Inputs!$B$22:$D$22,1,MATCH(A865,Inputs!$B$6:$D$6,0))+MAX(MIN(S865,INDEX(Inputs!$B$21:$D$21,1,MATCH(A865,Inputs!$B$6:$D$6,0)))-INDEX(Inputs!$B$20:$D$20,1,MATCH(A865,Inputs!$B$6:$D$6,0)),0)*INDEX(Inputs!$B$23:$D$23,1,MATCH(A865,Inputs!$B$6:$D$6,0))+MAX(S865-INDEX(Inputs!$B$21:$D$21,1,MATCH(A865,Inputs!$B$6:$D$6,0)),0)*INDEX(Inputs!$B$24:$D$24,1,MATCH(A865,Inputs!$B$6:$D$6,0))</x:f>
        <x:v>9827.217</x:v>
      </x:c>
      <x:c r="U865" s="20" t="n">
        <x:f>IF(AND(A864=A865,D864=D865),T864,0)</x:f>
        <x:v>8083.0075</x:v>
      </x:c>
      <x:c r="V865" s="20" t="n">
        <x:f>T865-U865</x:f>
        <x:v>1744.2095000000008</x:v>
      </x:c>
      <x:c r="W865" s="20" t="n">
        <x:f>R865+V865</x:f>
        <x:v>34439.2095</x:v>
      </x:c>
      <x:c r="X865" s="14" t="str">
        <x:f>IF(ABS(W865-SUM(M865:Q865)-V865)&lt;0.01,"OK","Check")</x:f>
        <x:v>OK</x:v>
      </x:c>
    </x:row>
    <x:row r="866">
      <x:c r="A866" s="14" t="n">
        <x:v>2028</x:v>
      </x:c>
      <x:c r="B866" s="14" t="str">
        <x:v>Q1</x:v>
      </x:c>
      <x:c r="C866" s="14" t="n">
        <x:v>1</x:v>
      </x:c>
      <x:c r="D866" s="14" t="n">
        <x:v>10</x:v>
      </x:c>
      <x:c r="E866" s="14" t="str">
        <x:f>INDEX(Roster!$B$6:$B$108,MATCH(D866,Roster!$A$6:$A$108,0))</x:f>
        <x:v>Associate Principal</x:v>
      </x:c>
      <x:c r="F866" s="14" t="str">
        <x:f>INDEX(Roster!$F$6:$F$108,MATCH(D866,Roster!$A$6:$A$108,0))</x:f>
        <x:v>No</x:v>
      </x:c>
      <x:c r="G866" s="14" t="n">
        <x:f>INDEX(Inputs!$B$7:$D$7,1,MATCH(A866,Inputs!$B$6:$D$6,0))</x:f>
        <x:v>13</x:v>
      </x:c>
      <x:c r="H866" s="14" t="n">
        <x:f>MIN(=INDEX(Inputs!$B$7:$D$7,1,MATCH(A866,Inputs!$B$6:$D$6,0)),MAX(0,INDEX(Inputs!$B$14:$D$14,1,MATCH(A866,Inputs!$B$6:$D$6,0))-(C866-1)*=INDEX(Inputs!$B$7:$D$7,1,MATCH(A866,Inputs!$B$6:$D$6,0))))</x:f>
        <x:v>13</x:v>
      </x:c>
      <x:c r="I866" s="20" t="n">
        <x:f>INDEX(Inputs!$B$8:$D$8,1,MATCH(A866,Inputs!$B$6:$D$6,0))</x:f>
        <x:v>2395</x:v>
      </x:c>
      <x:c r="J866" s="20" t="n">
        <x:f>INDEX(Roster!$C$6:$C$108,MATCH(D866,Roster!$A$6:$A$108,0))*(1+INDEX(Inputs!$B$9:$D$9,1,MATCH(A866,Inputs!$B$6:$D$6,0)))</x:f>
        <x:v>0</x:v>
      </x:c>
      <x:c r="K866" s="20" t="n">
        <x:f>IF(=INDEX(Roster!$F$6:$F$108,MATCH(D866,Roster!$A$6:$A$108,0))="Yes",0,=INDEX(Inputs!$B$8:$D$8,1,MATCH(A866,Inputs!$B$6:$D$6,0))*IF(=INDEX(Roster!$B$6:$B$108,MATCH(D866,Roster!$A$6:$A$108,0))="Principal",INDEX(Inputs!$B$10:$D$10,1,MATCH(A866,Inputs!$B$6:$D$6,0)),IF(=INDEX(Roster!$B$6:$B$108,MATCH(D866,Roster!$A$6:$A$108,0))="Associate Principal",INDEX(Inputs!$B$11:$D$11,1,MATCH(A866,Inputs!$B$6:$D$6,0)),IF(=INDEX(Roster!$B$6:$B$108,MATCH(D866,Roster!$A$6:$A$108,0))="Assistant Principal",INDEX(Inputs!$B$12:$D$12,1,MATCH(A866,Inputs!$B$6:$D$6,0)),0))))</x:f>
        <x:v>239.5</x:v>
      </x:c>
      <x:c r="L866" s="20" t="n">
        <x:f>IF(INDEX(Roster!$D$6:$D$108,MATCH(D866,Roster!$A$6:$A$108,0))&gt;=25,INDEX(Inputs!$B$19:$D$19,1,MATCH(A866,Inputs!$B$6:$D$6,0)),IF(INDEX(Roster!$D$6:$D$108,MATCH(D866,Roster!$A$6:$A$108,0))&gt;=20,INDEX(Inputs!$B$18:$D$18,1,MATCH(A866,Inputs!$B$6:$D$6,0)),IF(INDEX(Roster!$D$6:$D$108,MATCH(D866,Roster!$A$6:$A$108,0))&gt;=15,INDEX(Inputs!$B$17:$D$17,1,MATCH(A866,Inputs!$B$6:$D$6,0)),IF(INDEX(Roster!$D$6:$D$108,MATCH(D866,Roster!$A$6:$A$108,0))&gt;=10,INDEX(Inputs!$B$16:$D$16,1,MATCH(A866,Inputs!$B$6:$D$6,0)),IF(INDEX(Roster!$D$6:$D$108,MATCH(D866,Roster!$A$6:$A$108,0))&gt;=5,INDEX(Inputs!$B$15:$D$15,1,MATCH(A866,Inputs!$B$6:$D$6,0)),0)))))</x:f>
        <x:v>90</x:v>
      </x:c>
      <x:c r="M866" s="20" t="n">
        <x:f>G866*I866</x:f>
        <x:v>31135</x:v>
      </x:c>
      <x:c r="N866" s="20" t="n">
        <x:f>G866*J866</x:f>
        <x:v>0</x:v>
      </x:c>
      <x:c r="O866" s="20" t="n">
        <x:f>G866*K866</x:f>
        <x:v>3113.5</x:v>
      </x:c>
      <x:c r="P866" s="20" t="n">
        <x:f>G866*L866</x:f>
        <x:v>1170</x:v>
      </x:c>
      <x:c r="Q866" s="20" t="n">
        <x:f>H866*INDEX(Inputs!$B$13:$D$13,1,MATCH(A866,Inputs!$B$6:$D$6,0))</x:f>
        <x:v>390</x:v>
      </x:c>
      <x:c r="R866" s="20" t="n">
        <x:f>SUM(M866:Q866)</x:f>
        <x:v>35808.5</x:v>
      </x:c>
      <x:c r="S866" s="20" t="n">
        <x:f>IF(AND(A865=A866,D865=D866),S865+R866,R866)</x:f>
        <x:v>35808.5</x:v>
      </x:c>
      <x:c r="T866" s="20" t="n">
        <x:f>MIN(S866,INDEX(Inputs!$B$20:$D$20,1,MATCH(A866,Inputs!$B$6:$D$6,0)))*INDEX(Inputs!$B$22:$D$22,1,MATCH(A866,Inputs!$B$6:$D$6,0))+MAX(MIN(S866,INDEX(Inputs!$B$21:$D$21,1,MATCH(A866,Inputs!$B$6:$D$6,0)))-INDEX(Inputs!$B$20:$D$20,1,MATCH(A866,Inputs!$B$6:$D$6,0)),0)*INDEX(Inputs!$B$23:$D$23,1,MATCH(A866,Inputs!$B$6:$D$6,0))+MAX(S866-INDEX(Inputs!$B$21:$D$21,1,MATCH(A866,Inputs!$B$6:$D$6,0)),0)*INDEX(Inputs!$B$24:$D$24,1,MATCH(A866,Inputs!$B$6:$D$6,0))</x:f>
        <x:v>3229.35025</x:v>
      </x:c>
      <x:c r="U866" s="20" t="n">
        <x:f>IF(AND(A865=A866,D865=D866),T865,0)</x:f>
        <x:v>0</x:v>
      </x:c>
      <x:c r="V866" s="20" t="n">
        <x:f>T866-U866</x:f>
        <x:v>3229.35025</x:v>
      </x:c>
      <x:c r="W866" s="20" t="n">
        <x:f>R866+V866</x:f>
        <x:v>39037.85025</x:v>
      </x:c>
      <x:c r="X866" s="14" t="str">
        <x:f>IF(ABS(W866-SUM(M866:Q866)-V866)&lt;0.01,"OK","Check")</x:f>
        <x:v>OK</x:v>
      </x:c>
    </x:row>
    <x:row r="867">
      <x:c r="A867" s="14" t="n">
        <x:v>2028</x:v>
      </x:c>
      <x:c r="B867" s="14" t="str">
        <x:v>Q2</x:v>
      </x:c>
      <x:c r="C867" s="14" t="n">
        <x:v>2</x:v>
      </x:c>
      <x:c r="D867" s="14" t="n">
        <x:v>10</x:v>
      </x:c>
      <x:c r="E867" s="14" t="str">
        <x:f>INDEX(Roster!$B$6:$B$108,MATCH(D867,Roster!$A$6:$A$108,0))</x:f>
        <x:v>Associate Principal</x:v>
      </x:c>
      <x:c r="F867" s="14" t="str">
        <x:f>INDEX(Roster!$F$6:$F$108,MATCH(D867,Roster!$A$6:$A$108,0))</x:f>
        <x:v>No</x:v>
      </x:c>
      <x:c r="G867" s="14" t="n">
        <x:f>INDEX(Inputs!$B$7:$D$7,1,MATCH(A867,Inputs!$B$6:$D$6,0))</x:f>
        <x:v>13</x:v>
      </x:c>
      <x:c r="H867" s="14" t="n">
        <x:f>MIN(=INDEX(Inputs!$B$7:$D$7,1,MATCH(A867,Inputs!$B$6:$D$6,0)),MAX(0,INDEX(Inputs!$B$14:$D$14,1,MATCH(A867,Inputs!$B$6:$D$6,0))-(C867-1)*=INDEX(Inputs!$B$7:$D$7,1,MATCH(A867,Inputs!$B$6:$D$6,0))))</x:f>
        <x:v>13</x:v>
      </x:c>
      <x:c r="I867" s="20" t="n">
        <x:f>INDEX(Inputs!$B$8:$D$8,1,MATCH(A867,Inputs!$B$6:$D$6,0))</x:f>
        <x:v>2395</x:v>
      </x:c>
      <x:c r="J867" s="20" t="n">
        <x:f>INDEX(Roster!$C$6:$C$108,MATCH(D867,Roster!$A$6:$A$108,0))*(1+INDEX(Inputs!$B$9:$D$9,1,MATCH(A867,Inputs!$B$6:$D$6,0)))</x:f>
        <x:v>0</x:v>
      </x:c>
      <x:c r="K867" s="20" t="n">
        <x:f>IF(=INDEX(Roster!$F$6:$F$108,MATCH(D867,Roster!$A$6:$A$108,0))="Yes",0,=INDEX(Inputs!$B$8:$D$8,1,MATCH(A867,Inputs!$B$6:$D$6,0))*IF(=INDEX(Roster!$B$6:$B$108,MATCH(D867,Roster!$A$6:$A$108,0))="Principal",INDEX(Inputs!$B$10:$D$10,1,MATCH(A867,Inputs!$B$6:$D$6,0)),IF(=INDEX(Roster!$B$6:$B$108,MATCH(D867,Roster!$A$6:$A$108,0))="Associate Principal",INDEX(Inputs!$B$11:$D$11,1,MATCH(A867,Inputs!$B$6:$D$6,0)),IF(=INDEX(Roster!$B$6:$B$108,MATCH(D867,Roster!$A$6:$A$108,0))="Assistant Principal",INDEX(Inputs!$B$12:$D$12,1,MATCH(A867,Inputs!$B$6:$D$6,0)),0))))</x:f>
        <x:v>239.5</x:v>
      </x:c>
      <x:c r="L867" s="20" t="n">
        <x:f>IF(INDEX(Roster!$D$6:$D$108,MATCH(D867,Roster!$A$6:$A$108,0))&gt;=25,INDEX(Inputs!$B$19:$D$19,1,MATCH(A867,Inputs!$B$6:$D$6,0)),IF(INDEX(Roster!$D$6:$D$108,MATCH(D867,Roster!$A$6:$A$108,0))&gt;=20,INDEX(Inputs!$B$18:$D$18,1,MATCH(A867,Inputs!$B$6:$D$6,0)),IF(INDEX(Roster!$D$6:$D$108,MATCH(D867,Roster!$A$6:$A$108,0))&gt;=15,INDEX(Inputs!$B$17:$D$17,1,MATCH(A867,Inputs!$B$6:$D$6,0)),IF(INDEX(Roster!$D$6:$D$108,MATCH(D867,Roster!$A$6:$A$108,0))&gt;=10,INDEX(Inputs!$B$16:$D$16,1,MATCH(A867,Inputs!$B$6:$D$6,0)),IF(INDEX(Roster!$D$6:$D$108,MATCH(D867,Roster!$A$6:$A$108,0))&gt;=5,INDEX(Inputs!$B$15:$D$15,1,MATCH(A867,Inputs!$B$6:$D$6,0)),0)))))</x:f>
        <x:v>90</x:v>
      </x:c>
      <x:c r="M867" s="20" t="n">
        <x:f>G867*I867</x:f>
        <x:v>31135</x:v>
      </x:c>
      <x:c r="N867" s="20" t="n">
        <x:f>G867*J867</x:f>
        <x:v>0</x:v>
      </x:c>
      <x:c r="O867" s="20" t="n">
        <x:f>G867*K867</x:f>
        <x:v>3113.5</x:v>
      </x:c>
      <x:c r="P867" s="20" t="n">
        <x:f>G867*L867</x:f>
        <x:v>1170</x:v>
      </x:c>
      <x:c r="Q867" s="20" t="n">
        <x:f>H867*INDEX(Inputs!$B$13:$D$13,1,MATCH(A867,Inputs!$B$6:$D$6,0))</x:f>
        <x:v>390</x:v>
      </x:c>
      <x:c r="R867" s="20" t="n">
        <x:f>SUM(M867:Q867)</x:f>
        <x:v>35808.5</x:v>
      </x:c>
      <x:c r="S867" s="20" t="n">
        <x:f>IF(AND(A866=A867,D866=D867),S866+R867,R867)</x:f>
        <x:v>71617</x:v>
      </x:c>
      <x:c r="T867" s="20" t="n">
        <x:f>MIN(S867,INDEX(Inputs!$B$20:$D$20,1,MATCH(A867,Inputs!$B$6:$D$6,0)))*INDEX(Inputs!$B$22:$D$22,1,MATCH(A867,Inputs!$B$6:$D$6,0))+MAX(MIN(S867,INDEX(Inputs!$B$21:$D$21,1,MATCH(A867,Inputs!$B$6:$D$6,0)))-INDEX(Inputs!$B$20:$D$20,1,MATCH(A867,Inputs!$B$6:$D$6,0)),0)*INDEX(Inputs!$B$23:$D$23,1,MATCH(A867,Inputs!$B$6:$D$6,0))+MAX(S867-INDEX(Inputs!$B$21:$D$21,1,MATCH(A867,Inputs!$B$6:$D$6,0)),0)*INDEX(Inputs!$B$24:$D$24,1,MATCH(A867,Inputs!$B$6:$D$6,0))</x:f>
        <x:v>5968.7005</x:v>
      </x:c>
      <x:c r="U867" s="20" t="n">
        <x:f>IF(AND(A866=A867,D866=D867),T866,0)</x:f>
        <x:v>3229.35025</x:v>
      </x:c>
      <x:c r="V867" s="20" t="n">
        <x:f>T867-U867</x:f>
        <x:v>2739.35025</x:v>
      </x:c>
      <x:c r="W867" s="20" t="n">
        <x:f>R867+V867</x:f>
        <x:v>38547.85025</x:v>
      </x:c>
      <x:c r="X867" s="14" t="str">
        <x:f>IF(ABS(W867-SUM(M867:Q867)-V867)&lt;0.01,"OK","Check")</x:f>
        <x:v>OK</x:v>
      </x:c>
    </x:row>
    <x:row r="868">
      <x:c r="A868" s="14" t="n">
        <x:v>2028</x:v>
      </x:c>
      <x:c r="B868" s="14" t="str">
        <x:v>Q3</x:v>
      </x:c>
      <x:c r="C868" s="14" t="n">
        <x:v>3</x:v>
      </x:c>
      <x:c r="D868" s="14" t="n">
        <x:v>10</x:v>
      </x:c>
      <x:c r="E868" s="14" t="str">
        <x:f>INDEX(Roster!$B$6:$B$108,MATCH(D868,Roster!$A$6:$A$108,0))</x:f>
        <x:v>Associate Principal</x:v>
      </x:c>
      <x:c r="F868" s="14" t="str">
        <x:f>INDEX(Roster!$F$6:$F$108,MATCH(D868,Roster!$A$6:$A$108,0))</x:f>
        <x:v>No</x:v>
      </x:c>
      <x:c r="G868" s="14" t="n">
        <x:f>INDEX(Inputs!$B$7:$D$7,1,MATCH(A868,Inputs!$B$6:$D$6,0))</x:f>
        <x:v>13</x:v>
      </x:c>
      <x:c r="H868" s="14" t="n">
        <x:f>MIN(=INDEX(Inputs!$B$7:$D$7,1,MATCH(A868,Inputs!$B$6:$D$6,0)),MAX(0,INDEX(Inputs!$B$14:$D$14,1,MATCH(A868,Inputs!$B$6:$D$6,0))-(C868-1)*=INDEX(Inputs!$B$7:$D$7,1,MATCH(A868,Inputs!$B$6:$D$6,0))))</x:f>
        <x:v>13</x:v>
      </x:c>
      <x:c r="I868" s="20" t="n">
        <x:f>INDEX(Inputs!$B$8:$D$8,1,MATCH(A868,Inputs!$B$6:$D$6,0))</x:f>
        <x:v>2395</x:v>
      </x:c>
      <x:c r="J868" s="20" t="n">
        <x:f>INDEX(Roster!$C$6:$C$108,MATCH(D868,Roster!$A$6:$A$108,0))*(1+INDEX(Inputs!$B$9:$D$9,1,MATCH(A868,Inputs!$B$6:$D$6,0)))</x:f>
        <x:v>0</x:v>
      </x:c>
      <x:c r="K868" s="20" t="n">
        <x:f>IF(=INDEX(Roster!$F$6:$F$108,MATCH(D868,Roster!$A$6:$A$108,0))="Yes",0,=INDEX(Inputs!$B$8:$D$8,1,MATCH(A868,Inputs!$B$6:$D$6,0))*IF(=INDEX(Roster!$B$6:$B$108,MATCH(D868,Roster!$A$6:$A$108,0))="Principal",INDEX(Inputs!$B$10:$D$10,1,MATCH(A868,Inputs!$B$6:$D$6,0)),IF(=INDEX(Roster!$B$6:$B$108,MATCH(D868,Roster!$A$6:$A$108,0))="Associate Principal",INDEX(Inputs!$B$11:$D$11,1,MATCH(A868,Inputs!$B$6:$D$6,0)),IF(=INDEX(Roster!$B$6:$B$108,MATCH(D868,Roster!$A$6:$A$108,0))="Assistant Principal",INDEX(Inputs!$B$12:$D$12,1,MATCH(A868,Inputs!$B$6:$D$6,0)),0))))</x:f>
        <x:v>239.5</x:v>
      </x:c>
      <x:c r="L868" s="20" t="n">
        <x:f>IF(INDEX(Roster!$D$6:$D$108,MATCH(D868,Roster!$A$6:$A$108,0))&gt;=25,INDEX(Inputs!$B$19:$D$19,1,MATCH(A868,Inputs!$B$6:$D$6,0)),IF(INDEX(Roster!$D$6:$D$108,MATCH(D868,Roster!$A$6:$A$108,0))&gt;=20,INDEX(Inputs!$B$18:$D$18,1,MATCH(A868,Inputs!$B$6:$D$6,0)),IF(INDEX(Roster!$D$6:$D$108,MATCH(D868,Roster!$A$6:$A$108,0))&gt;=15,INDEX(Inputs!$B$17:$D$17,1,MATCH(A868,Inputs!$B$6:$D$6,0)),IF(INDEX(Roster!$D$6:$D$108,MATCH(D868,Roster!$A$6:$A$108,0))&gt;=10,INDEX(Inputs!$B$16:$D$16,1,MATCH(A868,Inputs!$B$6:$D$6,0)),IF(INDEX(Roster!$D$6:$D$108,MATCH(D868,Roster!$A$6:$A$108,0))&gt;=5,INDEX(Inputs!$B$15:$D$15,1,MATCH(A868,Inputs!$B$6:$D$6,0)),0)))))</x:f>
        <x:v>90</x:v>
      </x:c>
      <x:c r="M868" s="20" t="n">
        <x:f>G868*I868</x:f>
        <x:v>31135</x:v>
      </x:c>
      <x:c r="N868" s="20" t="n">
        <x:f>G868*J868</x:f>
        <x:v>0</x:v>
      </x:c>
      <x:c r="O868" s="20" t="n">
        <x:f>G868*K868</x:f>
        <x:v>3113.5</x:v>
      </x:c>
      <x:c r="P868" s="20" t="n">
        <x:f>G868*L868</x:f>
        <x:v>1170</x:v>
      </x:c>
      <x:c r="Q868" s="20" t="n">
        <x:f>H868*INDEX(Inputs!$B$13:$D$13,1,MATCH(A868,Inputs!$B$6:$D$6,0))</x:f>
        <x:v>390</x:v>
      </x:c>
      <x:c r="R868" s="20" t="n">
        <x:f>SUM(M868:Q868)</x:f>
        <x:v>35808.5</x:v>
      </x:c>
      <x:c r="S868" s="20" t="n">
        <x:f>IF(AND(A867=A868,D867=D868),S867+R868,R868)</x:f>
        <x:v>107425.5</x:v>
      </x:c>
      <x:c r="T868" s="20" t="n">
        <x:f>MIN(S868,INDEX(Inputs!$B$20:$D$20,1,MATCH(A868,Inputs!$B$6:$D$6,0)))*INDEX(Inputs!$B$22:$D$22,1,MATCH(A868,Inputs!$B$6:$D$6,0))+MAX(MIN(S868,INDEX(Inputs!$B$21:$D$21,1,MATCH(A868,Inputs!$B$6:$D$6,0)))-INDEX(Inputs!$B$20:$D$20,1,MATCH(A868,Inputs!$B$6:$D$6,0)),0)*INDEX(Inputs!$B$23:$D$23,1,MATCH(A868,Inputs!$B$6:$D$6,0))+MAX(S868-INDEX(Inputs!$B$21:$D$21,1,MATCH(A868,Inputs!$B$6:$D$6,0)),0)*INDEX(Inputs!$B$24:$D$24,1,MATCH(A868,Inputs!$B$6:$D$6,0))</x:f>
        <x:v>8708.050749999999</x:v>
      </x:c>
      <x:c r="U868" s="20" t="n">
        <x:f>IF(AND(A867=A868,D867=D868),T867,0)</x:f>
        <x:v>5968.7005</x:v>
      </x:c>
      <x:c r="V868" s="20" t="n">
        <x:f>T868-U868</x:f>
        <x:v>2739.3502499999986</x:v>
      </x:c>
      <x:c r="W868" s="20" t="n">
        <x:f>R868+V868</x:f>
        <x:v>38547.850249999996</x:v>
      </x:c>
      <x:c r="X868" s="14" t="str">
        <x:f>IF(ABS(W868-SUM(M868:Q868)-V868)&lt;0.01,"OK","Check")</x:f>
        <x:v>OK</x:v>
      </x:c>
    </x:row>
    <x:row r="869">
      <x:c r="A869" s="14" t="n">
        <x:v>2028</x:v>
      </x:c>
      <x:c r="B869" s="14" t="str">
        <x:v>Q4</x:v>
      </x:c>
      <x:c r="C869" s="14" t="n">
        <x:v>4</x:v>
      </x:c>
      <x:c r="D869" s="14" t="n">
        <x:v>10</x:v>
      </x:c>
      <x:c r="E869" s="14" t="str">
        <x:f>INDEX(Roster!$B$6:$B$108,MATCH(D869,Roster!$A$6:$A$108,0))</x:f>
        <x:v>Associate Principal</x:v>
      </x:c>
      <x:c r="F869" s="14" t="str">
        <x:f>INDEX(Roster!$F$6:$F$108,MATCH(D869,Roster!$A$6:$A$108,0))</x:f>
        <x:v>No</x:v>
      </x:c>
      <x:c r="G869" s="14" t="n">
        <x:f>INDEX(Inputs!$B$7:$D$7,1,MATCH(A869,Inputs!$B$6:$D$6,0))</x:f>
        <x:v>13</x:v>
      </x:c>
      <x:c r="H869" s="14" t="n">
        <x:f>MIN(=INDEX(Inputs!$B$7:$D$7,1,MATCH(A869,Inputs!$B$6:$D$6,0)),MAX(0,INDEX(Inputs!$B$14:$D$14,1,MATCH(A869,Inputs!$B$6:$D$6,0))-(C869-1)*=INDEX(Inputs!$B$7:$D$7,1,MATCH(A869,Inputs!$B$6:$D$6,0))))</x:f>
        <x:v>0</x:v>
      </x:c>
      <x:c r="I869" s="20" t="n">
        <x:f>INDEX(Inputs!$B$8:$D$8,1,MATCH(A869,Inputs!$B$6:$D$6,0))</x:f>
        <x:v>2395</x:v>
      </x:c>
      <x:c r="J869" s="20" t="n">
        <x:f>INDEX(Roster!$C$6:$C$108,MATCH(D869,Roster!$A$6:$A$108,0))*(1+INDEX(Inputs!$B$9:$D$9,1,MATCH(A869,Inputs!$B$6:$D$6,0)))</x:f>
        <x:v>0</x:v>
      </x:c>
      <x:c r="K869" s="20" t="n">
        <x:f>IF(=INDEX(Roster!$F$6:$F$108,MATCH(D869,Roster!$A$6:$A$108,0))="Yes",0,=INDEX(Inputs!$B$8:$D$8,1,MATCH(A869,Inputs!$B$6:$D$6,0))*IF(=INDEX(Roster!$B$6:$B$108,MATCH(D869,Roster!$A$6:$A$108,0))="Principal",INDEX(Inputs!$B$10:$D$10,1,MATCH(A869,Inputs!$B$6:$D$6,0)),IF(=INDEX(Roster!$B$6:$B$108,MATCH(D869,Roster!$A$6:$A$108,0))="Associate Principal",INDEX(Inputs!$B$11:$D$11,1,MATCH(A869,Inputs!$B$6:$D$6,0)),IF(=INDEX(Roster!$B$6:$B$108,MATCH(D869,Roster!$A$6:$A$108,0))="Assistant Principal",INDEX(Inputs!$B$12:$D$12,1,MATCH(A869,Inputs!$B$6:$D$6,0)),0))))</x:f>
        <x:v>239.5</x:v>
      </x:c>
      <x:c r="L869" s="20" t="n">
        <x:f>IF(INDEX(Roster!$D$6:$D$108,MATCH(D869,Roster!$A$6:$A$108,0))&gt;=25,INDEX(Inputs!$B$19:$D$19,1,MATCH(A869,Inputs!$B$6:$D$6,0)),IF(INDEX(Roster!$D$6:$D$108,MATCH(D869,Roster!$A$6:$A$108,0))&gt;=20,INDEX(Inputs!$B$18:$D$18,1,MATCH(A869,Inputs!$B$6:$D$6,0)),IF(INDEX(Roster!$D$6:$D$108,MATCH(D869,Roster!$A$6:$A$108,0))&gt;=15,INDEX(Inputs!$B$17:$D$17,1,MATCH(A869,Inputs!$B$6:$D$6,0)),IF(INDEX(Roster!$D$6:$D$108,MATCH(D869,Roster!$A$6:$A$108,0))&gt;=10,INDEX(Inputs!$B$16:$D$16,1,MATCH(A869,Inputs!$B$6:$D$6,0)),IF(INDEX(Roster!$D$6:$D$108,MATCH(D869,Roster!$A$6:$A$108,0))&gt;=5,INDEX(Inputs!$B$15:$D$15,1,MATCH(A869,Inputs!$B$6:$D$6,0)),0)))))</x:f>
        <x:v>90</x:v>
      </x:c>
      <x:c r="M869" s="20" t="n">
        <x:f>G869*I869</x:f>
        <x:v>31135</x:v>
      </x:c>
      <x:c r="N869" s="20" t="n">
        <x:f>G869*J869</x:f>
        <x:v>0</x:v>
      </x:c>
      <x:c r="O869" s="20" t="n">
        <x:f>G869*K869</x:f>
        <x:v>3113.5</x:v>
      </x:c>
      <x:c r="P869" s="20" t="n">
        <x:f>G869*L869</x:f>
        <x:v>1170</x:v>
      </x:c>
      <x:c r="Q869" s="20" t="n">
        <x:f>H869*INDEX(Inputs!$B$13:$D$13,1,MATCH(A869,Inputs!$B$6:$D$6,0))</x:f>
        <x:v>0</x:v>
      </x:c>
      <x:c r="R869" s="20" t="n">
        <x:f>SUM(M869:Q869)</x:f>
        <x:v>35418.5</x:v>
      </x:c>
      <x:c r="S869" s="20" t="n">
        <x:f>IF(AND(A868=A869,D868=D869),S868+R869,R869)</x:f>
        <x:v>142844</x:v>
      </x:c>
      <x:c r="T869" s="20" t="n">
        <x:f>MIN(S869,INDEX(Inputs!$B$20:$D$20,1,MATCH(A869,Inputs!$B$6:$D$6,0)))*INDEX(Inputs!$B$22:$D$22,1,MATCH(A869,Inputs!$B$6:$D$6,0))+MAX(MIN(S869,INDEX(Inputs!$B$21:$D$21,1,MATCH(A869,Inputs!$B$6:$D$6,0)))-INDEX(Inputs!$B$20:$D$20,1,MATCH(A869,Inputs!$B$6:$D$6,0)),0)*INDEX(Inputs!$B$23:$D$23,1,MATCH(A869,Inputs!$B$6:$D$6,0))+MAX(S869-INDEX(Inputs!$B$21:$D$21,1,MATCH(A869,Inputs!$B$6:$D$6,0)),0)*INDEX(Inputs!$B$24:$D$24,1,MATCH(A869,Inputs!$B$6:$D$6,0))</x:f>
        <x:v>9985.18</x:v>
      </x:c>
      <x:c r="U869" s="20" t="n">
        <x:f>IF(AND(A868=A869,D868=D869),T868,0)</x:f>
        <x:v>8708.050749999999</x:v>
      </x:c>
      <x:c r="V869" s="20" t="n">
        <x:f>T869-U869</x:f>
        <x:v>1277.1292500000018</x:v>
      </x:c>
      <x:c r="W869" s="20" t="n">
        <x:f>R869+V869</x:f>
        <x:v>36695.62925</x:v>
      </x:c>
      <x:c r="X869" s="14" t="str">
        <x:f>IF(ABS(W869-SUM(M869:Q869)-V869)&lt;0.01,"OK","Check")</x:f>
        <x:v>OK</x:v>
      </x:c>
    </x:row>
    <x:row r="870">
      <x:c r="A870" s="14" t="n">
        <x:v>2028</x:v>
      </x:c>
      <x:c r="B870" s="14" t="str">
        <x:v>Q1</x:v>
      </x:c>
      <x:c r="C870" s="14" t="n">
        <x:v>1</x:v>
      </x:c>
      <x:c r="D870" s="14" t="n">
        <x:v>11</x:v>
      </x:c>
      <x:c r="E870" s="14" t="str">
        <x:f>INDEX(Roster!$B$6:$B$108,MATCH(D870,Roster!$A$6:$A$108,0))</x:f>
      </x:c>
      <x:c r="F870" s="14" t="str">
        <x:f>INDEX(Roster!$F$6:$F$108,MATCH(D870,Roster!$A$6:$A$108,0))</x:f>
        <x:v>No</x:v>
      </x:c>
      <x:c r="G870" s="14" t="n">
        <x:f>INDEX(Inputs!$B$7:$D$7,1,MATCH(A870,Inputs!$B$6:$D$6,0))</x:f>
        <x:v>13</x:v>
      </x:c>
      <x:c r="H870" s="14" t="n">
        <x:f>MIN(=INDEX(Inputs!$B$7:$D$7,1,MATCH(A870,Inputs!$B$6:$D$6,0)),MAX(0,INDEX(Inputs!$B$14:$D$14,1,MATCH(A870,Inputs!$B$6:$D$6,0))-(C870-1)*=INDEX(Inputs!$B$7:$D$7,1,MATCH(A870,Inputs!$B$6:$D$6,0))))</x:f>
        <x:v>13</x:v>
      </x:c>
      <x:c r="I870" s="20" t="n">
        <x:f>INDEX(Inputs!$B$8:$D$8,1,MATCH(A870,Inputs!$B$6:$D$6,0))</x:f>
        <x:v>2395</x:v>
      </x:c>
      <x:c r="J870" s="20" t="n">
        <x:f>INDEX(Roster!$C$6:$C$108,MATCH(D870,Roster!$A$6:$A$108,0))*(1+INDEX(Inputs!$B$9:$D$9,1,MATCH(A870,Inputs!$B$6:$D$6,0)))</x:f>
        <x:v>150</x:v>
      </x:c>
      <x:c r="K870" s="20" t="n">
        <x:f>IF(=INDEX(Roster!$F$6:$F$108,MATCH(D870,Roster!$A$6:$A$108,0))="Yes",0,=INDEX(Inputs!$B$8:$D$8,1,MATCH(A870,Inputs!$B$6:$D$6,0))*IF(=INDEX(Roster!$B$6:$B$108,MATCH(D870,Roster!$A$6:$A$108,0))="Principal",INDEX(Inputs!$B$10:$D$10,1,MATCH(A870,Inputs!$B$6:$D$6,0)),IF(=INDEX(Roster!$B$6:$B$108,MATCH(D870,Roster!$A$6:$A$108,0))="Associate Principal",INDEX(Inputs!$B$11:$D$11,1,MATCH(A870,Inputs!$B$6:$D$6,0)),IF(=INDEX(Roster!$B$6:$B$108,MATCH(D870,Roster!$A$6:$A$108,0))="Assistant Principal",INDEX(Inputs!$B$12:$D$12,1,MATCH(A870,Inputs!$B$6:$D$6,0)),0))))</x:f>
        <x:v>0</x:v>
      </x:c>
      <x:c r="L870" s="20" t="n">
        <x:f>IF(INDEX(Roster!$D$6:$D$108,MATCH(D870,Roster!$A$6:$A$108,0))&gt;=25,INDEX(Inputs!$B$19:$D$19,1,MATCH(A870,Inputs!$B$6:$D$6,0)),IF(INDEX(Roster!$D$6:$D$108,MATCH(D870,Roster!$A$6:$A$108,0))&gt;=20,INDEX(Inputs!$B$18:$D$18,1,MATCH(A870,Inputs!$B$6:$D$6,0)),IF(INDEX(Roster!$D$6:$D$108,MATCH(D870,Roster!$A$6:$A$108,0))&gt;=15,INDEX(Inputs!$B$17:$D$17,1,MATCH(A870,Inputs!$B$6:$D$6,0)),IF(INDEX(Roster!$D$6:$D$108,MATCH(D870,Roster!$A$6:$A$108,0))&gt;=10,INDEX(Inputs!$B$16:$D$16,1,MATCH(A870,Inputs!$B$6:$D$6,0)),IF(INDEX(Roster!$D$6:$D$108,MATCH(D870,Roster!$A$6:$A$108,0))&gt;=5,INDEX(Inputs!$B$15:$D$15,1,MATCH(A870,Inputs!$B$6:$D$6,0)),0)))))</x:f>
        <x:v>90</x:v>
      </x:c>
      <x:c r="M870" s="20" t="n">
        <x:f>G870*I870</x:f>
        <x:v>31135</x:v>
      </x:c>
      <x:c r="N870" s="20" t="n">
        <x:f>G870*J870</x:f>
        <x:v>1950</x:v>
      </x:c>
      <x:c r="O870" s="20" t="n">
        <x:f>G870*K870</x:f>
        <x:v>0</x:v>
      </x:c>
      <x:c r="P870" s="20" t="n">
        <x:f>G870*L870</x:f>
        <x:v>1170</x:v>
      </x:c>
      <x:c r="Q870" s="20" t="n">
        <x:f>H870*INDEX(Inputs!$B$13:$D$13,1,MATCH(A870,Inputs!$B$6:$D$6,0))</x:f>
        <x:v>390</x:v>
      </x:c>
      <x:c r="R870" s="20" t="n">
        <x:f>SUM(M870:Q870)</x:f>
        <x:v>34645</x:v>
      </x:c>
      <x:c r="S870" s="20" t="n">
        <x:f>IF(AND(A869=A870,D869=D870),S869+R870,R870)</x:f>
        <x:v>34645</x:v>
      </x:c>
      <x:c r="T870" s="20" t="n">
        <x:f>MIN(S870,INDEX(Inputs!$B$20:$D$20,1,MATCH(A870,Inputs!$B$6:$D$6,0)))*INDEX(Inputs!$B$22:$D$22,1,MATCH(A870,Inputs!$B$6:$D$6,0))+MAX(MIN(S870,INDEX(Inputs!$B$21:$D$21,1,MATCH(A870,Inputs!$B$6:$D$6,0)))-INDEX(Inputs!$B$20:$D$20,1,MATCH(A870,Inputs!$B$6:$D$6,0)),0)*INDEX(Inputs!$B$23:$D$23,1,MATCH(A870,Inputs!$B$6:$D$6,0))+MAX(S870-INDEX(Inputs!$B$21:$D$21,1,MATCH(A870,Inputs!$B$6:$D$6,0)),0)*INDEX(Inputs!$B$24:$D$24,1,MATCH(A870,Inputs!$B$6:$D$6,0))</x:f>
        <x:v>3140.3424999999997</x:v>
      </x:c>
      <x:c r="U870" s="20" t="n">
        <x:f>IF(AND(A869=A870,D869=D870),T869,0)</x:f>
        <x:v>0</x:v>
      </x:c>
      <x:c r="V870" s="20" t="n">
        <x:f>T870-U870</x:f>
        <x:v>3140.3424999999997</x:v>
      </x:c>
      <x:c r="W870" s="20" t="n">
        <x:f>R870+V870</x:f>
        <x:v>37785.3425</x:v>
      </x:c>
      <x:c r="X870" s="14" t="str">
        <x:f>IF(ABS(W870-SUM(M870:Q870)-V870)&lt;0.01,"OK","Check")</x:f>
        <x:v>OK</x:v>
      </x:c>
    </x:row>
    <x:row r="871">
      <x:c r="A871" s="14" t="n">
        <x:v>2028</x:v>
      </x:c>
      <x:c r="B871" s="14" t="str">
        <x:v>Q2</x:v>
      </x:c>
      <x:c r="C871" s="14" t="n">
        <x:v>2</x:v>
      </x:c>
      <x:c r="D871" s="14" t="n">
        <x:v>11</x:v>
      </x:c>
      <x:c r="E871" s="14" t="str">
        <x:f>INDEX(Roster!$B$6:$B$108,MATCH(D871,Roster!$A$6:$A$108,0))</x:f>
      </x:c>
      <x:c r="F871" s="14" t="str">
        <x:f>INDEX(Roster!$F$6:$F$108,MATCH(D871,Roster!$A$6:$A$108,0))</x:f>
        <x:v>No</x:v>
      </x:c>
      <x:c r="G871" s="14" t="n">
        <x:f>INDEX(Inputs!$B$7:$D$7,1,MATCH(A871,Inputs!$B$6:$D$6,0))</x:f>
        <x:v>13</x:v>
      </x:c>
      <x:c r="H871" s="14" t="n">
        <x:f>MIN(=INDEX(Inputs!$B$7:$D$7,1,MATCH(A871,Inputs!$B$6:$D$6,0)),MAX(0,INDEX(Inputs!$B$14:$D$14,1,MATCH(A871,Inputs!$B$6:$D$6,0))-(C871-1)*=INDEX(Inputs!$B$7:$D$7,1,MATCH(A871,Inputs!$B$6:$D$6,0))))</x:f>
        <x:v>13</x:v>
      </x:c>
      <x:c r="I871" s="20" t="n">
        <x:f>INDEX(Inputs!$B$8:$D$8,1,MATCH(A871,Inputs!$B$6:$D$6,0))</x:f>
        <x:v>2395</x:v>
      </x:c>
      <x:c r="J871" s="20" t="n">
        <x:f>INDEX(Roster!$C$6:$C$108,MATCH(D871,Roster!$A$6:$A$108,0))*(1+INDEX(Inputs!$B$9:$D$9,1,MATCH(A871,Inputs!$B$6:$D$6,0)))</x:f>
        <x:v>150</x:v>
      </x:c>
      <x:c r="K871" s="20" t="n">
        <x:f>IF(=INDEX(Roster!$F$6:$F$108,MATCH(D871,Roster!$A$6:$A$108,0))="Yes",0,=INDEX(Inputs!$B$8:$D$8,1,MATCH(A871,Inputs!$B$6:$D$6,0))*IF(=INDEX(Roster!$B$6:$B$108,MATCH(D871,Roster!$A$6:$A$108,0))="Principal",INDEX(Inputs!$B$10:$D$10,1,MATCH(A871,Inputs!$B$6:$D$6,0)),IF(=INDEX(Roster!$B$6:$B$108,MATCH(D871,Roster!$A$6:$A$108,0))="Associate Principal",INDEX(Inputs!$B$11:$D$11,1,MATCH(A871,Inputs!$B$6:$D$6,0)),IF(=INDEX(Roster!$B$6:$B$108,MATCH(D871,Roster!$A$6:$A$108,0))="Assistant Principal",INDEX(Inputs!$B$12:$D$12,1,MATCH(A871,Inputs!$B$6:$D$6,0)),0))))</x:f>
        <x:v>0</x:v>
      </x:c>
      <x:c r="L871" s="20" t="n">
        <x:f>IF(INDEX(Roster!$D$6:$D$108,MATCH(D871,Roster!$A$6:$A$108,0))&gt;=25,INDEX(Inputs!$B$19:$D$19,1,MATCH(A871,Inputs!$B$6:$D$6,0)),IF(INDEX(Roster!$D$6:$D$108,MATCH(D871,Roster!$A$6:$A$108,0))&gt;=20,INDEX(Inputs!$B$18:$D$18,1,MATCH(A871,Inputs!$B$6:$D$6,0)),IF(INDEX(Roster!$D$6:$D$108,MATCH(D871,Roster!$A$6:$A$108,0))&gt;=15,INDEX(Inputs!$B$17:$D$17,1,MATCH(A871,Inputs!$B$6:$D$6,0)),IF(INDEX(Roster!$D$6:$D$108,MATCH(D871,Roster!$A$6:$A$108,0))&gt;=10,INDEX(Inputs!$B$16:$D$16,1,MATCH(A871,Inputs!$B$6:$D$6,0)),IF(INDEX(Roster!$D$6:$D$108,MATCH(D871,Roster!$A$6:$A$108,0))&gt;=5,INDEX(Inputs!$B$15:$D$15,1,MATCH(A871,Inputs!$B$6:$D$6,0)),0)))))</x:f>
        <x:v>90</x:v>
      </x:c>
      <x:c r="M871" s="20" t="n">
        <x:f>G871*I871</x:f>
        <x:v>31135</x:v>
      </x:c>
      <x:c r="N871" s="20" t="n">
        <x:f>G871*J871</x:f>
        <x:v>1950</x:v>
      </x:c>
      <x:c r="O871" s="20" t="n">
        <x:f>G871*K871</x:f>
        <x:v>0</x:v>
      </x:c>
      <x:c r="P871" s="20" t="n">
        <x:f>G871*L871</x:f>
        <x:v>1170</x:v>
      </x:c>
      <x:c r="Q871" s="20" t="n">
        <x:f>H871*INDEX(Inputs!$B$13:$D$13,1,MATCH(A871,Inputs!$B$6:$D$6,0))</x:f>
        <x:v>390</x:v>
      </x:c>
      <x:c r="R871" s="20" t="n">
        <x:f>SUM(M871:Q871)</x:f>
        <x:v>34645</x:v>
      </x:c>
      <x:c r="S871" s="20" t="n">
        <x:f>IF(AND(A870=A871,D870=D871),S870+R871,R871)</x:f>
        <x:v>69290</x:v>
      </x:c>
      <x:c r="T871" s="20" t="n">
        <x:f>MIN(S871,INDEX(Inputs!$B$20:$D$20,1,MATCH(A871,Inputs!$B$6:$D$6,0)))*INDEX(Inputs!$B$22:$D$22,1,MATCH(A871,Inputs!$B$6:$D$6,0))+MAX(MIN(S871,INDEX(Inputs!$B$21:$D$21,1,MATCH(A871,Inputs!$B$6:$D$6,0)))-INDEX(Inputs!$B$20:$D$20,1,MATCH(A871,Inputs!$B$6:$D$6,0)),0)*INDEX(Inputs!$B$23:$D$23,1,MATCH(A871,Inputs!$B$6:$D$6,0))+MAX(S871-INDEX(Inputs!$B$21:$D$21,1,MATCH(A871,Inputs!$B$6:$D$6,0)),0)*INDEX(Inputs!$B$24:$D$24,1,MATCH(A871,Inputs!$B$6:$D$6,0))</x:f>
        <x:v>5790.6849999999995</x:v>
      </x:c>
      <x:c r="U871" s="20" t="n">
        <x:f>IF(AND(A870=A871,D870=D871),T870,0)</x:f>
        <x:v>3140.3424999999997</x:v>
      </x:c>
      <x:c r="V871" s="20" t="n">
        <x:f>T871-U871</x:f>
        <x:v>2650.3424999999997</x:v>
      </x:c>
      <x:c r="W871" s="20" t="n">
        <x:f>R871+V871</x:f>
        <x:v>37295.3425</x:v>
      </x:c>
      <x:c r="X871" s="14" t="str">
        <x:f>IF(ABS(W871-SUM(M871:Q871)-V871)&lt;0.01,"OK","Check")</x:f>
        <x:v>OK</x:v>
      </x:c>
    </x:row>
    <x:row r="872">
      <x:c r="A872" s="14" t="n">
        <x:v>2028</x:v>
      </x:c>
      <x:c r="B872" s="14" t="str">
        <x:v>Q3</x:v>
      </x:c>
      <x:c r="C872" s="14" t="n">
        <x:v>3</x:v>
      </x:c>
      <x:c r="D872" s="14" t="n">
        <x:v>11</x:v>
      </x:c>
      <x:c r="E872" s="14" t="str">
        <x:f>INDEX(Roster!$B$6:$B$108,MATCH(D872,Roster!$A$6:$A$108,0))</x:f>
      </x:c>
      <x:c r="F872" s="14" t="str">
        <x:f>INDEX(Roster!$F$6:$F$108,MATCH(D872,Roster!$A$6:$A$108,0))</x:f>
        <x:v>No</x:v>
      </x:c>
      <x:c r="G872" s="14" t="n">
        <x:f>INDEX(Inputs!$B$7:$D$7,1,MATCH(A872,Inputs!$B$6:$D$6,0))</x:f>
        <x:v>13</x:v>
      </x:c>
      <x:c r="H872" s="14" t="n">
        <x:f>MIN(=INDEX(Inputs!$B$7:$D$7,1,MATCH(A872,Inputs!$B$6:$D$6,0)),MAX(0,INDEX(Inputs!$B$14:$D$14,1,MATCH(A872,Inputs!$B$6:$D$6,0))-(C872-1)*=INDEX(Inputs!$B$7:$D$7,1,MATCH(A872,Inputs!$B$6:$D$6,0))))</x:f>
        <x:v>13</x:v>
      </x:c>
      <x:c r="I872" s="20" t="n">
        <x:f>INDEX(Inputs!$B$8:$D$8,1,MATCH(A872,Inputs!$B$6:$D$6,0))</x:f>
        <x:v>2395</x:v>
      </x:c>
      <x:c r="J872" s="20" t="n">
        <x:f>INDEX(Roster!$C$6:$C$108,MATCH(D872,Roster!$A$6:$A$108,0))*(1+INDEX(Inputs!$B$9:$D$9,1,MATCH(A872,Inputs!$B$6:$D$6,0)))</x:f>
        <x:v>150</x:v>
      </x:c>
      <x:c r="K872" s="20" t="n">
        <x:f>IF(=INDEX(Roster!$F$6:$F$108,MATCH(D872,Roster!$A$6:$A$108,0))="Yes",0,=INDEX(Inputs!$B$8:$D$8,1,MATCH(A872,Inputs!$B$6:$D$6,0))*IF(=INDEX(Roster!$B$6:$B$108,MATCH(D872,Roster!$A$6:$A$108,0))="Principal",INDEX(Inputs!$B$10:$D$10,1,MATCH(A872,Inputs!$B$6:$D$6,0)),IF(=INDEX(Roster!$B$6:$B$108,MATCH(D872,Roster!$A$6:$A$108,0))="Associate Principal",INDEX(Inputs!$B$11:$D$11,1,MATCH(A872,Inputs!$B$6:$D$6,0)),IF(=INDEX(Roster!$B$6:$B$108,MATCH(D872,Roster!$A$6:$A$108,0))="Assistant Principal",INDEX(Inputs!$B$12:$D$12,1,MATCH(A872,Inputs!$B$6:$D$6,0)),0))))</x:f>
        <x:v>0</x:v>
      </x:c>
      <x:c r="L872" s="20" t="n">
        <x:f>IF(INDEX(Roster!$D$6:$D$108,MATCH(D872,Roster!$A$6:$A$108,0))&gt;=25,INDEX(Inputs!$B$19:$D$19,1,MATCH(A872,Inputs!$B$6:$D$6,0)),IF(INDEX(Roster!$D$6:$D$108,MATCH(D872,Roster!$A$6:$A$108,0))&gt;=20,INDEX(Inputs!$B$18:$D$18,1,MATCH(A872,Inputs!$B$6:$D$6,0)),IF(INDEX(Roster!$D$6:$D$108,MATCH(D872,Roster!$A$6:$A$108,0))&gt;=15,INDEX(Inputs!$B$17:$D$17,1,MATCH(A872,Inputs!$B$6:$D$6,0)),IF(INDEX(Roster!$D$6:$D$108,MATCH(D872,Roster!$A$6:$A$108,0))&gt;=10,INDEX(Inputs!$B$16:$D$16,1,MATCH(A872,Inputs!$B$6:$D$6,0)),IF(INDEX(Roster!$D$6:$D$108,MATCH(D872,Roster!$A$6:$A$108,0))&gt;=5,INDEX(Inputs!$B$15:$D$15,1,MATCH(A872,Inputs!$B$6:$D$6,0)),0)))))</x:f>
        <x:v>90</x:v>
      </x:c>
      <x:c r="M872" s="20" t="n">
        <x:f>G872*I872</x:f>
        <x:v>31135</x:v>
      </x:c>
      <x:c r="N872" s="20" t="n">
        <x:f>G872*J872</x:f>
        <x:v>1950</x:v>
      </x:c>
      <x:c r="O872" s="20" t="n">
        <x:f>G872*K872</x:f>
        <x:v>0</x:v>
      </x:c>
      <x:c r="P872" s="20" t="n">
        <x:f>G872*L872</x:f>
        <x:v>1170</x:v>
      </x:c>
      <x:c r="Q872" s="20" t="n">
        <x:f>H872*INDEX(Inputs!$B$13:$D$13,1,MATCH(A872,Inputs!$B$6:$D$6,0))</x:f>
        <x:v>390</x:v>
      </x:c>
      <x:c r="R872" s="20" t="n">
        <x:f>SUM(M872:Q872)</x:f>
        <x:v>34645</x:v>
      </x:c>
      <x:c r="S872" s="20" t="n">
        <x:f>IF(AND(A871=A872,D871=D872),S871+R872,R872)</x:f>
        <x:v>103935</x:v>
      </x:c>
      <x:c r="T872" s="20" t="n">
        <x:f>MIN(S872,INDEX(Inputs!$B$20:$D$20,1,MATCH(A872,Inputs!$B$6:$D$6,0)))*INDEX(Inputs!$B$22:$D$22,1,MATCH(A872,Inputs!$B$6:$D$6,0))+MAX(MIN(S872,INDEX(Inputs!$B$21:$D$21,1,MATCH(A872,Inputs!$B$6:$D$6,0)))-INDEX(Inputs!$B$20:$D$20,1,MATCH(A872,Inputs!$B$6:$D$6,0)),0)*INDEX(Inputs!$B$23:$D$23,1,MATCH(A872,Inputs!$B$6:$D$6,0))+MAX(S872-INDEX(Inputs!$B$21:$D$21,1,MATCH(A872,Inputs!$B$6:$D$6,0)),0)*INDEX(Inputs!$B$24:$D$24,1,MATCH(A872,Inputs!$B$6:$D$6,0))</x:f>
        <x:v>8441.0275</x:v>
      </x:c>
      <x:c r="U872" s="20" t="n">
        <x:f>IF(AND(A871=A872,D871=D872),T871,0)</x:f>
        <x:v>5790.6849999999995</x:v>
      </x:c>
      <x:c r="V872" s="20" t="n">
        <x:f>T872-U872</x:f>
        <x:v>2650.3425000000007</x:v>
      </x:c>
      <x:c r="W872" s="20" t="n">
        <x:f>R872+V872</x:f>
        <x:v>37295.3425</x:v>
      </x:c>
      <x:c r="X872" s="14" t="str">
        <x:f>IF(ABS(W872-SUM(M872:Q872)-V872)&lt;0.01,"OK","Check")</x:f>
        <x:v>OK</x:v>
      </x:c>
    </x:row>
    <x:row r="873">
      <x:c r="A873" s="14" t="n">
        <x:v>2028</x:v>
      </x:c>
      <x:c r="B873" s="14" t="str">
        <x:v>Q4</x:v>
      </x:c>
      <x:c r="C873" s="14" t="n">
        <x:v>4</x:v>
      </x:c>
      <x:c r="D873" s="14" t="n">
        <x:v>11</x:v>
      </x:c>
      <x:c r="E873" s="14" t="str">
        <x:f>INDEX(Roster!$B$6:$B$108,MATCH(D873,Roster!$A$6:$A$108,0))</x:f>
      </x:c>
      <x:c r="F873" s="14" t="str">
        <x:f>INDEX(Roster!$F$6:$F$108,MATCH(D873,Roster!$A$6:$A$108,0))</x:f>
        <x:v>No</x:v>
      </x:c>
      <x:c r="G873" s="14" t="n">
        <x:f>INDEX(Inputs!$B$7:$D$7,1,MATCH(A873,Inputs!$B$6:$D$6,0))</x:f>
        <x:v>13</x:v>
      </x:c>
      <x:c r="H873" s="14" t="n">
        <x:f>MIN(=INDEX(Inputs!$B$7:$D$7,1,MATCH(A873,Inputs!$B$6:$D$6,0)),MAX(0,INDEX(Inputs!$B$14:$D$14,1,MATCH(A873,Inputs!$B$6:$D$6,0))-(C873-1)*=INDEX(Inputs!$B$7:$D$7,1,MATCH(A873,Inputs!$B$6:$D$6,0))))</x:f>
        <x:v>0</x:v>
      </x:c>
      <x:c r="I873" s="20" t="n">
        <x:f>INDEX(Inputs!$B$8:$D$8,1,MATCH(A873,Inputs!$B$6:$D$6,0))</x:f>
        <x:v>2395</x:v>
      </x:c>
      <x:c r="J873" s="20" t="n">
        <x:f>INDEX(Roster!$C$6:$C$108,MATCH(D873,Roster!$A$6:$A$108,0))*(1+INDEX(Inputs!$B$9:$D$9,1,MATCH(A873,Inputs!$B$6:$D$6,0)))</x:f>
        <x:v>150</x:v>
      </x:c>
      <x:c r="K873" s="20" t="n">
        <x:f>IF(=INDEX(Roster!$F$6:$F$108,MATCH(D873,Roster!$A$6:$A$108,0))="Yes",0,=INDEX(Inputs!$B$8:$D$8,1,MATCH(A873,Inputs!$B$6:$D$6,0))*IF(=INDEX(Roster!$B$6:$B$108,MATCH(D873,Roster!$A$6:$A$108,0))="Principal",INDEX(Inputs!$B$10:$D$10,1,MATCH(A873,Inputs!$B$6:$D$6,0)),IF(=INDEX(Roster!$B$6:$B$108,MATCH(D873,Roster!$A$6:$A$108,0))="Associate Principal",INDEX(Inputs!$B$11:$D$11,1,MATCH(A873,Inputs!$B$6:$D$6,0)),IF(=INDEX(Roster!$B$6:$B$108,MATCH(D873,Roster!$A$6:$A$108,0))="Assistant Principal",INDEX(Inputs!$B$12:$D$12,1,MATCH(A873,Inputs!$B$6:$D$6,0)),0))))</x:f>
        <x:v>0</x:v>
      </x:c>
      <x:c r="L873" s="20" t="n">
        <x:f>IF(INDEX(Roster!$D$6:$D$108,MATCH(D873,Roster!$A$6:$A$108,0))&gt;=25,INDEX(Inputs!$B$19:$D$19,1,MATCH(A873,Inputs!$B$6:$D$6,0)),IF(INDEX(Roster!$D$6:$D$108,MATCH(D873,Roster!$A$6:$A$108,0))&gt;=20,INDEX(Inputs!$B$18:$D$18,1,MATCH(A873,Inputs!$B$6:$D$6,0)),IF(INDEX(Roster!$D$6:$D$108,MATCH(D873,Roster!$A$6:$A$108,0))&gt;=15,INDEX(Inputs!$B$17:$D$17,1,MATCH(A873,Inputs!$B$6:$D$6,0)),IF(INDEX(Roster!$D$6:$D$108,MATCH(D873,Roster!$A$6:$A$108,0))&gt;=10,INDEX(Inputs!$B$16:$D$16,1,MATCH(A873,Inputs!$B$6:$D$6,0)),IF(INDEX(Roster!$D$6:$D$108,MATCH(D873,Roster!$A$6:$A$108,0))&gt;=5,INDEX(Inputs!$B$15:$D$15,1,MATCH(A873,Inputs!$B$6:$D$6,0)),0)))))</x:f>
        <x:v>90</x:v>
      </x:c>
      <x:c r="M873" s="20" t="n">
        <x:f>G873*I873</x:f>
        <x:v>31135</x:v>
      </x:c>
      <x:c r="N873" s="20" t="n">
        <x:f>G873*J873</x:f>
        <x:v>1950</x:v>
      </x:c>
      <x:c r="O873" s="20" t="n">
        <x:f>G873*K873</x:f>
        <x:v>0</x:v>
      </x:c>
      <x:c r="P873" s="20" t="n">
        <x:f>G873*L873</x:f>
        <x:v>1170</x:v>
      </x:c>
      <x:c r="Q873" s="20" t="n">
        <x:f>H873*INDEX(Inputs!$B$13:$D$13,1,MATCH(A873,Inputs!$B$6:$D$6,0))</x:f>
        <x:v>0</x:v>
      </x:c>
      <x:c r="R873" s="20" t="n">
        <x:f>SUM(M873:Q873)</x:f>
        <x:v>34255</x:v>
      </x:c>
      <x:c r="S873" s="20" t="n">
        <x:f>IF(AND(A872=A873,D872=D873),S872+R873,R873)</x:f>
        <x:v>138190</x:v>
      </x:c>
      <x:c r="T873" s="20" t="n">
        <x:f>MIN(S873,INDEX(Inputs!$B$20:$D$20,1,MATCH(A873,Inputs!$B$6:$D$6,0)))*INDEX(Inputs!$B$22:$D$22,1,MATCH(A873,Inputs!$B$6:$D$6,0))+MAX(MIN(S873,INDEX(Inputs!$B$21:$D$21,1,MATCH(A873,Inputs!$B$6:$D$6,0)))-INDEX(Inputs!$B$20:$D$20,1,MATCH(A873,Inputs!$B$6:$D$6,0)),0)*INDEX(Inputs!$B$23:$D$23,1,MATCH(A873,Inputs!$B$6:$D$6,0))+MAX(S873-INDEX(Inputs!$B$21:$D$21,1,MATCH(A873,Inputs!$B$6:$D$6,0)),0)*INDEX(Inputs!$B$24:$D$24,1,MATCH(A873,Inputs!$B$6:$D$6,0))</x:f>
        <x:v>9917.697</x:v>
      </x:c>
      <x:c r="U873" s="20" t="n">
        <x:f>IF(AND(A872=A873,D872=D873),T872,0)</x:f>
        <x:v>8441.0275</x:v>
      </x:c>
      <x:c r="V873" s="20" t="n">
        <x:f>T873-U873</x:f>
        <x:v>1476.6695</x:v>
      </x:c>
      <x:c r="W873" s="20" t="n">
        <x:f>R873+V873</x:f>
        <x:v>35731.6695</x:v>
      </x:c>
      <x:c r="X873" s="14" t="str">
        <x:f>IF(ABS(W873-SUM(M873:Q873)-V873)&lt;0.01,"OK","Check")</x:f>
        <x:v>OK</x:v>
      </x:c>
    </x:row>
    <x:row r="874">
      <x:c r="A874" s="14" t="n">
        <x:v>2028</x:v>
      </x:c>
      <x:c r="B874" s="14" t="str">
        <x:v>Q1</x:v>
      </x:c>
      <x:c r="C874" s="14" t="n">
        <x:v>1</x:v>
      </x:c>
      <x:c r="D874" s="14" t="n">
        <x:v>12</x:v>
      </x:c>
      <x:c r="E874" s="14" t="str">
        <x:f>INDEX(Roster!$B$6:$B$108,MATCH(D874,Roster!$A$6:$A$108,0))</x:f>
      </x:c>
      <x:c r="F874" s="14" t="str">
        <x:f>INDEX(Roster!$F$6:$F$108,MATCH(D874,Roster!$A$6:$A$108,0))</x:f>
        <x:v>No</x:v>
      </x:c>
      <x:c r="G874" s="14" t="n">
        <x:f>INDEX(Inputs!$B$7:$D$7,1,MATCH(A874,Inputs!$B$6:$D$6,0))</x:f>
        <x:v>13</x:v>
      </x:c>
      <x:c r="H874" s="14" t="n">
        <x:f>MIN(=INDEX(Inputs!$B$7:$D$7,1,MATCH(A874,Inputs!$B$6:$D$6,0)),MAX(0,INDEX(Inputs!$B$14:$D$14,1,MATCH(A874,Inputs!$B$6:$D$6,0))-(C874-1)*=INDEX(Inputs!$B$7:$D$7,1,MATCH(A874,Inputs!$B$6:$D$6,0))))</x:f>
        <x:v>13</x:v>
      </x:c>
      <x:c r="I874" s="20" t="n">
        <x:f>INDEX(Inputs!$B$8:$D$8,1,MATCH(A874,Inputs!$B$6:$D$6,0))</x:f>
        <x:v>2395</x:v>
      </x:c>
      <x:c r="J874" s="20" t="n">
        <x:f>INDEX(Roster!$C$6:$C$108,MATCH(D874,Roster!$A$6:$A$108,0))*(1+INDEX(Inputs!$B$9:$D$9,1,MATCH(A874,Inputs!$B$6:$D$6,0)))</x:f>
        <x:v>50</x:v>
      </x:c>
      <x:c r="K874" s="20" t="n">
        <x:f>IF(=INDEX(Roster!$F$6:$F$108,MATCH(D874,Roster!$A$6:$A$108,0))="Yes",0,=INDEX(Inputs!$B$8:$D$8,1,MATCH(A874,Inputs!$B$6:$D$6,0))*IF(=INDEX(Roster!$B$6:$B$108,MATCH(D874,Roster!$A$6:$A$108,0))="Principal",INDEX(Inputs!$B$10:$D$10,1,MATCH(A874,Inputs!$B$6:$D$6,0)),IF(=INDEX(Roster!$B$6:$B$108,MATCH(D874,Roster!$A$6:$A$108,0))="Associate Principal",INDEX(Inputs!$B$11:$D$11,1,MATCH(A874,Inputs!$B$6:$D$6,0)),IF(=INDEX(Roster!$B$6:$B$108,MATCH(D874,Roster!$A$6:$A$108,0))="Assistant Principal",INDEX(Inputs!$B$12:$D$12,1,MATCH(A874,Inputs!$B$6:$D$6,0)),0))))</x:f>
        <x:v>0</x:v>
      </x:c>
      <x:c r="L874" s="20" t="n">
        <x:f>IF(INDEX(Roster!$D$6:$D$108,MATCH(D874,Roster!$A$6:$A$108,0))&gt;=25,INDEX(Inputs!$B$19:$D$19,1,MATCH(A874,Inputs!$B$6:$D$6,0)),IF(INDEX(Roster!$D$6:$D$108,MATCH(D874,Roster!$A$6:$A$108,0))&gt;=20,INDEX(Inputs!$B$18:$D$18,1,MATCH(A874,Inputs!$B$6:$D$6,0)),IF(INDEX(Roster!$D$6:$D$108,MATCH(D874,Roster!$A$6:$A$108,0))&gt;=15,INDEX(Inputs!$B$17:$D$17,1,MATCH(A874,Inputs!$B$6:$D$6,0)),IF(INDEX(Roster!$D$6:$D$108,MATCH(D874,Roster!$A$6:$A$108,0))&gt;=10,INDEX(Inputs!$B$16:$D$16,1,MATCH(A874,Inputs!$B$6:$D$6,0)),IF(INDEX(Roster!$D$6:$D$108,MATCH(D874,Roster!$A$6:$A$108,0))&gt;=5,INDEX(Inputs!$B$15:$D$15,1,MATCH(A874,Inputs!$B$6:$D$6,0)),0)))))</x:f>
        <x:v>90</x:v>
      </x:c>
      <x:c r="M874" s="20" t="n">
        <x:f>G874*I874</x:f>
        <x:v>31135</x:v>
      </x:c>
      <x:c r="N874" s="20" t="n">
        <x:f>G874*J874</x:f>
        <x:v>650</x:v>
      </x:c>
      <x:c r="O874" s="20" t="n">
        <x:f>G874*K874</x:f>
        <x:v>0</x:v>
      </x:c>
      <x:c r="P874" s="20" t="n">
        <x:f>G874*L874</x:f>
        <x:v>1170</x:v>
      </x:c>
      <x:c r="Q874" s="20" t="n">
        <x:f>H874*INDEX(Inputs!$B$13:$D$13,1,MATCH(A874,Inputs!$B$6:$D$6,0))</x:f>
        <x:v>390</x:v>
      </x:c>
      <x:c r="R874" s="20" t="n">
        <x:f>SUM(M874:Q874)</x:f>
        <x:v>33345</x:v>
      </x:c>
      <x:c r="S874" s="20" t="n">
        <x:f>IF(AND(A873=A874,D873=D874),S873+R874,R874)</x:f>
        <x:v>33345</x:v>
      </x:c>
      <x:c r="T874" s="20" t="n">
        <x:f>MIN(S874,INDEX(Inputs!$B$20:$D$20,1,MATCH(A874,Inputs!$B$6:$D$6,0)))*INDEX(Inputs!$B$22:$D$22,1,MATCH(A874,Inputs!$B$6:$D$6,0))+MAX(MIN(S874,INDEX(Inputs!$B$21:$D$21,1,MATCH(A874,Inputs!$B$6:$D$6,0)))-INDEX(Inputs!$B$20:$D$20,1,MATCH(A874,Inputs!$B$6:$D$6,0)),0)*INDEX(Inputs!$B$23:$D$23,1,MATCH(A874,Inputs!$B$6:$D$6,0))+MAX(S874-INDEX(Inputs!$B$21:$D$21,1,MATCH(A874,Inputs!$B$6:$D$6,0)),0)*INDEX(Inputs!$B$24:$D$24,1,MATCH(A874,Inputs!$B$6:$D$6,0))</x:f>
        <x:v>3040.8925</x:v>
      </x:c>
      <x:c r="U874" s="20" t="n">
        <x:f>IF(AND(A873=A874,D873=D874),T873,0)</x:f>
        <x:v>0</x:v>
      </x:c>
      <x:c r="V874" s="20" t="n">
        <x:f>T874-U874</x:f>
        <x:v>3040.8925</x:v>
      </x:c>
      <x:c r="W874" s="20" t="n">
        <x:f>R874+V874</x:f>
        <x:v>36385.8925</x:v>
      </x:c>
      <x:c r="X874" s="14" t="str">
        <x:f>IF(ABS(W874-SUM(M874:Q874)-V874)&lt;0.01,"OK","Check")</x:f>
        <x:v>OK</x:v>
      </x:c>
    </x:row>
    <x:row r="875">
      <x:c r="A875" s="14" t="n">
        <x:v>2028</x:v>
      </x:c>
      <x:c r="B875" s="14" t="str">
        <x:v>Q2</x:v>
      </x:c>
      <x:c r="C875" s="14" t="n">
        <x:v>2</x:v>
      </x:c>
      <x:c r="D875" s="14" t="n">
        <x:v>12</x:v>
      </x:c>
      <x:c r="E875" s="14" t="str">
        <x:f>INDEX(Roster!$B$6:$B$108,MATCH(D875,Roster!$A$6:$A$108,0))</x:f>
      </x:c>
      <x:c r="F875" s="14" t="str">
        <x:f>INDEX(Roster!$F$6:$F$108,MATCH(D875,Roster!$A$6:$A$108,0))</x:f>
        <x:v>No</x:v>
      </x:c>
      <x:c r="G875" s="14" t="n">
        <x:f>INDEX(Inputs!$B$7:$D$7,1,MATCH(A875,Inputs!$B$6:$D$6,0))</x:f>
        <x:v>13</x:v>
      </x:c>
      <x:c r="H875" s="14" t="n">
        <x:f>MIN(=INDEX(Inputs!$B$7:$D$7,1,MATCH(A875,Inputs!$B$6:$D$6,0)),MAX(0,INDEX(Inputs!$B$14:$D$14,1,MATCH(A875,Inputs!$B$6:$D$6,0))-(C875-1)*=INDEX(Inputs!$B$7:$D$7,1,MATCH(A875,Inputs!$B$6:$D$6,0))))</x:f>
        <x:v>13</x:v>
      </x:c>
      <x:c r="I875" s="20" t="n">
        <x:f>INDEX(Inputs!$B$8:$D$8,1,MATCH(A875,Inputs!$B$6:$D$6,0))</x:f>
        <x:v>2395</x:v>
      </x:c>
      <x:c r="J875" s="20" t="n">
        <x:f>INDEX(Roster!$C$6:$C$108,MATCH(D875,Roster!$A$6:$A$108,0))*(1+INDEX(Inputs!$B$9:$D$9,1,MATCH(A875,Inputs!$B$6:$D$6,0)))</x:f>
        <x:v>50</x:v>
      </x:c>
      <x:c r="K875" s="20" t="n">
        <x:f>IF(=INDEX(Roster!$F$6:$F$108,MATCH(D875,Roster!$A$6:$A$108,0))="Yes",0,=INDEX(Inputs!$B$8:$D$8,1,MATCH(A875,Inputs!$B$6:$D$6,0))*IF(=INDEX(Roster!$B$6:$B$108,MATCH(D875,Roster!$A$6:$A$108,0))="Principal",INDEX(Inputs!$B$10:$D$10,1,MATCH(A875,Inputs!$B$6:$D$6,0)),IF(=INDEX(Roster!$B$6:$B$108,MATCH(D875,Roster!$A$6:$A$108,0))="Associate Principal",INDEX(Inputs!$B$11:$D$11,1,MATCH(A875,Inputs!$B$6:$D$6,0)),IF(=INDEX(Roster!$B$6:$B$108,MATCH(D875,Roster!$A$6:$A$108,0))="Assistant Principal",INDEX(Inputs!$B$12:$D$12,1,MATCH(A875,Inputs!$B$6:$D$6,0)),0))))</x:f>
        <x:v>0</x:v>
      </x:c>
      <x:c r="L875" s="20" t="n">
        <x:f>IF(INDEX(Roster!$D$6:$D$108,MATCH(D875,Roster!$A$6:$A$108,0))&gt;=25,INDEX(Inputs!$B$19:$D$19,1,MATCH(A875,Inputs!$B$6:$D$6,0)),IF(INDEX(Roster!$D$6:$D$108,MATCH(D875,Roster!$A$6:$A$108,0))&gt;=20,INDEX(Inputs!$B$18:$D$18,1,MATCH(A875,Inputs!$B$6:$D$6,0)),IF(INDEX(Roster!$D$6:$D$108,MATCH(D875,Roster!$A$6:$A$108,0))&gt;=15,INDEX(Inputs!$B$17:$D$17,1,MATCH(A875,Inputs!$B$6:$D$6,0)),IF(INDEX(Roster!$D$6:$D$108,MATCH(D875,Roster!$A$6:$A$108,0))&gt;=10,INDEX(Inputs!$B$16:$D$16,1,MATCH(A875,Inputs!$B$6:$D$6,0)),IF(INDEX(Roster!$D$6:$D$108,MATCH(D875,Roster!$A$6:$A$108,0))&gt;=5,INDEX(Inputs!$B$15:$D$15,1,MATCH(A875,Inputs!$B$6:$D$6,0)),0)))))</x:f>
        <x:v>90</x:v>
      </x:c>
      <x:c r="M875" s="20" t="n">
        <x:f>G875*I875</x:f>
        <x:v>31135</x:v>
      </x:c>
      <x:c r="N875" s="20" t="n">
        <x:f>G875*J875</x:f>
        <x:v>650</x:v>
      </x:c>
      <x:c r="O875" s="20" t="n">
        <x:f>G875*K875</x:f>
        <x:v>0</x:v>
      </x:c>
      <x:c r="P875" s="20" t="n">
        <x:f>G875*L875</x:f>
        <x:v>1170</x:v>
      </x:c>
      <x:c r="Q875" s="20" t="n">
        <x:f>H875*INDEX(Inputs!$B$13:$D$13,1,MATCH(A875,Inputs!$B$6:$D$6,0))</x:f>
        <x:v>390</x:v>
      </x:c>
      <x:c r="R875" s="20" t="n">
        <x:f>SUM(M875:Q875)</x:f>
        <x:v>33345</x:v>
      </x:c>
      <x:c r="S875" s="20" t="n">
        <x:f>IF(AND(A874=A875,D874=D875),S874+R875,R875)</x:f>
        <x:v>66690</x:v>
      </x:c>
      <x:c r="T875" s="20" t="n">
        <x:f>MIN(S875,INDEX(Inputs!$B$20:$D$20,1,MATCH(A875,Inputs!$B$6:$D$6,0)))*INDEX(Inputs!$B$22:$D$22,1,MATCH(A875,Inputs!$B$6:$D$6,0))+MAX(MIN(S875,INDEX(Inputs!$B$21:$D$21,1,MATCH(A875,Inputs!$B$6:$D$6,0)))-INDEX(Inputs!$B$20:$D$20,1,MATCH(A875,Inputs!$B$6:$D$6,0)),0)*INDEX(Inputs!$B$23:$D$23,1,MATCH(A875,Inputs!$B$6:$D$6,0))+MAX(S875-INDEX(Inputs!$B$21:$D$21,1,MATCH(A875,Inputs!$B$6:$D$6,0)),0)*INDEX(Inputs!$B$24:$D$24,1,MATCH(A875,Inputs!$B$6:$D$6,0))</x:f>
        <x:v>5591.785</x:v>
      </x:c>
      <x:c r="U875" s="20" t="n">
        <x:f>IF(AND(A874=A875,D874=D875),T874,0)</x:f>
        <x:v>3040.8925</x:v>
      </x:c>
      <x:c r="V875" s="20" t="n">
        <x:f>T875-U875</x:f>
        <x:v>2550.8925</x:v>
      </x:c>
      <x:c r="W875" s="20" t="n">
        <x:f>R875+V875</x:f>
        <x:v>35895.8925</x:v>
      </x:c>
      <x:c r="X875" s="14" t="str">
        <x:f>IF(ABS(W875-SUM(M875:Q875)-V875)&lt;0.01,"OK","Check")</x:f>
        <x:v>OK</x:v>
      </x:c>
    </x:row>
    <x:row r="876">
      <x:c r="A876" s="14" t="n">
        <x:v>2028</x:v>
      </x:c>
      <x:c r="B876" s="14" t="str">
        <x:v>Q3</x:v>
      </x:c>
      <x:c r="C876" s="14" t="n">
        <x:v>3</x:v>
      </x:c>
      <x:c r="D876" s="14" t="n">
        <x:v>12</x:v>
      </x:c>
      <x:c r="E876" s="14" t="str">
        <x:f>INDEX(Roster!$B$6:$B$108,MATCH(D876,Roster!$A$6:$A$108,0))</x:f>
      </x:c>
      <x:c r="F876" s="14" t="str">
        <x:f>INDEX(Roster!$F$6:$F$108,MATCH(D876,Roster!$A$6:$A$108,0))</x:f>
        <x:v>No</x:v>
      </x:c>
      <x:c r="G876" s="14" t="n">
        <x:f>INDEX(Inputs!$B$7:$D$7,1,MATCH(A876,Inputs!$B$6:$D$6,0))</x:f>
        <x:v>13</x:v>
      </x:c>
      <x:c r="H876" s="14" t="n">
        <x:f>MIN(=INDEX(Inputs!$B$7:$D$7,1,MATCH(A876,Inputs!$B$6:$D$6,0)),MAX(0,INDEX(Inputs!$B$14:$D$14,1,MATCH(A876,Inputs!$B$6:$D$6,0))-(C876-1)*=INDEX(Inputs!$B$7:$D$7,1,MATCH(A876,Inputs!$B$6:$D$6,0))))</x:f>
        <x:v>13</x:v>
      </x:c>
      <x:c r="I876" s="20" t="n">
        <x:f>INDEX(Inputs!$B$8:$D$8,1,MATCH(A876,Inputs!$B$6:$D$6,0))</x:f>
        <x:v>2395</x:v>
      </x:c>
      <x:c r="J876" s="20" t="n">
        <x:f>INDEX(Roster!$C$6:$C$108,MATCH(D876,Roster!$A$6:$A$108,0))*(1+INDEX(Inputs!$B$9:$D$9,1,MATCH(A876,Inputs!$B$6:$D$6,0)))</x:f>
        <x:v>50</x:v>
      </x:c>
      <x:c r="K876" s="20" t="n">
        <x:f>IF(=INDEX(Roster!$F$6:$F$108,MATCH(D876,Roster!$A$6:$A$108,0))="Yes",0,=INDEX(Inputs!$B$8:$D$8,1,MATCH(A876,Inputs!$B$6:$D$6,0))*IF(=INDEX(Roster!$B$6:$B$108,MATCH(D876,Roster!$A$6:$A$108,0))="Principal",INDEX(Inputs!$B$10:$D$10,1,MATCH(A876,Inputs!$B$6:$D$6,0)),IF(=INDEX(Roster!$B$6:$B$108,MATCH(D876,Roster!$A$6:$A$108,0))="Associate Principal",INDEX(Inputs!$B$11:$D$11,1,MATCH(A876,Inputs!$B$6:$D$6,0)),IF(=INDEX(Roster!$B$6:$B$108,MATCH(D876,Roster!$A$6:$A$108,0))="Assistant Principal",INDEX(Inputs!$B$12:$D$12,1,MATCH(A876,Inputs!$B$6:$D$6,0)),0))))</x:f>
        <x:v>0</x:v>
      </x:c>
      <x:c r="L876" s="20" t="n">
        <x:f>IF(INDEX(Roster!$D$6:$D$108,MATCH(D876,Roster!$A$6:$A$108,0))&gt;=25,INDEX(Inputs!$B$19:$D$19,1,MATCH(A876,Inputs!$B$6:$D$6,0)),IF(INDEX(Roster!$D$6:$D$108,MATCH(D876,Roster!$A$6:$A$108,0))&gt;=20,INDEX(Inputs!$B$18:$D$18,1,MATCH(A876,Inputs!$B$6:$D$6,0)),IF(INDEX(Roster!$D$6:$D$108,MATCH(D876,Roster!$A$6:$A$108,0))&gt;=15,INDEX(Inputs!$B$17:$D$17,1,MATCH(A876,Inputs!$B$6:$D$6,0)),IF(INDEX(Roster!$D$6:$D$108,MATCH(D876,Roster!$A$6:$A$108,0))&gt;=10,INDEX(Inputs!$B$16:$D$16,1,MATCH(A876,Inputs!$B$6:$D$6,0)),IF(INDEX(Roster!$D$6:$D$108,MATCH(D876,Roster!$A$6:$A$108,0))&gt;=5,INDEX(Inputs!$B$15:$D$15,1,MATCH(A876,Inputs!$B$6:$D$6,0)),0)))))</x:f>
        <x:v>90</x:v>
      </x:c>
      <x:c r="M876" s="20" t="n">
        <x:f>G876*I876</x:f>
        <x:v>31135</x:v>
      </x:c>
      <x:c r="N876" s="20" t="n">
        <x:f>G876*J876</x:f>
        <x:v>650</x:v>
      </x:c>
      <x:c r="O876" s="20" t="n">
        <x:f>G876*K876</x:f>
        <x:v>0</x:v>
      </x:c>
      <x:c r="P876" s="20" t="n">
        <x:f>G876*L876</x:f>
        <x:v>1170</x:v>
      </x:c>
      <x:c r="Q876" s="20" t="n">
        <x:f>H876*INDEX(Inputs!$B$13:$D$13,1,MATCH(A876,Inputs!$B$6:$D$6,0))</x:f>
        <x:v>390</x:v>
      </x:c>
      <x:c r="R876" s="20" t="n">
        <x:f>SUM(M876:Q876)</x:f>
        <x:v>33345</x:v>
      </x:c>
      <x:c r="S876" s="20" t="n">
        <x:f>IF(AND(A875=A876,D875=D876),S875+R876,R876)</x:f>
        <x:v>100035</x:v>
      </x:c>
      <x:c r="T876" s="20" t="n">
        <x:f>MIN(S876,INDEX(Inputs!$B$20:$D$20,1,MATCH(A876,Inputs!$B$6:$D$6,0)))*INDEX(Inputs!$B$22:$D$22,1,MATCH(A876,Inputs!$B$6:$D$6,0))+MAX(MIN(S876,INDEX(Inputs!$B$21:$D$21,1,MATCH(A876,Inputs!$B$6:$D$6,0)))-INDEX(Inputs!$B$20:$D$20,1,MATCH(A876,Inputs!$B$6:$D$6,0)),0)*INDEX(Inputs!$B$23:$D$23,1,MATCH(A876,Inputs!$B$6:$D$6,0))+MAX(S876-INDEX(Inputs!$B$21:$D$21,1,MATCH(A876,Inputs!$B$6:$D$6,0)),0)*INDEX(Inputs!$B$24:$D$24,1,MATCH(A876,Inputs!$B$6:$D$6,0))</x:f>
        <x:v>8142.6775</x:v>
      </x:c>
      <x:c r="U876" s="20" t="n">
        <x:f>IF(AND(A875=A876,D875=D876),T875,0)</x:f>
        <x:v>5591.785</x:v>
      </x:c>
      <x:c r="V876" s="20" t="n">
        <x:f>T876-U876</x:f>
        <x:v>2550.8925</x:v>
      </x:c>
      <x:c r="W876" s="20" t="n">
        <x:f>R876+V876</x:f>
        <x:v>35895.8925</x:v>
      </x:c>
      <x:c r="X876" s="14" t="str">
        <x:f>IF(ABS(W876-SUM(M876:Q876)-V876)&lt;0.01,"OK","Check")</x:f>
        <x:v>OK</x:v>
      </x:c>
    </x:row>
    <x:row r="877">
      <x:c r="A877" s="14" t="n">
        <x:v>2028</x:v>
      </x:c>
      <x:c r="B877" s="14" t="str">
        <x:v>Q4</x:v>
      </x:c>
      <x:c r="C877" s="14" t="n">
        <x:v>4</x:v>
      </x:c>
      <x:c r="D877" s="14" t="n">
        <x:v>12</x:v>
      </x:c>
      <x:c r="E877" s="14" t="str">
        <x:f>INDEX(Roster!$B$6:$B$108,MATCH(D877,Roster!$A$6:$A$108,0))</x:f>
      </x:c>
      <x:c r="F877" s="14" t="str">
        <x:f>INDEX(Roster!$F$6:$F$108,MATCH(D877,Roster!$A$6:$A$108,0))</x:f>
        <x:v>No</x:v>
      </x:c>
      <x:c r="G877" s="14" t="n">
        <x:f>INDEX(Inputs!$B$7:$D$7,1,MATCH(A877,Inputs!$B$6:$D$6,0))</x:f>
        <x:v>13</x:v>
      </x:c>
      <x:c r="H877" s="14" t="n">
        <x:f>MIN(=INDEX(Inputs!$B$7:$D$7,1,MATCH(A877,Inputs!$B$6:$D$6,0)),MAX(0,INDEX(Inputs!$B$14:$D$14,1,MATCH(A877,Inputs!$B$6:$D$6,0))-(C877-1)*=INDEX(Inputs!$B$7:$D$7,1,MATCH(A877,Inputs!$B$6:$D$6,0))))</x:f>
        <x:v>0</x:v>
      </x:c>
      <x:c r="I877" s="20" t="n">
        <x:f>INDEX(Inputs!$B$8:$D$8,1,MATCH(A877,Inputs!$B$6:$D$6,0))</x:f>
        <x:v>2395</x:v>
      </x:c>
      <x:c r="J877" s="20" t="n">
        <x:f>INDEX(Roster!$C$6:$C$108,MATCH(D877,Roster!$A$6:$A$108,0))*(1+INDEX(Inputs!$B$9:$D$9,1,MATCH(A877,Inputs!$B$6:$D$6,0)))</x:f>
        <x:v>50</x:v>
      </x:c>
      <x:c r="K877" s="20" t="n">
        <x:f>IF(=INDEX(Roster!$F$6:$F$108,MATCH(D877,Roster!$A$6:$A$108,0))="Yes",0,=INDEX(Inputs!$B$8:$D$8,1,MATCH(A877,Inputs!$B$6:$D$6,0))*IF(=INDEX(Roster!$B$6:$B$108,MATCH(D877,Roster!$A$6:$A$108,0))="Principal",INDEX(Inputs!$B$10:$D$10,1,MATCH(A877,Inputs!$B$6:$D$6,0)),IF(=INDEX(Roster!$B$6:$B$108,MATCH(D877,Roster!$A$6:$A$108,0))="Associate Principal",INDEX(Inputs!$B$11:$D$11,1,MATCH(A877,Inputs!$B$6:$D$6,0)),IF(=INDEX(Roster!$B$6:$B$108,MATCH(D877,Roster!$A$6:$A$108,0))="Assistant Principal",INDEX(Inputs!$B$12:$D$12,1,MATCH(A877,Inputs!$B$6:$D$6,0)),0))))</x:f>
        <x:v>0</x:v>
      </x:c>
      <x:c r="L877" s="20" t="n">
        <x:f>IF(INDEX(Roster!$D$6:$D$108,MATCH(D877,Roster!$A$6:$A$108,0))&gt;=25,INDEX(Inputs!$B$19:$D$19,1,MATCH(A877,Inputs!$B$6:$D$6,0)),IF(INDEX(Roster!$D$6:$D$108,MATCH(D877,Roster!$A$6:$A$108,0))&gt;=20,INDEX(Inputs!$B$18:$D$18,1,MATCH(A877,Inputs!$B$6:$D$6,0)),IF(INDEX(Roster!$D$6:$D$108,MATCH(D877,Roster!$A$6:$A$108,0))&gt;=15,INDEX(Inputs!$B$17:$D$17,1,MATCH(A877,Inputs!$B$6:$D$6,0)),IF(INDEX(Roster!$D$6:$D$108,MATCH(D877,Roster!$A$6:$A$108,0))&gt;=10,INDEX(Inputs!$B$16:$D$16,1,MATCH(A877,Inputs!$B$6:$D$6,0)),IF(INDEX(Roster!$D$6:$D$108,MATCH(D877,Roster!$A$6:$A$108,0))&gt;=5,INDEX(Inputs!$B$15:$D$15,1,MATCH(A877,Inputs!$B$6:$D$6,0)),0)))))</x:f>
        <x:v>90</x:v>
      </x:c>
      <x:c r="M877" s="20" t="n">
        <x:f>G877*I877</x:f>
        <x:v>31135</x:v>
      </x:c>
      <x:c r="N877" s="20" t="n">
        <x:f>G877*J877</x:f>
        <x:v>650</x:v>
      </x:c>
      <x:c r="O877" s="20" t="n">
        <x:f>G877*K877</x:f>
        <x:v>0</x:v>
      </x:c>
      <x:c r="P877" s="20" t="n">
        <x:f>G877*L877</x:f>
        <x:v>1170</x:v>
      </x:c>
      <x:c r="Q877" s="20" t="n">
        <x:f>H877*INDEX(Inputs!$B$13:$D$13,1,MATCH(A877,Inputs!$B$6:$D$6,0))</x:f>
        <x:v>0</x:v>
      </x:c>
      <x:c r="R877" s="20" t="n">
        <x:f>SUM(M877:Q877)</x:f>
        <x:v>32955</x:v>
      </x:c>
      <x:c r="S877" s="20" t="n">
        <x:f>IF(AND(A876=A877,D876=D877),S876+R877,R877)</x:f>
        <x:v>132990</x:v>
      </x:c>
      <x:c r="T877" s="20" t="n">
        <x:f>MIN(S877,INDEX(Inputs!$B$20:$D$20,1,MATCH(A877,Inputs!$B$6:$D$6,0)))*INDEX(Inputs!$B$22:$D$22,1,MATCH(A877,Inputs!$B$6:$D$6,0))+MAX(MIN(S877,INDEX(Inputs!$B$21:$D$21,1,MATCH(A877,Inputs!$B$6:$D$6,0)))-INDEX(Inputs!$B$20:$D$20,1,MATCH(A877,Inputs!$B$6:$D$6,0)),0)*INDEX(Inputs!$B$23:$D$23,1,MATCH(A877,Inputs!$B$6:$D$6,0))+MAX(S877-INDEX(Inputs!$B$21:$D$21,1,MATCH(A877,Inputs!$B$6:$D$6,0)),0)*INDEX(Inputs!$B$24:$D$24,1,MATCH(A877,Inputs!$B$6:$D$6,0))</x:f>
        <x:v>9842.297</x:v>
      </x:c>
      <x:c r="U877" s="20" t="n">
        <x:f>IF(AND(A876=A877,D876=D877),T876,0)</x:f>
        <x:v>8142.6775</x:v>
      </x:c>
      <x:c r="V877" s="20" t="n">
        <x:f>T877-U877</x:f>
        <x:v>1699.6195000000007</x:v>
      </x:c>
      <x:c r="W877" s="20" t="n">
        <x:f>R877+V877</x:f>
        <x:v>34654.6195</x:v>
      </x:c>
      <x:c r="X877" s="14" t="str">
        <x:f>IF(ABS(W877-SUM(M877:Q877)-V877)&lt;0.01,"OK","Check")</x:f>
        <x:v>OK</x:v>
      </x:c>
    </x:row>
    <x:row r="878">
      <x:c r="A878" s="14" t="n">
        <x:v>2028</x:v>
      </x:c>
      <x:c r="B878" s="14" t="str">
        <x:v>Q1</x:v>
      </x:c>
      <x:c r="C878" s="14" t="n">
        <x:v>1</x:v>
      </x:c>
      <x:c r="D878" s="14" t="n">
        <x:v>13</x:v>
      </x:c>
      <x:c r="E878" s="14" t="str">
        <x:f>INDEX(Roster!$B$6:$B$108,MATCH(D878,Roster!$A$6:$A$108,0))</x:f>
        <x:v>Associate Principal</x:v>
      </x:c>
      <x:c r="F878" s="14" t="str">
        <x:f>INDEX(Roster!$F$6:$F$108,MATCH(D878,Roster!$A$6:$A$108,0))</x:f>
        <x:v>No</x:v>
      </x:c>
      <x:c r="G878" s="14" t="n">
        <x:f>INDEX(Inputs!$B$7:$D$7,1,MATCH(A878,Inputs!$B$6:$D$6,0))</x:f>
        <x:v>13</x:v>
      </x:c>
      <x:c r="H878" s="14" t="n">
        <x:f>MIN(=INDEX(Inputs!$B$7:$D$7,1,MATCH(A878,Inputs!$B$6:$D$6,0)),MAX(0,INDEX(Inputs!$B$14:$D$14,1,MATCH(A878,Inputs!$B$6:$D$6,0))-(C878-1)*=INDEX(Inputs!$B$7:$D$7,1,MATCH(A878,Inputs!$B$6:$D$6,0))))</x:f>
        <x:v>13</x:v>
      </x:c>
      <x:c r="I878" s="20" t="n">
        <x:f>INDEX(Inputs!$B$8:$D$8,1,MATCH(A878,Inputs!$B$6:$D$6,0))</x:f>
        <x:v>2395</x:v>
      </x:c>
      <x:c r="J878" s="20" t="n">
        <x:f>INDEX(Roster!$C$6:$C$108,MATCH(D878,Roster!$A$6:$A$108,0))*(1+INDEX(Inputs!$B$9:$D$9,1,MATCH(A878,Inputs!$B$6:$D$6,0)))</x:f>
        <x:v>350</x:v>
      </x:c>
      <x:c r="K878" s="20" t="n">
        <x:f>IF(=INDEX(Roster!$F$6:$F$108,MATCH(D878,Roster!$A$6:$A$108,0))="Yes",0,=INDEX(Inputs!$B$8:$D$8,1,MATCH(A878,Inputs!$B$6:$D$6,0))*IF(=INDEX(Roster!$B$6:$B$108,MATCH(D878,Roster!$A$6:$A$108,0))="Principal",INDEX(Inputs!$B$10:$D$10,1,MATCH(A878,Inputs!$B$6:$D$6,0)),IF(=INDEX(Roster!$B$6:$B$108,MATCH(D878,Roster!$A$6:$A$108,0))="Associate Principal",INDEX(Inputs!$B$11:$D$11,1,MATCH(A878,Inputs!$B$6:$D$6,0)),IF(=INDEX(Roster!$B$6:$B$108,MATCH(D878,Roster!$A$6:$A$108,0))="Assistant Principal",INDEX(Inputs!$B$12:$D$12,1,MATCH(A878,Inputs!$B$6:$D$6,0)),0))))</x:f>
        <x:v>239.5</x:v>
      </x:c>
      <x:c r="L878" s="20" t="n">
        <x:f>IF(INDEX(Roster!$D$6:$D$108,MATCH(D878,Roster!$A$6:$A$108,0))&gt;=25,INDEX(Inputs!$B$19:$D$19,1,MATCH(A878,Inputs!$B$6:$D$6,0)),IF(INDEX(Roster!$D$6:$D$108,MATCH(D878,Roster!$A$6:$A$108,0))&gt;=20,INDEX(Inputs!$B$18:$D$18,1,MATCH(A878,Inputs!$B$6:$D$6,0)),IF(INDEX(Roster!$D$6:$D$108,MATCH(D878,Roster!$A$6:$A$108,0))&gt;=15,INDEX(Inputs!$B$17:$D$17,1,MATCH(A878,Inputs!$B$6:$D$6,0)),IF(INDEX(Roster!$D$6:$D$108,MATCH(D878,Roster!$A$6:$A$108,0))&gt;=10,INDEX(Inputs!$B$16:$D$16,1,MATCH(A878,Inputs!$B$6:$D$6,0)),IF(INDEX(Roster!$D$6:$D$108,MATCH(D878,Roster!$A$6:$A$108,0))&gt;=5,INDEX(Inputs!$B$15:$D$15,1,MATCH(A878,Inputs!$B$6:$D$6,0)),0)))))</x:f>
        <x:v>50</x:v>
      </x:c>
      <x:c r="M878" s="20" t="n">
        <x:f>G878*I878</x:f>
        <x:v>31135</x:v>
      </x:c>
      <x:c r="N878" s="20" t="n">
        <x:f>G878*J878</x:f>
        <x:v>4550</x:v>
      </x:c>
      <x:c r="O878" s="20" t="n">
        <x:f>G878*K878</x:f>
        <x:v>3113.5</x:v>
      </x:c>
      <x:c r="P878" s="20" t="n">
        <x:f>G878*L878</x:f>
        <x:v>650</x:v>
      </x:c>
      <x:c r="Q878" s="20" t="n">
        <x:f>H878*INDEX(Inputs!$B$13:$D$13,1,MATCH(A878,Inputs!$B$6:$D$6,0))</x:f>
        <x:v>390</x:v>
      </x:c>
      <x:c r="R878" s="20" t="n">
        <x:f>SUM(M878:Q878)</x:f>
        <x:v>39838.5</x:v>
      </x:c>
      <x:c r="S878" s="20" t="n">
        <x:f>IF(AND(A877=A878,D877=D878),S877+R878,R878)</x:f>
        <x:v>39838.5</x:v>
      </x:c>
      <x:c r="T878" s="20" t="n">
        <x:f>MIN(S878,INDEX(Inputs!$B$20:$D$20,1,MATCH(A878,Inputs!$B$6:$D$6,0)))*INDEX(Inputs!$B$22:$D$22,1,MATCH(A878,Inputs!$B$6:$D$6,0))+MAX(MIN(S878,INDEX(Inputs!$B$21:$D$21,1,MATCH(A878,Inputs!$B$6:$D$6,0)))-INDEX(Inputs!$B$20:$D$20,1,MATCH(A878,Inputs!$B$6:$D$6,0)),0)*INDEX(Inputs!$B$23:$D$23,1,MATCH(A878,Inputs!$B$6:$D$6,0))+MAX(S878-INDEX(Inputs!$B$21:$D$21,1,MATCH(A878,Inputs!$B$6:$D$6,0)),0)*INDEX(Inputs!$B$24:$D$24,1,MATCH(A878,Inputs!$B$6:$D$6,0))</x:f>
        <x:v>3537.64525</x:v>
      </x:c>
      <x:c r="U878" s="20" t="n">
        <x:f>IF(AND(A877=A878,D877=D878),T877,0)</x:f>
        <x:v>0</x:v>
      </x:c>
      <x:c r="V878" s="20" t="n">
        <x:f>T878-U878</x:f>
        <x:v>3537.64525</x:v>
      </x:c>
      <x:c r="W878" s="20" t="n">
        <x:f>R878+V878</x:f>
        <x:v>43376.14525</x:v>
      </x:c>
      <x:c r="X878" s="14" t="str">
        <x:f>IF(ABS(W878-SUM(M878:Q878)-V878)&lt;0.01,"OK","Check")</x:f>
        <x:v>OK</x:v>
      </x:c>
    </x:row>
    <x:row r="879">
      <x:c r="A879" s="14" t="n">
        <x:v>2028</x:v>
      </x:c>
      <x:c r="B879" s="14" t="str">
        <x:v>Q2</x:v>
      </x:c>
      <x:c r="C879" s="14" t="n">
        <x:v>2</x:v>
      </x:c>
      <x:c r="D879" s="14" t="n">
        <x:v>13</x:v>
      </x:c>
      <x:c r="E879" s="14" t="str">
        <x:f>INDEX(Roster!$B$6:$B$108,MATCH(D879,Roster!$A$6:$A$108,0))</x:f>
        <x:v>Associate Principal</x:v>
      </x:c>
      <x:c r="F879" s="14" t="str">
        <x:f>INDEX(Roster!$F$6:$F$108,MATCH(D879,Roster!$A$6:$A$108,0))</x:f>
        <x:v>No</x:v>
      </x:c>
      <x:c r="G879" s="14" t="n">
        <x:f>INDEX(Inputs!$B$7:$D$7,1,MATCH(A879,Inputs!$B$6:$D$6,0))</x:f>
        <x:v>13</x:v>
      </x:c>
      <x:c r="H879" s="14" t="n">
        <x:f>MIN(=INDEX(Inputs!$B$7:$D$7,1,MATCH(A879,Inputs!$B$6:$D$6,0)),MAX(0,INDEX(Inputs!$B$14:$D$14,1,MATCH(A879,Inputs!$B$6:$D$6,0))-(C879-1)*=INDEX(Inputs!$B$7:$D$7,1,MATCH(A879,Inputs!$B$6:$D$6,0))))</x:f>
        <x:v>13</x:v>
      </x:c>
      <x:c r="I879" s="20" t="n">
        <x:f>INDEX(Inputs!$B$8:$D$8,1,MATCH(A879,Inputs!$B$6:$D$6,0))</x:f>
        <x:v>2395</x:v>
      </x:c>
      <x:c r="J879" s="20" t="n">
        <x:f>INDEX(Roster!$C$6:$C$108,MATCH(D879,Roster!$A$6:$A$108,0))*(1+INDEX(Inputs!$B$9:$D$9,1,MATCH(A879,Inputs!$B$6:$D$6,0)))</x:f>
        <x:v>350</x:v>
      </x:c>
      <x:c r="K879" s="20" t="n">
        <x:f>IF(=INDEX(Roster!$F$6:$F$108,MATCH(D879,Roster!$A$6:$A$108,0))="Yes",0,=INDEX(Inputs!$B$8:$D$8,1,MATCH(A879,Inputs!$B$6:$D$6,0))*IF(=INDEX(Roster!$B$6:$B$108,MATCH(D879,Roster!$A$6:$A$108,0))="Principal",INDEX(Inputs!$B$10:$D$10,1,MATCH(A879,Inputs!$B$6:$D$6,0)),IF(=INDEX(Roster!$B$6:$B$108,MATCH(D879,Roster!$A$6:$A$108,0))="Associate Principal",INDEX(Inputs!$B$11:$D$11,1,MATCH(A879,Inputs!$B$6:$D$6,0)),IF(=INDEX(Roster!$B$6:$B$108,MATCH(D879,Roster!$A$6:$A$108,0))="Assistant Principal",INDEX(Inputs!$B$12:$D$12,1,MATCH(A879,Inputs!$B$6:$D$6,0)),0))))</x:f>
        <x:v>239.5</x:v>
      </x:c>
      <x:c r="L879" s="20" t="n">
        <x:f>IF(INDEX(Roster!$D$6:$D$108,MATCH(D879,Roster!$A$6:$A$108,0))&gt;=25,INDEX(Inputs!$B$19:$D$19,1,MATCH(A879,Inputs!$B$6:$D$6,0)),IF(INDEX(Roster!$D$6:$D$108,MATCH(D879,Roster!$A$6:$A$108,0))&gt;=20,INDEX(Inputs!$B$18:$D$18,1,MATCH(A879,Inputs!$B$6:$D$6,0)),IF(INDEX(Roster!$D$6:$D$108,MATCH(D879,Roster!$A$6:$A$108,0))&gt;=15,INDEX(Inputs!$B$17:$D$17,1,MATCH(A879,Inputs!$B$6:$D$6,0)),IF(INDEX(Roster!$D$6:$D$108,MATCH(D879,Roster!$A$6:$A$108,0))&gt;=10,INDEX(Inputs!$B$16:$D$16,1,MATCH(A879,Inputs!$B$6:$D$6,0)),IF(INDEX(Roster!$D$6:$D$108,MATCH(D879,Roster!$A$6:$A$108,0))&gt;=5,INDEX(Inputs!$B$15:$D$15,1,MATCH(A879,Inputs!$B$6:$D$6,0)),0)))))</x:f>
        <x:v>50</x:v>
      </x:c>
      <x:c r="M879" s="20" t="n">
        <x:f>G879*I879</x:f>
        <x:v>31135</x:v>
      </x:c>
      <x:c r="N879" s="20" t="n">
        <x:f>G879*J879</x:f>
        <x:v>4550</x:v>
      </x:c>
      <x:c r="O879" s="20" t="n">
        <x:f>G879*K879</x:f>
        <x:v>3113.5</x:v>
      </x:c>
      <x:c r="P879" s="20" t="n">
        <x:f>G879*L879</x:f>
        <x:v>650</x:v>
      </x:c>
      <x:c r="Q879" s="20" t="n">
        <x:f>H879*INDEX(Inputs!$B$13:$D$13,1,MATCH(A879,Inputs!$B$6:$D$6,0))</x:f>
        <x:v>390</x:v>
      </x:c>
      <x:c r="R879" s="20" t="n">
        <x:f>SUM(M879:Q879)</x:f>
        <x:v>39838.5</x:v>
      </x:c>
      <x:c r="S879" s="20" t="n">
        <x:f>IF(AND(A878=A879,D878=D879),S878+R879,R879)</x:f>
        <x:v>79677</x:v>
      </x:c>
      <x:c r="T879" s="20" t="n">
        <x:f>MIN(S879,INDEX(Inputs!$B$20:$D$20,1,MATCH(A879,Inputs!$B$6:$D$6,0)))*INDEX(Inputs!$B$22:$D$22,1,MATCH(A879,Inputs!$B$6:$D$6,0))+MAX(MIN(S879,INDEX(Inputs!$B$21:$D$21,1,MATCH(A879,Inputs!$B$6:$D$6,0)))-INDEX(Inputs!$B$20:$D$20,1,MATCH(A879,Inputs!$B$6:$D$6,0)),0)*INDEX(Inputs!$B$23:$D$23,1,MATCH(A879,Inputs!$B$6:$D$6,0))+MAX(S879-INDEX(Inputs!$B$21:$D$21,1,MATCH(A879,Inputs!$B$6:$D$6,0)),0)*INDEX(Inputs!$B$24:$D$24,1,MATCH(A879,Inputs!$B$6:$D$6,0))</x:f>
        <x:v>6585.2905</x:v>
      </x:c>
      <x:c r="U879" s="20" t="n">
        <x:f>IF(AND(A878=A879,D878=D879),T878,0)</x:f>
        <x:v>3537.64525</x:v>
      </x:c>
      <x:c r="V879" s="20" t="n">
        <x:f>T879-U879</x:f>
        <x:v>3047.64525</x:v>
      </x:c>
      <x:c r="W879" s="20" t="n">
        <x:f>R879+V879</x:f>
        <x:v>42886.14525</x:v>
      </x:c>
      <x:c r="X879" s="14" t="str">
        <x:f>IF(ABS(W879-SUM(M879:Q879)-V879)&lt;0.01,"OK","Check")</x:f>
        <x:v>OK</x:v>
      </x:c>
    </x:row>
    <x:row r="880">
      <x:c r="A880" s="14" t="n">
        <x:v>2028</x:v>
      </x:c>
      <x:c r="B880" s="14" t="str">
        <x:v>Q3</x:v>
      </x:c>
      <x:c r="C880" s="14" t="n">
        <x:v>3</x:v>
      </x:c>
      <x:c r="D880" s="14" t="n">
        <x:v>13</x:v>
      </x:c>
      <x:c r="E880" s="14" t="str">
        <x:f>INDEX(Roster!$B$6:$B$108,MATCH(D880,Roster!$A$6:$A$108,0))</x:f>
        <x:v>Associate Principal</x:v>
      </x:c>
      <x:c r="F880" s="14" t="str">
        <x:f>INDEX(Roster!$F$6:$F$108,MATCH(D880,Roster!$A$6:$A$108,0))</x:f>
        <x:v>No</x:v>
      </x:c>
      <x:c r="G880" s="14" t="n">
        <x:f>INDEX(Inputs!$B$7:$D$7,1,MATCH(A880,Inputs!$B$6:$D$6,0))</x:f>
        <x:v>13</x:v>
      </x:c>
      <x:c r="H880" s="14" t="n">
        <x:f>MIN(=INDEX(Inputs!$B$7:$D$7,1,MATCH(A880,Inputs!$B$6:$D$6,0)),MAX(0,INDEX(Inputs!$B$14:$D$14,1,MATCH(A880,Inputs!$B$6:$D$6,0))-(C880-1)*=INDEX(Inputs!$B$7:$D$7,1,MATCH(A880,Inputs!$B$6:$D$6,0))))</x:f>
        <x:v>13</x:v>
      </x:c>
      <x:c r="I880" s="20" t="n">
        <x:f>INDEX(Inputs!$B$8:$D$8,1,MATCH(A880,Inputs!$B$6:$D$6,0))</x:f>
        <x:v>2395</x:v>
      </x:c>
      <x:c r="J880" s="20" t="n">
        <x:f>INDEX(Roster!$C$6:$C$108,MATCH(D880,Roster!$A$6:$A$108,0))*(1+INDEX(Inputs!$B$9:$D$9,1,MATCH(A880,Inputs!$B$6:$D$6,0)))</x:f>
        <x:v>350</x:v>
      </x:c>
      <x:c r="K880" s="20" t="n">
        <x:f>IF(=INDEX(Roster!$F$6:$F$108,MATCH(D880,Roster!$A$6:$A$108,0))="Yes",0,=INDEX(Inputs!$B$8:$D$8,1,MATCH(A880,Inputs!$B$6:$D$6,0))*IF(=INDEX(Roster!$B$6:$B$108,MATCH(D880,Roster!$A$6:$A$108,0))="Principal",INDEX(Inputs!$B$10:$D$10,1,MATCH(A880,Inputs!$B$6:$D$6,0)),IF(=INDEX(Roster!$B$6:$B$108,MATCH(D880,Roster!$A$6:$A$108,0))="Associate Principal",INDEX(Inputs!$B$11:$D$11,1,MATCH(A880,Inputs!$B$6:$D$6,0)),IF(=INDEX(Roster!$B$6:$B$108,MATCH(D880,Roster!$A$6:$A$108,0))="Assistant Principal",INDEX(Inputs!$B$12:$D$12,1,MATCH(A880,Inputs!$B$6:$D$6,0)),0))))</x:f>
        <x:v>239.5</x:v>
      </x:c>
      <x:c r="L880" s="20" t="n">
        <x:f>IF(INDEX(Roster!$D$6:$D$108,MATCH(D880,Roster!$A$6:$A$108,0))&gt;=25,INDEX(Inputs!$B$19:$D$19,1,MATCH(A880,Inputs!$B$6:$D$6,0)),IF(INDEX(Roster!$D$6:$D$108,MATCH(D880,Roster!$A$6:$A$108,0))&gt;=20,INDEX(Inputs!$B$18:$D$18,1,MATCH(A880,Inputs!$B$6:$D$6,0)),IF(INDEX(Roster!$D$6:$D$108,MATCH(D880,Roster!$A$6:$A$108,0))&gt;=15,INDEX(Inputs!$B$17:$D$17,1,MATCH(A880,Inputs!$B$6:$D$6,0)),IF(INDEX(Roster!$D$6:$D$108,MATCH(D880,Roster!$A$6:$A$108,0))&gt;=10,INDEX(Inputs!$B$16:$D$16,1,MATCH(A880,Inputs!$B$6:$D$6,0)),IF(INDEX(Roster!$D$6:$D$108,MATCH(D880,Roster!$A$6:$A$108,0))&gt;=5,INDEX(Inputs!$B$15:$D$15,1,MATCH(A880,Inputs!$B$6:$D$6,0)),0)))))</x:f>
        <x:v>50</x:v>
      </x:c>
      <x:c r="M880" s="20" t="n">
        <x:f>G880*I880</x:f>
        <x:v>31135</x:v>
      </x:c>
      <x:c r="N880" s="20" t="n">
        <x:f>G880*J880</x:f>
        <x:v>4550</x:v>
      </x:c>
      <x:c r="O880" s="20" t="n">
        <x:f>G880*K880</x:f>
        <x:v>3113.5</x:v>
      </x:c>
      <x:c r="P880" s="20" t="n">
        <x:f>G880*L880</x:f>
        <x:v>650</x:v>
      </x:c>
      <x:c r="Q880" s="20" t="n">
        <x:f>H880*INDEX(Inputs!$B$13:$D$13,1,MATCH(A880,Inputs!$B$6:$D$6,0))</x:f>
        <x:v>390</x:v>
      </x:c>
      <x:c r="R880" s="20" t="n">
        <x:f>SUM(M880:Q880)</x:f>
        <x:v>39838.5</x:v>
      </x:c>
      <x:c r="S880" s="20" t="n">
        <x:f>IF(AND(A879=A880,D879=D880),S879+R880,R880)</x:f>
        <x:v>119515.5</x:v>
      </x:c>
      <x:c r="T880" s="20" t="n">
        <x:f>MIN(S880,INDEX(Inputs!$B$20:$D$20,1,MATCH(A880,Inputs!$B$6:$D$6,0)))*INDEX(Inputs!$B$22:$D$22,1,MATCH(A880,Inputs!$B$6:$D$6,0))+MAX(MIN(S880,INDEX(Inputs!$B$21:$D$21,1,MATCH(A880,Inputs!$B$6:$D$6,0)))-INDEX(Inputs!$B$20:$D$20,1,MATCH(A880,Inputs!$B$6:$D$6,0)),0)*INDEX(Inputs!$B$23:$D$23,1,MATCH(A880,Inputs!$B$6:$D$6,0))+MAX(S880-INDEX(Inputs!$B$21:$D$21,1,MATCH(A880,Inputs!$B$6:$D$6,0)),0)*INDEX(Inputs!$B$24:$D$24,1,MATCH(A880,Inputs!$B$6:$D$6,0))</x:f>
        <x:v>9632.93575</x:v>
      </x:c>
      <x:c r="U880" s="20" t="n">
        <x:f>IF(AND(A879=A880,D879=D880),T879,0)</x:f>
        <x:v>6585.2905</x:v>
      </x:c>
      <x:c r="V880" s="20" t="n">
        <x:f>T880-U880</x:f>
        <x:v>3047.6452500000005</x:v>
      </x:c>
      <x:c r="W880" s="20" t="n">
        <x:f>R880+V880</x:f>
        <x:v>42886.14525</x:v>
      </x:c>
      <x:c r="X880" s="14" t="str">
        <x:f>IF(ABS(W880-SUM(M880:Q880)-V880)&lt;0.01,"OK","Check")</x:f>
        <x:v>OK</x:v>
      </x:c>
    </x:row>
    <x:row r="881">
      <x:c r="A881" s="14" t="n">
        <x:v>2028</x:v>
      </x:c>
      <x:c r="B881" s="14" t="str">
        <x:v>Q4</x:v>
      </x:c>
      <x:c r="C881" s="14" t="n">
        <x:v>4</x:v>
      </x:c>
      <x:c r="D881" s="14" t="n">
        <x:v>13</x:v>
      </x:c>
      <x:c r="E881" s="14" t="str">
        <x:f>INDEX(Roster!$B$6:$B$108,MATCH(D881,Roster!$A$6:$A$108,0))</x:f>
        <x:v>Associate Principal</x:v>
      </x:c>
      <x:c r="F881" s="14" t="str">
        <x:f>INDEX(Roster!$F$6:$F$108,MATCH(D881,Roster!$A$6:$A$108,0))</x:f>
        <x:v>No</x:v>
      </x:c>
      <x:c r="G881" s="14" t="n">
        <x:f>INDEX(Inputs!$B$7:$D$7,1,MATCH(A881,Inputs!$B$6:$D$6,0))</x:f>
        <x:v>13</x:v>
      </x:c>
      <x:c r="H881" s="14" t="n">
        <x:f>MIN(=INDEX(Inputs!$B$7:$D$7,1,MATCH(A881,Inputs!$B$6:$D$6,0)),MAX(0,INDEX(Inputs!$B$14:$D$14,1,MATCH(A881,Inputs!$B$6:$D$6,0))-(C881-1)*=INDEX(Inputs!$B$7:$D$7,1,MATCH(A881,Inputs!$B$6:$D$6,0))))</x:f>
        <x:v>0</x:v>
      </x:c>
      <x:c r="I881" s="20" t="n">
        <x:f>INDEX(Inputs!$B$8:$D$8,1,MATCH(A881,Inputs!$B$6:$D$6,0))</x:f>
        <x:v>2395</x:v>
      </x:c>
      <x:c r="J881" s="20" t="n">
        <x:f>INDEX(Roster!$C$6:$C$108,MATCH(D881,Roster!$A$6:$A$108,0))*(1+INDEX(Inputs!$B$9:$D$9,1,MATCH(A881,Inputs!$B$6:$D$6,0)))</x:f>
        <x:v>350</x:v>
      </x:c>
      <x:c r="K881" s="20" t="n">
        <x:f>IF(=INDEX(Roster!$F$6:$F$108,MATCH(D881,Roster!$A$6:$A$108,0))="Yes",0,=INDEX(Inputs!$B$8:$D$8,1,MATCH(A881,Inputs!$B$6:$D$6,0))*IF(=INDEX(Roster!$B$6:$B$108,MATCH(D881,Roster!$A$6:$A$108,0))="Principal",INDEX(Inputs!$B$10:$D$10,1,MATCH(A881,Inputs!$B$6:$D$6,0)),IF(=INDEX(Roster!$B$6:$B$108,MATCH(D881,Roster!$A$6:$A$108,0))="Associate Principal",INDEX(Inputs!$B$11:$D$11,1,MATCH(A881,Inputs!$B$6:$D$6,0)),IF(=INDEX(Roster!$B$6:$B$108,MATCH(D881,Roster!$A$6:$A$108,0))="Assistant Principal",INDEX(Inputs!$B$12:$D$12,1,MATCH(A881,Inputs!$B$6:$D$6,0)),0))))</x:f>
        <x:v>239.5</x:v>
      </x:c>
      <x:c r="L881" s="20" t="n">
        <x:f>IF(INDEX(Roster!$D$6:$D$108,MATCH(D881,Roster!$A$6:$A$108,0))&gt;=25,INDEX(Inputs!$B$19:$D$19,1,MATCH(A881,Inputs!$B$6:$D$6,0)),IF(INDEX(Roster!$D$6:$D$108,MATCH(D881,Roster!$A$6:$A$108,0))&gt;=20,INDEX(Inputs!$B$18:$D$18,1,MATCH(A881,Inputs!$B$6:$D$6,0)),IF(INDEX(Roster!$D$6:$D$108,MATCH(D881,Roster!$A$6:$A$108,0))&gt;=15,INDEX(Inputs!$B$17:$D$17,1,MATCH(A881,Inputs!$B$6:$D$6,0)),IF(INDEX(Roster!$D$6:$D$108,MATCH(D881,Roster!$A$6:$A$108,0))&gt;=10,INDEX(Inputs!$B$16:$D$16,1,MATCH(A881,Inputs!$B$6:$D$6,0)),IF(INDEX(Roster!$D$6:$D$108,MATCH(D881,Roster!$A$6:$A$108,0))&gt;=5,INDEX(Inputs!$B$15:$D$15,1,MATCH(A881,Inputs!$B$6:$D$6,0)),0)))))</x:f>
        <x:v>50</x:v>
      </x:c>
      <x:c r="M881" s="20" t="n">
        <x:f>G881*I881</x:f>
        <x:v>31135</x:v>
      </x:c>
      <x:c r="N881" s="20" t="n">
        <x:f>G881*J881</x:f>
        <x:v>4550</x:v>
      </x:c>
      <x:c r="O881" s="20" t="n">
        <x:f>G881*K881</x:f>
        <x:v>3113.5</x:v>
      </x:c>
      <x:c r="P881" s="20" t="n">
        <x:f>G881*L881</x:f>
        <x:v>650</x:v>
      </x:c>
      <x:c r="Q881" s="20" t="n">
        <x:f>H881*INDEX(Inputs!$B$13:$D$13,1,MATCH(A881,Inputs!$B$6:$D$6,0))</x:f>
        <x:v>0</x:v>
      </x:c>
      <x:c r="R881" s="20" t="n">
        <x:f>SUM(M881:Q881)</x:f>
        <x:v>39448.5</x:v>
      </x:c>
      <x:c r="S881" s="20" t="n">
        <x:f>IF(AND(A880=A881,D880=D881),S880+R881,R881)</x:f>
        <x:v>158964</x:v>
      </x:c>
      <x:c r="T881" s="20" t="n">
        <x:f>MIN(S881,INDEX(Inputs!$B$20:$D$20,1,MATCH(A881,Inputs!$B$6:$D$6,0)))*INDEX(Inputs!$B$22:$D$22,1,MATCH(A881,Inputs!$B$6:$D$6,0))+MAX(MIN(S881,INDEX(Inputs!$B$21:$D$21,1,MATCH(A881,Inputs!$B$6:$D$6,0)))-INDEX(Inputs!$B$20:$D$20,1,MATCH(A881,Inputs!$B$6:$D$6,0)),0)*INDEX(Inputs!$B$23:$D$23,1,MATCH(A881,Inputs!$B$6:$D$6,0))+MAX(S881-INDEX(Inputs!$B$21:$D$21,1,MATCH(A881,Inputs!$B$6:$D$6,0)),0)*INDEX(Inputs!$B$24:$D$24,1,MATCH(A881,Inputs!$B$6:$D$6,0))</x:f>
        <x:v>10218.92</x:v>
      </x:c>
      <x:c r="U881" s="20" t="n">
        <x:f>IF(AND(A880=A881,D880=D881),T880,0)</x:f>
        <x:v>9632.93575</x:v>
      </x:c>
      <x:c r="V881" s="20" t="n">
        <x:f>T881-U881</x:f>
        <x:v>585.9842499999995</x:v>
      </x:c>
      <x:c r="W881" s="20" t="n">
        <x:f>R881+V881</x:f>
        <x:v>40034.48425</x:v>
      </x:c>
      <x:c r="X881" s="14" t="str">
        <x:f>IF(ABS(W881-SUM(M881:Q881)-V881)&lt;0.01,"OK","Check")</x:f>
        <x:v>OK</x:v>
      </x:c>
    </x:row>
    <x:row r="882">
      <x:c r="A882" s="14" t="n">
        <x:v>2028</x:v>
      </x:c>
      <x:c r="B882" s="14" t="str">
        <x:v>Q1</x:v>
      </x:c>
      <x:c r="C882" s="14" t="n">
        <x:v>1</x:v>
      </x:c>
      <x:c r="D882" s="14" t="n">
        <x:v>14</x:v>
      </x:c>
      <x:c r="E882" s="14" t="str">
        <x:f>INDEX(Roster!$B$6:$B$108,MATCH(D882,Roster!$A$6:$A$108,0))</x:f>
        <x:v>Associate Principal</x:v>
      </x:c>
      <x:c r="F882" s="14" t="str">
        <x:f>INDEX(Roster!$F$6:$F$108,MATCH(D882,Roster!$A$6:$A$108,0))</x:f>
        <x:v>No</x:v>
      </x:c>
      <x:c r="G882" s="14" t="n">
        <x:f>INDEX(Inputs!$B$7:$D$7,1,MATCH(A882,Inputs!$B$6:$D$6,0))</x:f>
        <x:v>13</x:v>
      </x:c>
      <x:c r="H882" s="14" t="n">
        <x:f>MIN(=INDEX(Inputs!$B$7:$D$7,1,MATCH(A882,Inputs!$B$6:$D$6,0)),MAX(0,INDEX(Inputs!$B$14:$D$14,1,MATCH(A882,Inputs!$B$6:$D$6,0))-(C882-1)*=INDEX(Inputs!$B$7:$D$7,1,MATCH(A882,Inputs!$B$6:$D$6,0))))</x:f>
        <x:v>13</x:v>
      </x:c>
      <x:c r="I882" s="20" t="n">
        <x:f>INDEX(Inputs!$B$8:$D$8,1,MATCH(A882,Inputs!$B$6:$D$6,0))</x:f>
        <x:v>2395</x:v>
      </x:c>
      <x:c r="J882" s="20" t="n">
        <x:f>INDEX(Roster!$C$6:$C$108,MATCH(D882,Roster!$A$6:$A$108,0))*(1+INDEX(Inputs!$B$9:$D$9,1,MATCH(A882,Inputs!$B$6:$D$6,0)))</x:f>
        <x:v>650</x:v>
      </x:c>
      <x:c r="K882" s="20" t="n">
        <x:f>IF(=INDEX(Roster!$F$6:$F$108,MATCH(D882,Roster!$A$6:$A$108,0))="Yes",0,=INDEX(Inputs!$B$8:$D$8,1,MATCH(A882,Inputs!$B$6:$D$6,0))*IF(=INDEX(Roster!$B$6:$B$108,MATCH(D882,Roster!$A$6:$A$108,0))="Principal",INDEX(Inputs!$B$10:$D$10,1,MATCH(A882,Inputs!$B$6:$D$6,0)),IF(=INDEX(Roster!$B$6:$B$108,MATCH(D882,Roster!$A$6:$A$108,0))="Associate Principal",INDEX(Inputs!$B$11:$D$11,1,MATCH(A882,Inputs!$B$6:$D$6,0)),IF(=INDEX(Roster!$B$6:$B$108,MATCH(D882,Roster!$A$6:$A$108,0))="Assistant Principal",INDEX(Inputs!$B$12:$D$12,1,MATCH(A882,Inputs!$B$6:$D$6,0)),0))))</x:f>
        <x:v>239.5</x:v>
      </x:c>
      <x:c r="L882" s="20" t="n">
        <x:f>IF(INDEX(Roster!$D$6:$D$108,MATCH(D882,Roster!$A$6:$A$108,0))&gt;=25,INDEX(Inputs!$B$19:$D$19,1,MATCH(A882,Inputs!$B$6:$D$6,0)),IF(INDEX(Roster!$D$6:$D$108,MATCH(D882,Roster!$A$6:$A$108,0))&gt;=20,INDEX(Inputs!$B$18:$D$18,1,MATCH(A882,Inputs!$B$6:$D$6,0)),IF(INDEX(Roster!$D$6:$D$108,MATCH(D882,Roster!$A$6:$A$108,0))&gt;=15,INDEX(Inputs!$B$17:$D$17,1,MATCH(A882,Inputs!$B$6:$D$6,0)),IF(INDEX(Roster!$D$6:$D$108,MATCH(D882,Roster!$A$6:$A$108,0))&gt;=10,INDEX(Inputs!$B$16:$D$16,1,MATCH(A882,Inputs!$B$6:$D$6,0)),IF(INDEX(Roster!$D$6:$D$108,MATCH(D882,Roster!$A$6:$A$108,0))&gt;=5,INDEX(Inputs!$B$15:$D$15,1,MATCH(A882,Inputs!$B$6:$D$6,0)),0)))))</x:f>
        <x:v>50</x:v>
      </x:c>
      <x:c r="M882" s="20" t="n">
        <x:f>G882*I882</x:f>
        <x:v>31135</x:v>
      </x:c>
      <x:c r="N882" s="20" t="n">
        <x:f>G882*J882</x:f>
        <x:v>8450</x:v>
      </x:c>
      <x:c r="O882" s="20" t="n">
        <x:f>G882*K882</x:f>
        <x:v>3113.5</x:v>
      </x:c>
      <x:c r="P882" s="20" t="n">
        <x:f>G882*L882</x:f>
        <x:v>650</x:v>
      </x:c>
      <x:c r="Q882" s="20" t="n">
        <x:f>H882*INDEX(Inputs!$B$13:$D$13,1,MATCH(A882,Inputs!$B$6:$D$6,0))</x:f>
        <x:v>390</x:v>
      </x:c>
      <x:c r="R882" s="20" t="n">
        <x:f>SUM(M882:Q882)</x:f>
        <x:v>43738.5</x:v>
      </x:c>
      <x:c r="S882" s="20" t="n">
        <x:f>IF(AND(A881=A882,D881=D882),S881+R882,R882)</x:f>
        <x:v>43738.5</x:v>
      </x:c>
      <x:c r="T882" s="20" t="n">
        <x:f>MIN(S882,INDEX(Inputs!$B$20:$D$20,1,MATCH(A882,Inputs!$B$6:$D$6,0)))*INDEX(Inputs!$B$22:$D$22,1,MATCH(A882,Inputs!$B$6:$D$6,0))+MAX(MIN(S882,INDEX(Inputs!$B$21:$D$21,1,MATCH(A882,Inputs!$B$6:$D$6,0)))-INDEX(Inputs!$B$20:$D$20,1,MATCH(A882,Inputs!$B$6:$D$6,0)),0)*INDEX(Inputs!$B$23:$D$23,1,MATCH(A882,Inputs!$B$6:$D$6,0))+MAX(S882-INDEX(Inputs!$B$21:$D$21,1,MATCH(A882,Inputs!$B$6:$D$6,0)),0)*INDEX(Inputs!$B$24:$D$24,1,MATCH(A882,Inputs!$B$6:$D$6,0))</x:f>
        <x:v>3835.99525</x:v>
      </x:c>
      <x:c r="U882" s="20" t="n">
        <x:f>IF(AND(A881=A882,D881=D882),T881,0)</x:f>
        <x:v>0</x:v>
      </x:c>
      <x:c r="V882" s="20" t="n">
        <x:f>T882-U882</x:f>
        <x:v>3835.99525</x:v>
      </x:c>
      <x:c r="W882" s="20" t="n">
        <x:f>R882+V882</x:f>
        <x:v>47574.49525</x:v>
      </x:c>
      <x:c r="X882" s="14" t="str">
        <x:f>IF(ABS(W882-SUM(M882:Q882)-V882)&lt;0.01,"OK","Check")</x:f>
        <x:v>OK</x:v>
      </x:c>
    </x:row>
    <x:row r="883">
      <x:c r="A883" s="14" t="n">
        <x:v>2028</x:v>
      </x:c>
      <x:c r="B883" s="14" t="str">
        <x:v>Q2</x:v>
      </x:c>
      <x:c r="C883" s="14" t="n">
        <x:v>2</x:v>
      </x:c>
      <x:c r="D883" s="14" t="n">
        <x:v>14</x:v>
      </x:c>
      <x:c r="E883" s="14" t="str">
        <x:f>INDEX(Roster!$B$6:$B$108,MATCH(D883,Roster!$A$6:$A$108,0))</x:f>
        <x:v>Associate Principal</x:v>
      </x:c>
      <x:c r="F883" s="14" t="str">
        <x:f>INDEX(Roster!$F$6:$F$108,MATCH(D883,Roster!$A$6:$A$108,0))</x:f>
        <x:v>No</x:v>
      </x:c>
      <x:c r="G883" s="14" t="n">
        <x:f>INDEX(Inputs!$B$7:$D$7,1,MATCH(A883,Inputs!$B$6:$D$6,0))</x:f>
        <x:v>13</x:v>
      </x:c>
      <x:c r="H883" s="14" t="n">
        <x:f>MIN(=INDEX(Inputs!$B$7:$D$7,1,MATCH(A883,Inputs!$B$6:$D$6,0)),MAX(0,INDEX(Inputs!$B$14:$D$14,1,MATCH(A883,Inputs!$B$6:$D$6,0))-(C883-1)*=INDEX(Inputs!$B$7:$D$7,1,MATCH(A883,Inputs!$B$6:$D$6,0))))</x:f>
        <x:v>13</x:v>
      </x:c>
      <x:c r="I883" s="20" t="n">
        <x:f>INDEX(Inputs!$B$8:$D$8,1,MATCH(A883,Inputs!$B$6:$D$6,0))</x:f>
        <x:v>2395</x:v>
      </x:c>
      <x:c r="J883" s="20" t="n">
        <x:f>INDEX(Roster!$C$6:$C$108,MATCH(D883,Roster!$A$6:$A$108,0))*(1+INDEX(Inputs!$B$9:$D$9,1,MATCH(A883,Inputs!$B$6:$D$6,0)))</x:f>
        <x:v>650</x:v>
      </x:c>
      <x:c r="K883" s="20" t="n">
        <x:f>IF(=INDEX(Roster!$F$6:$F$108,MATCH(D883,Roster!$A$6:$A$108,0))="Yes",0,=INDEX(Inputs!$B$8:$D$8,1,MATCH(A883,Inputs!$B$6:$D$6,0))*IF(=INDEX(Roster!$B$6:$B$108,MATCH(D883,Roster!$A$6:$A$108,0))="Principal",INDEX(Inputs!$B$10:$D$10,1,MATCH(A883,Inputs!$B$6:$D$6,0)),IF(=INDEX(Roster!$B$6:$B$108,MATCH(D883,Roster!$A$6:$A$108,0))="Associate Principal",INDEX(Inputs!$B$11:$D$11,1,MATCH(A883,Inputs!$B$6:$D$6,0)),IF(=INDEX(Roster!$B$6:$B$108,MATCH(D883,Roster!$A$6:$A$108,0))="Assistant Principal",INDEX(Inputs!$B$12:$D$12,1,MATCH(A883,Inputs!$B$6:$D$6,0)),0))))</x:f>
        <x:v>239.5</x:v>
      </x:c>
      <x:c r="L883" s="20" t="n">
        <x:f>IF(INDEX(Roster!$D$6:$D$108,MATCH(D883,Roster!$A$6:$A$108,0))&gt;=25,INDEX(Inputs!$B$19:$D$19,1,MATCH(A883,Inputs!$B$6:$D$6,0)),IF(INDEX(Roster!$D$6:$D$108,MATCH(D883,Roster!$A$6:$A$108,0))&gt;=20,INDEX(Inputs!$B$18:$D$18,1,MATCH(A883,Inputs!$B$6:$D$6,0)),IF(INDEX(Roster!$D$6:$D$108,MATCH(D883,Roster!$A$6:$A$108,0))&gt;=15,INDEX(Inputs!$B$17:$D$17,1,MATCH(A883,Inputs!$B$6:$D$6,0)),IF(INDEX(Roster!$D$6:$D$108,MATCH(D883,Roster!$A$6:$A$108,0))&gt;=10,INDEX(Inputs!$B$16:$D$16,1,MATCH(A883,Inputs!$B$6:$D$6,0)),IF(INDEX(Roster!$D$6:$D$108,MATCH(D883,Roster!$A$6:$A$108,0))&gt;=5,INDEX(Inputs!$B$15:$D$15,1,MATCH(A883,Inputs!$B$6:$D$6,0)),0)))))</x:f>
        <x:v>50</x:v>
      </x:c>
      <x:c r="M883" s="20" t="n">
        <x:f>G883*I883</x:f>
        <x:v>31135</x:v>
      </x:c>
      <x:c r="N883" s="20" t="n">
        <x:f>G883*J883</x:f>
        <x:v>8450</x:v>
      </x:c>
      <x:c r="O883" s="20" t="n">
        <x:f>G883*K883</x:f>
        <x:v>3113.5</x:v>
      </x:c>
      <x:c r="P883" s="20" t="n">
        <x:f>G883*L883</x:f>
        <x:v>650</x:v>
      </x:c>
      <x:c r="Q883" s="20" t="n">
        <x:f>H883*INDEX(Inputs!$B$13:$D$13,1,MATCH(A883,Inputs!$B$6:$D$6,0))</x:f>
        <x:v>390</x:v>
      </x:c>
      <x:c r="R883" s="20" t="n">
        <x:f>SUM(M883:Q883)</x:f>
        <x:v>43738.5</x:v>
      </x:c>
      <x:c r="S883" s="20" t="n">
        <x:f>IF(AND(A882=A883,D882=D883),S882+R883,R883)</x:f>
        <x:v>87477</x:v>
      </x:c>
      <x:c r="T883" s="20" t="n">
        <x:f>MIN(S883,INDEX(Inputs!$B$20:$D$20,1,MATCH(A883,Inputs!$B$6:$D$6,0)))*INDEX(Inputs!$B$22:$D$22,1,MATCH(A883,Inputs!$B$6:$D$6,0))+MAX(MIN(S883,INDEX(Inputs!$B$21:$D$21,1,MATCH(A883,Inputs!$B$6:$D$6,0)))-INDEX(Inputs!$B$20:$D$20,1,MATCH(A883,Inputs!$B$6:$D$6,0)),0)*INDEX(Inputs!$B$23:$D$23,1,MATCH(A883,Inputs!$B$6:$D$6,0))+MAX(S883-INDEX(Inputs!$B$21:$D$21,1,MATCH(A883,Inputs!$B$6:$D$6,0)),0)*INDEX(Inputs!$B$24:$D$24,1,MATCH(A883,Inputs!$B$6:$D$6,0))</x:f>
        <x:v>7181.9905</x:v>
      </x:c>
      <x:c r="U883" s="20" t="n">
        <x:f>IF(AND(A882=A883,D882=D883),T882,0)</x:f>
        <x:v>3835.99525</x:v>
      </x:c>
      <x:c r="V883" s="20" t="n">
        <x:f>T883-U883</x:f>
        <x:v>3345.99525</x:v>
      </x:c>
      <x:c r="W883" s="20" t="n">
        <x:f>R883+V883</x:f>
        <x:v>47084.49525</x:v>
      </x:c>
      <x:c r="X883" s="14" t="str">
        <x:f>IF(ABS(W883-SUM(M883:Q883)-V883)&lt;0.01,"OK","Check")</x:f>
        <x:v>OK</x:v>
      </x:c>
    </x:row>
    <x:row r="884">
      <x:c r="A884" s="14" t="n">
        <x:v>2028</x:v>
      </x:c>
      <x:c r="B884" s="14" t="str">
        <x:v>Q3</x:v>
      </x:c>
      <x:c r="C884" s="14" t="n">
        <x:v>3</x:v>
      </x:c>
      <x:c r="D884" s="14" t="n">
        <x:v>14</x:v>
      </x:c>
      <x:c r="E884" s="14" t="str">
        <x:f>INDEX(Roster!$B$6:$B$108,MATCH(D884,Roster!$A$6:$A$108,0))</x:f>
        <x:v>Associate Principal</x:v>
      </x:c>
      <x:c r="F884" s="14" t="str">
        <x:f>INDEX(Roster!$F$6:$F$108,MATCH(D884,Roster!$A$6:$A$108,0))</x:f>
        <x:v>No</x:v>
      </x:c>
      <x:c r="G884" s="14" t="n">
        <x:f>INDEX(Inputs!$B$7:$D$7,1,MATCH(A884,Inputs!$B$6:$D$6,0))</x:f>
        <x:v>13</x:v>
      </x:c>
      <x:c r="H884" s="14" t="n">
        <x:f>MIN(=INDEX(Inputs!$B$7:$D$7,1,MATCH(A884,Inputs!$B$6:$D$6,0)),MAX(0,INDEX(Inputs!$B$14:$D$14,1,MATCH(A884,Inputs!$B$6:$D$6,0))-(C884-1)*=INDEX(Inputs!$B$7:$D$7,1,MATCH(A884,Inputs!$B$6:$D$6,0))))</x:f>
        <x:v>13</x:v>
      </x:c>
      <x:c r="I884" s="20" t="n">
        <x:f>INDEX(Inputs!$B$8:$D$8,1,MATCH(A884,Inputs!$B$6:$D$6,0))</x:f>
        <x:v>2395</x:v>
      </x:c>
      <x:c r="J884" s="20" t="n">
        <x:f>INDEX(Roster!$C$6:$C$108,MATCH(D884,Roster!$A$6:$A$108,0))*(1+INDEX(Inputs!$B$9:$D$9,1,MATCH(A884,Inputs!$B$6:$D$6,0)))</x:f>
        <x:v>650</x:v>
      </x:c>
      <x:c r="K884" s="20" t="n">
        <x:f>IF(=INDEX(Roster!$F$6:$F$108,MATCH(D884,Roster!$A$6:$A$108,0))="Yes",0,=INDEX(Inputs!$B$8:$D$8,1,MATCH(A884,Inputs!$B$6:$D$6,0))*IF(=INDEX(Roster!$B$6:$B$108,MATCH(D884,Roster!$A$6:$A$108,0))="Principal",INDEX(Inputs!$B$10:$D$10,1,MATCH(A884,Inputs!$B$6:$D$6,0)),IF(=INDEX(Roster!$B$6:$B$108,MATCH(D884,Roster!$A$6:$A$108,0))="Associate Principal",INDEX(Inputs!$B$11:$D$11,1,MATCH(A884,Inputs!$B$6:$D$6,0)),IF(=INDEX(Roster!$B$6:$B$108,MATCH(D884,Roster!$A$6:$A$108,0))="Assistant Principal",INDEX(Inputs!$B$12:$D$12,1,MATCH(A884,Inputs!$B$6:$D$6,0)),0))))</x:f>
        <x:v>239.5</x:v>
      </x:c>
      <x:c r="L884" s="20" t="n">
        <x:f>IF(INDEX(Roster!$D$6:$D$108,MATCH(D884,Roster!$A$6:$A$108,0))&gt;=25,INDEX(Inputs!$B$19:$D$19,1,MATCH(A884,Inputs!$B$6:$D$6,0)),IF(INDEX(Roster!$D$6:$D$108,MATCH(D884,Roster!$A$6:$A$108,0))&gt;=20,INDEX(Inputs!$B$18:$D$18,1,MATCH(A884,Inputs!$B$6:$D$6,0)),IF(INDEX(Roster!$D$6:$D$108,MATCH(D884,Roster!$A$6:$A$108,0))&gt;=15,INDEX(Inputs!$B$17:$D$17,1,MATCH(A884,Inputs!$B$6:$D$6,0)),IF(INDEX(Roster!$D$6:$D$108,MATCH(D884,Roster!$A$6:$A$108,0))&gt;=10,INDEX(Inputs!$B$16:$D$16,1,MATCH(A884,Inputs!$B$6:$D$6,0)),IF(INDEX(Roster!$D$6:$D$108,MATCH(D884,Roster!$A$6:$A$108,0))&gt;=5,INDEX(Inputs!$B$15:$D$15,1,MATCH(A884,Inputs!$B$6:$D$6,0)),0)))))</x:f>
        <x:v>50</x:v>
      </x:c>
      <x:c r="M884" s="20" t="n">
        <x:f>G884*I884</x:f>
        <x:v>31135</x:v>
      </x:c>
      <x:c r="N884" s="20" t="n">
        <x:f>G884*J884</x:f>
        <x:v>8450</x:v>
      </x:c>
      <x:c r="O884" s="20" t="n">
        <x:f>G884*K884</x:f>
        <x:v>3113.5</x:v>
      </x:c>
      <x:c r="P884" s="20" t="n">
        <x:f>G884*L884</x:f>
        <x:v>650</x:v>
      </x:c>
      <x:c r="Q884" s="20" t="n">
        <x:f>H884*INDEX(Inputs!$B$13:$D$13,1,MATCH(A884,Inputs!$B$6:$D$6,0))</x:f>
        <x:v>390</x:v>
      </x:c>
      <x:c r="R884" s="20" t="n">
        <x:f>SUM(M884:Q884)</x:f>
        <x:v>43738.5</x:v>
      </x:c>
      <x:c r="S884" s="20" t="n">
        <x:f>IF(AND(A883=A884,D883=D884),S883+R884,R884)</x:f>
        <x:v>131215.5</x:v>
      </x:c>
      <x:c r="T884" s="20" t="n">
        <x:f>MIN(S884,INDEX(Inputs!$B$20:$D$20,1,MATCH(A884,Inputs!$B$6:$D$6,0)))*INDEX(Inputs!$B$22:$D$22,1,MATCH(A884,Inputs!$B$6:$D$6,0))+MAX(MIN(S884,INDEX(Inputs!$B$21:$D$21,1,MATCH(A884,Inputs!$B$6:$D$6,0)))-INDEX(Inputs!$B$20:$D$20,1,MATCH(A884,Inputs!$B$6:$D$6,0)),0)*INDEX(Inputs!$B$23:$D$23,1,MATCH(A884,Inputs!$B$6:$D$6,0))+MAX(S884-INDEX(Inputs!$B$21:$D$21,1,MATCH(A884,Inputs!$B$6:$D$6,0)),0)*INDEX(Inputs!$B$24:$D$24,1,MATCH(A884,Inputs!$B$6:$D$6,0))</x:f>
        <x:v>9816.56675</x:v>
      </x:c>
      <x:c r="U884" s="20" t="n">
        <x:f>IF(AND(A883=A884,D883=D884),T883,0)</x:f>
        <x:v>7181.9905</x:v>
      </x:c>
      <x:c r="V884" s="20" t="n">
        <x:f>T884-U884</x:f>
        <x:v>2634.57625</x:v>
      </x:c>
      <x:c r="W884" s="20" t="n">
        <x:f>R884+V884</x:f>
        <x:v>46373.07625</x:v>
      </x:c>
      <x:c r="X884" s="14" t="str">
        <x:f>IF(ABS(W884-SUM(M884:Q884)-V884)&lt;0.01,"OK","Check")</x:f>
        <x:v>OK</x:v>
      </x:c>
    </x:row>
    <x:row r="885">
      <x:c r="A885" s="14" t="n">
        <x:v>2028</x:v>
      </x:c>
      <x:c r="B885" s="14" t="str">
        <x:v>Q4</x:v>
      </x:c>
      <x:c r="C885" s="14" t="n">
        <x:v>4</x:v>
      </x:c>
      <x:c r="D885" s="14" t="n">
        <x:v>14</x:v>
      </x:c>
      <x:c r="E885" s="14" t="str">
        <x:f>INDEX(Roster!$B$6:$B$108,MATCH(D885,Roster!$A$6:$A$108,0))</x:f>
        <x:v>Associate Principal</x:v>
      </x:c>
      <x:c r="F885" s="14" t="str">
        <x:f>INDEX(Roster!$F$6:$F$108,MATCH(D885,Roster!$A$6:$A$108,0))</x:f>
        <x:v>No</x:v>
      </x:c>
      <x:c r="G885" s="14" t="n">
        <x:f>INDEX(Inputs!$B$7:$D$7,1,MATCH(A885,Inputs!$B$6:$D$6,0))</x:f>
        <x:v>13</x:v>
      </x:c>
      <x:c r="H885" s="14" t="n">
        <x:f>MIN(=INDEX(Inputs!$B$7:$D$7,1,MATCH(A885,Inputs!$B$6:$D$6,0)),MAX(0,INDEX(Inputs!$B$14:$D$14,1,MATCH(A885,Inputs!$B$6:$D$6,0))-(C885-1)*=INDEX(Inputs!$B$7:$D$7,1,MATCH(A885,Inputs!$B$6:$D$6,0))))</x:f>
        <x:v>0</x:v>
      </x:c>
      <x:c r="I885" s="20" t="n">
        <x:f>INDEX(Inputs!$B$8:$D$8,1,MATCH(A885,Inputs!$B$6:$D$6,0))</x:f>
        <x:v>2395</x:v>
      </x:c>
      <x:c r="J885" s="20" t="n">
        <x:f>INDEX(Roster!$C$6:$C$108,MATCH(D885,Roster!$A$6:$A$108,0))*(1+INDEX(Inputs!$B$9:$D$9,1,MATCH(A885,Inputs!$B$6:$D$6,0)))</x:f>
        <x:v>650</x:v>
      </x:c>
      <x:c r="K885" s="20" t="n">
        <x:f>IF(=INDEX(Roster!$F$6:$F$108,MATCH(D885,Roster!$A$6:$A$108,0))="Yes",0,=INDEX(Inputs!$B$8:$D$8,1,MATCH(A885,Inputs!$B$6:$D$6,0))*IF(=INDEX(Roster!$B$6:$B$108,MATCH(D885,Roster!$A$6:$A$108,0))="Principal",INDEX(Inputs!$B$10:$D$10,1,MATCH(A885,Inputs!$B$6:$D$6,0)),IF(=INDEX(Roster!$B$6:$B$108,MATCH(D885,Roster!$A$6:$A$108,0))="Associate Principal",INDEX(Inputs!$B$11:$D$11,1,MATCH(A885,Inputs!$B$6:$D$6,0)),IF(=INDEX(Roster!$B$6:$B$108,MATCH(D885,Roster!$A$6:$A$108,0))="Assistant Principal",INDEX(Inputs!$B$12:$D$12,1,MATCH(A885,Inputs!$B$6:$D$6,0)),0))))</x:f>
        <x:v>239.5</x:v>
      </x:c>
      <x:c r="L885" s="20" t="n">
        <x:f>IF(INDEX(Roster!$D$6:$D$108,MATCH(D885,Roster!$A$6:$A$108,0))&gt;=25,INDEX(Inputs!$B$19:$D$19,1,MATCH(A885,Inputs!$B$6:$D$6,0)),IF(INDEX(Roster!$D$6:$D$108,MATCH(D885,Roster!$A$6:$A$108,0))&gt;=20,INDEX(Inputs!$B$18:$D$18,1,MATCH(A885,Inputs!$B$6:$D$6,0)),IF(INDEX(Roster!$D$6:$D$108,MATCH(D885,Roster!$A$6:$A$108,0))&gt;=15,INDEX(Inputs!$B$17:$D$17,1,MATCH(A885,Inputs!$B$6:$D$6,0)),IF(INDEX(Roster!$D$6:$D$108,MATCH(D885,Roster!$A$6:$A$108,0))&gt;=10,INDEX(Inputs!$B$16:$D$16,1,MATCH(A885,Inputs!$B$6:$D$6,0)),IF(INDEX(Roster!$D$6:$D$108,MATCH(D885,Roster!$A$6:$A$108,0))&gt;=5,INDEX(Inputs!$B$15:$D$15,1,MATCH(A885,Inputs!$B$6:$D$6,0)),0)))))</x:f>
        <x:v>50</x:v>
      </x:c>
      <x:c r="M885" s="20" t="n">
        <x:f>G885*I885</x:f>
        <x:v>31135</x:v>
      </x:c>
      <x:c r="N885" s="20" t="n">
        <x:f>G885*J885</x:f>
        <x:v>8450</x:v>
      </x:c>
      <x:c r="O885" s="20" t="n">
        <x:f>G885*K885</x:f>
        <x:v>3113.5</x:v>
      </x:c>
      <x:c r="P885" s="20" t="n">
        <x:f>G885*L885</x:f>
        <x:v>650</x:v>
      </x:c>
      <x:c r="Q885" s="20" t="n">
        <x:f>H885*INDEX(Inputs!$B$13:$D$13,1,MATCH(A885,Inputs!$B$6:$D$6,0))</x:f>
        <x:v>0</x:v>
      </x:c>
      <x:c r="R885" s="20" t="n">
        <x:f>SUM(M885:Q885)</x:f>
        <x:v>43348.5</x:v>
      </x:c>
      <x:c r="S885" s="20" t="n">
        <x:f>IF(AND(A884=A885,D884=D885),S884+R885,R885)</x:f>
        <x:v>174564</x:v>
      </x:c>
      <x:c r="T885" s="20" t="n">
        <x:f>MIN(S885,INDEX(Inputs!$B$20:$D$20,1,MATCH(A885,Inputs!$B$6:$D$6,0)))*INDEX(Inputs!$B$22:$D$22,1,MATCH(A885,Inputs!$B$6:$D$6,0))+MAX(MIN(S885,INDEX(Inputs!$B$21:$D$21,1,MATCH(A885,Inputs!$B$6:$D$6,0)))-INDEX(Inputs!$B$20:$D$20,1,MATCH(A885,Inputs!$B$6:$D$6,0)),0)*INDEX(Inputs!$B$23:$D$23,1,MATCH(A885,Inputs!$B$6:$D$6,0))+MAX(S885-INDEX(Inputs!$B$21:$D$21,1,MATCH(A885,Inputs!$B$6:$D$6,0)),0)*INDEX(Inputs!$B$24:$D$24,1,MATCH(A885,Inputs!$B$6:$D$6,0))</x:f>
        <x:v>10445.119999999999</x:v>
      </x:c>
      <x:c r="U885" s="20" t="n">
        <x:f>IF(AND(A884=A885,D884=D885),T884,0)</x:f>
        <x:v>9816.56675</x:v>
      </x:c>
      <x:c r="V885" s="20" t="n">
        <x:f>T885-U885</x:f>
        <x:v>628.553249999999</x:v>
      </x:c>
      <x:c r="W885" s="20" t="n">
        <x:f>R885+V885</x:f>
        <x:v>43977.05325</x:v>
      </x:c>
      <x:c r="X885" s="14" t="str">
        <x:f>IF(ABS(W885-SUM(M885:Q885)-V885)&lt;0.01,"OK","Check")</x:f>
        <x:v>OK</x:v>
      </x:c>
    </x:row>
    <x:row r="886">
      <x:c r="A886" s="14" t="n">
        <x:v>2028</x:v>
      </x:c>
      <x:c r="B886" s="14" t="str">
        <x:v>Q1</x:v>
      </x:c>
      <x:c r="C886" s="14" t="n">
        <x:v>1</x:v>
      </x:c>
      <x:c r="D886" s="14" t="n">
        <x:v>15</x:v>
      </x:c>
      <x:c r="E886" s="14" t="str">
        <x:f>INDEX(Roster!$B$6:$B$108,MATCH(D886,Roster!$A$6:$A$108,0))</x:f>
      </x:c>
      <x:c r="F886" s="14" t="str">
        <x:f>INDEX(Roster!$F$6:$F$108,MATCH(D886,Roster!$A$6:$A$108,0))</x:f>
        <x:v>No</x:v>
      </x:c>
      <x:c r="G886" s="14" t="n">
        <x:f>INDEX(Inputs!$B$7:$D$7,1,MATCH(A886,Inputs!$B$6:$D$6,0))</x:f>
        <x:v>13</x:v>
      </x:c>
      <x:c r="H886" s="14" t="n">
        <x:f>MIN(=INDEX(Inputs!$B$7:$D$7,1,MATCH(A886,Inputs!$B$6:$D$6,0)),MAX(0,INDEX(Inputs!$B$14:$D$14,1,MATCH(A886,Inputs!$B$6:$D$6,0))-(C886-1)*=INDEX(Inputs!$B$7:$D$7,1,MATCH(A886,Inputs!$B$6:$D$6,0))))</x:f>
        <x:v>13</x:v>
      </x:c>
      <x:c r="I886" s="20" t="n">
        <x:f>INDEX(Inputs!$B$8:$D$8,1,MATCH(A886,Inputs!$B$6:$D$6,0))</x:f>
        <x:v>2395</x:v>
      </x:c>
      <x:c r="J886" s="20" t="n">
        <x:f>INDEX(Roster!$C$6:$C$108,MATCH(D886,Roster!$A$6:$A$108,0))*(1+INDEX(Inputs!$B$9:$D$9,1,MATCH(A886,Inputs!$B$6:$D$6,0)))</x:f>
        <x:v>30</x:v>
      </x:c>
      <x:c r="K886" s="20" t="n">
        <x:f>IF(=INDEX(Roster!$F$6:$F$108,MATCH(D886,Roster!$A$6:$A$108,0))="Yes",0,=INDEX(Inputs!$B$8:$D$8,1,MATCH(A886,Inputs!$B$6:$D$6,0))*IF(=INDEX(Roster!$B$6:$B$108,MATCH(D886,Roster!$A$6:$A$108,0))="Principal",INDEX(Inputs!$B$10:$D$10,1,MATCH(A886,Inputs!$B$6:$D$6,0)),IF(=INDEX(Roster!$B$6:$B$108,MATCH(D886,Roster!$A$6:$A$108,0))="Associate Principal",INDEX(Inputs!$B$11:$D$11,1,MATCH(A886,Inputs!$B$6:$D$6,0)),IF(=INDEX(Roster!$B$6:$B$108,MATCH(D886,Roster!$A$6:$A$108,0))="Assistant Principal",INDEX(Inputs!$B$12:$D$12,1,MATCH(A886,Inputs!$B$6:$D$6,0)),0))))</x:f>
        <x:v>0</x:v>
      </x:c>
      <x:c r="L886" s="20" t="n">
        <x:f>IF(INDEX(Roster!$D$6:$D$108,MATCH(D886,Roster!$A$6:$A$108,0))&gt;=25,INDEX(Inputs!$B$19:$D$19,1,MATCH(A886,Inputs!$B$6:$D$6,0)),IF(INDEX(Roster!$D$6:$D$108,MATCH(D886,Roster!$A$6:$A$108,0))&gt;=20,INDEX(Inputs!$B$18:$D$18,1,MATCH(A886,Inputs!$B$6:$D$6,0)),IF(INDEX(Roster!$D$6:$D$108,MATCH(D886,Roster!$A$6:$A$108,0))&gt;=15,INDEX(Inputs!$B$17:$D$17,1,MATCH(A886,Inputs!$B$6:$D$6,0)),IF(INDEX(Roster!$D$6:$D$108,MATCH(D886,Roster!$A$6:$A$108,0))&gt;=10,INDEX(Inputs!$B$16:$D$16,1,MATCH(A886,Inputs!$B$6:$D$6,0)),IF(INDEX(Roster!$D$6:$D$108,MATCH(D886,Roster!$A$6:$A$108,0))&gt;=5,INDEX(Inputs!$B$15:$D$15,1,MATCH(A886,Inputs!$B$6:$D$6,0)),0)))))</x:f>
        <x:v>80</x:v>
      </x:c>
      <x:c r="M886" s="20" t="n">
        <x:f>G886*I886</x:f>
        <x:v>31135</x:v>
      </x:c>
      <x:c r="N886" s="20" t="n">
        <x:f>G886*J886</x:f>
        <x:v>390</x:v>
      </x:c>
      <x:c r="O886" s="20" t="n">
        <x:f>G886*K886</x:f>
        <x:v>0</x:v>
      </x:c>
      <x:c r="P886" s="20" t="n">
        <x:f>G886*L886</x:f>
        <x:v>1040</x:v>
      </x:c>
      <x:c r="Q886" s="20" t="n">
        <x:f>H886*INDEX(Inputs!$B$13:$D$13,1,MATCH(A886,Inputs!$B$6:$D$6,0))</x:f>
        <x:v>390</x:v>
      </x:c>
      <x:c r="R886" s="20" t="n">
        <x:f>SUM(M886:Q886)</x:f>
        <x:v>32955</x:v>
      </x:c>
      <x:c r="S886" s="20" t="n">
        <x:f>IF(AND(A885=A886,D885=D886),S885+R886,R886)</x:f>
        <x:v>32955</x:v>
      </x:c>
      <x:c r="T886" s="20" t="n">
        <x:f>MIN(S886,INDEX(Inputs!$B$20:$D$20,1,MATCH(A886,Inputs!$B$6:$D$6,0)))*INDEX(Inputs!$B$22:$D$22,1,MATCH(A886,Inputs!$B$6:$D$6,0))+MAX(MIN(S886,INDEX(Inputs!$B$21:$D$21,1,MATCH(A886,Inputs!$B$6:$D$6,0)))-INDEX(Inputs!$B$20:$D$20,1,MATCH(A886,Inputs!$B$6:$D$6,0)),0)*INDEX(Inputs!$B$23:$D$23,1,MATCH(A886,Inputs!$B$6:$D$6,0))+MAX(S886-INDEX(Inputs!$B$21:$D$21,1,MATCH(A886,Inputs!$B$6:$D$6,0)),0)*INDEX(Inputs!$B$24:$D$24,1,MATCH(A886,Inputs!$B$6:$D$6,0))</x:f>
        <x:v>3011.0575</x:v>
      </x:c>
      <x:c r="U886" s="20" t="n">
        <x:f>IF(AND(A885=A886,D885=D886),T885,0)</x:f>
        <x:v>0</x:v>
      </x:c>
      <x:c r="V886" s="20" t="n">
        <x:f>T886-U886</x:f>
        <x:v>3011.0575</x:v>
      </x:c>
      <x:c r="W886" s="20" t="n">
        <x:f>R886+V886</x:f>
        <x:v>35966.0575</x:v>
      </x:c>
      <x:c r="X886" s="14" t="str">
        <x:f>IF(ABS(W886-SUM(M886:Q886)-V886)&lt;0.01,"OK","Check")</x:f>
        <x:v>OK</x:v>
      </x:c>
    </x:row>
    <x:row r="887">
      <x:c r="A887" s="14" t="n">
        <x:v>2028</x:v>
      </x:c>
      <x:c r="B887" s="14" t="str">
        <x:v>Q2</x:v>
      </x:c>
      <x:c r="C887" s="14" t="n">
        <x:v>2</x:v>
      </x:c>
      <x:c r="D887" s="14" t="n">
        <x:v>15</x:v>
      </x:c>
      <x:c r="E887" s="14" t="str">
        <x:f>INDEX(Roster!$B$6:$B$108,MATCH(D887,Roster!$A$6:$A$108,0))</x:f>
      </x:c>
      <x:c r="F887" s="14" t="str">
        <x:f>INDEX(Roster!$F$6:$F$108,MATCH(D887,Roster!$A$6:$A$108,0))</x:f>
        <x:v>No</x:v>
      </x:c>
      <x:c r="G887" s="14" t="n">
        <x:f>INDEX(Inputs!$B$7:$D$7,1,MATCH(A887,Inputs!$B$6:$D$6,0))</x:f>
        <x:v>13</x:v>
      </x:c>
      <x:c r="H887" s="14" t="n">
        <x:f>MIN(=INDEX(Inputs!$B$7:$D$7,1,MATCH(A887,Inputs!$B$6:$D$6,0)),MAX(0,INDEX(Inputs!$B$14:$D$14,1,MATCH(A887,Inputs!$B$6:$D$6,0))-(C887-1)*=INDEX(Inputs!$B$7:$D$7,1,MATCH(A887,Inputs!$B$6:$D$6,0))))</x:f>
        <x:v>13</x:v>
      </x:c>
      <x:c r="I887" s="20" t="n">
        <x:f>INDEX(Inputs!$B$8:$D$8,1,MATCH(A887,Inputs!$B$6:$D$6,0))</x:f>
        <x:v>2395</x:v>
      </x:c>
      <x:c r="J887" s="20" t="n">
        <x:f>INDEX(Roster!$C$6:$C$108,MATCH(D887,Roster!$A$6:$A$108,0))*(1+INDEX(Inputs!$B$9:$D$9,1,MATCH(A887,Inputs!$B$6:$D$6,0)))</x:f>
        <x:v>30</x:v>
      </x:c>
      <x:c r="K887" s="20" t="n">
        <x:f>IF(=INDEX(Roster!$F$6:$F$108,MATCH(D887,Roster!$A$6:$A$108,0))="Yes",0,=INDEX(Inputs!$B$8:$D$8,1,MATCH(A887,Inputs!$B$6:$D$6,0))*IF(=INDEX(Roster!$B$6:$B$108,MATCH(D887,Roster!$A$6:$A$108,0))="Principal",INDEX(Inputs!$B$10:$D$10,1,MATCH(A887,Inputs!$B$6:$D$6,0)),IF(=INDEX(Roster!$B$6:$B$108,MATCH(D887,Roster!$A$6:$A$108,0))="Associate Principal",INDEX(Inputs!$B$11:$D$11,1,MATCH(A887,Inputs!$B$6:$D$6,0)),IF(=INDEX(Roster!$B$6:$B$108,MATCH(D887,Roster!$A$6:$A$108,0))="Assistant Principal",INDEX(Inputs!$B$12:$D$12,1,MATCH(A887,Inputs!$B$6:$D$6,0)),0))))</x:f>
        <x:v>0</x:v>
      </x:c>
      <x:c r="L887" s="20" t="n">
        <x:f>IF(INDEX(Roster!$D$6:$D$108,MATCH(D887,Roster!$A$6:$A$108,0))&gt;=25,INDEX(Inputs!$B$19:$D$19,1,MATCH(A887,Inputs!$B$6:$D$6,0)),IF(INDEX(Roster!$D$6:$D$108,MATCH(D887,Roster!$A$6:$A$108,0))&gt;=20,INDEX(Inputs!$B$18:$D$18,1,MATCH(A887,Inputs!$B$6:$D$6,0)),IF(INDEX(Roster!$D$6:$D$108,MATCH(D887,Roster!$A$6:$A$108,0))&gt;=15,INDEX(Inputs!$B$17:$D$17,1,MATCH(A887,Inputs!$B$6:$D$6,0)),IF(INDEX(Roster!$D$6:$D$108,MATCH(D887,Roster!$A$6:$A$108,0))&gt;=10,INDEX(Inputs!$B$16:$D$16,1,MATCH(A887,Inputs!$B$6:$D$6,0)),IF(INDEX(Roster!$D$6:$D$108,MATCH(D887,Roster!$A$6:$A$108,0))&gt;=5,INDEX(Inputs!$B$15:$D$15,1,MATCH(A887,Inputs!$B$6:$D$6,0)),0)))))</x:f>
        <x:v>80</x:v>
      </x:c>
      <x:c r="M887" s="20" t="n">
        <x:f>G887*I887</x:f>
        <x:v>31135</x:v>
      </x:c>
      <x:c r="N887" s="20" t="n">
        <x:f>G887*J887</x:f>
        <x:v>390</x:v>
      </x:c>
      <x:c r="O887" s="20" t="n">
        <x:f>G887*K887</x:f>
        <x:v>0</x:v>
      </x:c>
      <x:c r="P887" s="20" t="n">
        <x:f>G887*L887</x:f>
        <x:v>1040</x:v>
      </x:c>
      <x:c r="Q887" s="20" t="n">
        <x:f>H887*INDEX(Inputs!$B$13:$D$13,1,MATCH(A887,Inputs!$B$6:$D$6,0))</x:f>
        <x:v>390</x:v>
      </x:c>
      <x:c r="R887" s="20" t="n">
        <x:f>SUM(M887:Q887)</x:f>
        <x:v>32955</x:v>
      </x:c>
      <x:c r="S887" s="20" t="n">
        <x:f>IF(AND(A886=A887,D886=D887),S886+R887,R887)</x:f>
        <x:v>65910</x:v>
      </x:c>
      <x:c r="T887" s="20" t="n">
        <x:f>MIN(S887,INDEX(Inputs!$B$20:$D$20,1,MATCH(A887,Inputs!$B$6:$D$6,0)))*INDEX(Inputs!$B$22:$D$22,1,MATCH(A887,Inputs!$B$6:$D$6,0))+MAX(MIN(S887,INDEX(Inputs!$B$21:$D$21,1,MATCH(A887,Inputs!$B$6:$D$6,0)))-INDEX(Inputs!$B$20:$D$20,1,MATCH(A887,Inputs!$B$6:$D$6,0)),0)*INDEX(Inputs!$B$23:$D$23,1,MATCH(A887,Inputs!$B$6:$D$6,0))+MAX(S887-INDEX(Inputs!$B$21:$D$21,1,MATCH(A887,Inputs!$B$6:$D$6,0)),0)*INDEX(Inputs!$B$24:$D$24,1,MATCH(A887,Inputs!$B$6:$D$6,0))</x:f>
        <x:v>5532.115</x:v>
      </x:c>
      <x:c r="U887" s="20" t="n">
        <x:f>IF(AND(A886=A887,D886=D887),T886,0)</x:f>
        <x:v>3011.0575</x:v>
      </x:c>
      <x:c r="V887" s="20" t="n">
        <x:f>T887-U887</x:f>
        <x:v>2521.0575</x:v>
      </x:c>
      <x:c r="W887" s="20" t="n">
        <x:f>R887+V887</x:f>
        <x:v>35476.0575</x:v>
      </x:c>
      <x:c r="X887" s="14" t="str">
        <x:f>IF(ABS(W887-SUM(M887:Q887)-V887)&lt;0.01,"OK","Check")</x:f>
        <x:v>OK</x:v>
      </x:c>
    </x:row>
    <x:row r="888">
      <x:c r="A888" s="14" t="n">
        <x:v>2028</x:v>
      </x:c>
      <x:c r="B888" s="14" t="str">
        <x:v>Q3</x:v>
      </x:c>
      <x:c r="C888" s="14" t="n">
        <x:v>3</x:v>
      </x:c>
      <x:c r="D888" s="14" t="n">
        <x:v>15</x:v>
      </x:c>
      <x:c r="E888" s="14" t="str">
        <x:f>INDEX(Roster!$B$6:$B$108,MATCH(D888,Roster!$A$6:$A$108,0))</x:f>
      </x:c>
      <x:c r="F888" s="14" t="str">
        <x:f>INDEX(Roster!$F$6:$F$108,MATCH(D888,Roster!$A$6:$A$108,0))</x:f>
        <x:v>No</x:v>
      </x:c>
      <x:c r="G888" s="14" t="n">
        <x:f>INDEX(Inputs!$B$7:$D$7,1,MATCH(A888,Inputs!$B$6:$D$6,0))</x:f>
        <x:v>13</x:v>
      </x:c>
      <x:c r="H888" s="14" t="n">
        <x:f>MIN(=INDEX(Inputs!$B$7:$D$7,1,MATCH(A888,Inputs!$B$6:$D$6,0)),MAX(0,INDEX(Inputs!$B$14:$D$14,1,MATCH(A888,Inputs!$B$6:$D$6,0))-(C888-1)*=INDEX(Inputs!$B$7:$D$7,1,MATCH(A888,Inputs!$B$6:$D$6,0))))</x:f>
        <x:v>13</x:v>
      </x:c>
      <x:c r="I888" s="20" t="n">
        <x:f>INDEX(Inputs!$B$8:$D$8,1,MATCH(A888,Inputs!$B$6:$D$6,0))</x:f>
        <x:v>2395</x:v>
      </x:c>
      <x:c r="J888" s="20" t="n">
        <x:f>INDEX(Roster!$C$6:$C$108,MATCH(D888,Roster!$A$6:$A$108,0))*(1+INDEX(Inputs!$B$9:$D$9,1,MATCH(A888,Inputs!$B$6:$D$6,0)))</x:f>
        <x:v>30</x:v>
      </x:c>
      <x:c r="K888" s="20" t="n">
        <x:f>IF(=INDEX(Roster!$F$6:$F$108,MATCH(D888,Roster!$A$6:$A$108,0))="Yes",0,=INDEX(Inputs!$B$8:$D$8,1,MATCH(A888,Inputs!$B$6:$D$6,0))*IF(=INDEX(Roster!$B$6:$B$108,MATCH(D888,Roster!$A$6:$A$108,0))="Principal",INDEX(Inputs!$B$10:$D$10,1,MATCH(A888,Inputs!$B$6:$D$6,0)),IF(=INDEX(Roster!$B$6:$B$108,MATCH(D888,Roster!$A$6:$A$108,0))="Associate Principal",INDEX(Inputs!$B$11:$D$11,1,MATCH(A888,Inputs!$B$6:$D$6,0)),IF(=INDEX(Roster!$B$6:$B$108,MATCH(D888,Roster!$A$6:$A$108,0))="Assistant Principal",INDEX(Inputs!$B$12:$D$12,1,MATCH(A888,Inputs!$B$6:$D$6,0)),0))))</x:f>
        <x:v>0</x:v>
      </x:c>
      <x:c r="L888" s="20" t="n">
        <x:f>IF(INDEX(Roster!$D$6:$D$108,MATCH(D888,Roster!$A$6:$A$108,0))&gt;=25,INDEX(Inputs!$B$19:$D$19,1,MATCH(A888,Inputs!$B$6:$D$6,0)),IF(INDEX(Roster!$D$6:$D$108,MATCH(D888,Roster!$A$6:$A$108,0))&gt;=20,INDEX(Inputs!$B$18:$D$18,1,MATCH(A888,Inputs!$B$6:$D$6,0)),IF(INDEX(Roster!$D$6:$D$108,MATCH(D888,Roster!$A$6:$A$108,0))&gt;=15,INDEX(Inputs!$B$17:$D$17,1,MATCH(A888,Inputs!$B$6:$D$6,0)),IF(INDEX(Roster!$D$6:$D$108,MATCH(D888,Roster!$A$6:$A$108,0))&gt;=10,INDEX(Inputs!$B$16:$D$16,1,MATCH(A888,Inputs!$B$6:$D$6,0)),IF(INDEX(Roster!$D$6:$D$108,MATCH(D888,Roster!$A$6:$A$108,0))&gt;=5,INDEX(Inputs!$B$15:$D$15,1,MATCH(A888,Inputs!$B$6:$D$6,0)),0)))))</x:f>
        <x:v>80</x:v>
      </x:c>
      <x:c r="M888" s="20" t="n">
        <x:f>G888*I888</x:f>
        <x:v>31135</x:v>
      </x:c>
      <x:c r="N888" s="20" t="n">
        <x:f>G888*J888</x:f>
        <x:v>390</x:v>
      </x:c>
      <x:c r="O888" s="20" t="n">
        <x:f>G888*K888</x:f>
        <x:v>0</x:v>
      </x:c>
      <x:c r="P888" s="20" t="n">
        <x:f>G888*L888</x:f>
        <x:v>1040</x:v>
      </x:c>
      <x:c r="Q888" s="20" t="n">
        <x:f>H888*INDEX(Inputs!$B$13:$D$13,1,MATCH(A888,Inputs!$B$6:$D$6,0))</x:f>
        <x:v>390</x:v>
      </x:c>
      <x:c r="R888" s="20" t="n">
        <x:f>SUM(M888:Q888)</x:f>
        <x:v>32955</x:v>
      </x:c>
      <x:c r="S888" s="20" t="n">
        <x:f>IF(AND(A887=A888,D887=D888),S887+R888,R888)</x:f>
        <x:v>98865</x:v>
      </x:c>
      <x:c r="T888" s="20" t="n">
        <x:f>MIN(S888,INDEX(Inputs!$B$20:$D$20,1,MATCH(A888,Inputs!$B$6:$D$6,0)))*INDEX(Inputs!$B$22:$D$22,1,MATCH(A888,Inputs!$B$6:$D$6,0))+MAX(MIN(S888,INDEX(Inputs!$B$21:$D$21,1,MATCH(A888,Inputs!$B$6:$D$6,0)))-INDEX(Inputs!$B$20:$D$20,1,MATCH(A888,Inputs!$B$6:$D$6,0)),0)*INDEX(Inputs!$B$23:$D$23,1,MATCH(A888,Inputs!$B$6:$D$6,0))+MAX(S888-INDEX(Inputs!$B$21:$D$21,1,MATCH(A888,Inputs!$B$6:$D$6,0)),0)*INDEX(Inputs!$B$24:$D$24,1,MATCH(A888,Inputs!$B$6:$D$6,0))</x:f>
        <x:v>8053.1725</x:v>
      </x:c>
      <x:c r="U888" s="20" t="n">
        <x:f>IF(AND(A887=A888,D887=D888),T887,0)</x:f>
        <x:v>5532.115</x:v>
      </x:c>
      <x:c r="V888" s="20" t="n">
        <x:f>T888-U888</x:f>
        <x:v>2521.0575</x:v>
      </x:c>
      <x:c r="W888" s="20" t="n">
        <x:f>R888+V888</x:f>
        <x:v>35476.0575</x:v>
      </x:c>
      <x:c r="X888" s="14" t="str">
        <x:f>IF(ABS(W888-SUM(M888:Q888)-V888)&lt;0.01,"OK","Check")</x:f>
        <x:v>OK</x:v>
      </x:c>
    </x:row>
    <x:row r="889">
      <x:c r="A889" s="14" t="n">
        <x:v>2028</x:v>
      </x:c>
      <x:c r="B889" s="14" t="str">
        <x:v>Q4</x:v>
      </x:c>
      <x:c r="C889" s="14" t="n">
        <x:v>4</x:v>
      </x:c>
      <x:c r="D889" s="14" t="n">
        <x:v>15</x:v>
      </x:c>
      <x:c r="E889" s="14" t="str">
        <x:f>INDEX(Roster!$B$6:$B$108,MATCH(D889,Roster!$A$6:$A$108,0))</x:f>
      </x:c>
      <x:c r="F889" s="14" t="str">
        <x:f>INDEX(Roster!$F$6:$F$108,MATCH(D889,Roster!$A$6:$A$108,0))</x:f>
        <x:v>No</x:v>
      </x:c>
      <x:c r="G889" s="14" t="n">
        <x:f>INDEX(Inputs!$B$7:$D$7,1,MATCH(A889,Inputs!$B$6:$D$6,0))</x:f>
        <x:v>13</x:v>
      </x:c>
      <x:c r="H889" s="14" t="n">
        <x:f>MIN(=INDEX(Inputs!$B$7:$D$7,1,MATCH(A889,Inputs!$B$6:$D$6,0)),MAX(0,INDEX(Inputs!$B$14:$D$14,1,MATCH(A889,Inputs!$B$6:$D$6,0))-(C889-1)*=INDEX(Inputs!$B$7:$D$7,1,MATCH(A889,Inputs!$B$6:$D$6,0))))</x:f>
        <x:v>0</x:v>
      </x:c>
      <x:c r="I889" s="20" t="n">
        <x:f>INDEX(Inputs!$B$8:$D$8,1,MATCH(A889,Inputs!$B$6:$D$6,0))</x:f>
        <x:v>2395</x:v>
      </x:c>
      <x:c r="J889" s="20" t="n">
        <x:f>INDEX(Roster!$C$6:$C$108,MATCH(D889,Roster!$A$6:$A$108,0))*(1+INDEX(Inputs!$B$9:$D$9,1,MATCH(A889,Inputs!$B$6:$D$6,0)))</x:f>
        <x:v>30</x:v>
      </x:c>
      <x:c r="K889" s="20" t="n">
        <x:f>IF(=INDEX(Roster!$F$6:$F$108,MATCH(D889,Roster!$A$6:$A$108,0))="Yes",0,=INDEX(Inputs!$B$8:$D$8,1,MATCH(A889,Inputs!$B$6:$D$6,0))*IF(=INDEX(Roster!$B$6:$B$108,MATCH(D889,Roster!$A$6:$A$108,0))="Principal",INDEX(Inputs!$B$10:$D$10,1,MATCH(A889,Inputs!$B$6:$D$6,0)),IF(=INDEX(Roster!$B$6:$B$108,MATCH(D889,Roster!$A$6:$A$108,0))="Associate Principal",INDEX(Inputs!$B$11:$D$11,1,MATCH(A889,Inputs!$B$6:$D$6,0)),IF(=INDEX(Roster!$B$6:$B$108,MATCH(D889,Roster!$A$6:$A$108,0))="Assistant Principal",INDEX(Inputs!$B$12:$D$12,1,MATCH(A889,Inputs!$B$6:$D$6,0)),0))))</x:f>
        <x:v>0</x:v>
      </x:c>
      <x:c r="L889" s="20" t="n">
        <x:f>IF(INDEX(Roster!$D$6:$D$108,MATCH(D889,Roster!$A$6:$A$108,0))&gt;=25,INDEX(Inputs!$B$19:$D$19,1,MATCH(A889,Inputs!$B$6:$D$6,0)),IF(INDEX(Roster!$D$6:$D$108,MATCH(D889,Roster!$A$6:$A$108,0))&gt;=20,INDEX(Inputs!$B$18:$D$18,1,MATCH(A889,Inputs!$B$6:$D$6,0)),IF(INDEX(Roster!$D$6:$D$108,MATCH(D889,Roster!$A$6:$A$108,0))&gt;=15,INDEX(Inputs!$B$17:$D$17,1,MATCH(A889,Inputs!$B$6:$D$6,0)),IF(INDEX(Roster!$D$6:$D$108,MATCH(D889,Roster!$A$6:$A$108,0))&gt;=10,INDEX(Inputs!$B$16:$D$16,1,MATCH(A889,Inputs!$B$6:$D$6,0)),IF(INDEX(Roster!$D$6:$D$108,MATCH(D889,Roster!$A$6:$A$108,0))&gt;=5,INDEX(Inputs!$B$15:$D$15,1,MATCH(A889,Inputs!$B$6:$D$6,0)),0)))))</x:f>
        <x:v>80</x:v>
      </x:c>
      <x:c r="M889" s="20" t="n">
        <x:f>G889*I889</x:f>
        <x:v>31135</x:v>
      </x:c>
      <x:c r="N889" s="20" t="n">
        <x:f>G889*J889</x:f>
        <x:v>390</x:v>
      </x:c>
      <x:c r="O889" s="20" t="n">
        <x:f>G889*K889</x:f>
        <x:v>0</x:v>
      </x:c>
      <x:c r="P889" s="20" t="n">
        <x:f>G889*L889</x:f>
        <x:v>1040</x:v>
      </x:c>
      <x:c r="Q889" s="20" t="n">
        <x:f>H889*INDEX(Inputs!$B$13:$D$13,1,MATCH(A889,Inputs!$B$6:$D$6,0))</x:f>
        <x:v>0</x:v>
      </x:c>
      <x:c r="R889" s="20" t="n">
        <x:f>SUM(M889:Q889)</x:f>
        <x:v>32565</x:v>
      </x:c>
      <x:c r="S889" s="20" t="n">
        <x:f>IF(AND(A888=A889,D888=D889),S888+R889,R889)</x:f>
        <x:v>131430</x:v>
      </x:c>
      <x:c r="T889" s="20" t="n">
        <x:f>MIN(S889,INDEX(Inputs!$B$20:$D$20,1,MATCH(A889,Inputs!$B$6:$D$6,0)))*INDEX(Inputs!$B$22:$D$22,1,MATCH(A889,Inputs!$B$6:$D$6,0))+MAX(MIN(S889,INDEX(Inputs!$B$21:$D$21,1,MATCH(A889,Inputs!$B$6:$D$6,0)))-INDEX(Inputs!$B$20:$D$20,1,MATCH(A889,Inputs!$B$6:$D$6,0)),0)*INDEX(Inputs!$B$23:$D$23,1,MATCH(A889,Inputs!$B$6:$D$6,0))+MAX(S889-INDEX(Inputs!$B$21:$D$21,1,MATCH(A889,Inputs!$B$6:$D$6,0)),0)*INDEX(Inputs!$B$24:$D$24,1,MATCH(A889,Inputs!$B$6:$D$6,0))</x:f>
        <x:v>9819.677</x:v>
      </x:c>
      <x:c r="U889" s="20" t="n">
        <x:f>IF(AND(A888=A889,D888=D889),T888,0)</x:f>
        <x:v>8053.1725</x:v>
      </x:c>
      <x:c r="V889" s="20" t="n">
        <x:f>T889-U889</x:f>
        <x:v>1766.5045</x:v>
      </x:c>
      <x:c r="W889" s="20" t="n">
        <x:f>R889+V889</x:f>
        <x:v>34331.5045</x:v>
      </x:c>
      <x:c r="X889" s="14" t="str">
        <x:f>IF(ABS(W889-SUM(M889:Q889)-V889)&lt;0.01,"OK","Check")</x:f>
        <x:v>OK</x:v>
      </x:c>
    </x:row>
    <x:row r="890">
      <x:c r="A890" s="14" t="n">
        <x:v>2028</x:v>
      </x:c>
      <x:c r="B890" s="14" t="str">
        <x:v>Q1</x:v>
      </x:c>
      <x:c r="C890" s="14" t="n">
        <x:v>1</x:v>
      </x:c>
      <x:c r="D890" s="14" t="n">
        <x:v>16</x:v>
      </x:c>
      <x:c r="E890" s="14" t="str">
        <x:f>INDEX(Roster!$B$6:$B$108,MATCH(D890,Roster!$A$6:$A$108,0))</x:f>
      </x:c>
      <x:c r="F890" s="14" t="str">
        <x:f>INDEX(Roster!$F$6:$F$108,MATCH(D890,Roster!$A$6:$A$108,0))</x:f>
        <x:v>No</x:v>
      </x:c>
      <x:c r="G890" s="14" t="n">
        <x:f>INDEX(Inputs!$B$7:$D$7,1,MATCH(A890,Inputs!$B$6:$D$6,0))</x:f>
        <x:v>13</x:v>
      </x:c>
      <x:c r="H890" s="14" t="n">
        <x:f>MIN(=INDEX(Inputs!$B$7:$D$7,1,MATCH(A890,Inputs!$B$6:$D$6,0)),MAX(0,INDEX(Inputs!$B$14:$D$14,1,MATCH(A890,Inputs!$B$6:$D$6,0))-(C890-1)*=INDEX(Inputs!$B$7:$D$7,1,MATCH(A890,Inputs!$B$6:$D$6,0))))</x:f>
        <x:v>13</x:v>
      </x:c>
      <x:c r="I890" s="20" t="n">
        <x:f>INDEX(Inputs!$B$8:$D$8,1,MATCH(A890,Inputs!$B$6:$D$6,0))</x:f>
        <x:v>2395</x:v>
      </x:c>
      <x:c r="J890" s="20" t="n">
        <x:f>INDEX(Roster!$C$6:$C$108,MATCH(D890,Roster!$A$6:$A$108,0))*(1+INDEX(Inputs!$B$9:$D$9,1,MATCH(A890,Inputs!$B$6:$D$6,0)))</x:f>
        <x:v>0</x:v>
      </x:c>
      <x:c r="K890" s="20" t="n">
        <x:f>IF(=INDEX(Roster!$F$6:$F$108,MATCH(D890,Roster!$A$6:$A$108,0))="Yes",0,=INDEX(Inputs!$B$8:$D$8,1,MATCH(A890,Inputs!$B$6:$D$6,0))*IF(=INDEX(Roster!$B$6:$B$108,MATCH(D890,Roster!$A$6:$A$108,0))="Principal",INDEX(Inputs!$B$10:$D$10,1,MATCH(A890,Inputs!$B$6:$D$6,0)),IF(=INDEX(Roster!$B$6:$B$108,MATCH(D890,Roster!$A$6:$A$108,0))="Associate Principal",INDEX(Inputs!$B$11:$D$11,1,MATCH(A890,Inputs!$B$6:$D$6,0)),IF(=INDEX(Roster!$B$6:$B$108,MATCH(D890,Roster!$A$6:$A$108,0))="Assistant Principal",INDEX(Inputs!$B$12:$D$12,1,MATCH(A890,Inputs!$B$6:$D$6,0)),0))))</x:f>
        <x:v>0</x:v>
      </x:c>
      <x:c r="L890" s="20" t="n">
        <x:f>IF(INDEX(Roster!$D$6:$D$108,MATCH(D890,Roster!$A$6:$A$108,0))&gt;=25,INDEX(Inputs!$B$19:$D$19,1,MATCH(A890,Inputs!$B$6:$D$6,0)),IF(INDEX(Roster!$D$6:$D$108,MATCH(D890,Roster!$A$6:$A$108,0))&gt;=20,INDEX(Inputs!$B$18:$D$18,1,MATCH(A890,Inputs!$B$6:$D$6,0)),IF(INDEX(Roster!$D$6:$D$108,MATCH(D890,Roster!$A$6:$A$108,0))&gt;=15,INDEX(Inputs!$B$17:$D$17,1,MATCH(A890,Inputs!$B$6:$D$6,0)),IF(INDEX(Roster!$D$6:$D$108,MATCH(D890,Roster!$A$6:$A$108,0))&gt;=10,INDEX(Inputs!$B$16:$D$16,1,MATCH(A890,Inputs!$B$6:$D$6,0)),IF(INDEX(Roster!$D$6:$D$108,MATCH(D890,Roster!$A$6:$A$108,0))&gt;=5,INDEX(Inputs!$B$15:$D$15,1,MATCH(A890,Inputs!$B$6:$D$6,0)),0)))))</x:f>
        <x:v>50</x:v>
      </x:c>
      <x:c r="M890" s="20" t="n">
        <x:f>G890*I890</x:f>
        <x:v>31135</x:v>
      </x:c>
      <x:c r="N890" s="20" t="n">
        <x:f>G890*J890</x:f>
        <x:v>0</x:v>
      </x:c>
      <x:c r="O890" s="20" t="n">
        <x:f>G890*K890</x:f>
        <x:v>0</x:v>
      </x:c>
      <x:c r="P890" s="20" t="n">
        <x:f>G890*L890</x:f>
        <x:v>650</x:v>
      </x:c>
      <x:c r="Q890" s="20" t="n">
        <x:f>H890*INDEX(Inputs!$B$13:$D$13,1,MATCH(A890,Inputs!$B$6:$D$6,0))</x:f>
        <x:v>390</x:v>
      </x:c>
      <x:c r="R890" s="20" t="n">
        <x:f>SUM(M890:Q890)</x:f>
        <x:v>32175</x:v>
      </x:c>
      <x:c r="S890" s="20" t="n">
        <x:f>IF(AND(A889=A890,D889=D890),S889+R890,R890)</x:f>
        <x:v>32175</x:v>
      </x:c>
      <x:c r="T890" s="20" t="n">
        <x:f>MIN(S890,INDEX(Inputs!$B$20:$D$20,1,MATCH(A890,Inputs!$B$6:$D$6,0)))*INDEX(Inputs!$B$22:$D$22,1,MATCH(A890,Inputs!$B$6:$D$6,0))+MAX(MIN(S890,INDEX(Inputs!$B$21:$D$21,1,MATCH(A890,Inputs!$B$6:$D$6,0)))-INDEX(Inputs!$B$20:$D$20,1,MATCH(A890,Inputs!$B$6:$D$6,0)),0)*INDEX(Inputs!$B$23:$D$23,1,MATCH(A890,Inputs!$B$6:$D$6,0))+MAX(S890-INDEX(Inputs!$B$21:$D$21,1,MATCH(A890,Inputs!$B$6:$D$6,0)),0)*INDEX(Inputs!$B$24:$D$24,1,MATCH(A890,Inputs!$B$6:$D$6,0))</x:f>
        <x:v>2951.3875</x:v>
      </x:c>
      <x:c r="U890" s="20" t="n">
        <x:f>IF(AND(A889=A890,D889=D890),T889,0)</x:f>
        <x:v>0</x:v>
      </x:c>
      <x:c r="V890" s="20" t="n">
        <x:f>T890-U890</x:f>
        <x:v>2951.3875</x:v>
      </x:c>
      <x:c r="W890" s="20" t="n">
        <x:f>R890+V890</x:f>
        <x:v>35126.3875</x:v>
      </x:c>
      <x:c r="X890" s="14" t="str">
        <x:f>IF(ABS(W890-SUM(M890:Q890)-V890)&lt;0.01,"OK","Check")</x:f>
        <x:v>OK</x:v>
      </x:c>
    </x:row>
    <x:row r="891">
      <x:c r="A891" s="14" t="n">
        <x:v>2028</x:v>
      </x:c>
      <x:c r="B891" s="14" t="str">
        <x:v>Q2</x:v>
      </x:c>
      <x:c r="C891" s="14" t="n">
        <x:v>2</x:v>
      </x:c>
      <x:c r="D891" s="14" t="n">
        <x:v>16</x:v>
      </x:c>
      <x:c r="E891" s="14" t="str">
        <x:f>INDEX(Roster!$B$6:$B$108,MATCH(D891,Roster!$A$6:$A$108,0))</x:f>
      </x:c>
      <x:c r="F891" s="14" t="str">
        <x:f>INDEX(Roster!$F$6:$F$108,MATCH(D891,Roster!$A$6:$A$108,0))</x:f>
        <x:v>No</x:v>
      </x:c>
      <x:c r="G891" s="14" t="n">
        <x:f>INDEX(Inputs!$B$7:$D$7,1,MATCH(A891,Inputs!$B$6:$D$6,0))</x:f>
        <x:v>13</x:v>
      </x:c>
      <x:c r="H891" s="14" t="n">
        <x:f>MIN(=INDEX(Inputs!$B$7:$D$7,1,MATCH(A891,Inputs!$B$6:$D$6,0)),MAX(0,INDEX(Inputs!$B$14:$D$14,1,MATCH(A891,Inputs!$B$6:$D$6,0))-(C891-1)*=INDEX(Inputs!$B$7:$D$7,1,MATCH(A891,Inputs!$B$6:$D$6,0))))</x:f>
        <x:v>13</x:v>
      </x:c>
      <x:c r="I891" s="20" t="n">
        <x:f>INDEX(Inputs!$B$8:$D$8,1,MATCH(A891,Inputs!$B$6:$D$6,0))</x:f>
        <x:v>2395</x:v>
      </x:c>
      <x:c r="J891" s="20" t="n">
        <x:f>INDEX(Roster!$C$6:$C$108,MATCH(D891,Roster!$A$6:$A$108,0))*(1+INDEX(Inputs!$B$9:$D$9,1,MATCH(A891,Inputs!$B$6:$D$6,0)))</x:f>
        <x:v>0</x:v>
      </x:c>
      <x:c r="K891" s="20" t="n">
        <x:f>IF(=INDEX(Roster!$F$6:$F$108,MATCH(D891,Roster!$A$6:$A$108,0))="Yes",0,=INDEX(Inputs!$B$8:$D$8,1,MATCH(A891,Inputs!$B$6:$D$6,0))*IF(=INDEX(Roster!$B$6:$B$108,MATCH(D891,Roster!$A$6:$A$108,0))="Principal",INDEX(Inputs!$B$10:$D$10,1,MATCH(A891,Inputs!$B$6:$D$6,0)),IF(=INDEX(Roster!$B$6:$B$108,MATCH(D891,Roster!$A$6:$A$108,0))="Associate Principal",INDEX(Inputs!$B$11:$D$11,1,MATCH(A891,Inputs!$B$6:$D$6,0)),IF(=INDEX(Roster!$B$6:$B$108,MATCH(D891,Roster!$A$6:$A$108,0))="Assistant Principal",INDEX(Inputs!$B$12:$D$12,1,MATCH(A891,Inputs!$B$6:$D$6,0)),0))))</x:f>
        <x:v>0</x:v>
      </x:c>
      <x:c r="L891" s="20" t="n">
        <x:f>IF(INDEX(Roster!$D$6:$D$108,MATCH(D891,Roster!$A$6:$A$108,0))&gt;=25,INDEX(Inputs!$B$19:$D$19,1,MATCH(A891,Inputs!$B$6:$D$6,0)),IF(INDEX(Roster!$D$6:$D$108,MATCH(D891,Roster!$A$6:$A$108,0))&gt;=20,INDEX(Inputs!$B$18:$D$18,1,MATCH(A891,Inputs!$B$6:$D$6,0)),IF(INDEX(Roster!$D$6:$D$108,MATCH(D891,Roster!$A$6:$A$108,0))&gt;=15,INDEX(Inputs!$B$17:$D$17,1,MATCH(A891,Inputs!$B$6:$D$6,0)),IF(INDEX(Roster!$D$6:$D$108,MATCH(D891,Roster!$A$6:$A$108,0))&gt;=10,INDEX(Inputs!$B$16:$D$16,1,MATCH(A891,Inputs!$B$6:$D$6,0)),IF(INDEX(Roster!$D$6:$D$108,MATCH(D891,Roster!$A$6:$A$108,0))&gt;=5,INDEX(Inputs!$B$15:$D$15,1,MATCH(A891,Inputs!$B$6:$D$6,0)),0)))))</x:f>
        <x:v>50</x:v>
      </x:c>
      <x:c r="M891" s="20" t="n">
        <x:f>G891*I891</x:f>
        <x:v>31135</x:v>
      </x:c>
      <x:c r="N891" s="20" t="n">
        <x:f>G891*J891</x:f>
        <x:v>0</x:v>
      </x:c>
      <x:c r="O891" s="20" t="n">
        <x:f>G891*K891</x:f>
        <x:v>0</x:v>
      </x:c>
      <x:c r="P891" s="20" t="n">
        <x:f>G891*L891</x:f>
        <x:v>650</x:v>
      </x:c>
      <x:c r="Q891" s="20" t="n">
        <x:f>H891*INDEX(Inputs!$B$13:$D$13,1,MATCH(A891,Inputs!$B$6:$D$6,0))</x:f>
        <x:v>390</x:v>
      </x:c>
      <x:c r="R891" s="20" t="n">
        <x:f>SUM(M891:Q891)</x:f>
        <x:v>32175</x:v>
      </x:c>
      <x:c r="S891" s="20" t="n">
        <x:f>IF(AND(A890=A891,D890=D891),S890+R891,R891)</x:f>
        <x:v>64350</x:v>
      </x:c>
      <x:c r="T891" s="20" t="n">
        <x:f>MIN(S891,INDEX(Inputs!$B$20:$D$20,1,MATCH(A891,Inputs!$B$6:$D$6,0)))*INDEX(Inputs!$B$22:$D$22,1,MATCH(A891,Inputs!$B$6:$D$6,0))+MAX(MIN(S891,INDEX(Inputs!$B$21:$D$21,1,MATCH(A891,Inputs!$B$6:$D$6,0)))-INDEX(Inputs!$B$20:$D$20,1,MATCH(A891,Inputs!$B$6:$D$6,0)),0)*INDEX(Inputs!$B$23:$D$23,1,MATCH(A891,Inputs!$B$6:$D$6,0))+MAX(S891-INDEX(Inputs!$B$21:$D$21,1,MATCH(A891,Inputs!$B$6:$D$6,0)),0)*INDEX(Inputs!$B$24:$D$24,1,MATCH(A891,Inputs!$B$6:$D$6,0))</x:f>
        <x:v>5412.775</x:v>
      </x:c>
      <x:c r="U891" s="20" t="n">
        <x:f>IF(AND(A890=A891,D890=D891),T890,0)</x:f>
        <x:v>2951.3875</x:v>
      </x:c>
      <x:c r="V891" s="20" t="n">
        <x:f>T891-U891</x:f>
        <x:v>2461.3875</x:v>
      </x:c>
      <x:c r="W891" s="20" t="n">
        <x:f>R891+V891</x:f>
        <x:v>34636.3875</x:v>
      </x:c>
      <x:c r="X891" s="14" t="str">
        <x:f>IF(ABS(W891-SUM(M891:Q891)-V891)&lt;0.01,"OK","Check")</x:f>
        <x:v>OK</x:v>
      </x:c>
    </x:row>
    <x:row r="892">
      <x:c r="A892" s="14" t="n">
        <x:v>2028</x:v>
      </x:c>
      <x:c r="B892" s="14" t="str">
        <x:v>Q3</x:v>
      </x:c>
      <x:c r="C892" s="14" t="n">
        <x:v>3</x:v>
      </x:c>
      <x:c r="D892" s="14" t="n">
        <x:v>16</x:v>
      </x:c>
      <x:c r="E892" s="14" t="str">
        <x:f>INDEX(Roster!$B$6:$B$108,MATCH(D892,Roster!$A$6:$A$108,0))</x:f>
      </x:c>
      <x:c r="F892" s="14" t="str">
        <x:f>INDEX(Roster!$F$6:$F$108,MATCH(D892,Roster!$A$6:$A$108,0))</x:f>
        <x:v>No</x:v>
      </x:c>
      <x:c r="G892" s="14" t="n">
        <x:f>INDEX(Inputs!$B$7:$D$7,1,MATCH(A892,Inputs!$B$6:$D$6,0))</x:f>
        <x:v>13</x:v>
      </x:c>
      <x:c r="H892" s="14" t="n">
        <x:f>MIN(=INDEX(Inputs!$B$7:$D$7,1,MATCH(A892,Inputs!$B$6:$D$6,0)),MAX(0,INDEX(Inputs!$B$14:$D$14,1,MATCH(A892,Inputs!$B$6:$D$6,0))-(C892-1)*=INDEX(Inputs!$B$7:$D$7,1,MATCH(A892,Inputs!$B$6:$D$6,0))))</x:f>
        <x:v>13</x:v>
      </x:c>
      <x:c r="I892" s="20" t="n">
        <x:f>INDEX(Inputs!$B$8:$D$8,1,MATCH(A892,Inputs!$B$6:$D$6,0))</x:f>
        <x:v>2395</x:v>
      </x:c>
      <x:c r="J892" s="20" t="n">
        <x:f>INDEX(Roster!$C$6:$C$108,MATCH(D892,Roster!$A$6:$A$108,0))*(1+INDEX(Inputs!$B$9:$D$9,1,MATCH(A892,Inputs!$B$6:$D$6,0)))</x:f>
        <x:v>0</x:v>
      </x:c>
      <x:c r="K892" s="20" t="n">
        <x:f>IF(=INDEX(Roster!$F$6:$F$108,MATCH(D892,Roster!$A$6:$A$108,0))="Yes",0,=INDEX(Inputs!$B$8:$D$8,1,MATCH(A892,Inputs!$B$6:$D$6,0))*IF(=INDEX(Roster!$B$6:$B$108,MATCH(D892,Roster!$A$6:$A$108,0))="Principal",INDEX(Inputs!$B$10:$D$10,1,MATCH(A892,Inputs!$B$6:$D$6,0)),IF(=INDEX(Roster!$B$6:$B$108,MATCH(D892,Roster!$A$6:$A$108,0))="Associate Principal",INDEX(Inputs!$B$11:$D$11,1,MATCH(A892,Inputs!$B$6:$D$6,0)),IF(=INDEX(Roster!$B$6:$B$108,MATCH(D892,Roster!$A$6:$A$108,0))="Assistant Principal",INDEX(Inputs!$B$12:$D$12,1,MATCH(A892,Inputs!$B$6:$D$6,0)),0))))</x:f>
        <x:v>0</x:v>
      </x:c>
      <x:c r="L892" s="20" t="n">
        <x:f>IF(INDEX(Roster!$D$6:$D$108,MATCH(D892,Roster!$A$6:$A$108,0))&gt;=25,INDEX(Inputs!$B$19:$D$19,1,MATCH(A892,Inputs!$B$6:$D$6,0)),IF(INDEX(Roster!$D$6:$D$108,MATCH(D892,Roster!$A$6:$A$108,0))&gt;=20,INDEX(Inputs!$B$18:$D$18,1,MATCH(A892,Inputs!$B$6:$D$6,0)),IF(INDEX(Roster!$D$6:$D$108,MATCH(D892,Roster!$A$6:$A$108,0))&gt;=15,INDEX(Inputs!$B$17:$D$17,1,MATCH(A892,Inputs!$B$6:$D$6,0)),IF(INDEX(Roster!$D$6:$D$108,MATCH(D892,Roster!$A$6:$A$108,0))&gt;=10,INDEX(Inputs!$B$16:$D$16,1,MATCH(A892,Inputs!$B$6:$D$6,0)),IF(INDEX(Roster!$D$6:$D$108,MATCH(D892,Roster!$A$6:$A$108,0))&gt;=5,INDEX(Inputs!$B$15:$D$15,1,MATCH(A892,Inputs!$B$6:$D$6,0)),0)))))</x:f>
        <x:v>50</x:v>
      </x:c>
      <x:c r="M892" s="20" t="n">
        <x:f>G892*I892</x:f>
        <x:v>31135</x:v>
      </x:c>
      <x:c r="N892" s="20" t="n">
        <x:f>G892*J892</x:f>
        <x:v>0</x:v>
      </x:c>
      <x:c r="O892" s="20" t="n">
        <x:f>G892*K892</x:f>
        <x:v>0</x:v>
      </x:c>
      <x:c r="P892" s="20" t="n">
        <x:f>G892*L892</x:f>
        <x:v>650</x:v>
      </x:c>
      <x:c r="Q892" s="20" t="n">
        <x:f>H892*INDEX(Inputs!$B$13:$D$13,1,MATCH(A892,Inputs!$B$6:$D$6,0))</x:f>
        <x:v>390</x:v>
      </x:c>
      <x:c r="R892" s="20" t="n">
        <x:f>SUM(M892:Q892)</x:f>
        <x:v>32175</x:v>
      </x:c>
      <x:c r="S892" s="20" t="n">
        <x:f>IF(AND(A891=A892,D891=D892),S891+R892,R892)</x:f>
        <x:v>96525</x:v>
      </x:c>
      <x:c r="T892" s="20" t="n">
        <x:f>MIN(S892,INDEX(Inputs!$B$20:$D$20,1,MATCH(A892,Inputs!$B$6:$D$6,0)))*INDEX(Inputs!$B$22:$D$22,1,MATCH(A892,Inputs!$B$6:$D$6,0))+MAX(MIN(S892,INDEX(Inputs!$B$21:$D$21,1,MATCH(A892,Inputs!$B$6:$D$6,0)))-INDEX(Inputs!$B$20:$D$20,1,MATCH(A892,Inputs!$B$6:$D$6,0)),0)*INDEX(Inputs!$B$23:$D$23,1,MATCH(A892,Inputs!$B$6:$D$6,0))+MAX(S892-INDEX(Inputs!$B$21:$D$21,1,MATCH(A892,Inputs!$B$6:$D$6,0)),0)*INDEX(Inputs!$B$24:$D$24,1,MATCH(A892,Inputs!$B$6:$D$6,0))</x:f>
        <x:v>7874.162499999999</x:v>
      </x:c>
      <x:c r="U892" s="20" t="n">
        <x:f>IF(AND(A891=A892,D891=D892),T891,0)</x:f>
        <x:v>5412.775</x:v>
      </x:c>
      <x:c r="V892" s="20" t="n">
        <x:f>T892-U892</x:f>
        <x:v>2461.3875</x:v>
      </x:c>
      <x:c r="W892" s="20" t="n">
        <x:f>R892+V892</x:f>
        <x:v>34636.3875</x:v>
      </x:c>
      <x:c r="X892" s="14" t="str">
        <x:f>IF(ABS(W892-SUM(M892:Q892)-V892)&lt;0.01,"OK","Check")</x:f>
        <x:v>OK</x:v>
      </x:c>
    </x:row>
    <x:row r="893">
      <x:c r="A893" s="14" t="n">
        <x:v>2028</x:v>
      </x:c>
      <x:c r="B893" s="14" t="str">
        <x:v>Q4</x:v>
      </x:c>
      <x:c r="C893" s="14" t="n">
        <x:v>4</x:v>
      </x:c>
      <x:c r="D893" s="14" t="n">
        <x:v>16</x:v>
      </x:c>
      <x:c r="E893" s="14" t="str">
        <x:f>INDEX(Roster!$B$6:$B$108,MATCH(D893,Roster!$A$6:$A$108,0))</x:f>
      </x:c>
      <x:c r="F893" s="14" t="str">
        <x:f>INDEX(Roster!$F$6:$F$108,MATCH(D893,Roster!$A$6:$A$108,0))</x:f>
        <x:v>No</x:v>
      </x:c>
      <x:c r="G893" s="14" t="n">
        <x:f>INDEX(Inputs!$B$7:$D$7,1,MATCH(A893,Inputs!$B$6:$D$6,0))</x:f>
        <x:v>13</x:v>
      </x:c>
      <x:c r="H893" s="14" t="n">
        <x:f>MIN(=INDEX(Inputs!$B$7:$D$7,1,MATCH(A893,Inputs!$B$6:$D$6,0)),MAX(0,INDEX(Inputs!$B$14:$D$14,1,MATCH(A893,Inputs!$B$6:$D$6,0))-(C893-1)*=INDEX(Inputs!$B$7:$D$7,1,MATCH(A893,Inputs!$B$6:$D$6,0))))</x:f>
        <x:v>0</x:v>
      </x:c>
      <x:c r="I893" s="20" t="n">
        <x:f>INDEX(Inputs!$B$8:$D$8,1,MATCH(A893,Inputs!$B$6:$D$6,0))</x:f>
        <x:v>2395</x:v>
      </x:c>
      <x:c r="J893" s="20" t="n">
        <x:f>INDEX(Roster!$C$6:$C$108,MATCH(D893,Roster!$A$6:$A$108,0))*(1+INDEX(Inputs!$B$9:$D$9,1,MATCH(A893,Inputs!$B$6:$D$6,0)))</x:f>
        <x:v>0</x:v>
      </x:c>
      <x:c r="K893" s="20" t="n">
        <x:f>IF(=INDEX(Roster!$F$6:$F$108,MATCH(D893,Roster!$A$6:$A$108,0))="Yes",0,=INDEX(Inputs!$B$8:$D$8,1,MATCH(A893,Inputs!$B$6:$D$6,0))*IF(=INDEX(Roster!$B$6:$B$108,MATCH(D893,Roster!$A$6:$A$108,0))="Principal",INDEX(Inputs!$B$10:$D$10,1,MATCH(A893,Inputs!$B$6:$D$6,0)),IF(=INDEX(Roster!$B$6:$B$108,MATCH(D893,Roster!$A$6:$A$108,0))="Associate Principal",INDEX(Inputs!$B$11:$D$11,1,MATCH(A893,Inputs!$B$6:$D$6,0)),IF(=INDEX(Roster!$B$6:$B$108,MATCH(D893,Roster!$A$6:$A$108,0))="Assistant Principal",INDEX(Inputs!$B$12:$D$12,1,MATCH(A893,Inputs!$B$6:$D$6,0)),0))))</x:f>
        <x:v>0</x:v>
      </x:c>
      <x:c r="L893" s="20" t="n">
        <x:f>IF(INDEX(Roster!$D$6:$D$108,MATCH(D893,Roster!$A$6:$A$108,0))&gt;=25,INDEX(Inputs!$B$19:$D$19,1,MATCH(A893,Inputs!$B$6:$D$6,0)),IF(INDEX(Roster!$D$6:$D$108,MATCH(D893,Roster!$A$6:$A$108,0))&gt;=20,INDEX(Inputs!$B$18:$D$18,1,MATCH(A893,Inputs!$B$6:$D$6,0)),IF(INDEX(Roster!$D$6:$D$108,MATCH(D893,Roster!$A$6:$A$108,0))&gt;=15,INDEX(Inputs!$B$17:$D$17,1,MATCH(A893,Inputs!$B$6:$D$6,0)),IF(INDEX(Roster!$D$6:$D$108,MATCH(D893,Roster!$A$6:$A$108,0))&gt;=10,INDEX(Inputs!$B$16:$D$16,1,MATCH(A893,Inputs!$B$6:$D$6,0)),IF(INDEX(Roster!$D$6:$D$108,MATCH(D893,Roster!$A$6:$A$108,0))&gt;=5,INDEX(Inputs!$B$15:$D$15,1,MATCH(A893,Inputs!$B$6:$D$6,0)),0)))))</x:f>
        <x:v>50</x:v>
      </x:c>
      <x:c r="M893" s="20" t="n">
        <x:f>G893*I893</x:f>
        <x:v>31135</x:v>
      </x:c>
      <x:c r="N893" s="20" t="n">
        <x:f>G893*J893</x:f>
        <x:v>0</x:v>
      </x:c>
      <x:c r="O893" s="20" t="n">
        <x:f>G893*K893</x:f>
        <x:v>0</x:v>
      </x:c>
      <x:c r="P893" s="20" t="n">
        <x:f>G893*L893</x:f>
        <x:v>650</x:v>
      </x:c>
      <x:c r="Q893" s="20" t="n">
        <x:f>H893*INDEX(Inputs!$B$13:$D$13,1,MATCH(A893,Inputs!$B$6:$D$6,0))</x:f>
        <x:v>0</x:v>
      </x:c>
      <x:c r="R893" s="20" t="n">
        <x:f>SUM(M893:Q893)</x:f>
        <x:v>31785</x:v>
      </x:c>
      <x:c r="S893" s="20" t="n">
        <x:f>IF(AND(A892=A893,D892=D893),S892+R893,R893)</x:f>
        <x:v>128310</x:v>
      </x:c>
      <x:c r="T893" s="20" t="n">
        <x:f>MIN(S893,INDEX(Inputs!$B$20:$D$20,1,MATCH(A893,Inputs!$B$6:$D$6,0)))*INDEX(Inputs!$B$22:$D$22,1,MATCH(A893,Inputs!$B$6:$D$6,0))+MAX(MIN(S893,INDEX(Inputs!$B$21:$D$21,1,MATCH(A893,Inputs!$B$6:$D$6,0)))-INDEX(Inputs!$B$20:$D$20,1,MATCH(A893,Inputs!$B$6:$D$6,0)),0)*INDEX(Inputs!$B$23:$D$23,1,MATCH(A893,Inputs!$B$6:$D$6,0))+MAX(S893-INDEX(Inputs!$B$21:$D$21,1,MATCH(A893,Inputs!$B$6:$D$6,0)),0)*INDEX(Inputs!$B$24:$D$24,1,MATCH(A893,Inputs!$B$6:$D$6,0))</x:f>
        <x:v>9774.437</x:v>
      </x:c>
      <x:c r="U893" s="20" t="n">
        <x:f>IF(AND(A892=A893,D892=D893),T892,0)</x:f>
        <x:v>7874.162499999999</x:v>
      </x:c>
      <x:c r="V893" s="20" t="n">
        <x:f>T893-U893</x:f>
        <x:v>1900.2745000000004</x:v>
      </x:c>
      <x:c r="W893" s="20" t="n">
        <x:f>R893+V893</x:f>
        <x:v>33685.2745</x:v>
      </x:c>
      <x:c r="X893" s="14" t="str">
        <x:f>IF(ABS(W893-SUM(M893:Q893)-V893)&lt;0.01,"OK","Check")</x:f>
        <x:v>OK</x:v>
      </x:c>
    </x:row>
    <x:row r="894">
      <x:c r="A894" s="14" t="n">
        <x:v>2028</x:v>
      </x:c>
      <x:c r="B894" s="14" t="str">
        <x:v>Q1</x:v>
      </x:c>
      <x:c r="C894" s="14" t="n">
        <x:v>1</x:v>
      </x:c>
      <x:c r="D894" s="14" t="n">
        <x:v>17</x:v>
      </x:c>
      <x:c r="E894" s="14" t="str">
        <x:f>INDEX(Roster!$B$6:$B$108,MATCH(D894,Roster!$A$6:$A$108,0))</x:f>
      </x:c>
      <x:c r="F894" s="14" t="str">
        <x:f>INDEX(Roster!$F$6:$F$108,MATCH(D894,Roster!$A$6:$A$108,0))</x:f>
        <x:v>No</x:v>
      </x:c>
      <x:c r="G894" s="14" t="n">
        <x:f>INDEX(Inputs!$B$7:$D$7,1,MATCH(A894,Inputs!$B$6:$D$6,0))</x:f>
        <x:v>13</x:v>
      </x:c>
      <x:c r="H894" s="14" t="n">
        <x:f>MIN(=INDEX(Inputs!$B$7:$D$7,1,MATCH(A894,Inputs!$B$6:$D$6,0)),MAX(0,INDEX(Inputs!$B$14:$D$14,1,MATCH(A894,Inputs!$B$6:$D$6,0))-(C894-1)*=INDEX(Inputs!$B$7:$D$7,1,MATCH(A894,Inputs!$B$6:$D$6,0))))</x:f>
        <x:v>13</x:v>
      </x:c>
      <x:c r="I894" s="20" t="n">
        <x:f>INDEX(Inputs!$B$8:$D$8,1,MATCH(A894,Inputs!$B$6:$D$6,0))</x:f>
        <x:v>2395</x:v>
      </x:c>
      <x:c r="J894" s="20" t="n">
        <x:f>INDEX(Roster!$C$6:$C$108,MATCH(D894,Roster!$A$6:$A$108,0))*(1+INDEX(Inputs!$B$9:$D$9,1,MATCH(A894,Inputs!$B$6:$D$6,0)))</x:f>
        <x:v>20</x:v>
      </x:c>
      <x:c r="K894" s="20" t="n">
        <x:f>IF(=INDEX(Roster!$F$6:$F$108,MATCH(D894,Roster!$A$6:$A$108,0))="Yes",0,=INDEX(Inputs!$B$8:$D$8,1,MATCH(A894,Inputs!$B$6:$D$6,0))*IF(=INDEX(Roster!$B$6:$B$108,MATCH(D894,Roster!$A$6:$A$108,0))="Principal",INDEX(Inputs!$B$10:$D$10,1,MATCH(A894,Inputs!$B$6:$D$6,0)),IF(=INDEX(Roster!$B$6:$B$108,MATCH(D894,Roster!$A$6:$A$108,0))="Associate Principal",INDEX(Inputs!$B$11:$D$11,1,MATCH(A894,Inputs!$B$6:$D$6,0)),IF(=INDEX(Roster!$B$6:$B$108,MATCH(D894,Roster!$A$6:$A$108,0))="Assistant Principal",INDEX(Inputs!$B$12:$D$12,1,MATCH(A894,Inputs!$B$6:$D$6,0)),0))))</x:f>
        <x:v>0</x:v>
      </x:c>
      <x:c r="L894" s="20" t="n">
        <x:f>IF(INDEX(Roster!$D$6:$D$108,MATCH(D894,Roster!$A$6:$A$108,0))&gt;=25,INDEX(Inputs!$B$19:$D$19,1,MATCH(A894,Inputs!$B$6:$D$6,0)),IF(INDEX(Roster!$D$6:$D$108,MATCH(D894,Roster!$A$6:$A$108,0))&gt;=20,INDEX(Inputs!$B$18:$D$18,1,MATCH(A894,Inputs!$B$6:$D$6,0)),IF(INDEX(Roster!$D$6:$D$108,MATCH(D894,Roster!$A$6:$A$108,0))&gt;=15,INDEX(Inputs!$B$17:$D$17,1,MATCH(A894,Inputs!$B$6:$D$6,0)),IF(INDEX(Roster!$D$6:$D$108,MATCH(D894,Roster!$A$6:$A$108,0))&gt;=10,INDEX(Inputs!$B$16:$D$16,1,MATCH(A894,Inputs!$B$6:$D$6,0)),IF(INDEX(Roster!$D$6:$D$108,MATCH(D894,Roster!$A$6:$A$108,0))&gt;=5,INDEX(Inputs!$B$15:$D$15,1,MATCH(A894,Inputs!$B$6:$D$6,0)),0)))))</x:f>
        <x:v>60</x:v>
      </x:c>
      <x:c r="M894" s="20" t="n">
        <x:f>G894*I894</x:f>
        <x:v>31135</x:v>
      </x:c>
      <x:c r="N894" s="20" t="n">
        <x:f>G894*J894</x:f>
        <x:v>260</x:v>
      </x:c>
      <x:c r="O894" s="20" t="n">
        <x:f>G894*K894</x:f>
        <x:v>0</x:v>
      </x:c>
      <x:c r="P894" s="20" t="n">
        <x:f>G894*L894</x:f>
        <x:v>780</x:v>
      </x:c>
      <x:c r="Q894" s="20" t="n">
        <x:f>H894*INDEX(Inputs!$B$13:$D$13,1,MATCH(A894,Inputs!$B$6:$D$6,0))</x:f>
        <x:v>390</x:v>
      </x:c>
      <x:c r="R894" s="20" t="n">
        <x:f>SUM(M894:Q894)</x:f>
        <x:v>32565</x:v>
      </x:c>
      <x:c r="S894" s="20" t="n">
        <x:f>IF(AND(A893=A894,D893=D894),S893+R894,R894)</x:f>
        <x:v>32565</x:v>
      </x:c>
      <x:c r="T894" s="20" t="n">
        <x:f>MIN(S894,INDEX(Inputs!$B$20:$D$20,1,MATCH(A894,Inputs!$B$6:$D$6,0)))*INDEX(Inputs!$B$22:$D$22,1,MATCH(A894,Inputs!$B$6:$D$6,0))+MAX(MIN(S894,INDEX(Inputs!$B$21:$D$21,1,MATCH(A894,Inputs!$B$6:$D$6,0)))-INDEX(Inputs!$B$20:$D$20,1,MATCH(A894,Inputs!$B$6:$D$6,0)),0)*INDEX(Inputs!$B$23:$D$23,1,MATCH(A894,Inputs!$B$6:$D$6,0))+MAX(S894-INDEX(Inputs!$B$21:$D$21,1,MATCH(A894,Inputs!$B$6:$D$6,0)),0)*INDEX(Inputs!$B$24:$D$24,1,MATCH(A894,Inputs!$B$6:$D$6,0))</x:f>
        <x:v>2981.2225</x:v>
      </x:c>
      <x:c r="U894" s="20" t="n">
        <x:f>IF(AND(A893=A894,D893=D894),T893,0)</x:f>
        <x:v>0</x:v>
      </x:c>
      <x:c r="V894" s="20" t="n">
        <x:f>T894-U894</x:f>
        <x:v>2981.2225</x:v>
      </x:c>
      <x:c r="W894" s="20" t="n">
        <x:f>R894+V894</x:f>
        <x:v>35546.2225</x:v>
      </x:c>
      <x:c r="X894" s="14" t="str">
        <x:f>IF(ABS(W894-SUM(M894:Q894)-V894)&lt;0.01,"OK","Check")</x:f>
        <x:v>OK</x:v>
      </x:c>
    </x:row>
    <x:row r="895">
      <x:c r="A895" s="14" t="n">
        <x:v>2028</x:v>
      </x:c>
      <x:c r="B895" s="14" t="str">
        <x:v>Q2</x:v>
      </x:c>
      <x:c r="C895" s="14" t="n">
        <x:v>2</x:v>
      </x:c>
      <x:c r="D895" s="14" t="n">
        <x:v>17</x:v>
      </x:c>
      <x:c r="E895" s="14" t="str">
        <x:f>INDEX(Roster!$B$6:$B$108,MATCH(D895,Roster!$A$6:$A$108,0))</x:f>
      </x:c>
      <x:c r="F895" s="14" t="str">
        <x:f>INDEX(Roster!$F$6:$F$108,MATCH(D895,Roster!$A$6:$A$108,0))</x:f>
        <x:v>No</x:v>
      </x:c>
      <x:c r="G895" s="14" t="n">
        <x:f>INDEX(Inputs!$B$7:$D$7,1,MATCH(A895,Inputs!$B$6:$D$6,0))</x:f>
        <x:v>13</x:v>
      </x:c>
      <x:c r="H895" s="14" t="n">
        <x:f>MIN(=INDEX(Inputs!$B$7:$D$7,1,MATCH(A895,Inputs!$B$6:$D$6,0)),MAX(0,INDEX(Inputs!$B$14:$D$14,1,MATCH(A895,Inputs!$B$6:$D$6,0))-(C895-1)*=INDEX(Inputs!$B$7:$D$7,1,MATCH(A895,Inputs!$B$6:$D$6,0))))</x:f>
        <x:v>13</x:v>
      </x:c>
      <x:c r="I895" s="20" t="n">
        <x:f>INDEX(Inputs!$B$8:$D$8,1,MATCH(A895,Inputs!$B$6:$D$6,0))</x:f>
        <x:v>2395</x:v>
      </x:c>
      <x:c r="J895" s="20" t="n">
        <x:f>INDEX(Roster!$C$6:$C$108,MATCH(D895,Roster!$A$6:$A$108,0))*(1+INDEX(Inputs!$B$9:$D$9,1,MATCH(A895,Inputs!$B$6:$D$6,0)))</x:f>
        <x:v>20</x:v>
      </x:c>
      <x:c r="K895" s="20" t="n">
        <x:f>IF(=INDEX(Roster!$F$6:$F$108,MATCH(D895,Roster!$A$6:$A$108,0))="Yes",0,=INDEX(Inputs!$B$8:$D$8,1,MATCH(A895,Inputs!$B$6:$D$6,0))*IF(=INDEX(Roster!$B$6:$B$108,MATCH(D895,Roster!$A$6:$A$108,0))="Principal",INDEX(Inputs!$B$10:$D$10,1,MATCH(A895,Inputs!$B$6:$D$6,0)),IF(=INDEX(Roster!$B$6:$B$108,MATCH(D895,Roster!$A$6:$A$108,0))="Associate Principal",INDEX(Inputs!$B$11:$D$11,1,MATCH(A895,Inputs!$B$6:$D$6,0)),IF(=INDEX(Roster!$B$6:$B$108,MATCH(D895,Roster!$A$6:$A$108,0))="Assistant Principal",INDEX(Inputs!$B$12:$D$12,1,MATCH(A895,Inputs!$B$6:$D$6,0)),0))))</x:f>
        <x:v>0</x:v>
      </x:c>
      <x:c r="L895" s="20" t="n">
        <x:f>IF(INDEX(Roster!$D$6:$D$108,MATCH(D895,Roster!$A$6:$A$108,0))&gt;=25,INDEX(Inputs!$B$19:$D$19,1,MATCH(A895,Inputs!$B$6:$D$6,0)),IF(INDEX(Roster!$D$6:$D$108,MATCH(D895,Roster!$A$6:$A$108,0))&gt;=20,INDEX(Inputs!$B$18:$D$18,1,MATCH(A895,Inputs!$B$6:$D$6,0)),IF(INDEX(Roster!$D$6:$D$108,MATCH(D895,Roster!$A$6:$A$108,0))&gt;=15,INDEX(Inputs!$B$17:$D$17,1,MATCH(A895,Inputs!$B$6:$D$6,0)),IF(INDEX(Roster!$D$6:$D$108,MATCH(D895,Roster!$A$6:$A$108,0))&gt;=10,INDEX(Inputs!$B$16:$D$16,1,MATCH(A895,Inputs!$B$6:$D$6,0)),IF(INDEX(Roster!$D$6:$D$108,MATCH(D895,Roster!$A$6:$A$108,0))&gt;=5,INDEX(Inputs!$B$15:$D$15,1,MATCH(A895,Inputs!$B$6:$D$6,0)),0)))))</x:f>
        <x:v>60</x:v>
      </x:c>
      <x:c r="M895" s="20" t="n">
        <x:f>G895*I895</x:f>
        <x:v>31135</x:v>
      </x:c>
      <x:c r="N895" s="20" t="n">
        <x:f>G895*J895</x:f>
        <x:v>260</x:v>
      </x:c>
      <x:c r="O895" s="20" t="n">
        <x:f>G895*K895</x:f>
        <x:v>0</x:v>
      </x:c>
      <x:c r="P895" s="20" t="n">
        <x:f>G895*L895</x:f>
        <x:v>780</x:v>
      </x:c>
      <x:c r="Q895" s="20" t="n">
        <x:f>H895*INDEX(Inputs!$B$13:$D$13,1,MATCH(A895,Inputs!$B$6:$D$6,0))</x:f>
        <x:v>390</x:v>
      </x:c>
      <x:c r="R895" s="20" t="n">
        <x:f>SUM(M895:Q895)</x:f>
        <x:v>32565</x:v>
      </x:c>
      <x:c r="S895" s="20" t="n">
        <x:f>IF(AND(A894=A895,D894=D895),S894+R895,R895)</x:f>
        <x:v>65130</x:v>
      </x:c>
      <x:c r="T895" s="20" t="n">
        <x:f>MIN(S895,INDEX(Inputs!$B$20:$D$20,1,MATCH(A895,Inputs!$B$6:$D$6,0)))*INDEX(Inputs!$B$22:$D$22,1,MATCH(A895,Inputs!$B$6:$D$6,0))+MAX(MIN(S895,INDEX(Inputs!$B$21:$D$21,1,MATCH(A895,Inputs!$B$6:$D$6,0)))-INDEX(Inputs!$B$20:$D$20,1,MATCH(A895,Inputs!$B$6:$D$6,0)),0)*INDEX(Inputs!$B$23:$D$23,1,MATCH(A895,Inputs!$B$6:$D$6,0))+MAX(S895-INDEX(Inputs!$B$21:$D$21,1,MATCH(A895,Inputs!$B$6:$D$6,0)),0)*INDEX(Inputs!$B$24:$D$24,1,MATCH(A895,Inputs!$B$6:$D$6,0))</x:f>
        <x:v>5472.445</x:v>
      </x:c>
      <x:c r="U895" s="20" t="n">
        <x:f>IF(AND(A894=A895,D894=D895),T894,0)</x:f>
        <x:v>2981.2225</x:v>
      </x:c>
      <x:c r="V895" s="20" t="n">
        <x:f>T895-U895</x:f>
        <x:v>2491.2225</x:v>
      </x:c>
      <x:c r="W895" s="20" t="n">
        <x:f>R895+V895</x:f>
        <x:v>35056.2225</x:v>
      </x:c>
      <x:c r="X895" s="14" t="str">
        <x:f>IF(ABS(W895-SUM(M895:Q895)-V895)&lt;0.01,"OK","Check")</x:f>
        <x:v>OK</x:v>
      </x:c>
    </x:row>
    <x:row r="896">
      <x:c r="A896" s="14" t="n">
        <x:v>2028</x:v>
      </x:c>
      <x:c r="B896" s="14" t="str">
        <x:v>Q3</x:v>
      </x:c>
      <x:c r="C896" s="14" t="n">
        <x:v>3</x:v>
      </x:c>
      <x:c r="D896" s="14" t="n">
        <x:v>17</x:v>
      </x:c>
      <x:c r="E896" s="14" t="str">
        <x:f>INDEX(Roster!$B$6:$B$108,MATCH(D896,Roster!$A$6:$A$108,0))</x:f>
      </x:c>
      <x:c r="F896" s="14" t="str">
        <x:f>INDEX(Roster!$F$6:$F$108,MATCH(D896,Roster!$A$6:$A$108,0))</x:f>
        <x:v>No</x:v>
      </x:c>
      <x:c r="G896" s="14" t="n">
        <x:f>INDEX(Inputs!$B$7:$D$7,1,MATCH(A896,Inputs!$B$6:$D$6,0))</x:f>
        <x:v>13</x:v>
      </x:c>
      <x:c r="H896" s="14" t="n">
        <x:f>MIN(=INDEX(Inputs!$B$7:$D$7,1,MATCH(A896,Inputs!$B$6:$D$6,0)),MAX(0,INDEX(Inputs!$B$14:$D$14,1,MATCH(A896,Inputs!$B$6:$D$6,0))-(C896-1)*=INDEX(Inputs!$B$7:$D$7,1,MATCH(A896,Inputs!$B$6:$D$6,0))))</x:f>
        <x:v>13</x:v>
      </x:c>
      <x:c r="I896" s="20" t="n">
        <x:f>INDEX(Inputs!$B$8:$D$8,1,MATCH(A896,Inputs!$B$6:$D$6,0))</x:f>
        <x:v>2395</x:v>
      </x:c>
      <x:c r="J896" s="20" t="n">
        <x:f>INDEX(Roster!$C$6:$C$108,MATCH(D896,Roster!$A$6:$A$108,0))*(1+INDEX(Inputs!$B$9:$D$9,1,MATCH(A896,Inputs!$B$6:$D$6,0)))</x:f>
        <x:v>20</x:v>
      </x:c>
      <x:c r="K896" s="20" t="n">
        <x:f>IF(=INDEX(Roster!$F$6:$F$108,MATCH(D896,Roster!$A$6:$A$108,0))="Yes",0,=INDEX(Inputs!$B$8:$D$8,1,MATCH(A896,Inputs!$B$6:$D$6,0))*IF(=INDEX(Roster!$B$6:$B$108,MATCH(D896,Roster!$A$6:$A$108,0))="Principal",INDEX(Inputs!$B$10:$D$10,1,MATCH(A896,Inputs!$B$6:$D$6,0)),IF(=INDEX(Roster!$B$6:$B$108,MATCH(D896,Roster!$A$6:$A$108,0))="Associate Principal",INDEX(Inputs!$B$11:$D$11,1,MATCH(A896,Inputs!$B$6:$D$6,0)),IF(=INDEX(Roster!$B$6:$B$108,MATCH(D896,Roster!$A$6:$A$108,0))="Assistant Principal",INDEX(Inputs!$B$12:$D$12,1,MATCH(A896,Inputs!$B$6:$D$6,0)),0))))</x:f>
        <x:v>0</x:v>
      </x:c>
      <x:c r="L896" s="20" t="n">
        <x:f>IF(INDEX(Roster!$D$6:$D$108,MATCH(D896,Roster!$A$6:$A$108,0))&gt;=25,INDEX(Inputs!$B$19:$D$19,1,MATCH(A896,Inputs!$B$6:$D$6,0)),IF(INDEX(Roster!$D$6:$D$108,MATCH(D896,Roster!$A$6:$A$108,0))&gt;=20,INDEX(Inputs!$B$18:$D$18,1,MATCH(A896,Inputs!$B$6:$D$6,0)),IF(INDEX(Roster!$D$6:$D$108,MATCH(D896,Roster!$A$6:$A$108,0))&gt;=15,INDEX(Inputs!$B$17:$D$17,1,MATCH(A896,Inputs!$B$6:$D$6,0)),IF(INDEX(Roster!$D$6:$D$108,MATCH(D896,Roster!$A$6:$A$108,0))&gt;=10,INDEX(Inputs!$B$16:$D$16,1,MATCH(A896,Inputs!$B$6:$D$6,0)),IF(INDEX(Roster!$D$6:$D$108,MATCH(D896,Roster!$A$6:$A$108,0))&gt;=5,INDEX(Inputs!$B$15:$D$15,1,MATCH(A896,Inputs!$B$6:$D$6,0)),0)))))</x:f>
        <x:v>60</x:v>
      </x:c>
      <x:c r="M896" s="20" t="n">
        <x:f>G896*I896</x:f>
        <x:v>31135</x:v>
      </x:c>
      <x:c r="N896" s="20" t="n">
        <x:f>G896*J896</x:f>
        <x:v>260</x:v>
      </x:c>
      <x:c r="O896" s="20" t="n">
        <x:f>G896*K896</x:f>
        <x:v>0</x:v>
      </x:c>
      <x:c r="P896" s="20" t="n">
        <x:f>G896*L896</x:f>
        <x:v>780</x:v>
      </x:c>
      <x:c r="Q896" s="20" t="n">
        <x:f>H896*INDEX(Inputs!$B$13:$D$13,1,MATCH(A896,Inputs!$B$6:$D$6,0))</x:f>
        <x:v>390</x:v>
      </x:c>
      <x:c r="R896" s="20" t="n">
        <x:f>SUM(M896:Q896)</x:f>
        <x:v>32565</x:v>
      </x:c>
      <x:c r="S896" s="20" t="n">
        <x:f>IF(AND(A895=A896,D895=D896),S895+R896,R896)</x:f>
        <x:v>97695</x:v>
      </x:c>
      <x:c r="T896" s="20" t="n">
        <x:f>MIN(S896,INDEX(Inputs!$B$20:$D$20,1,MATCH(A896,Inputs!$B$6:$D$6,0)))*INDEX(Inputs!$B$22:$D$22,1,MATCH(A896,Inputs!$B$6:$D$6,0))+MAX(MIN(S896,INDEX(Inputs!$B$21:$D$21,1,MATCH(A896,Inputs!$B$6:$D$6,0)))-INDEX(Inputs!$B$20:$D$20,1,MATCH(A896,Inputs!$B$6:$D$6,0)),0)*INDEX(Inputs!$B$23:$D$23,1,MATCH(A896,Inputs!$B$6:$D$6,0))+MAX(S896-INDEX(Inputs!$B$21:$D$21,1,MATCH(A896,Inputs!$B$6:$D$6,0)),0)*INDEX(Inputs!$B$24:$D$24,1,MATCH(A896,Inputs!$B$6:$D$6,0))</x:f>
        <x:v>7963.6675</x:v>
      </x:c>
      <x:c r="U896" s="20" t="n">
        <x:f>IF(AND(A895=A896,D895=D896),T895,0)</x:f>
        <x:v>5472.445</x:v>
      </x:c>
      <x:c r="V896" s="20" t="n">
        <x:f>T896-U896</x:f>
        <x:v>2491.2225</x:v>
      </x:c>
      <x:c r="W896" s="20" t="n">
        <x:f>R896+V896</x:f>
        <x:v>35056.2225</x:v>
      </x:c>
      <x:c r="X896" s="14" t="str">
        <x:f>IF(ABS(W896-SUM(M896:Q896)-V896)&lt;0.01,"OK","Check")</x:f>
        <x:v>OK</x:v>
      </x:c>
    </x:row>
    <x:row r="897">
      <x:c r="A897" s="14" t="n">
        <x:v>2028</x:v>
      </x:c>
      <x:c r="B897" s="14" t="str">
        <x:v>Q4</x:v>
      </x:c>
      <x:c r="C897" s="14" t="n">
        <x:v>4</x:v>
      </x:c>
      <x:c r="D897" s="14" t="n">
        <x:v>17</x:v>
      </x:c>
      <x:c r="E897" s="14" t="str">
        <x:f>INDEX(Roster!$B$6:$B$108,MATCH(D897,Roster!$A$6:$A$108,0))</x:f>
      </x:c>
      <x:c r="F897" s="14" t="str">
        <x:f>INDEX(Roster!$F$6:$F$108,MATCH(D897,Roster!$A$6:$A$108,0))</x:f>
        <x:v>No</x:v>
      </x:c>
      <x:c r="G897" s="14" t="n">
        <x:f>INDEX(Inputs!$B$7:$D$7,1,MATCH(A897,Inputs!$B$6:$D$6,0))</x:f>
        <x:v>13</x:v>
      </x:c>
      <x:c r="H897" s="14" t="n">
        <x:f>MIN(=INDEX(Inputs!$B$7:$D$7,1,MATCH(A897,Inputs!$B$6:$D$6,0)),MAX(0,INDEX(Inputs!$B$14:$D$14,1,MATCH(A897,Inputs!$B$6:$D$6,0))-(C897-1)*=INDEX(Inputs!$B$7:$D$7,1,MATCH(A897,Inputs!$B$6:$D$6,0))))</x:f>
        <x:v>0</x:v>
      </x:c>
      <x:c r="I897" s="20" t="n">
        <x:f>INDEX(Inputs!$B$8:$D$8,1,MATCH(A897,Inputs!$B$6:$D$6,0))</x:f>
        <x:v>2395</x:v>
      </x:c>
      <x:c r="J897" s="20" t="n">
        <x:f>INDEX(Roster!$C$6:$C$108,MATCH(D897,Roster!$A$6:$A$108,0))*(1+INDEX(Inputs!$B$9:$D$9,1,MATCH(A897,Inputs!$B$6:$D$6,0)))</x:f>
        <x:v>20</x:v>
      </x:c>
      <x:c r="K897" s="20" t="n">
        <x:f>IF(=INDEX(Roster!$F$6:$F$108,MATCH(D897,Roster!$A$6:$A$108,0))="Yes",0,=INDEX(Inputs!$B$8:$D$8,1,MATCH(A897,Inputs!$B$6:$D$6,0))*IF(=INDEX(Roster!$B$6:$B$108,MATCH(D897,Roster!$A$6:$A$108,0))="Principal",INDEX(Inputs!$B$10:$D$10,1,MATCH(A897,Inputs!$B$6:$D$6,0)),IF(=INDEX(Roster!$B$6:$B$108,MATCH(D897,Roster!$A$6:$A$108,0))="Associate Principal",INDEX(Inputs!$B$11:$D$11,1,MATCH(A897,Inputs!$B$6:$D$6,0)),IF(=INDEX(Roster!$B$6:$B$108,MATCH(D897,Roster!$A$6:$A$108,0))="Assistant Principal",INDEX(Inputs!$B$12:$D$12,1,MATCH(A897,Inputs!$B$6:$D$6,0)),0))))</x:f>
        <x:v>0</x:v>
      </x:c>
      <x:c r="L897" s="20" t="n">
        <x:f>IF(INDEX(Roster!$D$6:$D$108,MATCH(D897,Roster!$A$6:$A$108,0))&gt;=25,INDEX(Inputs!$B$19:$D$19,1,MATCH(A897,Inputs!$B$6:$D$6,0)),IF(INDEX(Roster!$D$6:$D$108,MATCH(D897,Roster!$A$6:$A$108,0))&gt;=20,INDEX(Inputs!$B$18:$D$18,1,MATCH(A897,Inputs!$B$6:$D$6,0)),IF(INDEX(Roster!$D$6:$D$108,MATCH(D897,Roster!$A$6:$A$108,0))&gt;=15,INDEX(Inputs!$B$17:$D$17,1,MATCH(A897,Inputs!$B$6:$D$6,0)),IF(INDEX(Roster!$D$6:$D$108,MATCH(D897,Roster!$A$6:$A$108,0))&gt;=10,INDEX(Inputs!$B$16:$D$16,1,MATCH(A897,Inputs!$B$6:$D$6,0)),IF(INDEX(Roster!$D$6:$D$108,MATCH(D897,Roster!$A$6:$A$108,0))&gt;=5,INDEX(Inputs!$B$15:$D$15,1,MATCH(A897,Inputs!$B$6:$D$6,0)),0)))))</x:f>
        <x:v>60</x:v>
      </x:c>
      <x:c r="M897" s="20" t="n">
        <x:f>G897*I897</x:f>
        <x:v>31135</x:v>
      </x:c>
      <x:c r="N897" s="20" t="n">
        <x:f>G897*J897</x:f>
        <x:v>260</x:v>
      </x:c>
      <x:c r="O897" s="20" t="n">
        <x:f>G897*K897</x:f>
        <x:v>0</x:v>
      </x:c>
      <x:c r="P897" s="20" t="n">
        <x:f>G897*L897</x:f>
        <x:v>780</x:v>
      </x:c>
      <x:c r="Q897" s="20" t="n">
        <x:f>H897*INDEX(Inputs!$B$13:$D$13,1,MATCH(A897,Inputs!$B$6:$D$6,0))</x:f>
        <x:v>0</x:v>
      </x:c>
      <x:c r="R897" s="20" t="n">
        <x:f>SUM(M897:Q897)</x:f>
        <x:v>32175</x:v>
      </x:c>
      <x:c r="S897" s="20" t="n">
        <x:f>IF(AND(A896=A897,D896=D897),S896+R897,R897)</x:f>
        <x:v>129870</x:v>
      </x:c>
      <x:c r="T897" s="20" t="n">
        <x:f>MIN(S897,INDEX(Inputs!$B$20:$D$20,1,MATCH(A897,Inputs!$B$6:$D$6,0)))*INDEX(Inputs!$B$22:$D$22,1,MATCH(A897,Inputs!$B$6:$D$6,0))+MAX(MIN(S897,INDEX(Inputs!$B$21:$D$21,1,MATCH(A897,Inputs!$B$6:$D$6,0)))-INDEX(Inputs!$B$20:$D$20,1,MATCH(A897,Inputs!$B$6:$D$6,0)),0)*INDEX(Inputs!$B$23:$D$23,1,MATCH(A897,Inputs!$B$6:$D$6,0))+MAX(S897-INDEX(Inputs!$B$21:$D$21,1,MATCH(A897,Inputs!$B$6:$D$6,0)),0)*INDEX(Inputs!$B$24:$D$24,1,MATCH(A897,Inputs!$B$6:$D$6,0))</x:f>
        <x:v>9797.057</x:v>
      </x:c>
      <x:c r="U897" s="20" t="n">
        <x:f>IF(AND(A896=A897,D896=D897),T896,0)</x:f>
        <x:v>7963.6675</x:v>
      </x:c>
      <x:c r="V897" s="20" t="n">
        <x:f>T897-U897</x:f>
        <x:v>1833.3895000000011</x:v>
      </x:c>
      <x:c r="W897" s="20" t="n">
        <x:f>R897+V897</x:f>
        <x:v>34008.389500000005</x:v>
      </x:c>
      <x:c r="X897" s="14" t="str">
        <x:f>IF(ABS(W897-SUM(M897:Q897)-V897)&lt;0.01,"OK","Check")</x:f>
        <x:v>OK</x:v>
      </x:c>
    </x:row>
    <x:row r="898">
      <x:c r="A898" s="14" t="n">
        <x:v>2028</x:v>
      </x:c>
      <x:c r="B898" s="14" t="str">
        <x:v>Q1</x:v>
      </x:c>
      <x:c r="C898" s="14" t="n">
        <x:v>1</x:v>
      </x:c>
      <x:c r="D898" s="14" t="n">
        <x:v>18</x:v>
      </x:c>
      <x:c r="E898" s="14" t="str">
        <x:f>INDEX(Roster!$B$6:$B$108,MATCH(D898,Roster!$A$6:$A$108,0))</x:f>
      </x:c>
      <x:c r="F898" s="14" t="str">
        <x:f>INDEX(Roster!$F$6:$F$108,MATCH(D898,Roster!$A$6:$A$108,0))</x:f>
        <x:v>No</x:v>
      </x:c>
      <x:c r="G898" s="14" t="n">
        <x:f>INDEX(Inputs!$B$7:$D$7,1,MATCH(A898,Inputs!$B$6:$D$6,0))</x:f>
        <x:v>13</x:v>
      </x:c>
      <x:c r="H898" s="14" t="n">
        <x:f>MIN(=INDEX(Inputs!$B$7:$D$7,1,MATCH(A898,Inputs!$B$6:$D$6,0)),MAX(0,INDEX(Inputs!$B$14:$D$14,1,MATCH(A898,Inputs!$B$6:$D$6,0))-(C898-1)*=INDEX(Inputs!$B$7:$D$7,1,MATCH(A898,Inputs!$B$6:$D$6,0))))</x:f>
        <x:v>13</x:v>
      </x:c>
      <x:c r="I898" s="20" t="n">
        <x:f>INDEX(Inputs!$B$8:$D$8,1,MATCH(A898,Inputs!$B$6:$D$6,0))</x:f>
        <x:v>2395</x:v>
      </x:c>
      <x:c r="J898" s="20" t="n">
        <x:f>INDEX(Roster!$C$6:$C$108,MATCH(D898,Roster!$A$6:$A$108,0))*(1+INDEX(Inputs!$B$9:$D$9,1,MATCH(A898,Inputs!$B$6:$D$6,0)))</x:f>
        <x:v>0</x:v>
      </x:c>
      <x:c r="K898" s="20" t="n">
        <x:f>IF(=INDEX(Roster!$F$6:$F$108,MATCH(D898,Roster!$A$6:$A$108,0))="Yes",0,=INDEX(Inputs!$B$8:$D$8,1,MATCH(A898,Inputs!$B$6:$D$6,0))*IF(=INDEX(Roster!$B$6:$B$108,MATCH(D898,Roster!$A$6:$A$108,0))="Principal",INDEX(Inputs!$B$10:$D$10,1,MATCH(A898,Inputs!$B$6:$D$6,0)),IF(=INDEX(Roster!$B$6:$B$108,MATCH(D898,Roster!$A$6:$A$108,0))="Associate Principal",INDEX(Inputs!$B$11:$D$11,1,MATCH(A898,Inputs!$B$6:$D$6,0)),IF(=INDEX(Roster!$B$6:$B$108,MATCH(D898,Roster!$A$6:$A$108,0))="Assistant Principal",INDEX(Inputs!$B$12:$D$12,1,MATCH(A898,Inputs!$B$6:$D$6,0)),0))))</x:f>
        <x:v>0</x:v>
      </x:c>
      <x:c r="L898" s="20" t="n">
        <x:f>IF(INDEX(Roster!$D$6:$D$108,MATCH(D898,Roster!$A$6:$A$108,0))&gt;=25,INDEX(Inputs!$B$19:$D$19,1,MATCH(A898,Inputs!$B$6:$D$6,0)),IF(INDEX(Roster!$D$6:$D$108,MATCH(D898,Roster!$A$6:$A$108,0))&gt;=20,INDEX(Inputs!$B$18:$D$18,1,MATCH(A898,Inputs!$B$6:$D$6,0)),IF(INDEX(Roster!$D$6:$D$108,MATCH(D898,Roster!$A$6:$A$108,0))&gt;=15,INDEX(Inputs!$B$17:$D$17,1,MATCH(A898,Inputs!$B$6:$D$6,0)),IF(INDEX(Roster!$D$6:$D$108,MATCH(D898,Roster!$A$6:$A$108,0))&gt;=10,INDEX(Inputs!$B$16:$D$16,1,MATCH(A898,Inputs!$B$6:$D$6,0)),IF(INDEX(Roster!$D$6:$D$108,MATCH(D898,Roster!$A$6:$A$108,0))&gt;=5,INDEX(Inputs!$B$15:$D$15,1,MATCH(A898,Inputs!$B$6:$D$6,0)),0)))))</x:f>
        <x:v>60</x:v>
      </x:c>
      <x:c r="M898" s="20" t="n">
        <x:f>G898*I898</x:f>
        <x:v>31135</x:v>
      </x:c>
      <x:c r="N898" s="20" t="n">
        <x:f>G898*J898</x:f>
        <x:v>0</x:v>
      </x:c>
      <x:c r="O898" s="20" t="n">
        <x:f>G898*K898</x:f>
        <x:v>0</x:v>
      </x:c>
      <x:c r="P898" s="20" t="n">
        <x:f>G898*L898</x:f>
        <x:v>780</x:v>
      </x:c>
      <x:c r="Q898" s="20" t="n">
        <x:f>H898*INDEX(Inputs!$B$13:$D$13,1,MATCH(A898,Inputs!$B$6:$D$6,0))</x:f>
        <x:v>390</x:v>
      </x:c>
      <x:c r="R898" s="20" t="n">
        <x:f>SUM(M898:Q898)</x:f>
        <x:v>32305</x:v>
      </x:c>
      <x:c r="S898" s="20" t="n">
        <x:f>IF(AND(A897=A898,D897=D898),S897+R898,R898)</x:f>
        <x:v>32305</x:v>
      </x:c>
      <x:c r="T898" s="20" t="n">
        <x:f>MIN(S898,INDEX(Inputs!$B$20:$D$20,1,MATCH(A898,Inputs!$B$6:$D$6,0)))*INDEX(Inputs!$B$22:$D$22,1,MATCH(A898,Inputs!$B$6:$D$6,0))+MAX(MIN(S898,INDEX(Inputs!$B$21:$D$21,1,MATCH(A898,Inputs!$B$6:$D$6,0)))-INDEX(Inputs!$B$20:$D$20,1,MATCH(A898,Inputs!$B$6:$D$6,0)),0)*INDEX(Inputs!$B$23:$D$23,1,MATCH(A898,Inputs!$B$6:$D$6,0))+MAX(S898-INDEX(Inputs!$B$21:$D$21,1,MATCH(A898,Inputs!$B$6:$D$6,0)),0)*INDEX(Inputs!$B$24:$D$24,1,MATCH(A898,Inputs!$B$6:$D$6,0))</x:f>
        <x:v>2961.3325</x:v>
      </x:c>
      <x:c r="U898" s="20" t="n">
        <x:f>IF(AND(A897=A898,D897=D898),T897,0)</x:f>
        <x:v>0</x:v>
      </x:c>
      <x:c r="V898" s="20" t="n">
        <x:f>T898-U898</x:f>
        <x:v>2961.3325</x:v>
      </x:c>
      <x:c r="W898" s="20" t="n">
        <x:f>R898+V898</x:f>
        <x:v>35266.3325</x:v>
      </x:c>
      <x:c r="X898" s="14" t="str">
        <x:f>IF(ABS(W898-SUM(M898:Q898)-V898)&lt;0.01,"OK","Check")</x:f>
        <x:v>OK</x:v>
      </x:c>
    </x:row>
    <x:row r="899">
      <x:c r="A899" s="14" t="n">
        <x:v>2028</x:v>
      </x:c>
      <x:c r="B899" s="14" t="str">
        <x:v>Q2</x:v>
      </x:c>
      <x:c r="C899" s="14" t="n">
        <x:v>2</x:v>
      </x:c>
      <x:c r="D899" s="14" t="n">
        <x:v>18</x:v>
      </x:c>
      <x:c r="E899" s="14" t="str">
        <x:f>INDEX(Roster!$B$6:$B$108,MATCH(D899,Roster!$A$6:$A$108,0))</x:f>
      </x:c>
      <x:c r="F899" s="14" t="str">
        <x:f>INDEX(Roster!$F$6:$F$108,MATCH(D899,Roster!$A$6:$A$108,0))</x:f>
        <x:v>No</x:v>
      </x:c>
      <x:c r="G899" s="14" t="n">
        <x:f>INDEX(Inputs!$B$7:$D$7,1,MATCH(A899,Inputs!$B$6:$D$6,0))</x:f>
        <x:v>13</x:v>
      </x:c>
      <x:c r="H899" s="14" t="n">
        <x:f>MIN(=INDEX(Inputs!$B$7:$D$7,1,MATCH(A899,Inputs!$B$6:$D$6,0)),MAX(0,INDEX(Inputs!$B$14:$D$14,1,MATCH(A899,Inputs!$B$6:$D$6,0))-(C899-1)*=INDEX(Inputs!$B$7:$D$7,1,MATCH(A899,Inputs!$B$6:$D$6,0))))</x:f>
        <x:v>13</x:v>
      </x:c>
      <x:c r="I899" s="20" t="n">
        <x:f>INDEX(Inputs!$B$8:$D$8,1,MATCH(A899,Inputs!$B$6:$D$6,0))</x:f>
        <x:v>2395</x:v>
      </x:c>
      <x:c r="J899" s="20" t="n">
        <x:f>INDEX(Roster!$C$6:$C$108,MATCH(D899,Roster!$A$6:$A$108,0))*(1+INDEX(Inputs!$B$9:$D$9,1,MATCH(A899,Inputs!$B$6:$D$6,0)))</x:f>
        <x:v>0</x:v>
      </x:c>
      <x:c r="K899" s="20" t="n">
        <x:f>IF(=INDEX(Roster!$F$6:$F$108,MATCH(D899,Roster!$A$6:$A$108,0))="Yes",0,=INDEX(Inputs!$B$8:$D$8,1,MATCH(A899,Inputs!$B$6:$D$6,0))*IF(=INDEX(Roster!$B$6:$B$108,MATCH(D899,Roster!$A$6:$A$108,0))="Principal",INDEX(Inputs!$B$10:$D$10,1,MATCH(A899,Inputs!$B$6:$D$6,0)),IF(=INDEX(Roster!$B$6:$B$108,MATCH(D899,Roster!$A$6:$A$108,0))="Associate Principal",INDEX(Inputs!$B$11:$D$11,1,MATCH(A899,Inputs!$B$6:$D$6,0)),IF(=INDEX(Roster!$B$6:$B$108,MATCH(D899,Roster!$A$6:$A$108,0))="Assistant Principal",INDEX(Inputs!$B$12:$D$12,1,MATCH(A899,Inputs!$B$6:$D$6,0)),0))))</x:f>
        <x:v>0</x:v>
      </x:c>
      <x:c r="L899" s="20" t="n">
        <x:f>IF(INDEX(Roster!$D$6:$D$108,MATCH(D899,Roster!$A$6:$A$108,0))&gt;=25,INDEX(Inputs!$B$19:$D$19,1,MATCH(A899,Inputs!$B$6:$D$6,0)),IF(INDEX(Roster!$D$6:$D$108,MATCH(D899,Roster!$A$6:$A$108,0))&gt;=20,INDEX(Inputs!$B$18:$D$18,1,MATCH(A899,Inputs!$B$6:$D$6,0)),IF(INDEX(Roster!$D$6:$D$108,MATCH(D899,Roster!$A$6:$A$108,0))&gt;=15,INDEX(Inputs!$B$17:$D$17,1,MATCH(A899,Inputs!$B$6:$D$6,0)),IF(INDEX(Roster!$D$6:$D$108,MATCH(D899,Roster!$A$6:$A$108,0))&gt;=10,INDEX(Inputs!$B$16:$D$16,1,MATCH(A899,Inputs!$B$6:$D$6,0)),IF(INDEX(Roster!$D$6:$D$108,MATCH(D899,Roster!$A$6:$A$108,0))&gt;=5,INDEX(Inputs!$B$15:$D$15,1,MATCH(A899,Inputs!$B$6:$D$6,0)),0)))))</x:f>
        <x:v>60</x:v>
      </x:c>
      <x:c r="M899" s="20" t="n">
        <x:f>G899*I899</x:f>
        <x:v>31135</x:v>
      </x:c>
      <x:c r="N899" s="20" t="n">
        <x:f>G899*J899</x:f>
        <x:v>0</x:v>
      </x:c>
      <x:c r="O899" s="20" t="n">
        <x:f>G899*K899</x:f>
        <x:v>0</x:v>
      </x:c>
      <x:c r="P899" s="20" t="n">
        <x:f>G899*L899</x:f>
        <x:v>780</x:v>
      </x:c>
      <x:c r="Q899" s="20" t="n">
        <x:f>H899*INDEX(Inputs!$B$13:$D$13,1,MATCH(A899,Inputs!$B$6:$D$6,0))</x:f>
        <x:v>390</x:v>
      </x:c>
      <x:c r="R899" s="20" t="n">
        <x:f>SUM(M899:Q899)</x:f>
        <x:v>32305</x:v>
      </x:c>
      <x:c r="S899" s="20" t="n">
        <x:f>IF(AND(A898=A899,D898=D899),S898+R899,R899)</x:f>
        <x:v>64610</x:v>
      </x:c>
      <x:c r="T899" s="20" t="n">
        <x:f>MIN(S899,INDEX(Inputs!$B$20:$D$20,1,MATCH(A899,Inputs!$B$6:$D$6,0)))*INDEX(Inputs!$B$22:$D$22,1,MATCH(A899,Inputs!$B$6:$D$6,0))+MAX(MIN(S899,INDEX(Inputs!$B$21:$D$21,1,MATCH(A899,Inputs!$B$6:$D$6,0)))-INDEX(Inputs!$B$20:$D$20,1,MATCH(A899,Inputs!$B$6:$D$6,0)),0)*INDEX(Inputs!$B$23:$D$23,1,MATCH(A899,Inputs!$B$6:$D$6,0))+MAX(S899-INDEX(Inputs!$B$21:$D$21,1,MATCH(A899,Inputs!$B$6:$D$6,0)),0)*INDEX(Inputs!$B$24:$D$24,1,MATCH(A899,Inputs!$B$6:$D$6,0))</x:f>
        <x:v>5432.665</x:v>
      </x:c>
      <x:c r="U899" s="20" t="n">
        <x:f>IF(AND(A898=A899,D898=D899),T898,0)</x:f>
        <x:v>2961.3325</x:v>
      </x:c>
      <x:c r="V899" s="20" t="n">
        <x:f>T899-U899</x:f>
        <x:v>2471.3325</x:v>
      </x:c>
      <x:c r="W899" s="20" t="n">
        <x:f>R899+V899</x:f>
        <x:v>34776.3325</x:v>
      </x:c>
      <x:c r="X899" s="14" t="str">
        <x:f>IF(ABS(W899-SUM(M899:Q899)-V899)&lt;0.01,"OK","Check")</x:f>
        <x:v>OK</x:v>
      </x:c>
    </x:row>
    <x:row r="900">
      <x:c r="A900" s="14" t="n">
        <x:v>2028</x:v>
      </x:c>
      <x:c r="B900" s="14" t="str">
        <x:v>Q3</x:v>
      </x:c>
      <x:c r="C900" s="14" t="n">
        <x:v>3</x:v>
      </x:c>
      <x:c r="D900" s="14" t="n">
        <x:v>18</x:v>
      </x:c>
      <x:c r="E900" s="14" t="str">
        <x:f>INDEX(Roster!$B$6:$B$108,MATCH(D900,Roster!$A$6:$A$108,0))</x:f>
      </x:c>
      <x:c r="F900" s="14" t="str">
        <x:f>INDEX(Roster!$F$6:$F$108,MATCH(D900,Roster!$A$6:$A$108,0))</x:f>
        <x:v>No</x:v>
      </x:c>
      <x:c r="G900" s="14" t="n">
        <x:f>INDEX(Inputs!$B$7:$D$7,1,MATCH(A900,Inputs!$B$6:$D$6,0))</x:f>
        <x:v>13</x:v>
      </x:c>
      <x:c r="H900" s="14" t="n">
        <x:f>MIN(=INDEX(Inputs!$B$7:$D$7,1,MATCH(A900,Inputs!$B$6:$D$6,0)),MAX(0,INDEX(Inputs!$B$14:$D$14,1,MATCH(A900,Inputs!$B$6:$D$6,0))-(C900-1)*=INDEX(Inputs!$B$7:$D$7,1,MATCH(A900,Inputs!$B$6:$D$6,0))))</x:f>
        <x:v>13</x:v>
      </x:c>
      <x:c r="I900" s="20" t="n">
        <x:f>INDEX(Inputs!$B$8:$D$8,1,MATCH(A900,Inputs!$B$6:$D$6,0))</x:f>
        <x:v>2395</x:v>
      </x:c>
      <x:c r="J900" s="20" t="n">
        <x:f>INDEX(Roster!$C$6:$C$108,MATCH(D900,Roster!$A$6:$A$108,0))*(1+INDEX(Inputs!$B$9:$D$9,1,MATCH(A900,Inputs!$B$6:$D$6,0)))</x:f>
        <x:v>0</x:v>
      </x:c>
      <x:c r="K900" s="20" t="n">
        <x:f>IF(=INDEX(Roster!$F$6:$F$108,MATCH(D900,Roster!$A$6:$A$108,0))="Yes",0,=INDEX(Inputs!$B$8:$D$8,1,MATCH(A900,Inputs!$B$6:$D$6,0))*IF(=INDEX(Roster!$B$6:$B$108,MATCH(D900,Roster!$A$6:$A$108,0))="Principal",INDEX(Inputs!$B$10:$D$10,1,MATCH(A900,Inputs!$B$6:$D$6,0)),IF(=INDEX(Roster!$B$6:$B$108,MATCH(D900,Roster!$A$6:$A$108,0))="Associate Principal",INDEX(Inputs!$B$11:$D$11,1,MATCH(A900,Inputs!$B$6:$D$6,0)),IF(=INDEX(Roster!$B$6:$B$108,MATCH(D900,Roster!$A$6:$A$108,0))="Assistant Principal",INDEX(Inputs!$B$12:$D$12,1,MATCH(A900,Inputs!$B$6:$D$6,0)),0))))</x:f>
        <x:v>0</x:v>
      </x:c>
      <x:c r="L900" s="20" t="n">
        <x:f>IF(INDEX(Roster!$D$6:$D$108,MATCH(D900,Roster!$A$6:$A$108,0))&gt;=25,INDEX(Inputs!$B$19:$D$19,1,MATCH(A900,Inputs!$B$6:$D$6,0)),IF(INDEX(Roster!$D$6:$D$108,MATCH(D900,Roster!$A$6:$A$108,0))&gt;=20,INDEX(Inputs!$B$18:$D$18,1,MATCH(A900,Inputs!$B$6:$D$6,0)),IF(INDEX(Roster!$D$6:$D$108,MATCH(D900,Roster!$A$6:$A$108,0))&gt;=15,INDEX(Inputs!$B$17:$D$17,1,MATCH(A900,Inputs!$B$6:$D$6,0)),IF(INDEX(Roster!$D$6:$D$108,MATCH(D900,Roster!$A$6:$A$108,0))&gt;=10,INDEX(Inputs!$B$16:$D$16,1,MATCH(A900,Inputs!$B$6:$D$6,0)),IF(INDEX(Roster!$D$6:$D$108,MATCH(D900,Roster!$A$6:$A$108,0))&gt;=5,INDEX(Inputs!$B$15:$D$15,1,MATCH(A900,Inputs!$B$6:$D$6,0)),0)))))</x:f>
        <x:v>60</x:v>
      </x:c>
      <x:c r="M900" s="20" t="n">
        <x:f>G900*I900</x:f>
        <x:v>31135</x:v>
      </x:c>
      <x:c r="N900" s="20" t="n">
        <x:f>G900*J900</x:f>
        <x:v>0</x:v>
      </x:c>
      <x:c r="O900" s="20" t="n">
        <x:f>G900*K900</x:f>
        <x:v>0</x:v>
      </x:c>
      <x:c r="P900" s="20" t="n">
        <x:f>G900*L900</x:f>
        <x:v>780</x:v>
      </x:c>
      <x:c r="Q900" s="20" t="n">
        <x:f>H900*INDEX(Inputs!$B$13:$D$13,1,MATCH(A900,Inputs!$B$6:$D$6,0))</x:f>
        <x:v>390</x:v>
      </x:c>
      <x:c r="R900" s="20" t="n">
        <x:f>SUM(M900:Q900)</x:f>
        <x:v>32305</x:v>
      </x:c>
      <x:c r="S900" s="20" t="n">
        <x:f>IF(AND(A899=A900,D899=D900),S899+R900,R900)</x:f>
        <x:v>96915</x:v>
      </x:c>
      <x:c r="T900" s="20" t="n">
        <x:f>MIN(S900,INDEX(Inputs!$B$20:$D$20,1,MATCH(A900,Inputs!$B$6:$D$6,0)))*INDEX(Inputs!$B$22:$D$22,1,MATCH(A900,Inputs!$B$6:$D$6,0))+MAX(MIN(S900,INDEX(Inputs!$B$21:$D$21,1,MATCH(A900,Inputs!$B$6:$D$6,0)))-INDEX(Inputs!$B$20:$D$20,1,MATCH(A900,Inputs!$B$6:$D$6,0)),0)*INDEX(Inputs!$B$23:$D$23,1,MATCH(A900,Inputs!$B$6:$D$6,0))+MAX(S900-INDEX(Inputs!$B$21:$D$21,1,MATCH(A900,Inputs!$B$6:$D$6,0)),0)*INDEX(Inputs!$B$24:$D$24,1,MATCH(A900,Inputs!$B$6:$D$6,0))</x:f>
        <x:v>7903.9974999999995</x:v>
      </x:c>
      <x:c r="U900" s="20" t="n">
        <x:f>IF(AND(A899=A900,D899=D900),T899,0)</x:f>
        <x:v>5432.665</x:v>
      </x:c>
      <x:c r="V900" s="20" t="n">
        <x:f>T900-U900</x:f>
        <x:v>2471.3324999999995</x:v>
      </x:c>
      <x:c r="W900" s="20" t="n">
        <x:f>R900+V900</x:f>
        <x:v>34776.3325</x:v>
      </x:c>
      <x:c r="X900" s="14" t="str">
        <x:f>IF(ABS(W900-SUM(M900:Q900)-V900)&lt;0.01,"OK","Check")</x:f>
        <x:v>OK</x:v>
      </x:c>
    </x:row>
    <x:row r="901">
      <x:c r="A901" s="14" t="n">
        <x:v>2028</x:v>
      </x:c>
      <x:c r="B901" s="14" t="str">
        <x:v>Q4</x:v>
      </x:c>
      <x:c r="C901" s="14" t="n">
        <x:v>4</x:v>
      </x:c>
      <x:c r="D901" s="14" t="n">
        <x:v>18</x:v>
      </x:c>
      <x:c r="E901" s="14" t="str">
        <x:f>INDEX(Roster!$B$6:$B$108,MATCH(D901,Roster!$A$6:$A$108,0))</x:f>
      </x:c>
      <x:c r="F901" s="14" t="str">
        <x:f>INDEX(Roster!$F$6:$F$108,MATCH(D901,Roster!$A$6:$A$108,0))</x:f>
        <x:v>No</x:v>
      </x:c>
      <x:c r="G901" s="14" t="n">
        <x:f>INDEX(Inputs!$B$7:$D$7,1,MATCH(A901,Inputs!$B$6:$D$6,0))</x:f>
        <x:v>13</x:v>
      </x:c>
      <x:c r="H901" s="14" t="n">
        <x:f>MIN(=INDEX(Inputs!$B$7:$D$7,1,MATCH(A901,Inputs!$B$6:$D$6,0)),MAX(0,INDEX(Inputs!$B$14:$D$14,1,MATCH(A901,Inputs!$B$6:$D$6,0))-(C901-1)*=INDEX(Inputs!$B$7:$D$7,1,MATCH(A901,Inputs!$B$6:$D$6,0))))</x:f>
        <x:v>0</x:v>
      </x:c>
      <x:c r="I901" s="20" t="n">
        <x:f>INDEX(Inputs!$B$8:$D$8,1,MATCH(A901,Inputs!$B$6:$D$6,0))</x:f>
        <x:v>2395</x:v>
      </x:c>
      <x:c r="J901" s="20" t="n">
        <x:f>INDEX(Roster!$C$6:$C$108,MATCH(D901,Roster!$A$6:$A$108,0))*(1+INDEX(Inputs!$B$9:$D$9,1,MATCH(A901,Inputs!$B$6:$D$6,0)))</x:f>
        <x:v>0</x:v>
      </x:c>
      <x:c r="K901" s="20" t="n">
        <x:f>IF(=INDEX(Roster!$F$6:$F$108,MATCH(D901,Roster!$A$6:$A$108,0))="Yes",0,=INDEX(Inputs!$B$8:$D$8,1,MATCH(A901,Inputs!$B$6:$D$6,0))*IF(=INDEX(Roster!$B$6:$B$108,MATCH(D901,Roster!$A$6:$A$108,0))="Principal",INDEX(Inputs!$B$10:$D$10,1,MATCH(A901,Inputs!$B$6:$D$6,0)),IF(=INDEX(Roster!$B$6:$B$108,MATCH(D901,Roster!$A$6:$A$108,0))="Associate Principal",INDEX(Inputs!$B$11:$D$11,1,MATCH(A901,Inputs!$B$6:$D$6,0)),IF(=INDEX(Roster!$B$6:$B$108,MATCH(D901,Roster!$A$6:$A$108,0))="Assistant Principal",INDEX(Inputs!$B$12:$D$12,1,MATCH(A901,Inputs!$B$6:$D$6,0)),0))))</x:f>
        <x:v>0</x:v>
      </x:c>
      <x:c r="L901" s="20" t="n">
        <x:f>IF(INDEX(Roster!$D$6:$D$108,MATCH(D901,Roster!$A$6:$A$108,0))&gt;=25,INDEX(Inputs!$B$19:$D$19,1,MATCH(A901,Inputs!$B$6:$D$6,0)),IF(INDEX(Roster!$D$6:$D$108,MATCH(D901,Roster!$A$6:$A$108,0))&gt;=20,INDEX(Inputs!$B$18:$D$18,1,MATCH(A901,Inputs!$B$6:$D$6,0)),IF(INDEX(Roster!$D$6:$D$108,MATCH(D901,Roster!$A$6:$A$108,0))&gt;=15,INDEX(Inputs!$B$17:$D$17,1,MATCH(A901,Inputs!$B$6:$D$6,0)),IF(INDEX(Roster!$D$6:$D$108,MATCH(D901,Roster!$A$6:$A$108,0))&gt;=10,INDEX(Inputs!$B$16:$D$16,1,MATCH(A901,Inputs!$B$6:$D$6,0)),IF(INDEX(Roster!$D$6:$D$108,MATCH(D901,Roster!$A$6:$A$108,0))&gt;=5,INDEX(Inputs!$B$15:$D$15,1,MATCH(A901,Inputs!$B$6:$D$6,0)),0)))))</x:f>
        <x:v>60</x:v>
      </x:c>
      <x:c r="M901" s="20" t="n">
        <x:f>G901*I901</x:f>
        <x:v>31135</x:v>
      </x:c>
      <x:c r="N901" s="20" t="n">
        <x:f>G901*J901</x:f>
        <x:v>0</x:v>
      </x:c>
      <x:c r="O901" s="20" t="n">
        <x:f>G901*K901</x:f>
        <x:v>0</x:v>
      </x:c>
      <x:c r="P901" s="20" t="n">
        <x:f>G901*L901</x:f>
        <x:v>780</x:v>
      </x:c>
      <x:c r="Q901" s="20" t="n">
        <x:f>H901*INDEX(Inputs!$B$13:$D$13,1,MATCH(A901,Inputs!$B$6:$D$6,0))</x:f>
        <x:v>0</x:v>
      </x:c>
      <x:c r="R901" s="20" t="n">
        <x:f>SUM(M901:Q901)</x:f>
        <x:v>31915</x:v>
      </x:c>
      <x:c r="S901" s="20" t="n">
        <x:f>IF(AND(A900=A901,D900=D901),S900+R901,R901)</x:f>
        <x:v>128830</x:v>
      </x:c>
      <x:c r="T901" s="20" t="n">
        <x:f>MIN(S901,INDEX(Inputs!$B$20:$D$20,1,MATCH(A901,Inputs!$B$6:$D$6,0)))*INDEX(Inputs!$B$22:$D$22,1,MATCH(A901,Inputs!$B$6:$D$6,0))+MAX(MIN(S901,INDEX(Inputs!$B$21:$D$21,1,MATCH(A901,Inputs!$B$6:$D$6,0)))-INDEX(Inputs!$B$20:$D$20,1,MATCH(A901,Inputs!$B$6:$D$6,0)),0)*INDEX(Inputs!$B$23:$D$23,1,MATCH(A901,Inputs!$B$6:$D$6,0))+MAX(S901-INDEX(Inputs!$B$21:$D$21,1,MATCH(A901,Inputs!$B$6:$D$6,0)),0)*INDEX(Inputs!$B$24:$D$24,1,MATCH(A901,Inputs!$B$6:$D$6,0))</x:f>
        <x:v>9781.976999999999</x:v>
      </x:c>
      <x:c r="U901" s="20" t="n">
        <x:f>IF(AND(A900=A901,D900=D901),T900,0)</x:f>
        <x:v>7903.9974999999995</x:v>
      </x:c>
      <x:c r="V901" s="20" t="n">
        <x:f>T901-U901</x:f>
        <x:v>1877.9794999999995</x:v>
      </x:c>
      <x:c r="W901" s="20" t="n">
        <x:f>R901+V901</x:f>
        <x:v>33792.9795</x:v>
      </x:c>
      <x:c r="X901" s="14" t="str">
        <x:f>IF(ABS(W901-SUM(M901:Q901)-V901)&lt;0.01,"OK","Check")</x:f>
        <x:v>OK</x:v>
      </x:c>
    </x:row>
    <x:row r="902">
      <x:c r="A902" s="14" t="n">
        <x:v>2028</x:v>
      </x:c>
      <x:c r="B902" s="14" t="str">
        <x:v>Q1</x:v>
      </x:c>
      <x:c r="C902" s="14" t="n">
        <x:v>1</x:v>
      </x:c>
      <x:c r="D902" s="14" t="n">
        <x:v>19</x:v>
      </x:c>
      <x:c r="E902" s="14" t="str">
        <x:f>INDEX(Roster!$B$6:$B$108,MATCH(D902,Roster!$A$6:$A$108,0))</x:f>
      </x:c>
      <x:c r="F902" s="14" t="str">
        <x:f>INDEX(Roster!$F$6:$F$108,MATCH(D902,Roster!$A$6:$A$108,0))</x:f>
        <x:v>No</x:v>
      </x:c>
      <x:c r="G902" s="14" t="n">
        <x:f>INDEX(Inputs!$B$7:$D$7,1,MATCH(A902,Inputs!$B$6:$D$6,0))</x:f>
        <x:v>13</x:v>
      </x:c>
      <x:c r="H902" s="14" t="n">
        <x:f>MIN(=INDEX(Inputs!$B$7:$D$7,1,MATCH(A902,Inputs!$B$6:$D$6,0)),MAX(0,INDEX(Inputs!$B$14:$D$14,1,MATCH(A902,Inputs!$B$6:$D$6,0))-(C902-1)*=INDEX(Inputs!$B$7:$D$7,1,MATCH(A902,Inputs!$B$6:$D$6,0))))</x:f>
        <x:v>13</x:v>
      </x:c>
      <x:c r="I902" s="20" t="n">
        <x:f>INDEX(Inputs!$B$8:$D$8,1,MATCH(A902,Inputs!$B$6:$D$6,0))</x:f>
        <x:v>2395</x:v>
      </x:c>
      <x:c r="J902" s="20" t="n">
        <x:f>INDEX(Roster!$C$6:$C$108,MATCH(D902,Roster!$A$6:$A$108,0))*(1+INDEX(Inputs!$B$9:$D$9,1,MATCH(A902,Inputs!$B$6:$D$6,0)))</x:f>
        <x:v>60</x:v>
      </x:c>
      <x:c r="K902" s="20" t="n">
        <x:f>IF(=INDEX(Roster!$F$6:$F$108,MATCH(D902,Roster!$A$6:$A$108,0))="Yes",0,=INDEX(Inputs!$B$8:$D$8,1,MATCH(A902,Inputs!$B$6:$D$6,0))*IF(=INDEX(Roster!$B$6:$B$108,MATCH(D902,Roster!$A$6:$A$108,0))="Principal",INDEX(Inputs!$B$10:$D$10,1,MATCH(A902,Inputs!$B$6:$D$6,0)),IF(=INDEX(Roster!$B$6:$B$108,MATCH(D902,Roster!$A$6:$A$108,0))="Associate Principal",INDEX(Inputs!$B$11:$D$11,1,MATCH(A902,Inputs!$B$6:$D$6,0)),IF(=INDEX(Roster!$B$6:$B$108,MATCH(D902,Roster!$A$6:$A$108,0))="Assistant Principal",INDEX(Inputs!$B$12:$D$12,1,MATCH(A902,Inputs!$B$6:$D$6,0)),0))))</x:f>
        <x:v>0</x:v>
      </x:c>
      <x:c r="L902" s="20" t="n">
        <x:f>IF(INDEX(Roster!$D$6:$D$108,MATCH(D902,Roster!$A$6:$A$108,0))&gt;=25,INDEX(Inputs!$B$19:$D$19,1,MATCH(A902,Inputs!$B$6:$D$6,0)),IF(INDEX(Roster!$D$6:$D$108,MATCH(D902,Roster!$A$6:$A$108,0))&gt;=20,INDEX(Inputs!$B$18:$D$18,1,MATCH(A902,Inputs!$B$6:$D$6,0)),IF(INDEX(Roster!$D$6:$D$108,MATCH(D902,Roster!$A$6:$A$108,0))&gt;=15,INDEX(Inputs!$B$17:$D$17,1,MATCH(A902,Inputs!$B$6:$D$6,0)),IF(INDEX(Roster!$D$6:$D$108,MATCH(D902,Roster!$A$6:$A$108,0))&gt;=10,INDEX(Inputs!$B$16:$D$16,1,MATCH(A902,Inputs!$B$6:$D$6,0)),IF(INDEX(Roster!$D$6:$D$108,MATCH(D902,Roster!$A$6:$A$108,0))&gt;=5,INDEX(Inputs!$B$15:$D$15,1,MATCH(A902,Inputs!$B$6:$D$6,0)),0)))))</x:f>
        <x:v>0</x:v>
      </x:c>
      <x:c r="M902" s="20" t="n">
        <x:f>G902*I902</x:f>
        <x:v>31135</x:v>
      </x:c>
      <x:c r="N902" s="20" t="n">
        <x:f>G902*J902</x:f>
        <x:v>780</x:v>
      </x:c>
      <x:c r="O902" s="20" t="n">
        <x:f>G902*K902</x:f>
        <x:v>0</x:v>
      </x:c>
      <x:c r="P902" s="20" t="n">
        <x:f>G902*L902</x:f>
        <x:v>0</x:v>
      </x:c>
      <x:c r="Q902" s="20" t="n">
        <x:f>H902*INDEX(Inputs!$B$13:$D$13,1,MATCH(A902,Inputs!$B$6:$D$6,0))</x:f>
        <x:v>390</x:v>
      </x:c>
      <x:c r="R902" s="20" t="n">
        <x:f>SUM(M902:Q902)</x:f>
        <x:v>32305</x:v>
      </x:c>
      <x:c r="S902" s="20" t="n">
        <x:f>IF(AND(A901=A902,D901=D902),S901+R902,R902)</x:f>
        <x:v>32305</x:v>
      </x:c>
      <x:c r="T902" s="20" t="n">
        <x:f>MIN(S902,INDEX(Inputs!$B$20:$D$20,1,MATCH(A902,Inputs!$B$6:$D$6,0)))*INDEX(Inputs!$B$22:$D$22,1,MATCH(A902,Inputs!$B$6:$D$6,0))+MAX(MIN(S902,INDEX(Inputs!$B$21:$D$21,1,MATCH(A902,Inputs!$B$6:$D$6,0)))-INDEX(Inputs!$B$20:$D$20,1,MATCH(A902,Inputs!$B$6:$D$6,0)),0)*INDEX(Inputs!$B$23:$D$23,1,MATCH(A902,Inputs!$B$6:$D$6,0))+MAX(S902-INDEX(Inputs!$B$21:$D$21,1,MATCH(A902,Inputs!$B$6:$D$6,0)),0)*INDEX(Inputs!$B$24:$D$24,1,MATCH(A902,Inputs!$B$6:$D$6,0))</x:f>
        <x:v>2961.3325</x:v>
      </x:c>
      <x:c r="U902" s="20" t="n">
        <x:f>IF(AND(A901=A902,D901=D902),T901,0)</x:f>
        <x:v>0</x:v>
      </x:c>
      <x:c r="V902" s="20" t="n">
        <x:f>T902-U902</x:f>
        <x:v>2961.3325</x:v>
      </x:c>
      <x:c r="W902" s="20" t="n">
        <x:f>R902+V902</x:f>
        <x:v>35266.3325</x:v>
      </x:c>
      <x:c r="X902" s="14" t="str">
        <x:f>IF(ABS(W902-SUM(M902:Q902)-V902)&lt;0.01,"OK","Check")</x:f>
        <x:v>OK</x:v>
      </x:c>
    </x:row>
    <x:row r="903">
      <x:c r="A903" s="14" t="n">
        <x:v>2028</x:v>
      </x:c>
      <x:c r="B903" s="14" t="str">
        <x:v>Q2</x:v>
      </x:c>
      <x:c r="C903" s="14" t="n">
        <x:v>2</x:v>
      </x:c>
      <x:c r="D903" s="14" t="n">
        <x:v>19</x:v>
      </x:c>
      <x:c r="E903" s="14" t="str">
        <x:f>INDEX(Roster!$B$6:$B$108,MATCH(D903,Roster!$A$6:$A$108,0))</x:f>
      </x:c>
      <x:c r="F903" s="14" t="str">
        <x:f>INDEX(Roster!$F$6:$F$108,MATCH(D903,Roster!$A$6:$A$108,0))</x:f>
        <x:v>No</x:v>
      </x:c>
      <x:c r="G903" s="14" t="n">
        <x:f>INDEX(Inputs!$B$7:$D$7,1,MATCH(A903,Inputs!$B$6:$D$6,0))</x:f>
        <x:v>13</x:v>
      </x:c>
      <x:c r="H903" s="14" t="n">
        <x:f>MIN(=INDEX(Inputs!$B$7:$D$7,1,MATCH(A903,Inputs!$B$6:$D$6,0)),MAX(0,INDEX(Inputs!$B$14:$D$14,1,MATCH(A903,Inputs!$B$6:$D$6,0))-(C903-1)*=INDEX(Inputs!$B$7:$D$7,1,MATCH(A903,Inputs!$B$6:$D$6,0))))</x:f>
        <x:v>13</x:v>
      </x:c>
      <x:c r="I903" s="20" t="n">
        <x:f>INDEX(Inputs!$B$8:$D$8,1,MATCH(A903,Inputs!$B$6:$D$6,0))</x:f>
        <x:v>2395</x:v>
      </x:c>
      <x:c r="J903" s="20" t="n">
        <x:f>INDEX(Roster!$C$6:$C$108,MATCH(D903,Roster!$A$6:$A$108,0))*(1+INDEX(Inputs!$B$9:$D$9,1,MATCH(A903,Inputs!$B$6:$D$6,0)))</x:f>
        <x:v>60</x:v>
      </x:c>
      <x:c r="K903" s="20" t="n">
        <x:f>IF(=INDEX(Roster!$F$6:$F$108,MATCH(D903,Roster!$A$6:$A$108,0))="Yes",0,=INDEX(Inputs!$B$8:$D$8,1,MATCH(A903,Inputs!$B$6:$D$6,0))*IF(=INDEX(Roster!$B$6:$B$108,MATCH(D903,Roster!$A$6:$A$108,0))="Principal",INDEX(Inputs!$B$10:$D$10,1,MATCH(A903,Inputs!$B$6:$D$6,0)),IF(=INDEX(Roster!$B$6:$B$108,MATCH(D903,Roster!$A$6:$A$108,0))="Associate Principal",INDEX(Inputs!$B$11:$D$11,1,MATCH(A903,Inputs!$B$6:$D$6,0)),IF(=INDEX(Roster!$B$6:$B$108,MATCH(D903,Roster!$A$6:$A$108,0))="Assistant Principal",INDEX(Inputs!$B$12:$D$12,1,MATCH(A903,Inputs!$B$6:$D$6,0)),0))))</x:f>
        <x:v>0</x:v>
      </x:c>
      <x:c r="L903" s="20" t="n">
        <x:f>IF(INDEX(Roster!$D$6:$D$108,MATCH(D903,Roster!$A$6:$A$108,0))&gt;=25,INDEX(Inputs!$B$19:$D$19,1,MATCH(A903,Inputs!$B$6:$D$6,0)),IF(INDEX(Roster!$D$6:$D$108,MATCH(D903,Roster!$A$6:$A$108,0))&gt;=20,INDEX(Inputs!$B$18:$D$18,1,MATCH(A903,Inputs!$B$6:$D$6,0)),IF(INDEX(Roster!$D$6:$D$108,MATCH(D903,Roster!$A$6:$A$108,0))&gt;=15,INDEX(Inputs!$B$17:$D$17,1,MATCH(A903,Inputs!$B$6:$D$6,0)),IF(INDEX(Roster!$D$6:$D$108,MATCH(D903,Roster!$A$6:$A$108,0))&gt;=10,INDEX(Inputs!$B$16:$D$16,1,MATCH(A903,Inputs!$B$6:$D$6,0)),IF(INDEX(Roster!$D$6:$D$108,MATCH(D903,Roster!$A$6:$A$108,0))&gt;=5,INDEX(Inputs!$B$15:$D$15,1,MATCH(A903,Inputs!$B$6:$D$6,0)),0)))))</x:f>
        <x:v>0</x:v>
      </x:c>
      <x:c r="M903" s="20" t="n">
        <x:f>G903*I903</x:f>
        <x:v>31135</x:v>
      </x:c>
      <x:c r="N903" s="20" t="n">
        <x:f>G903*J903</x:f>
        <x:v>780</x:v>
      </x:c>
      <x:c r="O903" s="20" t="n">
        <x:f>G903*K903</x:f>
        <x:v>0</x:v>
      </x:c>
      <x:c r="P903" s="20" t="n">
        <x:f>G903*L903</x:f>
        <x:v>0</x:v>
      </x:c>
      <x:c r="Q903" s="20" t="n">
        <x:f>H903*INDEX(Inputs!$B$13:$D$13,1,MATCH(A903,Inputs!$B$6:$D$6,0))</x:f>
        <x:v>390</x:v>
      </x:c>
      <x:c r="R903" s="20" t="n">
        <x:f>SUM(M903:Q903)</x:f>
        <x:v>32305</x:v>
      </x:c>
      <x:c r="S903" s="20" t="n">
        <x:f>IF(AND(A902=A903,D902=D903),S902+R903,R903)</x:f>
        <x:v>64610</x:v>
      </x:c>
      <x:c r="T903" s="20" t="n">
        <x:f>MIN(S903,INDEX(Inputs!$B$20:$D$20,1,MATCH(A903,Inputs!$B$6:$D$6,0)))*INDEX(Inputs!$B$22:$D$22,1,MATCH(A903,Inputs!$B$6:$D$6,0))+MAX(MIN(S903,INDEX(Inputs!$B$21:$D$21,1,MATCH(A903,Inputs!$B$6:$D$6,0)))-INDEX(Inputs!$B$20:$D$20,1,MATCH(A903,Inputs!$B$6:$D$6,0)),0)*INDEX(Inputs!$B$23:$D$23,1,MATCH(A903,Inputs!$B$6:$D$6,0))+MAX(S903-INDEX(Inputs!$B$21:$D$21,1,MATCH(A903,Inputs!$B$6:$D$6,0)),0)*INDEX(Inputs!$B$24:$D$24,1,MATCH(A903,Inputs!$B$6:$D$6,0))</x:f>
        <x:v>5432.665</x:v>
      </x:c>
      <x:c r="U903" s="20" t="n">
        <x:f>IF(AND(A902=A903,D902=D903),T902,0)</x:f>
        <x:v>2961.3325</x:v>
      </x:c>
      <x:c r="V903" s="20" t="n">
        <x:f>T903-U903</x:f>
        <x:v>2471.3325</x:v>
      </x:c>
      <x:c r="W903" s="20" t="n">
        <x:f>R903+V903</x:f>
        <x:v>34776.3325</x:v>
      </x:c>
      <x:c r="X903" s="14" t="str">
        <x:f>IF(ABS(W903-SUM(M903:Q903)-V903)&lt;0.01,"OK","Check")</x:f>
        <x:v>OK</x:v>
      </x:c>
    </x:row>
    <x:row r="904">
      <x:c r="A904" s="14" t="n">
        <x:v>2028</x:v>
      </x:c>
      <x:c r="B904" s="14" t="str">
        <x:v>Q3</x:v>
      </x:c>
      <x:c r="C904" s="14" t="n">
        <x:v>3</x:v>
      </x:c>
      <x:c r="D904" s="14" t="n">
        <x:v>19</x:v>
      </x:c>
      <x:c r="E904" s="14" t="str">
        <x:f>INDEX(Roster!$B$6:$B$108,MATCH(D904,Roster!$A$6:$A$108,0))</x:f>
      </x:c>
      <x:c r="F904" s="14" t="str">
        <x:f>INDEX(Roster!$F$6:$F$108,MATCH(D904,Roster!$A$6:$A$108,0))</x:f>
        <x:v>No</x:v>
      </x:c>
      <x:c r="G904" s="14" t="n">
        <x:f>INDEX(Inputs!$B$7:$D$7,1,MATCH(A904,Inputs!$B$6:$D$6,0))</x:f>
        <x:v>13</x:v>
      </x:c>
      <x:c r="H904" s="14" t="n">
        <x:f>MIN(=INDEX(Inputs!$B$7:$D$7,1,MATCH(A904,Inputs!$B$6:$D$6,0)),MAX(0,INDEX(Inputs!$B$14:$D$14,1,MATCH(A904,Inputs!$B$6:$D$6,0))-(C904-1)*=INDEX(Inputs!$B$7:$D$7,1,MATCH(A904,Inputs!$B$6:$D$6,0))))</x:f>
        <x:v>13</x:v>
      </x:c>
      <x:c r="I904" s="20" t="n">
        <x:f>INDEX(Inputs!$B$8:$D$8,1,MATCH(A904,Inputs!$B$6:$D$6,0))</x:f>
        <x:v>2395</x:v>
      </x:c>
      <x:c r="J904" s="20" t="n">
        <x:f>INDEX(Roster!$C$6:$C$108,MATCH(D904,Roster!$A$6:$A$108,0))*(1+INDEX(Inputs!$B$9:$D$9,1,MATCH(A904,Inputs!$B$6:$D$6,0)))</x:f>
        <x:v>60</x:v>
      </x:c>
      <x:c r="K904" s="20" t="n">
        <x:f>IF(=INDEX(Roster!$F$6:$F$108,MATCH(D904,Roster!$A$6:$A$108,0))="Yes",0,=INDEX(Inputs!$B$8:$D$8,1,MATCH(A904,Inputs!$B$6:$D$6,0))*IF(=INDEX(Roster!$B$6:$B$108,MATCH(D904,Roster!$A$6:$A$108,0))="Principal",INDEX(Inputs!$B$10:$D$10,1,MATCH(A904,Inputs!$B$6:$D$6,0)),IF(=INDEX(Roster!$B$6:$B$108,MATCH(D904,Roster!$A$6:$A$108,0))="Associate Principal",INDEX(Inputs!$B$11:$D$11,1,MATCH(A904,Inputs!$B$6:$D$6,0)),IF(=INDEX(Roster!$B$6:$B$108,MATCH(D904,Roster!$A$6:$A$108,0))="Assistant Principal",INDEX(Inputs!$B$12:$D$12,1,MATCH(A904,Inputs!$B$6:$D$6,0)),0))))</x:f>
        <x:v>0</x:v>
      </x:c>
      <x:c r="L904" s="20" t="n">
        <x:f>IF(INDEX(Roster!$D$6:$D$108,MATCH(D904,Roster!$A$6:$A$108,0))&gt;=25,INDEX(Inputs!$B$19:$D$19,1,MATCH(A904,Inputs!$B$6:$D$6,0)),IF(INDEX(Roster!$D$6:$D$108,MATCH(D904,Roster!$A$6:$A$108,0))&gt;=20,INDEX(Inputs!$B$18:$D$18,1,MATCH(A904,Inputs!$B$6:$D$6,0)),IF(INDEX(Roster!$D$6:$D$108,MATCH(D904,Roster!$A$6:$A$108,0))&gt;=15,INDEX(Inputs!$B$17:$D$17,1,MATCH(A904,Inputs!$B$6:$D$6,0)),IF(INDEX(Roster!$D$6:$D$108,MATCH(D904,Roster!$A$6:$A$108,0))&gt;=10,INDEX(Inputs!$B$16:$D$16,1,MATCH(A904,Inputs!$B$6:$D$6,0)),IF(INDEX(Roster!$D$6:$D$108,MATCH(D904,Roster!$A$6:$A$108,0))&gt;=5,INDEX(Inputs!$B$15:$D$15,1,MATCH(A904,Inputs!$B$6:$D$6,0)),0)))))</x:f>
        <x:v>0</x:v>
      </x:c>
      <x:c r="M904" s="20" t="n">
        <x:f>G904*I904</x:f>
        <x:v>31135</x:v>
      </x:c>
      <x:c r="N904" s="20" t="n">
        <x:f>G904*J904</x:f>
        <x:v>780</x:v>
      </x:c>
      <x:c r="O904" s="20" t="n">
        <x:f>G904*K904</x:f>
        <x:v>0</x:v>
      </x:c>
      <x:c r="P904" s="20" t="n">
        <x:f>G904*L904</x:f>
        <x:v>0</x:v>
      </x:c>
      <x:c r="Q904" s="20" t="n">
        <x:f>H904*INDEX(Inputs!$B$13:$D$13,1,MATCH(A904,Inputs!$B$6:$D$6,0))</x:f>
        <x:v>390</x:v>
      </x:c>
      <x:c r="R904" s="20" t="n">
        <x:f>SUM(M904:Q904)</x:f>
        <x:v>32305</x:v>
      </x:c>
      <x:c r="S904" s="20" t="n">
        <x:f>IF(AND(A903=A904,D903=D904),S903+R904,R904)</x:f>
        <x:v>96915</x:v>
      </x:c>
      <x:c r="T904" s="20" t="n">
        <x:f>MIN(S904,INDEX(Inputs!$B$20:$D$20,1,MATCH(A904,Inputs!$B$6:$D$6,0)))*INDEX(Inputs!$B$22:$D$22,1,MATCH(A904,Inputs!$B$6:$D$6,0))+MAX(MIN(S904,INDEX(Inputs!$B$21:$D$21,1,MATCH(A904,Inputs!$B$6:$D$6,0)))-INDEX(Inputs!$B$20:$D$20,1,MATCH(A904,Inputs!$B$6:$D$6,0)),0)*INDEX(Inputs!$B$23:$D$23,1,MATCH(A904,Inputs!$B$6:$D$6,0))+MAX(S904-INDEX(Inputs!$B$21:$D$21,1,MATCH(A904,Inputs!$B$6:$D$6,0)),0)*INDEX(Inputs!$B$24:$D$24,1,MATCH(A904,Inputs!$B$6:$D$6,0))</x:f>
        <x:v>7903.9974999999995</x:v>
      </x:c>
      <x:c r="U904" s="20" t="n">
        <x:f>IF(AND(A903=A904,D903=D904),T903,0)</x:f>
        <x:v>5432.665</x:v>
      </x:c>
      <x:c r="V904" s="20" t="n">
        <x:f>T904-U904</x:f>
        <x:v>2471.3324999999995</x:v>
      </x:c>
      <x:c r="W904" s="20" t="n">
        <x:f>R904+V904</x:f>
        <x:v>34776.3325</x:v>
      </x:c>
      <x:c r="X904" s="14" t="str">
        <x:f>IF(ABS(W904-SUM(M904:Q904)-V904)&lt;0.01,"OK","Check")</x:f>
        <x:v>OK</x:v>
      </x:c>
    </x:row>
    <x:row r="905">
      <x:c r="A905" s="14" t="n">
        <x:v>2028</x:v>
      </x:c>
      <x:c r="B905" s="14" t="str">
        <x:v>Q4</x:v>
      </x:c>
      <x:c r="C905" s="14" t="n">
        <x:v>4</x:v>
      </x:c>
      <x:c r="D905" s="14" t="n">
        <x:v>19</x:v>
      </x:c>
      <x:c r="E905" s="14" t="str">
        <x:f>INDEX(Roster!$B$6:$B$108,MATCH(D905,Roster!$A$6:$A$108,0))</x:f>
      </x:c>
      <x:c r="F905" s="14" t="str">
        <x:f>INDEX(Roster!$F$6:$F$108,MATCH(D905,Roster!$A$6:$A$108,0))</x:f>
        <x:v>No</x:v>
      </x:c>
      <x:c r="G905" s="14" t="n">
        <x:f>INDEX(Inputs!$B$7:$D$7,1,MATCH(A905,Inputs!$B$6:$D$6,0))</x:f>
        <x:v>13</x:v>
      </x:c>
      <x:c r="H905" s="14" t="n">
        <x:f>MIN(=INDEX(Inputs!$B$7:$D$7,1,MATCH(A905,Inputs!$B$6:$D$6,0)),MAX(0,INDEX(Inputs!$B$14:$D$14,1,MATCH(A905,Inputs!$B$6:$D$6,0))-(C905-1)*=INDEX(Inputs!$B$7:$D$7,1,MATCH(A905,Inputs!$B$6:$D$6,0))))</x:f>
        <x:v>0</x:v>
      </x:c>
      <x:c r="I905" s="20" t="n">
        <x:f>INDEX(Inputs!$B$8:$D$8,1,MATCH(A905,Inputs!$B$6:$D$6,0))</x:f>
        <x:v>2395</x:v>
      </x:c>
      <x:c r="J905" s="20" t="n">
        <x:f>INDEX(Roster!$C$6:$C$108,MATCH(D905,Roster!$A$6:$A$108,0))*(1+INDEX(Inputs!$B$9:$D$9,1,MATCH(A905,Inputs!$B$6:$D$6,0)))</x:f>
        <x:v>60</x:v>
      </x:c>
      <x:c r="K905" s="20" t="n">
        <x:f>IF(=INDEX(Roster!$F$6:$F$108,MATCH(D905,Roster!$A$6:$A$108,0))="Yes",0,=INDEX(Inputs!$B$8:$D$8,1,MATCH(A905,Inputs!$B$6:$D$6,0))*IF(=INDEX(Roster!$B$6:$B$108,MATCH(D905,Roster!$A$6:$A$108,0))="Principal",INDEX(Inputs!$B$10:$D$10,1,MATCH(A905,Inputs!$B$6:$D$6,0)),IF(=INDEX(Roster!$B$6:$B$108,MATCH(D905,Roster!$A$6:$A$108,0))="Associate Principal",INDEX(Inputs!$B$11:$D$11,1,MATCH(A905,Inputs!$B$6:$D$6,0)),IF(=INDEX(Roster!$B$6:$B$108,MATCH(D905,Roster!$A$6:$A$108,0))="Assistant Principal",INDEX(Inputs!$B$12:$D$12,1,MATCH(A905,Inputs!$B$6:$D$6,0)),0))))</x:f>
        <x:v>0</x:v>
      </x:c>
      <x:c r="L905" s="20" t="n">
        <x:f>IF(INDEX(Roster!$D$6:$D$108,MATCH(D905,Roster!$A$6:$A$108,0))&gt;=25,INDEX(Inputs!$B$19:$D$19,1,MATCH(A905,Inputs!$B$6:$D$6,0)),IF(INDEX(Roster!$D$6:$D$108,MATCH(D905,Roster!$A$6:$A$108,0))&gt;=20,INDEX(Inputs!$B$18:$D$18,1,MATCH(A905,Inputs!$B$6:$D$6,0)),IF(INDEX(Roster!$D$6:$D$108,MATCH(D905,Roster!$A$6:$A$108,0))&gt;=15,INDEX(Inputs!$B$17:$D$17,1,MATCH(A905,Inputs!$B$6:$D$6,0)),IF(INDEX(Roster!$D$6:$D$108,MATCH(D905,Roster!$A$6:$A$108,0))&gt;=10,INDEX(Inputs!$B$16:$D$16,1,MATCH(A905,Inputs!$B$6:$D$6,0)),IF(INDEX(Roster!$D$6:$D$108,MATCH(D905,Roster!$A$6:$A$108,0))&gt;=5,INDEX(Inputs!$B$15:$D$15,1,MATCH(A905,Inputs!$B$6:$D$6,0)),0)))))</x:f>
        <x:v>0</x:v>
      </x:c>
      <x:c r="M905" s="20" t="n">
        <x:f>G905*I905</x:f>
        <x:v>31135</x:v>
      </x:c>
      <x:c r="N905" s="20" t="n">
        <x:f>G905*J905</x:f>
        <x:v>780</x:v>
      </x:c>
      <x:c r="O905" s="20" t="n">
        <x:f>G905*K905</x:f>
        <x:v>0</x:v>
      </x:c>
      <x:c r="P905" s="20" t="n">
        <x:f>G905*L905</x:f>
        <x:v>0</x:v>
      </x:c>
      <x:c r="Q905" s="20" t="n">
        <x:f>H905*INDEX(Inputs!$B$13:$D$13,1,MATCH(A905,Inputs!$B$6:$D$6,0))</x:f>
        <x:v>0</x:v>
      </x:c>
      <x:c r="R905" s="20" t="n">
        <x:f>SUM(M905:Q905)</x:f>
        <x:v>31915</x:v>
      </x:c>
      <x:c r="S905" s="20" t="n">
        <x:f>IF(AND(A904=A905,D904=D905),S904+R905,R905)</x:f>
        <x:v>128830</x:v>
      </x:c>
      <x:c r="T905" s="20" t="n">
        <x:f>MIN(S905,INDEX(Inputs!$B$20:$D$20,1,MATCH(A905,Inputs!$B$6:$D$6,0)))*INDEX(Inputs!$B$22:$D$22,1,MATCH(A905,Inputs!$B$6:$D$6,0))+MAX(MIN(S905,INDEX(Inputs!$B$21:$D$21,1,MATCH(A905,Inputs!$B$6:$D$6,0)))-INDEX(Inputs!$B$20:$D$20,1,MATCH(A905,Inputs!$B$6:$D$6,0)),0)*INDEX(Inputs!$B$23:$D$23,1,MATCH(A905,Inputs!$B$6:$D$6,0))+MAX(S905-INDEX(Inputs!$B$21:$D$21,1,MATCH(A905,Inputs!$B$6:$D$6,0)),0)*INDEX(Inputs!$B$24:$D$24,1,MATCH(A905,Inputs!$B$6:$D$6,0))</x:f>
        <x:v>9781.976999999999</x:v>
      </x:c>
      <x:c r="U905" s="20" t="n">
        <x:f>IF(AND(A904=A905,D904=D905),T904,0)</x:f>
        <x:v>7903.9974999999995</x:v>
      </x:c>
      <x:c r="V905" s="20" t="n">
        <x:f>T905-U905</x:f>
        <x:v>1877.9794999999995</x:v>
      </x:c>
      <x:c r="W905" s="20" t="n">
        <x:f>R905+V905</x:f>
        <x:v>33792.9795</x:v>
      </x:c>
      <x:c r="X905" s="14" t="str">
        <x:f>IF(ABS(W905-SUM(M905:Q905)-V905)&lt;0.01,"OK","Check")</x:f>
        <x:v>OK</x:v>
      </x:c>
    </x:row>
    <x:row r="906">
      <x:c r="A906" s="14" t="n">
        <x:v>2028</x:v>
      </x:c>
      <x:c r="B906" s="14" t="str">
        <x:v>Q1</x:v>
      </x:c>
      <x:c r="C906" s="14" t="n">
        <x:v>1</x:v>
      </x:c>
      <x:c r="D906" s="14" t="n">
        <x:v>20</x:v>
      </x:c>
      <x:c r="E906" s="14" t="str">
        <x:f>INDEX(Roster!$B$6:$B$108,MATCH(D906,Roster!$A$6:$A$108,0))</x:f>
        <x:v>Associate Principal</x:v>
      </x:c>
      <x:c r="F906" s="14" t="str">
        <x:f>INDEX(Roster!$F$6:$F$108,MATCH(D906,Roster!$A$6:$A$108,0))</x:f>
        <x:v>Yes</x:v>
      </x:c>
      <x:c r="G906" s="14" t="n">
        <x:f>INDEX(Inputs!$B$7:$D$7,1,MATCH(A906,Inputs!$B$6:$D$6,0))</x:f>
        <x:v>13</x:v>
      </x:c>
      <x:c r="H906" s="14" t="n">
        <x:f>MIN(=INDEX(Inputs!$B$7:$D$7,1,MATCH(A906,Inputs!$B$6:$D$6,0)),MAX(0,INDEX(Inputs!$B$14:$D$14,1,MATCH(A906,Inputs!$B$6:$D$6,0))-(C906-1)*=INDEX(Inputs!$B$7:$D$7,1,MATCH(A906,Inputs!$B$6:$D$6,0))))</x:f>
        <x:v>13</x:v>
      </x:c>
      <x:c r="I906" s="20" t="n">
        <x:f>INDEX(Inputs!$B$8:$D$8,1,MATCH(A906,Inputs!$B$6:$D$6,0))</x:f>
        <x:v>2395</x:v>
      </x:c>
      <x:c r="J906" s="20" t="n">
        <x:f>INDEX(Roster!$C$6:$C$108,MATCH(D906,Roster!$A$6:$A$108,0))*(1+INDEX(Inputs!$B$9:$D$9,1,MATCH(A906,Inputs!$B$6:$D$6,0)))</x:f>
        <x:v>300</x:v>
      </x:c>
      <x:c r="K906" s="20" t="n">
        <x:f>IF(=INDEX(Roster!$F$6:$F$108,MATCH(D906,Roster!$A$6:$A$108,0))="Yes",0,=INDEX(Inputs!$B$8:$D$8,1,MATCH(A906,Inputs!$B$6:$D$6,0))*IF(=INDEX(Roster!$B$6:$B$108,MATCH(D906,Roster!$A$6:$A$108,0))="Principal",INDEX(Inputs!$B$10:$D$10,1,MATCH(A906,Inputs!$B$6:$D$6,0)),IF(=INDEX(Roster!$B$6:$B$108,MATCH(D906,Roster!$A$6:$A$108,0))="Associate Principal",INDEX(Inputs!$B$11:$D$11,1,MATCH(A906,Inputs!$B$6:$D$6,0)),IF(=INDEX(Roster!$B$6:$B$108,MATCH(D906,Roster!$A$6:$A$108,0))="Assistant Principal",INDEX(Inputs!$B$12:$D$12,1,MATCH(A906,Inputs!$B$6:$D$6,0)),0))))</x:f>
        <x:v>0</x:v>
      </x:c>
      <x:c r="L906" s="20" t="n">
        <x:f>IF(INDEX(Roster!$D$6:$D$108,MATCH(D906,Roster!$A$6:$A$108,0))&gt;=25,INDEX(Inputs!$B$19:$D$19,1,MATCH(A906,Inputs!$B$6:$D$6,0)),IF(INDEX(Roster!$D$6:$D$108,MATCH(D906,Roster!$A$6:$A$108,0))&gt;=20,INDEX(Inputs!$B$18:$D$18,1,MATCH(A906,Inputs!$B$6:$D$6,0)),IF(INDEX(Roster!$D$6:$D$108,MATCH(D906,Roster!$A$6:$A$108,0))&gt;=15,INDEX(Inputs!$B$17:$D$17,1,MATCH(A906,Inputs!$B$6:$D$6,0)),IF(INDEX(Roster!$D$6:$D$108,MATCH(D906,Roster!$A$6:$A$108,0))&gt;=10,INDEX(Inputs!$B$16:$D$16,1,MATCH(A906,Inputs!$B$6:$D$6,0)),IF(INDEX(Roster!$D$6:$D$108,MATCH(D906,Roster!$A$6:$A$108,0))&gt;=5,INDEX(Inputs!$B$15:$D$15,1,MATCH(A906,Inputs!$B$6:$D$6,0)),0)))))</x:f>
        <x:v>90</x:v>
      </x:c>
      <x:c r="M906" s="20" t="n">
        <x:f>G906*I906</x:f>
        <x:v>31135</x:v>
      </x:c>
      <x:c r="N906" s="20" t="n">
        <x:f>G906*J906</x:f>
        <x:v>3900</x:v>
      </x:c>
      <x:c r="O906" s="20" t="n">
        <x:f>G906*K906</x:f>
        <x:v>0</x:v>
      </x:c>
      <x:c r="P906" s="20" t="n">
        <x:f>G906*L906</x:f>
        <x:v>1170</x:v>
      </x:c>
      <x:c r="Q906" s="20" t="n">
        <x:f>H906*INDEX(Inputs!$B$13:$D$13,1,MATCH(A906,Inputs!$B$6:$D$6,0))</x:f>
        <x:v>390</x:v>
      </x:c>
      <x:c r="R906" s="20" t="n">
        <x:f>SUM(M906:Q906)</x:f>
        <x:v>36595</x:v>
      </x:c>
      <x:c r="S906" s="20" t="n">
        <x:f>IF(AND(A905=A906,D905=D906),S905+R906,R906)</x:f>
        <x:v>36595</x:v>
      </x:c>
      <x:c r="T906" s="20" t="n">
        <x:f>MIN(S906,INDEX(Inputs!$B$20:$D$20,1,MATCH(A906,Inputs!$B$6:$D$6,0)))*INDEX(Inputs!$B$22:$D$22,1,MATCH(A906,Inputs!$B$6:$D$6,0))+MAX(MIN(S906,INDEX(Inputs!$B$21:$D$21,1,MATCH(A906,Inputs!$B$6:$D$6,0)))-INDEX(Inputs!$B$20:$D$20,1,MATCH(A906,Inputs!$B$6:$D$6,0)),0)*INDEX(Inputs!$B$23:$D$23,1,MATCH(A906,Inputs!$B$6:$D$6,0))+MAX(S906-INDEX(Inputs!$B$21:$D$21,1,MATCH(A906,Inputs!$B$6:$D$6,0)),0)*INDEX(Inputs!$B$24:$D$24,1,MATCH(A906,Inputs!$B$6:$D$6,0))</x:f>
        <x:v>3289.5175</x:v>
      </x:c>
      <x:c r="U906" s="20" t="n">
        <x:f>IF(AND(A905=A906,D905=D906),T905,0)</x:f>
        <x:v>0</x:v>
      </x:c>
      <x:c r="V906" s="20" t="n">
        <x:f>T906-U906</x:f>
        <x:v>3289.5175</x:v>
      </x:c>
      <x:c r="W906" s="20" t="n">
        <x:f>R906+V906</x:f>
        <x:v>39884.5175</x:v>
      </x:c>
      <x:c r="X906" s="14" t="str">
        <x:f>IF(ABS(W906-SUM(M906:Q906)-V906)&lt;0.01,"OK","Check")</x:f>
        <x:v>OK</x:v>
      </x:c>
    </x:row>
    <x:row r="907">
      <x:c r="A907" s="14" t="n">
        <x:v>2028</x:v>
      </x:c>
      <x:c r="B907" s="14" t="str">
        <x:v>Q2</x:v>
      </x:c>
      <x:c r="C907" s="14" t="n">
        <x:v>2</x:v>
      </x:c>
      <x:c r="D907" s="14" t="n">
        <x:v>20</x:v>
      </x:c>
      <x:c r="E907" s="14" t="str">
        <x:f>INDEX(Roster!$B$6:$B$108,MATCH(D907,Roster!$A$6:$A$108,0))</x:f>
        <x:v>Associate Principal</x:v>
      </x:c>
      <x:c r="F907" s="14" t="str">
        <x:f>INDEX(Roster!$F$6:$F$108,MATCH(D907,Roster!$A$6:$A$108,0))</x:f>
        <x:v>Yes</x:v>
      </x:c>
      <x:c r="G907" s="14" t="n">
        <x:f>INDEX(Inputs!$B$7:$D$7,1,MATCH(A907,Inputs!$B$6:$D$6,0))</x:f>
        <x:v>13</x:v>
      </x:c>
      <x:c r="H907" s="14" t="n">
        <x:f>MIN(=INDEX(Inputs!$B$7:$D$7,1,MATCH(A907,Inputs!$B$6:$D$6,0)),MAX(0,INDEX(Inputs!$B$14:$D$14,1,MATCH(A907,Inputs!$B$6:$D$6,0))-(C907-1)*=INDEX(Inputs!$B$7:$D$7,1,MATCH(A907,Inputs!$B$6:$D$6,0))))</x:f>
        <x:v>13</x:v>
      </x:c>
      <x:c r="I907" s="20" t="n">
        <x:f>INDEX(Inputs!$B$8:$D$8,1,MATCH(A907,Inputs!$B$6:$D$6,0))</x:f>
        <x:v>2395</x:v>
      </x:c>
      <x:c r="J907" s="20" t="n">
        <x:f>INDEX(Roster!$C$6:$C$108,MATCH(D907,Roster!$A$6:$A$108,0))*(1+INDEX(Inputs!$B$9:$D$9,1,MATCH(A907,Inputs!$B$6:$D$6,0)))</x:f>
        <x:v>300</x:v>
      </x:c>
      <x:c r="K907" s="20" t="n">
        <x:f>IF(=INDEX(Roster!$F$6:$F$108,MATCH(D907,Roster!$A$6:$A$108,0))="Yes",0,=INDEX(Inputs!$B$8:$D$8,1,MATCH(A907,Inputs!$B$6:$D$6,0))*IF(=INDEX(Roster!$B$6:$B$108,MATCH(D907,Roster!$A$6:$A$108,0))="Principal",INDEX(Inputs!$B$10:$D$10,1,MATCH(A907,Inputs!$B$6:$D$6,0)),IF(=INDEX(Roster!$B$6:$B$108,MATCH(D907,Roster!$A$6:$A$108,0))="Associate Principal",INDEX(Inputs!$B$11:$D$11,1,MATCH(A907,Inputs!$B$6:$D$6,0)),IF(=INDEX(Roster!$B$6:$B$108,MATCH(D907,Roster!$A$6:$A$108,0))="Assistant Principal",INDEX(Inputs!$B$12:$D$12,1,MATCH(A907,Inputs!$B$6:$D$6,0)),0))))</x:f>
        <x:v>0</x:v>
      </x:c>
      <x:c r="L907" s="20" t="n">
        <x:f>IF(INDEX(Roster!$D$6:$D$108,MATCH(D907,Roster!$A$6:$A$108,0))&gt;=25,INDEX(Inputs!$B$19:$D$19,1,MATCH(A907,Inputs!$B$6:$D$6,0)),IF(INDEX(Roster!$D$6:$D$108,MATCH(D907,Roster!$A$6:$A$108,0))&gt;=20,INDEX(Inputs!$B$18:$D$18,1,MATCH(A907,Inputs!$B$6:$D$6,0)),IF(INDEX(Roster!$D$6:$D$108,MATCH(D907,Roster!$A$6:$A$108,0))&gt;=15,INDEX(Inputs!$B$17:$D$17,1,MATCH(A907,Inputs!$B$6:$D$6,0)),IF(INDEX(Roster!$D$6:$D$108,MATCH(D907,Roster!$A$6:$A$108,0))&gt;=10,INDEX(Inputs!$B$16:$D$16,1,MATCH(A907,Inputs!$B$6:$D$6,0)),IF(INDEX(Roster!$D$6:$D$108,MATCH(D907,Roster!$A$6:$A$108,0))&gt;=5,INDEX(Inputs!$B$15:$D$15,1,MATCH(A907,Inputs!$B$6:$D$6,0)),0)))))</x:f>
        <x:v>90</x:v>
      </x:c>
      <x:c r="M907" s="20" t="n">
        <x:f>G907*I907</x:f>
        <x:v>31135</x:v>
      </x:c>
      <x:c r="N907" s="20" t="n">
        <x:f>G907*J907</x:f>
        <x:v>3900</x:v>
      </x:c>
      <x:c r="O907" s="20" t="n">
        <x:f>G907*K907</x:f>
        <x:v>0</x:v>
      </x:c>
      <x:c r="P907" s="20" t="n">
        <x:f>G907*L907</x:f>
        <x:v>1170</x:v>
      </x:c>
      <x:c r="Q907" s="20" t="n">
        <x:f>H907*INDEX(Inputs!$B$13:$D$13,1,MATCH(A907,Inputs!$B$6:$D$6,0))</x:f>
        <x:v>390</x:v>
      </x:c>
      <x:c r="R907" s="20" t="n">
        <x:f>SUM(M907:Q907)</x:f>
        <x:v>36595</x:v>
      </x:c>
      <x:c r="S907" s="20" t="n">
        <x:f>IF(AND(A906=A907,D906=D907),S906+R907,R907)</x:f>
        <x:v>73190</x:v>
      </x:c>
      <x:c r="T907" s="20" t="n">
        <x:f>MIN(S907,INDEX(Inputs!$B$20:$D$20,1,MATCH(A907,Inputs!$B$6:$D$6,0)))*INDEX(Inputs!$B$22:$D$22,1,MATCH(A907,Inputs!$B$6:$D$6,0))+MAX(MIN(S907,INDEX(Inputs!$B$21:$D$21,1,MATCH(A907,Inputs!$B$6:$D$6,0)))-INDEX(Inputs!$B$20:$D$20,1,MATCH(A907,Inputs!$B$6:$D$6,0)),0)*INDEX(Inputs!$B$23:$D$23,1,MATCH(A907,Inputs!$B$6:$D$6,0))+MAX(S907-INDEX(Inputs!$B$21:$D$21,1,MATCH(A907,Inputs!$B$6:$D$6,0)),0)*INDEX(Inputs!$B$24:$D$24,1,MATCH(A907,Inputs!$B$6:$D$6,0))</x:f>
        <x:v>6089.035</x:v>
      </x:c>
      <x:c r="U907" s="20" t="n">
        <x:f>IF(AND(A906=A907,D906=D907),T906,0)</x:f>
        <x:v>3289.5175</x:v>
      </x:c>
      <x:c r="V907" s="20" t="n">
        <x:f>T907-U907</x:f>
        <x:v>2799.5175</x:v>
      </x:c>
      <x:c r="W907" s="20" t="n">
        <x:f>R907+V907</x:f>
        <x:v>39394.5175</x:v>
      </x:c>
      <x:c r="X907" s="14" t="str">
        <x:f>IF(ABS(W907-SUM(M907:Q907)-V907)&lt;0.01,"OK","Check")</x:f>
        <x:v>OK</x:v>
      </x:c>
    </x:row>
    <x:row r="908">
      <x:c r="A908" s="14" t="n">
        <x:v>2028</x:v>
      </x:c>
      <x:c r="B908" s="14" t="str">
        <x:v>Q3</x:v>
      </x:c>
      <x:c r="C908" s="14" t="n">
        <x:v>3</x:v>
      </x:c>
      <x:c r="D908" s="14" t="n">
        <x:v>20</x:v>
      </x:c>
      <x:c r="E908" s="14" t="str">
        <x:f>INDEX(Roster!$B$6:$B$108,MATCH(D908,Roster!$A$6:$A$108,0))</x:f>
        <x:v>Associate Principal</x:v>
      </x:c>
      <x:c r="F908" s="14" t="str">
        <x:f>INDEX(Roster!$F$6:$F$108,MATCH(D908,Roster!$A$6:$A$108,0))</x:f>
        <x:v>Yes</x:v>
      </x:c>
      <x:c r="G908" s="14" t="n">
        <x:f>INDEX(Inputs!$B$7:$D$7,1,MATCH(A908,Inputs!$B$6:$D$6,0))</x:f>
        <x:v>13</x:v>
      </x:c>
      <x:c r="H908" s="14" t="n">
        <x:f>MIN(=INDEX(Inputs!$B$7:$D$7,1,MATCH(A908,Inputs!$B$6:$D$6,0)),MAX(0,INDEX(Inputs!$B$14:$D$14,1,MATCH(A908,Inputs!$B$6:$D$6,0))-(C908-1)*=INDEX(Inputs!$B$7:$D$7,1,MATCH(A908,Inputs!$B$6:$D$6,0))))</x:f>
        <x:v>13</x:v>
      </x:c>
      <x:c r="I908" s="20" t="n">
        <x:f>INDEX(Inputs!$B$8:$D$8,1,MATCH(A908,Inputs!$B$6:$D$6,0))</x:f>
        <x:v>2395</x:v>
      </x:c>
      <x:c r="J908" s="20" t="n">
        <x:f>INDEX(Roster!$C$6:$C$108,MATCH(D908,Roster!$A$6:$A$108,0))*(1+INDEX(Inputs!$B$9:$D$9,1,MATCH(A908,Inputs!$B$6:$D$6,0)))</x:f>
        <x:v>300</x:v>
      </x:c>
      <x:c r="K908" s="20" t="n">
        <x:f>IF(=INDEX(Roster!$F$6:$F$108,MATCH(D908,Roster!$A$6:$A$108,0))="Yes",0,=INDEX(Inputs!$B$8:$D$8,1,MATCH(A908,Inputs!$B$6:$D$6,0))*IF(=INDEX(Roster!$B$6:$B$108,MATCH(D908,Roster!$A$6:$A$108,0))="Principal",INDEX(Inputs!$B$10:$D$10,1,MATCH(A908,Inputs!$B$6:$D$6,0)),IF(=INDEX(Roster!$B$6:$B$108,MATCH(D908,Roster!$A$6:$A$108,0))="Associate Principal",INDEX(Inputs!$B$11:$D$11,1,MATCH(A908,Inputs!$B$6:$D$6,0)),IF(=INDEX(Roster!$B$6:$B$108,MATCH(D908,Roster!$A$6:$A$108,0))="Assistant Principal",INDEX(Inputs!$B$12:$D$12,1,MATCH(A908,Inputs!$B$6:$D$6,0)),0))))</x:f>
        <x:v>0</x:v>
      </x:c>
      <x:c r="L908" s="20" t="n">
        <x:f>IF(INDEX(Roster!$D$6:$D$108,MATCH(D908,Roster!$A$6:$A$108,0))&gt;=25,INDEX(Inputs!$B$19:$D$19,1,MATCH(A908,Inputs!$B$6:$D$6,0)),IF(INDEX(Roster!$D$6:$D$108,MATCH(D908,Roster!$A$6:$A$108,0))&gt;=20,INDEX(Inputs!$B$18:$D$18,1,MATCH(A908,Inputs!$B$6:$D$6,0)),IF(INDEX(Roster!$D$6:$D$108,MATCH(D908,Roster!$A$6:$A$108,0))&gt;=15,INDEX(Inputs!$B$17:$D$17,1,MATCH(A908,Inputs!$B$6:$D$6,0)),IF(INDEX(Roster!$D$6:$D$108,MATCH(D908,Roster!$A$6:$A$108,0))&gt;=10,INDEX(Inputs!$B$16:$D$16,1,MATCH(A908,Inputs!$B$6:$D$6,0)),IF(INDEX(Roster!$D$6:$D$108,MATCH(D908,Roster!$A$6:$A$108,0))&gt;=5,INDEX(Inputs!$B$15:$D$15,1,MATCH(A908,Inputs!$B$6:$D$6,0)),0)))))</x:f>
        <x:v>90</x:v>
      </x:c>
      <x:c r="M908" s="20" t="n">
        <x:f>G908*I908</x:f>
        <x:v>31135</x:v>
      </x:c>
      <x:c r="N908" s="20" t="n">
        <x:f>G908*J908</x:f>
        <x:v>3900</x:v>
      </x:c>
      <x:c r="O908" s="20" t="n">
        <x:f>G908*K908</x:f>
        <x:v>0</x:v>
      </x:c>
      <x:c r="P908" s="20" t="n">
        <x:f>G908*L908</x:f>
        <x:v>1170</x:v>
      </x:c>
      <x:c r="Q908" s="20" t="n">
        <x:f>H908*INDEX(Inputs!$B$13:$D$13,1,MATCH(A908,Inputs!$B$6:$D$6,0))</x:f>
        <x:v>390</x:v>
      </x:c>
      <x:c r="R908" s="20" t="n">
        <x:f>SUM(M908:Q908)</x:f>
        <x:v>36595</x:v>
      </x:c>
      <x:c r="S908" s="20" t="n">
        <x:f>IF(AND(A907=A908,D907=D908),S907+R908,R908)</x:f>
        <x:v>109785</x:v>
      </x:c>
      <x:c r="T908" s="20" t="n">
        <x:f>MIN(S908,INDEX(Inputs!$B$20:$D$20,1,MATCH(A908,Inputs!$B$6:$D$6,0)))*INDEX(Inputs!$B$22:$D$22,1,MATCH(A908,Inputs!$B$6:$D$6,0))+MAX(MIN(S908,INDEX(Inputs!$B$21:$D$21,1,MATCH(A908,Inputs!$B$6:$D$6,0)))-INDEX(Inputs!$B$20:$D$20,1,MATCH(A908,Inputs!$B$6:$D$6,0)),0)*INDEX(Inputs!$B$23:$D$23,1,MATCH(A908,Inputs!$B$6:$D$6,0))+MAX(S908-INDEX(Inputs!$B$21:$D$21,1,MATCH(A908,Inputs!$B$6:$D$6,0)),0)*INDEX(Inputs!$B$24:$D$24,1,MATCH(A908,Inputs!$B$6:$D$6,0))</x:f>
        <x:v>8888.5525</x:v>
      </x:c>
      <x:c r="U908" s="20" t="n">
        <x:f>IF(AND(A907=A908,D907=D908),T907,0)</x:f>
        <x:v>6089.035</x:v>
      </x:c>
      <x:c r="V908" s="20" t="n">
        <x:f>T908-U908</x:f>
        <x:v>2799.5175</x:v>
      </x:c>
      <x:c r="W908" s="20" t="n">
        <x:f>R908+V908</x:f>
        <x:v>39394.5175</x:v>
      </x:c>
      <x:c r="X908" s="14" t="str">
        <x:f>IF(ABS(W908-SUM(M908:Q908)-V908)&lt;0.01,"OK","Check")</x:f>
        <x:v>OK</x:v>
      </x:c>
    </x:row>
    <x:row r="909">
      <x:c r="A909" s="14" t="n">
        <x:v>2028</x:v>
      </x:c>
      <x:c r="B909" s="14" t="str">
        <x:v>Q4</x:v>
      </x:c>
      <x:c r="C909" s="14" t="n">
        <x:v>4</x:v>
      </x:c>
      <x:c r="D909" s="14" t="n">
        <x:v>20</x:v>
      </x:c>
      <x:c r="E909" s="14" t="str">
        <x:f>INDEX(Roster!$B$6:$B$108,MATCH(D909,Roster!$A$6:$A$108,0))</x:f>
        <x:v>Associate Principal</x:v>
      </x:c>
      <x:c r="F909" s="14" t="str">
        <x:f>INDEX(Roster!$F$6:$F$108,MATCH(D909,Roster!$A$6:$A$108,0))</x:f>
        <x:v>Yes</x:v>
      </x:c>
      <x:c r="G909" s="14" t="n">
        <x:f>INDEX(Inputs!$B$7:$D$7,1,MATCH(A909,Inputs!$B$6:$D$6,0))</x:f>
        <x:v>13</x:v>
      </x:c>
      <x:c r="H909" s="14" t="n">
        <x:f>MIN(=INDEX(Inputs!$B$7:$D$7,1,MATCH(A909,Inputs!$B$6:$D$6,0)),MAX(0,INDEX(Inputs!$B$14:$D$14,1,MATCH(A909,Inputs!$B$6:$D$6,0))-(C909-1)*=INDEX(Inputs!$B$7:$D$7,1,MATCH(A909,Inputs!$B$6:$D$6,0))))</x:f>
        <x:v>0</x:v>
      </x:c>
      <x:c r="I909" s="20" t="n">
        <x:f>INDEX(Inputs!$B$8:$D$8,1,MATCH(A909,Inputs!$B$6:$D$6,0))</x:f>
        <x:v>2395</x:v>
      </x:c>
      <x:c r="J909" s="20" t="n">
        <x:f>INDEX(Roster!$C$6:$C$108,MATCH(D909,Roster!$A$6:$A$108,0))*(1+INDEX(Inputs!$B$9:$D$9,1,MATCH(A909,Inputs!$B$6:$D$6,0)))</x:f>
        <x:v>300</x:v>
      </x:c>
      <x:c r="K909" s="20" t="n">
        <x:f>IF(=INDEX(Roster!$F$6:$F$108,MATCH(D909,Roster!$A$6:$A$108,0))="Yes",0,=INDEX(Inputs!$B$8:$D$8,1,MATCH(A909,Inputs!$B$6:$D$6,0))*IF(=INDEX(Roster!$B$6:$B$108,MATCH(D909,Roster!$A$6:$A$108,0))="Principal",INDEX(Inputs!$B$10:$D$10,1,MATCH(A909,Inputs!$B$6:$D$6,0)),IF(=INDEX(Roster!$B$6:$B$108,MATCH(D909,Roster!$A$6:$A$108,0))="Associate Principal",INDEX(Inputs!$B$11:$D$11,1,MATCH(A909,Inputs!$B$6:$D$6,0)),IF(=INDEX(Roster!$B$6:$B$108,MATCH(D909,Roster!$A$6:$A$108,0))="Assistant Principal",INDEX(Inputs!$B$12:$D$12,1,MATCH(A909,Inputs!$B$6:$D$6,0)),0))))</x:f>
        <x:v>0</x:v>
      </x:c>
      <x:c r="L909" s="20" t="n">
        <x:f>IF(INDEX(Roster!$D$6:$D$108,MATCH(D909,Roster!$A$6:$A$108,0))&gt;=25,INDEX(Inputs!$B$19:$D$19,1,MATCH(A909,Inputs!$B$6:$D$6,0)),IF(INDEX(Roster!$D$6:$D$108,MATCH(D909,Roster!$A$6:$A$108,0))&gt;=20,INDEX(Inputs!$B$18:$D$18,1,MATCH(A909,Inputs!$B$6:$D$6,0)),IF(INDEX(Roster!$D$6:$D$108,MATCH(D909,Roster!$A$6:$A$108,0))&gt;=15,INDEX(Inputs!$B$17:$D$17,1,MATCH(A909,Inputs!$B$6:$D$6,0)),IF(INDEX(Roster!$D$6:$D$108,MATCH(D909,Roster!$A$6:$A$108,0))&gt;=10,INDEX(Inputs!$B$16:$D$16,1,MATCH(A909,Inputs!$B$6:$D$6,0)),IF(INDEX(Roster!$D$6:$D$108,MATCH(D909,Roster!$A$6:$A$108,0))&gt;=5,INDEX(Inputs!$B$15:$D$15,1,MATCH(A909,Inputs!$B$6:$D$6,0)),0)))))</x:f>
        <x:v>90</x:v>
      </x:c>
      <x:c r="M909" s="20" t="n">
        <x:f>G909*I909</x:f>
        <x:v>31135</x:v>
      </x:c>
      <x:c r="N909" s="20" t="n">
        <x:f>G909*J909</x:f>
        <x:v>3900</x:v>
      </x:c>
      <x:c r="O909" s="20" t="n">
        <x:f>G909*K909</x:f>
        <x:v>0</x:v>
      </x:c>
      <x:c r="P909" s="20" t="n">
        <x:f>G909*L909</x:f>
        <x:v>1170</x:v>
      </x:c>
      <x:c r="Q909" s="20" t="n">
        <x:f>H909*INDEX(Inputs!$B$13:$D$13,1,MATCH(A909,Inputs!$B$6:$D$6,0))</x:f>
        <x:v>0</x:v>
      </x:c>
      <x:c r="R909" s="20" t="n">
        <x:f>SUM(M909:Q909)</x:f>
        <x:v>36205</x:v>
      </x:c>
      <x:c r="S909" s="20" t="n">
        <x:f>IF(AND(A908=A909,D908=D909),S908+R909,R909)</x:f>
        <x:v>145990</x:v>
      </x:c>
      <x:c r="T909" s="20" t="n">
        <x:f>MIN(S909,INDEX(Inputs!$B$20:$D$20,1,MATCH(A909,Inputs!$B$6:$D$6,0)))*INDEX(Inputs!$B$22:$D$22,1,MATCH(A909,Inputs!$B$6:$D$6,0))+MAX(MIN(S909,INDEX(Inputs!$B$21:$D$21,1,MATCH(A909,Inputs!$B$6:$D$6,0)))-INDEX(Inputs!$B$20:$D$20,1,MATCH(A909,Inputs!$B$6:$D$6,0)),0)*INDEX(Inputs!$B$23:$D$23,1,MATCH(A909,Inputs!$B$6:$D$6,0))+MAX(S909-INDEX(Inputs!$B$21:$D$21,1,MATCH(A909,Inputs!$B$6:$D$6,0)),0)*INDEX(Inputs!$B$24:$D$24,1,MATCH(A909,Inputs!$B$6:$D$6,0))</x:f>
        <x:v>10030.797</x:v>
      </x:c>
      <x:c r="U909" s="20" t="n">
        <x:f>IF(AND(A908=A909,D908=D909),T908,0)</x:f>
        <x:v>8888.5525</x:v>
      </x:c>
      <x:c r="V909" s="20" t="n">
        <x:f>T909-U909</x:f>
        <x:v>1142.2445000000007</x:v>
      </x:c>
      <x:c r="W909" s="20" t="n">
        <x:f>R909+V909</x:f>
        <x:v>37347.2445</x:v>
      </x:c>
      <x:c r="X909" s="14" t="str">
        <x:f>IF(ABS(W909-SUM(M909:Q909)-V909)&lt;0.01,"OK","Check")</x:f>
        <x:v>OK</x:v>
      </x:c>
    </x:row>
    <x:row r="910">
      <x:c r="A910" s="14" t="n">
        <x:v>2028</x:v>
      </x:c>
      <x:c r="B910" s="14" t="str">
        <x:v>Q1</x:v>
      </x:c>
      <x:c r="C910" s="14" t="n">
        <x:v>1</x:v>
      </x:c>
      <x:c r="D910" s="14" t="n">
        <x:v>21</x:v>
      </x:c>
      <x:c r="E910" s="14" t="str">
        <x:f>INDEX(Roster!$B$6:$B$108,MATCH(D910,Roster!$A$6:$A$108,0))</x:f>
      </x:c>
      <x:c r="F910" s="14" t="str">
        <x:f>INDEX(Roster!$F$6:$F$108,MATCH(D910,Roster!$A$6:$A$108,0))</x:f>
        <x:v>No</x:v>
      </x:c>
      <x:c r="G910" s="14" t="n">
        <x:f>INDEX(Inputs!$B$7:$D$7,1,MATCH(A910,Inputs!$B$6:$D$6,0))</x:f>
        <x:v>13</x:v>
      </x:c>
      <x:c r="H910" s="14" t="n">
        <x:f>MIN(=INDEX(Inputs!$B$7:$D$7,1,MATCH(A910,Inputs!$B$6:$D$6,0)),MAX(0,INDEX(Inputs!$B$14:$D$14,1,MATCH(A910,Inputs!$B$6:$D$6,0))-(C910-1)*=INDEX(Inputs!$B$7:$D$7,1,MATCH(A910,Inputs!$B$6:$D$6,0))))</x:f>
        <x:v>13</x:v>
      </x:c>
      <x:c r="I910" s="20" t="n">
        <x:f>INDEX(Inputs!$B$8:$D$8,1,MATCH(A910,Inputs!$B$6:$D$6,0))</x:f>
        <x:v>2395</x:v>
      </x:c>
      <x:c r="J910" s="20" t="n">
        <x:f>INDEX(Roster!$C$6:$C$108,MATCH(D910,Roster!$A$6:$A$108,0))*(1+INDEX(Inputs!$B$9:$D$9,1,MATCH(A910,Inputs!$B$6:$D$6,0)))</x:f>
        <x:v>40</x:v>
      </x:c>
      <x:c r="K910" s="20" t="n">
        <x:f>IF(=INDEX(Roster!$F$6:$F$108,MATCH(D910,Roster!$A$6:$A$108,0))="Yes",0,=INDEX(Inputs!$B$8:$D$8,1,MATCH(A910,Inputs!$B$6:$D$6,0))*IF(=INDEX(Roster!$B$6:$B$108,MATCH(D910,Roster!$A$6:$A$108,0))="Principal",INDEX(Inputs!$B$10:$D$10,1,MATCH(A910,Inputs!$B$6:$D$6,0)),IF(=INDEX(Roster!$B$6:$B$108,MATCH(D910,Roster!$A$6:$A$108,0))="Associate Principal",INDEX(Inputs!$B$11:$D$11,1,MATCH(A910,Inputs!$B$6:$D$6,0)),IF(=INDEX(Roster!$B$6:$B$108,MATCH(D910,Roster!$A$6:$A$108,0))="Assistant Principal",INDEX(Inputs!$B$12:$D$12,1,MATCH(A910,Inputs!$B$6:$D$6,0)),0))))</x:f>
        <x:v>0</x:v>
      </x:c>
      <x:c r="L910" s="20" t="n">
        <x:f>IF(INDEX(Roster!$D$6:$D$108,MATCH(D910,Roster!$A$6:$A$108,0))&gt;=25,INDEX(Inputs!$B$19:$D$19,1,MATCH(A910,Inputs!$B$6:$D$6,0)),IF(INDEX(Roster!$D$6:$D$108,MATCH(D910,Roster!$A$6:$A$108,0))&gt;=20,INDEX(Inputs!$B$18:$D$18,1,MATCH(A910,Inputs!$B$6:$D$6,0)),IF(INDEX(Roster!$D$6:$D$108,MATCH(D910,Roster!$A$6:$A$108,0))&gt;=15,INDEX(Inputs!$B$17:$D$17,1,MATCH(A910,Inputs!$B$6:$D$6,0)),IF(INDEX(Roster!$D$6:$D$108,MATCH(D910,Roster!$A$6:$A$108,0))&gt;=10,INDEX(Inputs!$B$16:$D$16,1,MATCH(A910,Inputs!$B$6:$D$6,0)),IF(INDEX(Roster!$D$6:$D$108,MATCH(D910,Roster!$A$6:$A$108,0))&gt;=5,INDEX(Inputs!$B$15:$D$15,1,MATCH(A910,Inputs!$B$6:$D$6,0)),0)))))</x:f>
        <x:v>90</x:v>
      </x:c>
      <x:c r="M910" s="20" t="n">
        <x:f>G910*I910</x:f>
        <x:v>31135</x:v>
      </x:c>
      <x:c r="N910" s="20" t="n">
        <x:f>G910*J910</x:f>
        <x:v>520</x:v>
      </x:c>
      <x:c r="O910" s="20" t="n">
        <x:f>G910*K910</x:f>
        <x:v>0</x:v>
      </x:c>
      <x:c r="P910" s="20" t="n">
        <x:f>G910*L910</x:f>
        <x:v>1170</x:v>
      </x:c>
      <x:c r="Q910" s="20" t="n">
        <x:f>H910*INDEX(Inputs!$B$13:$D$13,1,MATCH(A910,Inputs!$B$6:$D$6,0))</x:f>
        <x:v>390</x:v>
      </x:c>
      <x:c r="R910" s="20" t="n">
        <x:f>SUM(M910:Q910)</x:f>
        <x:v>33215</x:v>
      </x:c>
      <x:c r="S910" s="20" t="n">
        <x:f>IF(AND(A909=A910,D909=D910),S909+R910,R910)</x:f>
        <x:v>33215</x:v>
      </x:c>
      <x:c r="T910" s="20" t="n">
        <x:f>MIN(S910,INDEX(Inputs!$B$20:$D$20,1,MATCH(A910,Inputs!$B$6:$D$6,0)))*INDEX(Inputs!$B$22:$D$22,1,MATCH(A910,Inputs!$B$6:$D$6,0))+MAX(MIN(S910,INDEX(Inputs!$B$21:$D$21,1,MATCH(A910,Inputs!$B$6:$D$6,0)))-INDEX(Inputs!$B$20:$D$20,1,MATCH(A910,Inputs!$B$6:$D$6,0)),0)*INDEX(Inputs!$B$23:$D$23,1,MATCH(A910,Inputs!$B$6:$D$6,0))+MAX(S910-INDEX(Inputs!$B$21:$D$21,1,MATCH(A910,Inputs!$B$6:$D$6,0)),0)*INDEX(Inputs!$B$24:$D$24,1,MATCH(A910,Inputs!$B$6:$D$6,0))</x:f>
        <x:v>3030.9475</x:v>
      </x:c>
      <x:c r="U910" s="20" t="n">
        <x:f>IF(AND(A909=A910,D909=D910),T909,0)</x:f>
        <x:v>0</x:v>
      </x:c>
      <x:c r="V910" s="20" t="n">
        <x:f>T910-U910</x:f>
        <x:v>3030.9475</x:v>
      </x:c>
      <x:c r="W910" s="20" t="n">
        <x:f>R910+V910</x:f>
        <x:v>36245.9475</x:v>
      </x:c>
      <x:c r="X910" s="14" t="str">
        <x:f>IF(ABS(W910-SUM(M910:Q910)-V910)&lt;0.01,"OK","Check")</x:f>
        <x:v>OK</x:v>
      </x:c>
    </x:row>
    <x:row r="911">
      <x:c r="A911" s="14" t="n">
        <x:v>2028</x:v>
      </x:c>
      <x:c r="B911" s="14" t="str">
        <x:v>Q2</x:v>
      </x:c>
      <x:c r="C911" s="14" t="n">
        <x:v>2</x:v>
      </x:c>
      <x:c r="D911" s="14" t="n">
        <x:v>21</x:v>
      </x:c>
      <x:c r="E911" s="14" t="str">
        <x:f>INDEX(Roster!$B$6:$B$108,MATCH(D911,Roster!$A$6:$A$108,0))</x:f>
      </x:c>
      <x:c r="F911" s="14" t="str">
        <x:f>INDEX(Roster!$F$6:$F$108,MATCH(D911,Roster!$A$6:$A$108,0))</x:f>
        <x:v>No</x:v>
      </x:c>
      <x:c r="G911" s="14" t="n">
        <x:f>INDEX(Inputs!$B$7:$D$7,1,MATCH(A911,Inputs!$B$6:$D$6,0))</x:f>
        <x:v>13</x:v>
      </x:c>
      <x:c r="H911" s="14" t="n">
        <x:f>MIN(=INDEX(Inputs!$B$7:$D$7,1,MATCH(A911,Inputs!$B$6:$D$6,0)),MAX(0,INDEX(Inputs!$B$14:$D$14,1,MATCH(A911,Inputs!$B$6:$D$6,0))-(C911-1)*=INDEX(Inputs!$B$7:$D$7,1,MATCH(A911,Inputs!$B$6:$D$6,0))))</x:f>
        <x:v>13</x:v>
      </x:c>
      <x:c r="I911" s="20" t="n">
        <x:f>INDEX(Inputs!$B$8:$D$8,1,MATCH(A911,Inputs!$B$6:$D$6,0))</x:f>
        <x:v>2395</x:v>
      </x:c>
      <x:c r="J911" s="20" t="n">
        <x:f>INDEX(Roster!$C$6:$C$108,MATCH(D911,Roster!$A$6:$A$108,0))*(1+INDEX(Inputs!$B$9:$D$9,1,MATCH(A911,Inputs!$B$6:$D$6,0)))</x:f>
        <x:v>40</x:v>
      </x:c>
      <x:c r="K911" s="20" t="n">
        <x:f>IF(=INDEX(Roster!$F$6:$F$108,MATCH(D911,Roster!$A$6:$A$108,0))="Yes",0,=INDEX(Inputs!$B$8:$D$8,1,MATCH(A911,Inputs!$B$6:$D$6,0))*IF(=INDEX(Roster!$B$6:$B$108,MATCH(D911,Roster!$A$6:$A$108,0))="Principal",INDEX(Inputs!$B$10:$D$10,1,MATCH(A911,Inputs!$B$6:$D$6,0)),IF(=INDEX(Roster!$B$6:$B$108,MATCH(D911,Roster!$A$6:$A$108,0))="Associate Principal",INDEX(Inputs!$B$11:$D$11,1,MATCH(A911,Inputs!$B$6:$D$6,0)),IF(=INDEX(Roster!$B$6:$B$108,MATCH(D911,Roster!$A$6:$A$108,0))="Assistant Principal",INDEX(Inputs!$B$12:$D$12,1,MATCH(A911,Inputs!$B$6:$D$6,0)),0))))</x:f>
        <x:v>0</x:v>
      </x:c>
      <x:c r="L911" s="20" t="n">
        <x:f>IF(INDEX(Roster!$D$6:$D$108,MATCH(D911,Roster!$A$6:$A$108,0))&gt;=25,INDEX(Inputs!$B$19:$D$19,1,MATCH(A911,Inputs!$B$6:$D$6,0)),IF(INDEX(Roster!$D$6:$D$108,MATCH(D911,Roster!$A$6:$A$108,0))&gt;=20,INDEX(Inputs!$B$18:$D$18,1,MATCH(A911,Inputs!$B$6:$D$6,0)),IF(INDEX(Roster!$D$6:$D$108,MATCH(D911,Roster!$A$6:$A$108,0))&gt;=15,INDEX(Inputs!$B$17:$D$17,1,MATCH(A911,Inputs!$B$6:$D$6,0)),IF(INDEX(Roster!$D$6:$D$108,MATCH(D911,Roster!$A$6:$A$108,0))&gt;=10,INDEX(Inputs!$B$16:$D$16,1,MATCH(A911,Inputs!$B$6:$D$6,0)),IF(INDEX(Roster!$D$6:$D$108,MATCH(D911,Roster!$A$6:$A$108,0))&gt;=5,INDEX(Inputs!$B$15:$D$15,1,MATCH(A911,Inputs!$B$6:$D$6,0)),0)))))</x:f>
        <x:v>90</x:v>
      </x:c>
      <x:c r="M911" s="20" t="n">
        <x:f>G911*I911</x:f>
        <x:v>31135</x:v>
      </x:c>
      <x:c r="N911" s="20" t="n">
        <x:f>G911*J911</x:f>
        <x:v>520</x:v>
      </x:c>
      <x:c r="O911" s="20" t="n">
        <x:f>G911*K911</x:f>
        <x:v>0</x:v>
      </x:c>
      <x:c r="P911" s="20" t="n">
        <x:f>G911*L911</x:f>
        <x:v>1170</x:v>
      </x:c>
      <x:c r="Q911" s="20" t="n">
        <x:f>H911*INDEX(Inputs!$B$13:$D$13,1,MATCH(A911,Inputs!$B$6:$D$6,0))</x:f>
        <x:v>390</x:v>
      </x:c>
      <x:c r="R911" s="20" t="n">
        <x:f>SUM(M911:Q911)</x:f>
        <x:v>33215</x:v>
      </x:c>
      <x:c r="S911" s="20" t="n">
        <x:f>IF(AND(A910=A911,D910=D911),S910+R911,R911)</x:f>
        <x:v>66430</x:v>
      </x:c>
      <x:c r="T911" s="20" t="n">
        <x:f>MIN(S911,INDEX(Inputs!$B$20:$D$20,1,MATCH(A911,Inputs!$B$6:$D$6,0)))*INDEX(Inputs!$B$22:$D$22,1,MATCH(A911,Inputs!$B$6:$D$6,0))+MAX(MIN(S911,INDEX(Inputs!$B$21:$D$21,1,MATCH(A911,Inputs!$B$6:$D$6,0)))-INDEX(Inputs!$B$20:$D$20,1,MATCH(A911,Inputs!$B$6:$D$6,0)),0)*INDEX(Inputs!$B$23:$D$23,1,MATCH(A911,Inputs!$B$6:$D$6,0))+MAX(S911-INDEX(Inputs!$B$21:$D$21,1,MATCH(A911,Inputs!$B$6:$D$6,0)),0)*INDEX(Inputs!$B$24:$D$24,1,MATCH(A911,Inputs!$B$6:$D$6,0))</x:f>
        <x:v>5571.8949999999995</x:v>
      </x:c>
      <x:c r="U911" s="20" t="n">
        <x:f>IF(AND(A910=A911,D910=D911),T910,0)</x:f>
        <x:v>3030.9475</x:v>
      </x:c>
      <x:c r="V911" s="20" t="n">
        <x:f>T911-U911</x:f>
        <x:v>2540.9474999999993</x:v>
      </x:c>
      <x:c r="W911" s="20" t="n">
        <x:f>R911+V911</x:f>
        <x:v>35755.9475</x:v>
      </x:c>
      <x:c r="X911" s="14" t="str">
        <x:f>IF(ABS(W911-SUM(M911:Q911)-V911)&lt;0.01,"OK","Check")</x:f>
        <x:v>OK</x:v>
      </x:c>
    </x:row>
    <x:row r="912">
      <x:c r="A912" s="14" t="n">
        <x:v>2028</x:v>
      </x:c>
      <x:c r="B912" s="14" t="str">
        <x:v>Q3</x:v>
      </x:c>
      <x:c r="C912" s="14" t="n">
        <x:v>3</x:v>
      </x:c>
      <x:c r="D912" s="14" t="n">
        <x:v>21</x:v>
      </x:c>
      <x:c r="E912" s="14" t="str">
        <x:f>INDEX(Roster!$B$6:$B$108,MATCH(D912,Roster!$A$6:$A$108,0))</x:f>
      </x:c>
      <x:c r="F912" s="14" t="str">
        <x:f>INDEX(Roster!$F$6:$F$108,MATCH(D912,Roster!$A$6:$A$108,0))</x:f>
        <x:v>No</x:v>
      </x:c>
      <x:c r="G912" s="14" t="n">
        <x:f>INDEX(Inputs!$B$7:$D$7,1,MATCH(A912,Inputs!$B$6:$D$6,0))</x:f>
        <x:v>13</x:v>
      </x:c>
      <x:c r="H912" s="14" t="n">
        <x:f>MIN(=INDEX(Inputs!$B$7:$D$7,1,MATCH(A912,Inputs!$B$6:$D$6,0)),MAX(0,INDEX(Inputs!$B$14:$D$14,1,MATCH(A912,Inputs!$B$6:$D$6,0))-(C912-1)*=INDEX(Inputs!$B$7:$D$7,1,MATCH(A912,Inputs!$B$6:$D$6,0))))</x:f>
        <x:v>13</x:v>
      </x:c>
      <x:c r="I912" s="20" t="n">
        <x:f>INDEX(Inputs!$B$8:$D$8,1,MATCH(A912,Inputs!$B$6:$D$6,0))</x:f>
        <x:v>2395</x:v>
      </x:c>
      <x:c r="J912" s="20" t="n">
        <x:f>INDEX(Roster!$C$6:$C$108,MATCH(D912,Roster!$A$6:$A$108,0))*(1+INDEX(Inputs!$B$9:$D$9,1,MATCH(A912,Inputs!$B$6:$D$6,0)))</x:f>
        <x:v>40</x:v>
      </x:c>
      <x:c r="K912" s="20" t="n">
        <x:f>IF(=INDEX(Roster!$F$6:$F$108,MATCH(D912,Roster!$A$6:$A$108,0))="Yes",0,=INDEX(Inputs!$B$8:$D$8,1,MATCH(A912,Inputs!$B$6:$D$6,0))*IF(=INDEX(Roster!$B$6:$B$108,MATCH(D912,Roster!$A$6:$A$108,0))="Principal",INDEX(Inputs!$B$10:$D$10,1,MATCH(A912,Inputs!$B$6:$D$6,0)),IF(=INDEX(Roster!$B$6:$B$108,MATCH(D912,Roster!$A$6:$A$108,0))="Associate Principal",INDEX(Inputs!$B$11:$D$11,1,MATCH(A912,Inputs!$B$6:$D$6,0)),IF(=INDEX(Roster!$B$6:$B$108,MATCH(D912,Roster!$A$6:$A$108,0))="Assistant Principal",INDEX(Inputs!$B$12:$D$12,1,MATCH(A912,Inputs!$B$6:$D$6,0)),0))))</x:f>
        <x:v>0</x:v>
      </x:c>
      <x:c r="L912" s="20" t="n">
        <x:f>IF(INDEX(Roster!$D$6:$D$108,MATCH(D912,Roster!$A$6:$A$108,0))&gt;=25,INDEX(Inputs!$B$19:$D$19,1,MATCH(A912,Inputs!$B$6:$D$6,0)),IF(INDEX(Roster!$D$6:$D$108,MATCH(D912,Roster!$A$6:$A$108,0))&gt;=20,INDEX(Inputs!$B$18:$D$18,1,MATCH(A912,Inputs!$B$6:$D$6,0)),IF(INDEX(Roster!$D$6:$D$108,MATCH(D912,Roster!$A$6:$A$108,0))&gt;=15,INDEX(Inputs!$B$17:$D$17,1,MATCH(A912,Inputs!$B$6:$D$6,0)),IF(INDEX(Roster!$D$6:$D$108,MATCH(D912,Roster!$A$6:$A$108,0))&gt;=10,INDEX(Inputs!$B$16:$D$16,1,MATCH(A912,Inputs!$B$6:$D$6,0)),IF(INDEX(Roster!$D$6:$D$108,MATCH(D912,Roster!$A$6:$A$108,0))&gt;=5,INDEX(Inputs!$B$15:$D$15,1,MATCH(A912,Inputs!$B$6:$D$6,0)),0)))))</x:f>
        <x:v>90</x:v>
      </x:c>
      <x:c r="M912" s="20" t="n">
        <x:f>G912*I912</x:f>
        <x:v>31135</x:v>
      </x:c>
      <x:c r="N912" s="20" t="n">
        <x:f>G912*J912</x:f>
        <x:v>520</x:v>
      </x:c>
      <x:c r="O912" s="20" t="n">
        <x:f>G912*K912</x:f>
        <x:v>0</x:v>
      </x:c>
      <x:c r="P912" s="20" t="n">
        <x:f>G912*L912</x:f>
        <x:v>1170</x:v>
      </x:c>
      <x:c r="Q912" s="20" t="n">
        <x:f>H912*INDEX(Inputs!$B$13:$D$13,1,MATCH(A912,Inputs!$B$6:$D$6,0))</x:f>
        <x:v>390</x:v>
      </x:c>
      <x:c r="R912" s="20" t="n">
        <x:f>SUM(M912:Q912)</x:f>
        <x:v>33215</x:v>
      </x:c>
      <x:c r="S912" s="20" t="n">
        <x:f>IF(AND(A911=A912,D911=D912),S911+R912,R912)</x:f>
        <x:v>99645</x:v>
      </x:c>
      <x:c r="T912" s="20" t="n">
        <x:f>MIN(S912,INDEX(Inputs!$B$20:$D$20,1,MATCH(A912,Inputs!$B$6:$D$6,0)))*INDEX(Inputs!$B$22:$D$22,1,MATCH(A912,Inputs!$B$6:$D$6,0))+MAX(MIN(S912,INDEX(Inputs!$B$21:$D$21,1,MATCH(A912,Inputs!$B$6:$D$6,0)))-INDEX(Inputs!$B$20:$D$20,1,MATCH(A912,Inputs!$B$6:$D$6,0)),0)*INDEX(Inputs!$B$23:$D$23,1,MATCH(A912,Inputs!$B$6:$D$6,0))+MAX(S912-INDEX(Inputs!$B$21:$D$21,1,MATCH(A912,Inputs!$B$6:$D$6,0)),0)*INDEX(Inputs!$B$24:$D$24,1,MATCH(A912,Inputs!$B$6:$D$6,0))</x:f>
        <x:v>8112.8425</x:v>
      </x:c>
      <x:c r="U912" s="20" t="n">
        <x:f>IF(AND(A911=A912,D911=D912),T911,0)</x:f>
        <x:v>5571.8949999999995</x:v>
      </x:c>
      <x:c r="V912" s="20" t="n">
        <x:f>T912-U912</x:f>
        <x:v>2540.9475</x:v>
      </x:c>
      <x:c r="W912" s="20" t="n">
        <x:f>R912+V912</x:f>
        <x:v>35755.9475</x:v>
      </x:c>
      <x:c r="X912" s="14" t="str">
        <x:f>IF(ABS(W912-SUM(M912:Q912)-V912)&lt;0.01,"OK","Check")</x:f>
        <x:v>OK</x:v>
      </x:c>
    </x:row>
    <x:row r="913">
      <x:c r="A913" s="14" t="n">
        <x:v>2028</x:v>
      </x:c>
      <x:c r="B913" s="14" t="str">
        <x:v>Q4</x:v>
      </x:c>
      <x:c r="C913" s="14" t="n">
        <x:v>4</x:v>
      </x:c>
      <x:c r="D913" s="14" t="n">
        <x:v>21</x:v>
      </x:c>
      <x:c r="E913" s="14" t="str">
        <x:f>INDEX(Roster!$B$6:$B$108,MATCH(D913,Roster!$A$6:$A$108,0))</x:f>
      </x:c>
      <x:c r="F913" s="14" t="str">
        <x:f>INDEX(Roster!$F$6:$F$108,MATCH(D913,Roster!$A$6:$A$108,0))</x:f>
        <x:v>No</x:v>
      </x:c>
      <x:c r="G913" s="14" t="n">
        <x:f>INDEX(Inputs!$B$7:$D$7,1,MATCH(A913,Inputs!$B$6:$D$6,0))</x:f>
        <x:v>13</x:v>
      </x:c>
      <x:c r="H913" s="14" t="n">
        <x:f>MIN(=INDEX(Inputs!$B$7:$D$7,1,MATCH(A913,Inputs!$B$6:$D$6,0)),MAX(0,INDEX(Inputs!$B$14:$D$14,1,MATCH(A913,Inputs!$B$6:$D$6,0))-(C913-1)*=INDEX(Inputs!$B$7:$D$7,1,MATCH(A913,Inputs!$B$6:$D$6,0))))</x:f>
        <x:v>0</x:v>
      </x:c>
      <x:c r="I913" s="20" t="n">
        <x:f>INDEX(Inputs!$B$8:$D$8,1,MATCH(A913,Inputs!$B$6:$D$6,0))</x:f>
        <x:v>2395</x:v>
      </x:c>
      <x:c r="J913" s="20" t="n">
        <x:f>INDEX(Roster!$C$6:$C$108,MATCH(D913,Roster!$A$6:$A$108,0))*(1+INDEX(Inputs!$B$9:$D$9,1,MATCH(A913,Inputs!$B$6:$D$6,0)))</x:f>
        <x:v>40</x:v>
      </x:c>
      <x:c r="K913" s="20" t="n">
        <x:f>IF(=INDEX(Roster!$F$6:$F$108,MATCH(D913,Roster!$A$6:$A$108,0))="Yes",0,=INDEX(Inputs!$B$8:$D$8,1,MATCH(A913,Inputs!$B$6:$D$6,0))*IF(=INDEX(Roster!$B$6:$B$108,MATCH(D913,Roster!$A$6:$A$108,0))="Principal",INDEX(Inputs!$B$10:$D$10,1,MATCH(A913,Inputs!$B$6:$D$6,0)),IF(=INDEX(Roster!$B$6:$B$108,MATCH(D913,Roster!$A$6:$A$108,0))="Associate Principal",INDEX(Inputs!$B$11:$D$11,1,MATCH(A913,Inputs!$B$6:$D$6,0)),IF(=INDEX(Roster!$B$6:$B$108,MATCH(D913,Roster!$A$6:$A$108,0))="Assistant Principal",INDEX(Inputs!$B$12:$D$12,1,MATCH(A913,Inputs!$B$6:$D$6,0)),0))))</x:f>
        <x:v>0</x:v>
      </x:c>
      <x:c r="L913" s="20" t="n">
        <x:f>IF(INDEX(Roster!$D$6:$D$108,MATCH(D913,Roster!$A$6:$A$108,0))&gt;=25,INDEX(Inputs!$B$19:$D$19,1,MATCH(A913,Inputs!$B$6:$D$6,0)),IF(INDEX(Roster!$D$6:$D$108,MATCH(D913,Roster!$A$6:$A$108,0))&gt;=20,INDEX(Inputs!$B$18:$D$18,1,MATCH(A913,Inputs!$B$6:$D$6,0)),IF(INDEX(Roster!$D$6:$D$108,MATCH(D913,Roster!$A$6:$A$108,0))&gt;=15,INDEX(Inputs!$B$17:$D$17,1,MATCH(A913,Inputs!$B$6:$D$6,0)),IF(INDEX(Roster!$D$6:$D$108,MATCH(D913,Roster!$A$6:$A$108,0))&gt;=10,INDEX(Inputs!$B$16:$D$16,1,MATCH(A913,Inputs!$B$6:$D$6,0)),IF(INDEX(Roster!$D$6:$D$108,MATCH(D913,Roster!$A$6:$A$108,0))&gt;=5,INDEX(Inputs!$B$15:$D$15,1,MATCH(A913,Inputs!$B$6:$D$6,0)),0)))))</x:f>
        <x:v>90</x:v>
      </x:c>
      <x:c r="M913" s="20" t="n">
        <x:f>G913*I913</x:f>
        <x:v>31135</x:v>
      </x:c>
      <x:c r="N913" s="20" t="n">
        <x:f>G913*J913</x:f>
        <x:v>520</x:v>
      </x:c>
      <x:c r="O913" s="20" t="n">
        <x:f>G913*K913</x:f>
        <x:v>0</x:v>
      </x:c>
      <x:c r="P913" s="20" t="n">
        <x:f>G913*L913</x:f>
        <x:v>1170</x:v>
      </x:c>
      <x:c r="Q913" s="20" t="n">
        <x:f>H913*INDEX(Inputs!$B$13:$D$13,1,MATCH(A913,Inputs!$B$6:$D$6,0))</x:f>
        <x:v>0</x:v>
      </x:c>
      <x:c r="R913" s="20" t="n">
        <x:f>SUM(M913:Q913)</x:f>
        <x:v>32825</x:v>
      </x:c>
      <x:c r="S913" s="20" t="n">
        <x:f>IF(AND(A912=A913,D912=D913),S912+R913,R913)</x:f>
        <x:v>132470</x:v>
      </x:c>
      <x:c r="T913" s="20" t="n">
        <x:f>MIN(S913,INDEX(Inputs!$B$20:$D$20,1,MATCH(A913,Inputs!$B$6:$D$6,0)))*INDEX(Inputs!$B$22:$D$22,1,MATCH(A913,Inputs!$B$6:$D$6,0))+MAX(MIN(S913,INDEX(Inputs!$B$21:$D$21,1,MATCH(A913,Inputs!$B$6:$D$6,0)))-INDEX(Inputs!$B$20:$D$20,1,MATCH(A913,Inputs!$B$6:$D$6,0)),0)*INDEX(Inputs!$B$23:$D$23,1,MATCH(A913,Inputs!$B$6:$D$6,0))+MAX(S913-INDEX(Inputs!$B$21:$D$21,1,MATCH(A913,Inputs!$B$6:$D$6,0)),0)*INDEX(Inputs!$B$24:$D$24,1,MATCH(A913,Inputs!$B$6:$D$6,0))</x:f>
        <x:v>9834.757</x:v>
      </x:c>
      <x:c r="U913" s="20" t="n">
        <x:f>IF(AND(A912=A913,D912=D913),T912,0)</x:f>
        <x:v>8112.8425</x:v>
      </x:c>
      <x:c r="V913" s="20" t="n">
        <x:f>T913-U913</x:f>
        <x:v>1721.9144999999999</x:v>
      </x:c>
      <x:c r="W913" s="20" t="n">
        <x:f>R913+V913</x:f>
        <x:v>34546.9145</x:v>
      </x:c>
      <x:c r="X913" s="14" t="str">
        <x:f>IF(ABS(W913-SUM(M913:Q913)-V913)&lt;0.01,"OK","Check")</x:f>
        <x:v>OK</x:v>
      </x:c>
    </x:row>
    <x:row r="914">
      <x:c r="A914" s="14" t="n">
        <x:v>2028</x:v>
      </x:c>
      <x:c r="B914" s="14" t="str">
        <x:v>Q1</x:v>
      </x:c>
      <x:c r="C914" s="14" t="n">
        <x:v>1</x:v>
      </x:c>
      <x:c r="D914" s="14" t="n">
        <x:v>22</x:v>
      </x:c>
      <x:c r="E914" s="14" t="str">
        <x:f>INDEX(Roster!$B$6:$B$108,MATCH(D914,Roster!$A$6:$A$108,0))</x:f>
        <x:v>Principal</x:v>
      </x:c>
      <x:c r="F914" s="14" t="str">
        <x:f>INDEX(Roster!$F$6:$F$108,MATCH(D914,Roster!$A$6:$A$108,0))</x:f>
        <x:v>No</x:v>
      </x:c>
      <x:c r="G914" s="14" t="n">
        <x:f>INDEX(Inputs!$B$7:$D$7,1,MATCH(A914,Inputs!$B$6:$D$6,0))</x:f>
        <x:v>13</x:v>
      </x:c>
      <x:c r="H914" s="14" t="n">
        <x:f>MIN(=INDEX(Inputs!$B$7:$D$7,1,MATCH(A914,Inputs!$B$6:$D$6,0)),MAX(0,INDEX(Inputs!$B$14:$D$14,1,MATCH(A914,Inputs!$B$6:$D$6,0))-(C914-1)*=INDEX(Inputs!$B$7:$D$7,1,MATCH(A914,Inputs!$B$6:$D$6,0))))</x:f>
        <x:v>13</x:v>
      </x:c>
      <x:c r="I914" s="20" t="n">
        <x:f>INDEX(Inputs!$B$8:$D$8,1,MATCH(A914,Inputs!$B$6:$D$6,0))</x:f>
        <x:v>2395</x:v>
      </x:c>
      <x:c r="J914" s="20" t="n">
        <x:f>INDEX(Roster!$C$6:$C$108,MATCH(D914,Roster!$A$6:$A$108,0))*(1+INDEX(Inputs!$B$9:$D$9,1,MATCH(A914,Inputs!$B$6:$D$6,0)))</x:f>
        <x:v>800</x:v>
      </x:c>
      <x:c r="K914" s="20" t="n">
        <x:f>IF(=INDEX(Roster!$F$6:$F$108,MATCH(D914,Roster!$A$6:$A$108,0))="Yes",0,=INDEX(Inputs!$B$8:$D$8,1,MATCH(A914,Inputs!$B$6:$D$6,0))*IF(=INDEX(Roster!$B$6:$B$108,MATCH(D914,Roster!$A$6:$A$108,0))="Principal",INDEX(Inputs!$B$10:$D$10,1,MATCH(A914,Inputs!$B$6:$D$6,0)),IF(=INDEX(Roster!$B$6:$B$108,MATCH(D914,Roster!$A$6:$A$108,0))="Associate Principal",INDEX(Inputs!$B$11:$D$11,1,MATCH(A914,Inputs!$B$6:$D$6,0)),IF(=INDEX(Roster!$B$6:$B$108,MATCH(D914,Roster!$A$6:$A$108,0))="Assistant Principal",INDEX(Inputs!$B$12:$D$12,1,MATCH(A914,Inputs!$B$6:$D$6,0)),0))))</x:f>
        <x:v>479</x:v>
      </x:c>
      <x:c r="L914" s="20" t="n">
        <x:f>IF(INDEX(Roster!$D$6:$D$108,MATCH(D914,Roster!$A$6:$A$108,0))&gt;=25,INDEX(Inputs!$B$19:$D$19,1,MATCH(A914,Inputs!$B$6:$D$6,0)),IF(INDEX(Roster!$D$6:$D$108,MATCH(D914,Roster!$A$6:$A$108,0))&gt;=20,INDEX(Inputs!$B$18:$D$18,1,MATCH(A914,Inputs!$B$6:$D$6,0)),IF(INDEX(Roster!$D$6:$D$108,MATCH(D914,Roster!$A$6:$A$108,0))&gt;=15,INDEX(Inputs!$B$17:$D$17,1,MATCH(A914,Inputs!$B$6:$D$6,0)),IF(INDEX(Roster!$D$6:$D$108,MATCH(D914,Roster!$A$6:$A$108,0))&gt;=10,INDEX(Inputs!$B$16:$D$16,1,MATCH(A914,Inputs!$B$6:$D$6,0)),IF(INDEX(Roster!$D$6:$D$108,MATCH(D914,Roster!$A$6:$A$108,0))&gt;=5,INDEX(Inputs!$B$15:$D$15,1,MATCH(A914,Inputs!$B$6:$D$6,0)),0)))))</x:f>
        <x:v>50</x:v>
      </x:c>
      <x:c r="M914" s="20" t="n">
        <x:f>G914*I914</x:f>
        <x:v>31135</x:v>
      </x:c>
      <x:c r="N914" s="20" t="n">
        <x:f>G914*J914</x:f>
        <x:v>10400</x:v>
      </x:c>
      <x:c r="O914" s="20" t="n">
        <x:f>G914*K914</x:f>
        <x:v>6227</x:v>
      </x:c>
      <x:c r="P914" s="20" t="n">
        <x:f>G914*L914</x:f>
        <x:v>650</x:v>
      </x:c>
      <x:c r="Q914" s="20" t="n">
        <x:f>H914*INDEX(Inputs!$B$13:$D$13,1,MATCH(A914,Inputs!$B$6:$D$6,0))</x:f>
        <x:v>390</x:v>
      </x:c>
      <x:c r="R914" s="20" t="n">
        <x:f>SUM(M914:Q914)</x:f>
        <x:v>48802</x:v>
      </x:c>
      <x:c r="S914" s="20" t="n">
        <x:f>IF(AND(A913=A914,D913=D914),S913+R914,R914)</x:f>
        <x:v>48802</x:v>
      </x:c>
      <x:c r="T914" s="20" t="n">
        <x:f>MIN(S914,INDEX(Inputs!$B$20:$D$20,1,MATCH(A914,Inputs!$B$6:$D$6,0)))*INDEX(Inputs!$B$22:$D$22,1,MATCH(A914,Inputs!$B$6:$D$6,0))+MAX(MIN(S914,INDEX(Inputs!$B$21:$D$21,1,MATCH(A914,Inputs!$B$6:$D$6,0)))-INDEX(Inputs!$B$20:$D$20,1,MATCH(A914,Inputs!$B$6:$D$6,0)),0)*INDEX(Inputs!$B$23:$D$23,1,MATCH(A914,Inputs!$B$6:$D$6,0))+MAX(S914-INDEX(Inputs!$B$21:$D$21,1,MATCH(A914,Inputs!$B$6:$D$6,0)),0)*INDEX(Inputs!$B$24:$D$24,1,MATCH(A914,Inputs!$B$6:$D$6,0))</x:f>
        <x:v>4223.353</x:v>
      </x:c>
      <x:c r="U914" s="20" t="n">
        <x:f>IF(AND(A913=A914,D913=D914),T913,0)</x:f>
        <x:v>0</x:v>
      </x:c>
      <x:c r="V914" s="20" t="n">
        <x:f>T914-U914</x:f>
        <x:v>4223.353</x:v>
      </x:c>
      <x:c r="W914" s="20" t="n">
        <x:f>R914+V914</x:f>
        <x:v>53025.353</x:v>
      </x:c>
      <x:c r="X914" s="14" t="str">
        <x:f>IF(ABS(W914-SUM(M914:Q914)-V914)&lt;0.01,"OK","Check")</x:f>
        <x:v>OK</x:v>
      </x:c>
    </x:row>
    <x:row r="915">
      <x:c r="A915" s="14" t="n">
        <x:v>2028</x:v>
      </x:c>
      <x:c r="B915" s="14" t="str">
        <x:v>Q2</x:v>
      </x:c>
      <x:c r="C915" s="14" t="n">
        <x:v>2</x:v>
      </x:c>
      <x:c r="D915" s="14" t="n">
        <x:v>22</x:v>
      </x:c>
      <x:c r="E915" s="14" t="str">
        <x:f>INDEX(Roster!$B$6:$B$108,MATCH(D915,Roster!$A$6:$A$108,0))</x:f>
        <x:v>Principal</x:v>
      </x:c>
      <x:c r="F915" s="14" t="str">
        <x:f>INDEX(Roster!$F$6:$F$108,MATCH(D915,Roster!$A$6:$A$108,0))</x:f>
        <x:v>No</x:v>
      </x:c>
      <x:c r="G915" s="14" t="n">
        <x:f>INDEX(Inputs!$B$7:$D$7,1,MATCH(A915,Inputs!$B$6:$D$6,0))</x:f>
        <x:v>13</x:v>
      </x:c>
      <x:c r="H915" s="14" t="n">
        <x:f>MIN(=INDEX(Inputs!$B$7:$D$7,1,MATCH(A915,Inputs!$B$6:$D$6,0)),MAX(0,INDEX(Inputs!$B$14:$D$14,1,MATCH(A915,Inputs!$B$6:$D$6,0))-(C915-1)*=INDEX(Inputs!$B$7:$D$7,1,MATCH(A915,Inputs!$B$6:$D$6,0))))</x:f>
        <x:v>13</x:v>
      </x:c>
      <x:c r="I915" s="20" t="n">
        <x:f>INDEX(Inputs!$B$8:$D$8,1,MATCH(A915,Inputs!$B$6:$D$6,0))</x:f>
        <x:v>2395</x:v>
      </x:c>
      <x:c r="J915" s="20" t="n">
        <x:f>INDEX(Roster!$C$6:$C$108,MATCH(D915,Roster!$A$6:$A$108,0))*(1+INDEX(Inputs!$B$9:$D$9,1,MATCH(A915,Inputs!$B$6:$D$6,0)))</x:f>
        <x:v>800</x:v>
      </x:c>
      <x:c r="K915" s="20" t="n">
        <x:f>IF(=INDEX(Roster!$F$6:$F$108,MATCH(D915,Roster!$A$6:$A$108,0))="Yes",0,=INDEX(Inputs!$B$8:$D$8,1,MATCH(A915,Inputs!$B$6:$D$6,0))*IF(=INDEX(Roster!$B$6:$B$108,MATCH(D915,Roster!$A$6:$A$108,0))="Principal",INDEX(Inputs!$B$10:$D$10,1,MATCH(A915,Inputs!$B$6:$D$6,0)),IF(=INDEX(Roster!$B$6:$B$108,MATCH(D915,Roster!$A$6:$A$108,0))="Associate Principal",INDEX(Inputs!$B$11:$D$11,1,MATCH(A915,Inputs!$B$6:$D$6,0)),IF(=INDEX(Roster!$B$6:$B$108,MATCH(D915,Roster!$A$6:$A$108,0))="Assistant Principal",INDEX(Inputs!$B$12:$D$12,1,MATCH(A915,Inputs!$B$6:$D$6,0)),0))))</x:f>
        <x:v>479</x:v>
      </x:c>
      <x:c r="L915" s="20" t="n">
        <x:f>IF(INDEX(Roster!$D$6:$D$108,MATCH(D915,Roster!$A$6:$A$108,0))&gt;=25,INDEX(Inputs!$B$19:$D$19,1,MATCH(A915,Inputs!$B$6:$D$6,0)),IF(INDEX(Roster!$D$6:$D$108,MATCH(D915,Roster!$A$6:$A$108,0))&gt;=20,INDEX(Inputs!$B$18:$D$18,1,MATCH(A915,Inputs!$B$6:$D$6,0)),IF(INDEX(Roster!$D$6:$D$108,MATCH(D915,Roster!$A$6:$A$108,0))&gt;=15,INDEX(Inputs!$B$17:$D$17,1,MATCH(A915,Inputs!$B$6:$D$6,0)),IF(INDEX(Roster!$D$6:$D$108,MATCH(D915,Roster!$A$6:$A$108,0))&gt;=10,INDEX(Inputs!$B$16:$D$16,1,MATCH(A915,Inputs!$B$6:$D$6,0)),IF(INDEX(Roster!$D$6:$D$108,MATCH(D915,Roster!$A$6:$A$108,0))&gt;=5,INDEX(Inputs!$B$15:$D$15,1,MATCH(A915,Inputs!$B$6:$D$6,0)),0)))))</x:f>
        <x:v>50</x:v>
      </x:c>
      <x:c r="M915" s="20" t="n">
        <x:f>G915*I915</x:f>
        <x:v>31135</x:v>
      </x:c>
      <x:c r="N915" s="20" t="n">
        <x:f>G915*J915</x:f>
        <x:v>10400</x:v>
      </x:c>
      <x:c r="O915" s="20" t="n">
        <x:f>G915*K915</x:f>
        <x:v>6227</x:v>
      </x:c>
      <x:c r="P915" s="20" t="n">
        <x:f>G915*L915</x:f>
        <x:v>650</x:v>
      </x:c>
      <x:c r="Q915" s="20" t="n">
        <x:f>H915*INDEX(Inputs!$B$13:$D$13,1,MATCH(A915,Inputs!$B$6:$D$6,0))</x:f>
        <x:v>390</x:v>
      </x:c>
      <x:c r="R915" s="20" t="n">
        <x:f>SUM(M915:Q915)</x:f>
        <x:v>48802</x:v>
      </x:c>
      <x:c r="S915" s="20" t="n">
        <x:f>IF(AND(A914=A915,D914=D915),S914+R915,R915)</x:f>
        <x:v>97604</x:v>
      </x:c>
      <x:c r="T915" s="20" t="n">
        <x:f>MIN(S915,INDEX(Inputs!$B$20:$D$20,1,MATCH(A915,Inputs!$B$6:$D$6,0)))*INDEX(Inputs!$B$22:$D$22,1,MATCH(A915,Inputs!$B$6:$D$6,0))+MAX(MIN(S915,INDEX(Inputs!$B$21:$D$21,1,MATCH(A915,Inputs!$B$6:$D$6,0)))-INDEX(Inputs!$B$20:$D$20,1,MATCH(A915,Inputs!$B$6:$D$6,0)),0)*INDEX(Inputs!$B$23:$D$23,1,MATCH(A915,Inputs!$B$6:$D$6,0))+MAX(S915-INDEX(Inputs!$B$21:$D$21,1,MATCH(A915,Inputs!$B$6:$D$6,0)),0)*INDEX(Inputs!$B$24:$D$24,1,MATCH(A915,Inputs!$B$6:$D$6,0))</x:f>
        <x:v>7956.706</x:v>
      </x:c>
      <x:c r="U915" s="20" t="n">
        <x:f>IF(AND(A914=A915,D914=D915),T914,0)</x:f>
        <x:v>4223.353</x:v>
      </x:c>
      <x:c r="V915" s="20" t="n">
        <x:f>T915-U915</x:f>
        <x:v>3733.353</x:v>
      </x:c>
      <x:c r="W915" s="20" t="n">
        <x:f>R915+V915</x:f>
        <x:v>52535.353</x:v>
      </x:c>
      <x:c r="X915" s="14" t="str">
        <x:f>IF(ABS(W915-SUM(M915:Q915)-V915)&lt;0.01,"OK","Check")</x:f>
        <x:v>OK</x:v>
      </x:c>
    </x:row>
    <x:row r="916">
      <x:c r="A916" s="14" t="n">
        <x:v>2028</x:v>
      </x:c>
      <x:c r="B916" s="14" t="str">
        <x:v>Q3</x:v>
      </x:c>
      <x:c r="C916" s="14" t="n">
        <x:v>3</x:v>
      </x:c>
      <x:c r="D916" s="14" t="n">
        <x:v>22</x:v>
      </x:c>
      <x:c r="E916" s="14" t="str">
        <x:f>INDEX(Roster!$B$6:$B$108,MATCH(D916,Roster!$A$6:$A$108,0))</x:f>
        <x:v>Principal</x:v>
      </x:c>
      <x:c r="F916" s="14" t="str">
        <x:f>INDEX(Roster!$F$6:$F$108,MATCH(D916,Roster!$A$6:$A$108,0))</x:f>
        <x:v>No</x:v>
      </x:c>
      <x:c r="G916" s="14" t="n">
        <x:f>INDEX(Inputs!$B$7:$D$7,1,MATCH(A916,Inputs!$B$6:$D$6,0))</x:f>
        <x:v>13</x:v>
      </x:c>
      <x:c r="H916" s="14" t="n">
        <x:f>MIN(=INDEX(Inputs!$B$7:$D$7,1,MATCH(A916,Inputs!$B$6:$D$6,0)),MAX(0,INDEX(Inputs!$B$14:$D$14,1,MATCH(A916,Inputs!$B$6:$D$6,0))-(C916-1)*=INDEX(Inputs!$B$7:$D$7,1,MATCH(A916,Inputs!$B$6:$D$6,0))))</x:f>
        <x:v>13</x:v>
      </x:c>
      <x:c r="I916" s="20" t="n">
        <x:f>INDEX(Inputs!$B$8:$D$8,1,MATCH(A916,Inputs!$B$6:$D$6,0))</x:f>
        <x:v>2395</x:v>
      </x:c>
      <x:c r="J916" s="20" t="n">
        <x:f>INDEX(Roster!$C$6:$C$108,MATCH(D916,Roster!$A$6:$A$108,0))*(1+INDEX(Inputs!$B$9:$D$9,1,MATCH(A916,Inputs!$B$6:$D$6,0)))</x:f>
        <x:v>800</x:v>
      </x:c>
      <x:c r="K916" s="20" t="n">
        <x:f>IF(=INDEX(Roster!$F$6:$F$108,MATCH(D916,Roster!$A$6:$A$108,0))="Yes",0,=INDEX(Inputs!$B$8:$D$8,1,MATCH(A916,Inputs!$B$6:$D$6,0))*IF(=INDEX(Roster!$B$6:$B$108,MATCH(D916,Roster!$A$6:$A$108,0))="Principal",INDEX(Inputs!$B$10:$D$10,1,MATCH(A916,Inputs!$B$6:$D$6,0)),IF(=INDEX(Roster!$B$6:$B$108,MATCH(D916,Roster!$A$6:$A$108,0))="Associate Principal",INDEX(Inputs!$B$11:$D$11,1,MATCH(A916,Inputs!$B$6:$D$6,0)),IF(=INDEX(Roster!$B$6:$B$108,MATCH(D916,Roster!$A$6:$A$108,0))="Assistant Principal",INDEX(Inputs!$B$12:$D$12,1,MATCH(A916,Inputs!$B$6:$D$6,0)),0))))</x:f>
        <x:v>479</x:v>
      </x:c>
      <x:c r="L916" s="20" t="n">
        <x:f>IF(INDEX(Roster!$D$6:$D$108,MATCH(D916,Roster!$A$6:$A$108,0))&gt;=25,INDEX(Inputs!$B$19:$D$19,1,MATCH(A916,Inputs!$B$6:$D$6,0)),IF(INDEX(Roster!$D$6:$D$108,MATCH(D916,Roster!$A$6:$A$108,0))&gt;=20,INDEX(Inputs!$B$18:$D$18,1,MATCH(A916,Inputs!$B$6:$D$6,0)),IF(INDEX(Roster!$D$6:$D$108,MATCH(D916,Roster!$A$6:$A$108,0))&gt;=15,INDEX(Inputs!$B$17:$D$17,1,MATCH(A916,Inputs!$B$6:$D$6,0)),IF(INDEX(Roster!$D$6:$D$108,MATCH(D916,Roster!$A$6:$A$108,0))&gt;=10,INDEX(Inputs!$B$16:$D$16,1,MATCH(A916,Inputs!$B$6:$D$6,0)),IF(INDEX(Roster!$D$6:$D$108,MATCH(D916,Roster!$A$6:$A$108,0))&gt;=5,INDEX(Inputs!$B$15:$D$15,1,MATCH(A916,Inputs!$B$6:$D$6,0)),0)))))</x:f>
        <x:v>50</x:v>
      </x:c>
      <x:c r="M916" s="20" t="n">
        <x:f>G916*I916</x:f>
        <x:v>31135</x:v>
      </x:c>
      <x:c r="N916" s="20" t="n">
        <x:f>G916*J916</x:f>
        <x:v>10400</x:v>
      </x:c>
      <x:c r="O916" s="20" t="n">
        <x:f>G916*K916</x:f>
        <x:v>6227</x:v>
      </x:c>
      <x:c r="P916" s="20" t="n">
        <x:f>G916*L916</x:f>
        <x:v>650</x:v>
      </x:c>
      <x:c r="Q916" s="20" t="n">
        <x:f>H916*INDEX(Inputs!$B$13:$D$13,1,MATCH(A916,Inputs!$B$6:$D$6,0))</x:f>
        <x:v>390</x:v>
      </x:c>
      <x:c r="R916" s="20" t="n">
        <x:f>SUM(M916:Q916)</x:f>
        <x:v>48802</x:v>
      </x:c>
      <x:c r="S916" s="20" t="n">
        <x:f>IF(AND(A915=A916,D915=D916),S915+R916,R916)</x:f>
        <x:v>146406</x:v>
      </x:c>
      <x:c r="T916" s="20" t="n">
        <x:f>MIN(S916,INDEX(Inputs!$B$20:$D$20,1,MATCH(A916,Inputs!$B$6:$D$6,0)))*INDEX(Inputs!$B$22:$D$22,1,MATCH(A916,Inputs!$B$6:$D$6,0))+MAX(MIN(S916,INDEX(Inputs!$B$21:$D$21,1,MATCH(A916,Inputs!$B$6:$D$6,0)))-INDEX(Inputs!$B$20:$D$20,1,MATCH(A916,Inputs!$B$6:$D$6,0)),0)*INDEX(Inputs!$B$23:$D$23,1,MATCH(A916,Inputs!$B$6:$D$6,0))+MAX(S916-INDEX(Inputs!$B$21:$D$21,1,MATCH(A916,Inputs!$B$6:$D$6,0)),0)*INDEX(Inputs!$B$24:$D$24,1,MATCH(A916,Inputs!$B$6:$D$6,0))</x:f>
        <x:v>10036.829</x:v>
      </x:c>
      <x:c r="U916" s="20" t="n">
        <x:f>IF(AND(A915=A916,D915=D916),T915,0)</x:f>
        <x:v>7956.706</x:v>
      </x:c>
      <x:c r="V916" s="20" t="n">
        <x:f>T916-U916</x:f>
        <x:v>2080.1229999999996</x:v>
      </x:c>
      <x:c r="W916" s="20" t="n">
        <x:f>R916+V916</x:f>
        <x:v>50882.123</x:v>
      </x:c>
      <x:c r="X916" s="14" t="str">
        <x:f>IF(ABS(W916-SUM(M916:Q916)-V916)&lt;0.01,"OK","Check")</x:f>
        <x:v>OK</x:v>
      </x:c>
    </x:row>
    <x:row r="917">
      <x:c r="A917" s="14" t="n">
        <x:v>2028</x:v>
      </x:c>
      <x:c r="B917" s="14" t="str">
        <x:v>Q4</x:v>
      </x:c>
      <x:c r="C917" s="14" t="n">
        <x:v>4</x:v>
      </x:c>
      <x:c r="D917" s="14" t="n">
        <x:v>22</x:v>
      </x:c>
      <x:c r="E917" s="14" t="str">
        <x:f>INDEX(Roster!$B$6:$B$108,MATCH(D917,Roster!$A$6:$A$108,0))</x:f>
        <x:v>Principal</x:v>
      </x:c>
      <x:c r="F917" s="14" t="str">
        <x:f>INDEX(Roster!$F$6:$F$108,MATCH(D917,Roster!$A$6:$A$108,0))</x:f>
        <x:v>No</x:v>
      </x:c>
      <x:c r="G917" s="14" t="n">
        <x:f>INDEX(Inputs!$B$7:$D$7,1,MATCH(A917,Inputs!$B$6:$D$6,0))</x:f>
        <x:v>13</x:v>
      </x:c>
      <x:c r="H917" s="14" t="n">
        <x:f>MIN(=INDEX(Inputs!$B$7:$D$7,1,MATCH(A917,Inputs!$B$6:$D$6,0)),MAX(0,INDEX(Inputs!$B$14:$D$14,1,MATCH(A917,Inputs!$B$6:$D$6,0))-(C917-1)*=INDEX(Inputs!$B$7:$D$7,1,MATCH(A917,Inputs!$B$6:$D$6,0))))</x:f>
        <x:v>0</x:v>
      </x:c>
      <x:c r="I917" s="20" t="n">
        <x:f>INDEX(Inputs!$B$8:$D$8,1,MATCH(A917,Inputs!$B$6:$D$6,0))</x:f>
        <x:v>2395</x:v>
      </x:c>
      <x:c r="J917" s="20" t="n">
        <x:f>INDEX(Roster!$C$6:$C$108,MATCH(D917,Roster!$A$6:$A$108,0))*(1+INDEX(Inputs!$B$9:$D$9,1,MATCH(A917,Inputs!$B$6:$D$6,0)))</x:f>
        <x:v>800</x:v>
      </x:c>
      <x:c r="K917" s="20" t="n">
        <x:f>IF(=INDEX(Roster!$F$6:$F$108,MATCH(D917,Roster!$A$6:$A$108,0))="Yes",0,=INDEX(Inputs!$B$8:$D$8,1,MATCH(A917,Inputs!$B$6:$D$6,0))*IF(=INDEX(Roster!$B$6:$B$108,MATCH(D917,Roster!$A$6:$A$108,0))="Principal",INDEX(Inputs!$B$10:$D$10,1,MATCH(A917,Inputs!$B$6:$D$6,0)),IF(=INDEX(Roster!$B$6:$B$108,MATCH(D917,Roster!$A$6:$A$108,0))="Associate Principal",INDEX(Inputs!$B$11:$D$11,1,MATCH(A917,Inputs!$B$6:$D$6,0)),IF(=INDEX(Roster!$B$6:$B$108,MATCH(D917,Roster!$A$6:$A$108,0))="Assistant Principal",INDEX(Inputs!$B$12:$D$12,1,MATCH(A917,Inputs!$B$6:$D$6,0)),0))))</x:f>
        <x:v>479</x:v>
      </x:c>
      <x:c r="L917" s="20" t="n">
        <x:f>IF(INDEX(Roster!$D$6:$D$108,MATCH(D917,Roster!$A$6:$A$108,0))&gt;=25,INDEX(Inputs!$B$19:$D$19,1,MATCH(A917,Inputs!$B$6:$D$6,0)),IF(INDEX(Roster!$D$6:$D$108,MATCH(D917,Roster!$A$6:$A$108,0))&gt;=20,INDEX(Inputs!$B$18:$D$18,1,MATCH(A917,Inputs!$B$6:$D$6,0)),IF(INDEX(Roster!$D$6:$D$108,MATCH(D917,Roster!$A$6:$A$108,0))&gt;=15,INDEX(Inputs!$B$17:$D$17,1,MATCH(A917,Inputs!$B$6:$D$6,0)),IF(INDEX(Roster!$D$6:$D$108,MATCH(D917,Roster!$A$6:$A$108,0))&gt;=10,INDEX(Inputs!$B$16:$D$16,1,MATCH(A917,Inputs!$B$6:$D$6,0)),IF(INDEX(Roster!$D$6:$D$108,MATCH(D917,Roster!$A$6:$A$108,0))&gt;=5,INDEX(Inputs!$B$15:$D$15,1,MATCH(A917,Inputs!$B$6:$D$6,0)),0)))))</x:f>
        <x:v>50</x:v>
      </x:c>
      <x:c r="M917" s="20" t="n">
        <x:f>G917*I917</x:f>
        <x:v>31135</x:v>
      </x:c>
      <x:c r="N917" s="20" t="n">
        <x:f>G917*J917</x:f>
        <x:v>10400</x:v>
      </x:c>
      <x:c r="O917" s="20" t="n">
        <x:f>G917*K917</x:f>
        <x:v>6227</x:v>
      </x:c>
      <x:c r="P917" s="20" t="n">
        <x:f>G917*L917</x:f>
        <x:v>650</x:v>
      </x:c>
      <x:c r="Q917" s="20" t="n">
        <x:f>H917*INDEX(Inputs!$B$13:$D$13,1,MATCH(A917,Inputs!$B$6:$D$6,0))</x:f>
        <x:v>0</x:v>
      </x:c>
      <x:c r="R917" s="20" t="n">
        <x:f>SUM(M917:Q917)</x:f>
        <x:v>48412</x:v>
      </x:c>
      <x:c r="S917" s="20" t="n">
        <x:f>IF(AND(A916=A917,D916=D917),S916+R917,R917)</x:f>
        <x:v>194818</x:v>
      </x:c>
      <x:c r="T917" s="20" t="n">
        <x:f>MIN(S917,INDEX(Inputs!$B$20:$D$20,1,MATCH(A917,Inputs!$B$6:$D$6,0)))*INDEX(Inputs!$B$22:$D$22,1,MATCH(A917,Inputs!$B$6:$D$6,0))+MAX(MIN(S917,INDEX(Inputs!$B$21:$D$21,1,MATCH(A917,Inputs!$B$6:$D$6,0)))-INDEX(Inputs!$B$20:$D$20,1,MATCH(A917,Inputs!$B$6:$D$6,0)),0)*INDEX(Inputs!$B$23:$D$23,1,MATCH(A917,Inputs!$B$6:$D$6,0))+MAX(S917-INDEX(Inputs!$B$21:$D$21,1,MATCH(A917,Inputs!$B$6:$D$6,0)),0)*INDEX(Inputs!$B$24:$D$24,1,MATCH(A917,Inputs!$B$6:$D$6,0))</x:f>
        <x:v>10738.803</x:v>
      </x:c>
      <x:c r="U917" s="20" t="n">
        <x:f>IF(AND(A916=A917,D916=D917),T916,0)</x:f>
        <x:v>10036.829</x:v>
      </x:c>
      <x:c r="V917" s="20" t="n">
        <x:f>T917-U917</x:f>
        <x:v>701.9740000000002</x:v>
      </x:c>
      <x:c r="W917" s="20" t="n">
        <x:f>R917+V917</x:f>
        <x:v>49113.974</x:v>
      </x:c>
      <x:c r="X917" s="14" t="str">
        <x:f>IF(ABS(W917-SUM(M917:Q917)-V917)&lt;0.01,"OK","Check")</x:f>
        <x:v>OK</x:v>
      </x:c>
    </x:row>
    <x:row r="918">
      <x:c r="A918" s="14" t="n">
        <x:v>2028</x:v>
      </x:c>
      <x:c r="B918" s="14" t="str">
        <x:v>Q1</x:v>
      </x:c>
      <x:c r="C918" s="14" t="n">
        <x:v>1</x:v>
      </x:c>
      <x:c r="D918" s="14" t="n">
        <x:v>23</x:v>
      </x:c>
      <x:c r="E918" s="14" t="str">
        <x:f>INDEX(Roster!$B$6:$B$108,MATCH(D918,Roster!$A$6:$A$108,0))</x:f>
      </x:c>
      <x:c r="F918" s="14" t="str">
        <x:f>INDEX(Roster!$F$6:$F$108,MATCH(D918,Roster!$A$6:$A$108,0))</x:f>
        <x:v>No</x:v>
      </x:c>
      <x:c r="G918" s="14" t="n">
        <x:f>INDEX(Inputs!$B$7:$D$7,1,MATCH(A918,Inputs!$B$6:$D$6,0))</x:f>
        <x:v>13</x:v>
      </x:c>
      <x:c r="H918" s="14" t="n">
        <x:f>MIN(=INDEX(Inputs!$B$7:$D$7,1,MATCH(A918,Inputs!$B$6:$D$6,0)),MAX(0,INDEX(Inputs!$B$14:$D$14,1,MATCH(A918,Inputs!$B$6:$D$6,0))-(C918-1)*=INDEX(Inputs!$B$7:$D$7,1,MATCH(A918,Inputs!$B$6:$D$6,0))))</x:f>
        <x:v>13</x:v>
      </x:c>
      <x:c r="I918" s="20" t="n">
        <x:f>INDEX(Inputs!$B$8:$D$8,1,MATCH(A918,Inputs!$B$6:$D$6,0))</x:f>
        <x:v>2395</x:v>
      </x:c>
      <x:c r="J918" s="20" t="n">
        <x:f>INDEX(Roster!$C$6:$C$108,MATCH(D918,Roster!$A$6:$A$108,0))*(1+INDEX(Inputs!$B$9:$D$9,1,MATCH(A918,Inputs!$B$6:$D$6,0)))</x:f>
        <x:v>400</x:v>
      </x:c>
      <x:c r="K918" s="20" t="n">
        <x:f>IF(=INDEX(Roster!$F$6:$F$108,MATCH(D918,Roster!$A$6:$A$108,0))="Yes",0,=INDEX(Inputs!$B$8:$D$8,1,MATCH(A918,Inputs!$B$6:$D$6,0))*IF(=INDEX(Roster!$B$6:$B$108,MATCH(D918,Roster!$A$6:$A$108,0))="Principal",INDEX(Inputs!$B$10:$D$10,1,MATCH(A918,Inputs!$B$6:$D$6,0)),IF(=INDEX(Roster!$B$6:$B$108,MATCH(D918,Roster!$A$6:$A$108,0))="Associate Principal",INDEX(Inputs!$B$11:$D$11,1,MATCH(A918,Inputs!$B$6:$D$6,0)),IF(=INDEX(Roster!$B$6:$B$108,MATCH(D918,Roster!$A$6:$A$108,0))="Assistant Principal",INDEX(Inputs!$B$12:$D$12,1,MATCH(A918,Inputs!$B$6:$D$6,0)),0))))</x:f>
        <x:v>0</x:v>
      </x:c>
      <x:c r="L918" s="20" t="n">
        <x:f>IF(INDEX(Roster!$D$6:$D$108,MATCH(D918,Roster!$A$6:$A$108,0))&gt;=25,INDEX(Inputs!$B$19:$D$19,1,MATCH(A918,Inputs!$B$6:$D$6,0)),IF(INDEX(Roster!$D$6:$D$108,MATCH(D918,Roster!$A$6:$A$108,0))&gt;=20,INDEX(Inputs!$B$18:$D$18,1,MATCH(A918,Inputs!$B$6:$D$6,0)),IF(INDEX(Roster!$D$6:$D$108,MATCH(D918,Roster!$A$6:$A$108,0))&gt;=15,INDEX(Inputs!$B$17:$D$17,1,MATCH(A918,Inputs!$B$6:$D$6,0)),IF(INDEX(Roster!$D$6:$D$108,MATCH(D918,Roster!$A$6:$A$108,0))&gt;=10,INDEX(Inputs!$B$16:$D$16,1,MATCH(A918,Inputs!$B$6:$D$6,0)),IF(INDEX(Roster!$D$6:$D$108,MATCH(D918,Roster!$A$6:$A$108,0))&gt;=5,INDEX(Inputs!$B$15:$D$15,1,MATCH(A918,Inputs!$B$6:$D$6,0)),0)))))</x:f>
        <x:v>50</x:v>
      </x:c>
      <x:c r="M918" s="20" t="n">
        <x:f>G918*I918</x:f>
        <x:v>31135</x:v>
      </x:c>
      <x:c r="N918" s="20" t="n">
        <x:f>G918*J918</x:f>
        <x:v>5200</x:v>
      </x:c>
      <x:c r="O918" s="20" t="n">
        <x:f>G918*K918</x:f>
        <x:v>0</x:v>
      </x:c>
      <x:c r="P918" s="20" t="n">
        <x:f>G918*L918</x:f>
        <x:v>650</x:v>
      </x:c>
      <x:c r="Q918" s="20" t="n">
        <x:f>H918*INDEX(Inputs!$B$13:$D$13,1,MATCH(A918,Inputs!$B$6:$D$6,0))</x:f>
        <x:v>390</x:v>
      </x:c>
      <x:c r="R918" s="20" t="n">
        <x:f>SUM(M918:Q918)</x:f>
        <x:v>37375</x:v>
      </x:c>
      <x:c r="S918" s="20" t="n">
        <x:f>IF(AND(A917=A918,D917=D918),S917+R918,R918)</x:f>
        <x:v>37375</x:v>
      </x:c>
      <x:c r="T918" s="20" t="n">
        <x:f>MIN(S918,INDEX(Inputs!$B$20:$D$20,1,MATCH(A918,Inputs!$B$6:$D$6,0)))*INDEX(Inputs!$B$22:$D$22,1,MATCH(A918,Inputs!$B$6:$D$6,0))+MAX(MIN(S918,INDEX(Inputs!$B$21:$D$21,1,MATCH(A918,Inputs!$B$6:$D$6,0)))-INDEX(Inputs!$B$20:$D$20,1,MATCH(A918,Inputs!$B$6:$D$6,0)),0)*INDEX(Inputs!$B$23:$D$23,1,MATCH(A918,Inputs!$B$6:$D$6,0))+MAX(S918-INDEX(Inputs!$B$21:$D$21,1,MATCH(A918,Inputs!$B$6:$D$6,0)),0)*INDEX(Inputs!$B$24:$D$24,1,MATCH(A918,Inputs!$B$6:$D$6,0))</x:f>
        <x:v>3349.1875</x:v>
      </x:c>
      <x:c r="U918" s="20" t="n">
        <x:f>IF(AND(A917=A918,D917=D918),T917,0)</x:f>
        <x:v>0</x:v>
      </x:c>
      <x:c r="V918" s="20" t="n">
        <x:f>T918-U918</x:f>
        <x:v>3349.1875</x:v>
      </x:c>
      <x:c r="W918" s="20" t="n">
        <x:f>R918+V918</x:f>
        <x:v>40724.1875</x:v>
      </x:c>
      <x:c r="X918" s="14" t="str">
        <x:f>IF(ABS(W918-SUM(M918:Q918)-V918)&lt;0.01,"OK","Check")</x:f>
        <x:v>OK</x:v>
      </x:c>
    </x:row>
    <x:row r="919">
      <x:c r="A919" s="14" t="n">
        <x:v>2028</x:v>
      </x:c>
      <x:c r="B919" s="14" t="str">
        <x:v>Q2</x:v>
      </x:c>
      <x:c r="C919" s="14" t="n">
        <x:v>2</x:v>
      </x:c>
      <x:c r="D919" s="14" t="n">
        <x:v>23</x:v>
      </x:c>
      <x:c r="E919" s="14" t="str">
        <x:f>INDEX(Roster!$B$6:$B$108,MATCH(D919,Roster!$A$6:$A$108,0))</x:f>
      </x:c>
      <x:c r="F919" s="14" t="str">
        <x:f>INDEX(Roster!$F$6:$F$108,MATCH(D919,Roster!$A$6:$A$108,0))</x:f>
        <x:v>No</x:v>
      </x:c>
      <x:c r="G919" s="14" t="n">
        <x:f>INDEX(Inputs!$B$7:$D$7,1,MATCH(A919,Inputs!$B$6:$D$6,0))</x:f>
        <x:v>13</x:v>
      </x:c>
      <x:c r="H919" s="14" t="n">
        <x:f>MIN(=INDEX(Inputs!$B$7:$D$7,1,MATCH(A919,Inputs!$B$6:$D$6,0)),MAX(0,INDEX(Inputs!$B$14:$D$14,1,MATCH(A919,Inputs!$B$6:$D$6,0))-(C919-1)*=INDEX(Inputs!$B$7:$D$7,1,MATCH(A919,Inputs!$B$6:$D$6,0))))</x:f>
        <x:v>13</x:v>
      </x:c>
      <x:c r="I919" s="20" t="n">
        <x:f>INDEX(Inputs!$B$8:$D$8,1,MATCH(A919,Inputs!$B$6:$D$6,0))</x:f>
        <x:v>2395</x:v>
      </x:c>
      <x:c r="J919" s="20" t="n">
        <x:f>INDEX(Roster!$C$6:$C$108,MATCH(D919,Roster!$A$6:$A$108,0))*(1+INDEX(Inputs!$B$9:$D$9,1,MATCH(A919,Inputs!$B$6:$D$6,0)))</x:f>
        <x:v>400</x:v>
      </x:c>
      <x:c r="K919" s="20" t="n">
        <x:f>IF(=INDEX(Roster!$F$6:$F$108,MATCH(D919,Roster!$A$6:$A$108,0))="Yes",0,=INDEX(Inputs!$B$8:$D$8,1,MATCH(A919,Inputs!$B$6:$D$6,0))*IF(=INDEX(Roster!$B$6:$B$108,MATCH(D919,Roster!$A$6:$A$108,0))="Principal",INDEX(Inputs!$B$10:$D$10,1,MATCH(A919,Inputs!$B$6:$D$6,0)),IF(=INDEX(Roster!$B$6:$B$108,MATCH(D919,Roster!$A$6:$A$108,0))="Associate Principal",INDEX(Inputs!$B$11:$D$11,1,MATCH(A919,Inputs!$B$6:$D$6,0)),IF(=INDEX(Roster!$B$6:$B$108,MATCH(D919,Roster!$A$6:$A$108,0))="Assistant Principal",INDEX(Inputs!$B$12:$D$12,1,MATCH(A919,Inputs!$B$6:$D$6,0)),0))))</x:f>
        <x:v>0</x:v>
      </x:c>
      <x:c r="L919" s="20" t="n">
        <x:f>IF(INDEX(Roster!$D$6:$D$108,MATCH(D919,Roster!$A$6:$A$108,0))&gt;=25,INDEX(Inputs!$B$19:$D$19,1,MATCH(A919,Inputs!$B$6:$D$6,0)),IF(INDEX(Roster!$D$6:$D$108,MATCH(D919,Roster!$A$6:$A$108,0))&gt;=20,INDEX(Inputs!$B$18:$D$18,1,MATCH(A919,Inputs!$B$6:$D$6,0)),IF(INDEX(Roster!$D$6:$D$108,MATCH(D919,Roster!$A$6:$A$108,0))&gt;=15,INDEX(Inputs!$B$17:$D$17,1,MATCH(A919,Inputs!$B$6:$D$6,0)),IF(INDEX(Roster!$D$6:$D$108,MATCH(D919,Roster!$A$6:$A$108,0))&gt;=10,INDEX(Inputs!$B$16:$D$16,1,MATCH(A919,Inputs!$B$6:$D$6,0)),IF(INDEX(Roster!$D$6:$D$108,MATCH(D919,Roster!$A$6:$A$108,0))&gt;=5,INDEX(Inputs!$B$15:$D$15,1,MATCH(A919,Inputs!$B$6:$D$6,0)),0)))))</x:f>
        <x:v>50</x:v>
      </x:c>
      <x:c r="M919" s="20" t="n">
        <x:f>G919*I919</x:f>
        <x:v>31135</x:v>
      </x:c>
      <x:c r="N919" s="20" t="n">
        <x:f>G919*J919</x:f>
        <x:v>5200</x:v>
      </x:c>
      <x:c r="O919" s="20" t="n">
        <x:f>G919*K919</x:f>
        <x:v>0</x:v>
      </x:c>
      <x:c r="P919" s="20" t="n">
        <x:f>G919*L919</x:f>
        <x:v>650</x:v>
      </x:c>
      <x:c r="Q919" s="20" t="n">
        <x:f>H919*INDEX(Inputs!$B$13:$D$13,1,MATCH(A919,Inputs!$B$6:$D$6,0))</x:f>
        <x:v>390</x:v>
      </x:c>
      <x:c r="R919" s="20" t="n">
        <x:f>SUM(M919:Q919)</x:f>
        <x:v>37375</x:v>
      </x:c>
      <x:c r="S919" s="20" t="n">
        <x:f>IF(AND(A918=A919,D918=D919),S918+R919,R919)</x:f>
        <x:v>74750</x:v>
      </x:c>
      <x:c r="T919" s="20" t="n">
        <x:f>MIN(S919,INDEX(Inputs!$B$20:$D$20,1,MATCH(A919,Inputs!$B$6:$D$6,0)))*INDEX(Inputs!$B$22:$D$22,1,MATCH(A919,Inputs!$B$6:$D$6,0))+MAX(MIN(S919,INDEX(Inputs!$B$21:$D$21,1,MATCH(A919,Inputs!$B$6:$D$6,0)))-INDEX(Inputs!$B$20:$D$20,1,MATCH(A919,Inputs!$B$6:$D$6,0)),0)*INDEX(Inputs!$B$23:$D$23,1,MATCH(A919,Inputs!$B$6:$D$6,0))+MAX(S919-INDEX(Inputs!$B$21:$D$21,1,MATCH(A919,Inputs!$B$6:$D$6,0)),0)*INDEX(Inputs!$B$24:$D$24,1,MATCH(A919,Inputs!$B$6:$D$6,0))</x:f>
        <x:v>6208.375</x:v>
      </x:c>
      <x:c r="U919" s="20" t="n">
        <x:f>IF(AND(A918=A919,D918=D919),T918,0)</x:f>
        <x:v>3349.1875</x:v>
      </x:c>
      <x:c r="V919" s="20" t="n">
        <x:f>T919-U919</x:f>
        <x:v>2859.1875</x:v>
      </x:c>
      <x:c r="W919" s="20" t="n">
        <x:f>R919+V919</x:f>
        <x:v>40234.1875</x:v>
      </x:c>
      <x:c r="X919" s="14" t="str">
        <x:f>IF(ABS(W919-SUM(M919:Q919)-V919)&lt;0.01,"OK","Check")</x:f>
        <x:v>OK</x:v>
      </x:c>
    </x:row>
    <x:row r="920">
      <x:c r="A920" s="14" t="n">
        <x:v>2028</x:v>
      </x:c>
      <x:c r="B920" s="14" t="str">
        <x:v>Q3</x:v>
      </x:c>
      <x:c r="C920" s="14" t="n">
        <x:v>3</x:v>
      </x:c>
      <x:c r="D920" s="14" t="n">
        <x:v>23</x:v>
      </x:c>
      <x:c r="E920" s="14" t="str">
        <x:f>INDEX(Roster!$B$6:$B$108,MATCH(D920,Roster!$A$6:$A$108,0))</x:f>
      </x:c>
      <x:c r="F920" s="14" t="str">
        <x:f>INDEX(Roster!$F$6:$F$108,MATCH(D920,Roster!$A$6:$A$108,0))</x:f>
        <x:v>No</x:v>
      </x:c>
      <x:c r="G920" s="14" t="n">
        <x:f>INDEX(Inputs!$B$7:$D$7,1,MATCH(A920,Inputs!$B$6:$D$6,0))</x:f>
        <x:v>13</x:v>
      </x:c>
      <x:c r="H920" s="14" t="n">
        <x:f>MIN(=INDEX(Inputs!$B$7:$D$7,1,MATCH(A920,Inputs!$B$6:$D$6,0)),MAX(0,INDEX(Inputs!$B$14:$D$14,1,MATCH(A920,Inputs!$B$6:$D$6,0))-(C920-1)*=INDEX(Inputs!$B$7:$D$7,1,MATCH(A920,Inputs!$B$6:$D$6,0))))</x:f>
        <x:v>13</x:v>
      </x:c>
      <x:c r="I920" s="20" t="n">
        <x:f>INDEX(Inputs!$B$8:$D$8,1,MATCH(A920,Inputs!$B$6:$D$6,0))</x:f>
        <x:v>2395</x:v>
      </x:c>
      <x:c r="J920" s="20" t="n">
        <x:f>INDEX(Roster!$C$6:$C$108,MATCH(D920,Roster!$A$6:$A$108,0))*(1+INDEX(Inputs!$B$9:$D$9,1,MATCH(A920,Inputs!$B$6:$D$6,0)))</x:f>
        <x:v>400</x:v>
      </x:c>
      <x:c r="K920" s="20" t="n">
        <x:f>IF(=INDEX(Roster!$F$6:$F$108,MATCH(D920,Roster!$A$6:$A$108,0))="Yes",0,=INDEX(Inputs!$B$8:$D$8,1,MATCH(A920,Inputs!$B$6:$D$6,0))*IF(=INDEX(Roster!$B$6:$B$108,MATCH(D920,Roster!$A$6:$A$108,0))="Principal",INDEX(Inputs!$B$10:$D$10,1,MATCH(A920,Inputs!$B$6:$D$6,0)),IF(=INDEX(Roster!$B$6:$B$108,MATCH(D920,Roster!$A$6:$A$108,0))="Associate Principal",INDEX(Inputs!$B$11:$D$11,1,MATCH(A920,Inputs!$B$6:$D$6,0)),IF(=INDEX(Roster!$B$6:$B$108,MATCH(D920,Roster!$A$6:$A$108,0))="Assistant Principal",INDEX(Inputs!$B$12:$D$12,1,MATCH(A920,Inputs!$B$6:$D$6,0)),0))))</x:f>
        <x:v>0</x:v>
      </x:c>
      <x:c r="L920" s="20" t="n">
        <x:f>IF(INDEX(Roster!$D$6:$D$108,MATCH(D920,Roster!$A$6:$A$108,0))&gt;=25,INDEX(Inputs!$B$19:$D$19,1,MATCH(A920,Inputs!$B$6:$D$6,0)),IF(INDEX(Roster!$D$6:$D$108,MATCH(D920,Roster!$A$6:$A$108,0))&gt;=20,INDEX(Inputs!$B$18:$D$18,1,MATCH(A920,Inputs!$B$6:$D$6,0)),IF(INDEX(Roster!$D$6:$D$108,MATCH(D920,Roster!$A$6:$A$108,0))&gt;=15,INDEX(Inputs!$B$17:$D$17,1,MATCH(A920,Inputs!$B$6:$D$6,0)),IF(INDEX(Roster!$D$6:$D$108,MATCH(D920,Roster!$A$6:$A$108,0))&gt;=10,INDEX(Inputs!$B$16:$D$16,1,MATCH(A920,Inputs!$B$6:$D$6,0)),IF(INDEX(Roster!$D$6:$D$108,MATCH(D920,Roster!$A$6:$A$108,0))&gt;=5,INDEX(Inputs!$B$15:$D$15,1,MATCH(A920,Inputs!$B$6:$D$6,0)),0)))))</x:f>
        <x:v>50</x:v>
      </x:c>
      <x:c r="M920" s="20" t="n">
        <x:f>G920*I920</x:f>
        <x:v>31135</x:v>
      </x:c>
      <x:c r="N920" s="20" t="n">
        <x:f>G920*J920</x:f>
        <x:v>5200</x:v>
      </x:c>
      <x:c r="O920" s="20" t="n">
        <x:f>G920*K920</x:f>
        <x:v>0</x:v>
      </x:c>
      <x:c r="P920" s="20" t="n">
        <x:f>G920*L920</x:f>
        <x:v>650</x:v>
      </x:c>
      <x:c r="Q920" s="20" t="n">
        <x:f>H920*INDEX(Inputs!$B$13:$D$13,1,MATCH(A920,Inputs!$B$6:$D$6,0))</x:f>
        <x:v>390</x:v>
      </x:c>
      <x:c r="R920" s="20" t="n">
        <x:f>SUM(M920:Q920)</x:f>
        <x:v>37375</x:v>
      </x:c>
      <x:c r="S920" s="20" t="n">
        <x:f>IF(AND(A919=A920,D919=D920),S919+R920,R920)</x:f>
        <x:v>112125</x:v>
      </x:c>
      <x:c r="T920" s="20" t="n">
        <x:f>MIN(S920,INDEX(Inputs!$B$20:$D$20,1,MATCH(A920,Inputs!$B$6:$D$6,0)))*INDEX(Inputs!$B$22:$D$22,1,MATCH(A920,Inputs!$B$6:$D$6,0))+MAX(MIN(S920,INDEX(Inputs!$B$21:$D$21,1,MATCH(A920,Inputs!$B$6:$D$6,0)))-INDEX(Inputs!$B$20:$D$20,1,MATCH(A920,Inputs!$B$6:$D$6,0)),0)*INDEX(Inputs!$B$23:$D$23,1,MATCH(A920,Inputs!$B$6:$D$6,0))+MAX(S920-INDEX(Inputs!$B$21:$D$21,1,MATCH(A920,Inputs!$B$6:$D$6,0)),0)*INDEX(Inputs!$B$24:$D$24,1,MATCH(A920,Inputs!$B$6:$D$6,0))</x:f>
        <x:v>9067.5625</x:v>
      </x:c>
      <x:c r="U920" s="20" t="n">
        <x:f>IF(AND(A919=A920,D919=D920),T919,0)</x:f>
        <x:v>6208.375</x:v>
      </x:c>
      <x:c r="V920" s="20" t="n">
        <x:f>T920-U920</x:f>
        <x:v>2859.1875</x:v>
      </x:c>
      <x:c r="W920" s="20" t="n">
        <x:f>R920+V920</x:f>
        <x:v>40234.1875</x:v>
      </x:c>
      <x:c r="X920" s="14" t="str">
        <x:f>IF(ABS(W920-SUM(M920:Q920)-V920)&lt;0.01,"OK","Check")</x:f>
        <x:v>OK</x:v>
      </x:c>
    </x:row>
    <x:row r="921">
      <x:c r="A921" s="14" t="n">
        <x:v>2028</x:v>
      </x:c>
      <x:c r="B921" s="14" t="str">
        <x:v>Q4</x:v>
      </x:c>
      <x:c r="C921" s="14" t="n">
        <x:v>4</x:v>
      </x:c>
      <x:c r="D921" s="14" t="n">
        <x:v>23</x:v>
      </x:c>
      <x:c r="E921" s="14" t="str">
        <x:f>INDEX(Roster!$B$6:$B$108,MATCH(D921,Roster!$A$6:$A$108,0))</x:f>
      </x:c>
      <x:c r="F921" s="14" t="str">
        <x:f>INDEX(Roster!$F$6:$F$108,MATCH(D921,Roster!$A$6:$A$108,0))</x:f>
        <x:v>No</x:v>
      </x:c>
      <x:c r="G921" s="14" t="n">
        <x:f>INDEX(Inputs!$B$7:$D$7,1,MATCH(A921,Inputs!$B$6:$D$6,0))</x:f>
        <x:v>13</x:v>
      </x:c>
      <x:c r="H921" s="14" t="n">
        <x:f>MIN(=INDEX(Inputs!$B$7:$D$7,1,MATCH(A921,Inputs!$B$6:$D$6,0)),MAX(0,INDEX(Inputs!$B$14:$D$14,1,MATCH(A921,Inputs!$B$6:$D$6,0))-(C921-1)*=INDEX(Inputs!$B$7:$D$7,1,MATCH(A921,Inputs!$B$6:$D$6,0))))</x:f>
        <x:v>0</x:v>
      </x:c>
      <x:c r="I921" s="20" t="n">
        <x:f>INDEX(Inputs!$B$8:$D$8,1,MATCH(A921,Inputs!$B$6:$D$6,0))</x:f>
        <x:v>2395</x:v>
      </x:c>
      <x:c r="J921" s="20" t="n">
        <x:f>INDEX(Roster!$C$6:$C$108,MATCH(D921,Roster!$A$6:$A$108,0))*(1+INDEX(Inputs!$B$9:$D$9,1,MATCH(A921,Inputs!$B$6:$D$6,0)))</x:f>
        <x:v>400</x:v>
      </x:c>
      <x:c r="K921" s="20" t="n">
        <x:f>IF(=INDEX(Roster!$F$6:$F$108,MATCH(D921,Roster!$A$6:$A$108,0))="Yes",0,=INDEX(Inputs!$B$8:$D$8,1,MATCH(A921,Inputs!$B$6:$D$6,0))*IF(=INDEX(Roster!$B$6:$B$108,MATCH(D921,Roster!$A$6:$A$108,0))="Principal",INDEX(Inputs!$B$10:$D$10,1,MATCH(A921,Inputs!$B$6:$D$6,0)),IF(=INDEX(Roster!$B$6:$B$108,MATCH(D921,Roster!$A$6:$A$108,0))="Associate Principal",INDEX(Inputs!$B$11:$D$11,1,MATCH(A921,Inputs!$B$6:$D$6,0)),IF(=INDEX(Roster!$B$6:$B$108,MATCH(D921,Roster!$A$6:$A$108,0))="Assistant Principal",INDEX(Inputs!$B$12:$D$12,1,MATCH(A921,Inputs!$B$6:$D$6,0)),0))))</x:f>
        <x:v>0</x:v>
      </x:c>
      <x:c r="L921" s="20" t="n">
        <x:f>IF(INDEX(Roster!$D$6:$D$108,MATCH(D921,Roster!$A$6:$A$108,0))&gt;=25,INDEX(Inputs!$B$19:$D$19,1,MATCH(A921,Inputs!$B$6:$D$6,0)),IF(INDEX(Roster!$D$6:$D$108,MATCH(D921,Roster!$A$6:$A$108,0))&gt;=20,INDEX(Inputs!$B$18:$D$18,1,MATCH(A921,Inputs!$B$6:$D$6,0)),IF(INDEX(Roster!$D$6:$D$108,MATCH(D921,Roster!$A$6:$A$108,0))&gt;=15,INDEX(Inputs!$B$17:$D$17,1,MATCH(A921,Inputs!$B$6:$D$6,0)),IF(INDEX(Roster!$D$6:$D$108,MATCH(D921,Roster!$A$6:$A$108,0))&gt;=10,INDEX(Inputs!$B$16:$D$16,1,MATCH(A921,Inputs!$B$6:$D$6,0)),IF(INDEX(Roster!$D$6:$D$108,MATCH(D921,Roster!$A$6:$A$108,0))&gt;=5,INDEX(Inputs!$B$15:$D$15,1,MATCH(A921,Inputs!$B$6:$D$6,0)),0)))))</x:f>
        <x:v>50</x:v>
      </x:c>
      <x:c r="M921" s="20" t="n">
        <x:f>G921*I921</x:f>
        <x:v>31135</x:v>
      </x:c>
      <x:c r="N921" s="20" t="n">
        <x:f>G921*J921</x:f>
        <x:v>5200</x:v>
      </x:c>
      <x:c r="O921" s="20" t="n">
        <x:f>G921*K921</x:f>
        <x:v>0</x:v>
      </x:c>
      <x:c r="P921" s="20" t="n">
        <x:f>G921*L921</x:f>
        <x:v>650</x:v>
      </x:c>
      <x:c r="Q921" s="20" t="n">
        <x:f>H921*INDEX(Inputs!$B$13:$D$13,1,MATCH(A921,Inputs!$B$6:$D$6,0))</x:f>
        <x:v>0</x:v>
      </x:c>
      <x:c r="R921" s="20" t="n">
        <x:f>SUM(M921:Q921)</x:f>
        <x:v>36985</x:v>
      </x:c>
      <x:c r="S921" s="20" t="n">
        <x:f>IF(AND(A920=A921,D920=D921),S920+R921,R921)</x:f>
        <x:v>149110</x:v>
      </x:c>
      <x:c r="T921" s="20" t="n">
        <x:f>MIN(S921,INDEX(Inputs!$B$20:$D$20,1,MATCH(A921,Inputs!$B$6:$D$6,0)))*INDEX(Inputs!$B$22:$D$22,1,MATCH(A921,Inputs!$B$6:$D$6,0))+MAX(MIN(S921,INDEX(Inputs!$B$21:$D$21,1,MATCH(A921,Inputs!$B$6:$D$6,0)))-INDEX(Inputs!$B$20:$D$20,1,MATCH(A921,Inputs!$B$6:$D$6,0)),0)*INDEX(Inputs!$B$23:$D$23,1,MATCH(A921,Inputs!$B$6:$D$6,0))+MAX(S921-INDEX(Inputs!$B$21:$D$21,1,MATCH(A921,Inputs!$B$6:$D$6,0)),0)*INDEX(Inputs!$B$24:$D$24,1,MATCH(A921,Inputs!$B$6:$D$6,0))</x:f>
        <x:v>10076.037</x:v>
      </x:c>
      <x:c r="U921" s="20" t="n">
        <x:f>IF(AND(A920=A921,D920=D921),T920,0)</x:f>
        <x:v>9067.5625</x:v>
      </x:c>
      <x:c r="V921" s="20" t="n">
        <x:f>T921-U921</x:f>
        <x:v>1008.4745000000003</x:v>
      </x:c>
      <x:c r="W921" s="20" t="n">
        <x:f>R921+V921</x:f>
        <x:v>37993.4745</x:v>
      </x:c>
      <x:c r="X921" s="14" t="str">
        <x:f>IF(ABS(W921-SUM(M921:Q921)-V921)&lt;0.01,"OK","Check")</x:f>
        <x:v>OK</x:v>
      </x:c>
    </x:row>
    <x:row r="922">
      <x:c r="A922" s="14" t="n">
        <x:v>2028</x:v>
      </x:c>
      <x:c r="B922" s="14" t="str">
        <x:v>Q1</x:v>
      </x:c>
      <x:c r="C922" s="14" t="n">
        <x:v>1</x:v>
      </x:c>
      <x:c r="D922" s="14" t="n">
        <x:v>24</x:v>
      </x:c>
      <x:c r="E922" s="14" t="str">
        <x:f>INDEX(Roster!$B$6:$B$108,MATCH(D922,Roster!$A$6:$A$108,0))</x:f>
        <x:v>Assistant Principal</x:v>
      </x:c>
      <x:c r="F922" s="14" t="str">
        <x:f>INDEX(Roster!$F$6:$F$108,MATCH(D922,Roster!$A$6:$A$108,0))</x:f>
        <x:v>No</x:v>
      </x:c>
      <x:c r="G922" s="14" t="n">
        <x:f>INDEX(Inputs!$B$7:$D$7,1,MATCH(A922,Inputs!$B$6:$D$6,0))</x:f>
        <x:v>13</x:v>
      </x:c>
      <x:c r="H922" s="14" t="n">
        <x:f>MIN(=INDEX(Inputs!$B$7:$D$7,1,MATCH(A922,Inputs!$B$6:$D$6,0)),MAX(0,INDEX(Inputs!$B$14:$D$14,1,MATCH(A922,Inputs!$B$6:$D$6,0))-(C922-1)*=INDEX(Inputs!$B$7:$D$7,1,MATCH(A922,Inputs!$B$6:$D$6,0))))</x:f>
        <x:v>13</x:v>
      </x:c>
      <x:c r="I922" s="20" t="n">
        <x:f>INDEX(Inputs!$B$8:$D$8,1,MATCH(A922,Inputs!$B$6:$D$6,0))</x:f>
        <x:v>2395</x:v>
      </x:c>
      <x:c r="J922" s="20" t="n">
        <x:f>INDEX(Roster!$C$6:$C$108,MATCH(D922,Roster!$A$6:$A$108,0))*(1+INDEX(Inputs!$B$9:$D$9,1,MATCH(A922,Inputs!$B$6:$D$6,0)))</x:f>
        <x:v>0</x:v>
      </x:c>
      <x:c r="K922" s="20" t="n">
        <x:f>IF(=INDEX(Roster!$F$6:$F$108,MATCH(D922,Roster!$A$6:$A$108,0))="Yes",0,=INDEX(Inputs!$B$8:$D$8,1,MATCH(A922,Inputs!$B$6:$D$6,0))*IF(=INDEX(Roster!$B$6:$B$108,MATCH(D922,Roster!$A$6:$A$108,0))="Principal",INDEX(Inputs!$B$10:$D$10,1,MATCH(A922,Inputs!$B$6:$D$6,0)),IF(=INDEX(Roster!$B$6:$B$108,MATCH(D922,Roster!$A$6:$A$108,0))="Associate Principal",INDEX(Inputs!$B$11:$D$11,1,MATCH(A922,Inputs!$B$6:$D$6,0)),IF(=INDEX(Roster!$B$6:$B$108,MATCH(D922,Roster!$A$6:$A$108,0))="Assistant Principal",INDEX(Inputs!$B$12:$D$12,1,MATCH(A922,Inputs!$B$6:$D$6,0)),0))))</x:f>
        <x:v>239.5</x:v>
      </x:c>
      <x:c r="L922" s="20" t="n">
        <x:f>IF(INDEX(Roster!$D$6:$D$108,MATCH(D922,Roster!$A$6:$A$108,0))&gt;=25,INDEX(Inputs!$B$19:$D$19,1,MATCH(A922,Inputs!$B$6:$D$6,0)),IF(INDEX(Roster!$D$6:$D$108,MATCH(D922,Roster!$A$6:$A$108,0))&gt;=20,INDEX(Inputs!$B$18:$D$18,1,MATCH(A922,Inputs!$B$6:$D$6,0)),IF(INDEX(Roster!$D$6:$D$108,MATCH(D922,Roster!$A$6:$A$108,0))&gt;=15,INDEX(Inputs!$B$17:$D$17,1,MATCH(A922,Inputs!$B$6:$D$6,0)),IF(INDEX(Roster!$D$6:$D$108,MATCH(D922,Roster!$A$6:$A$108,0))&gt;=10,INDEX(Inputs!$B$16:$D$16,1,MATCH(A922,Inputs!$B$6:$D$6,0)),IF(INDEX(Roster!$D$6:$D$108,MATCH(D922,Roster!$A$6:$A$108,0))&gt;=5,INDEX(Inputs!$B$15:$D$15,1,MATCH(A922,Inputs!$B$6:$D$6,0)),0)))))</x:f>
        <x:v>90</x:v>
      </x:c>
      <x:c r="M922" s="20" t="n">
        <x:f>G922*I922</x:f>
        <x:v>31135</x:v>
      </x:c>
      <x:c r="N922" s="20" t="n">
        <x:f>G922*J922</x:f>
        <x:v>0</x:v>
      </x:c>
      <x:c r="O922" s="20" t="n">
        <x:f>G922*K922</x:f>
        <x:v>3113.5</x:v>
      </x:c>
      <x:c r="P922" s="20" t="n">
        <x:f>G922*L922</x:f>
        <x:v>1170</x:v>
      </x:c>
      <x:c r="Q922" s="20" t="n">
        <x:f>H922*INDEX(Inputs!$B$13:$D$13,1,MATCH(A922,Inputs!$B$6:$D$6,0))</x:f>
        <x:v>390</x:v>
      </x:c>
      <x:c r="R922" s="20" t="n">
        <x:f>SUM(M922:Q922)</x:f>
        <x:v>35808.5</x:v>
      </x:c>
      <x:c r="S922" s="20" t="n">
        <x:f>IF(AND(A921=A922,D921=D922),S921+R922,R922)</x:f>
        <x:v>35808.5</x:v>
      </x:c>
      <x:c r="T922" s="20" t="n">
        <x:f>MIN(S922,INDEX(Inputs!$B$20:$D$20,1,MATCH(A922,Inputs!$B$6:$D$6,0)))*INDEX(Inputs!$B$22:$D$22,1,MATCH(A922,Inputs!$B$6:$D$6,0))+MAX(MIN(S922,INDEX(Inputs!$B$21:$D$21,1,MATCH(A922,Inputs!$B$6:$D$6,0)))-INDEX(Inputs!$B$20:$D$20,1,MATCH(A922,Inputs!$B$6:$D$6,0)),0)*INDEX(Inputs!$B$23:$D$23,1,MATCH(A922,Inputs!$B$6:$D$6,0))+MAX(S922-INDEX(Inputs!$B$21:$D$21,1,MATCH(A922,Inputs!$B$6:$D$6,0)),0)*INDEX(Inputs!$B$24:$D$24,1,MATCH(A922,Inputs!$B$6:$D$6,0))</x:f>
        <x:v>3229.35025</x:v>
      </x:c>
      <x:c r="U922" s="20" t="n">
        <x:f>IF(AND(A921=A922,D921=D922),T921,0)</x:f>
        <x:v>0</x:v>
      </x:c>
      <x:c r="V922" s="20" t="n">
        <x:f>T922-U922</x:f>
        <x:v>3229.35025</x:v>
      </x:c>
      <x:c r="W922" s="20" t="n">
        <x:f>R922+V922</x:f>
        <x:v>39037.85025</x:v>
      </x:c>
      <x:c r="X922" s="14" t="str">
        <x:f>IF(ABS(W922-SUM(M922:Q922)-V922)&lt;0.01,"OK","Check")</x:f>
        <x:v>OK</x:v>
      </x:c>
    </x:row>
    <x:row r="923">
      <x:c r="A923" s="14" t="n">
        <x:v>2028</x:v>
      </x:c>
      <x:c r="B923" s="14" t="str">
        <x:v>Q2</x:v>
      </x:c>
      <x:c r="C923" s="14" t="n">
        <x:v>2</x:v>
      </x:c>
      <x:c r="D923" s="14" t="n">
        <x:v>24</x:v>
      </x:c>
      <x:c r="E923" s="14" t="str">
        <x:f>INDEX(Roster!$B$6:$B$108,MATCH(D923,Roster!$A$6:$A$108,0))</x:f>
        <x:v>Assistant Principal</x:v>
      </x:c>
      <x:c r="F923" s="14" t="str">
        <x:f>INDEX(Roster!$F$6:$F$108,MATCH(D923,Roster!$A$6:$A$108,0))</x:f>
        <x:v>No</x:v>
      </x:c>
      <x:c r="G923" s="14" t="n">
        <x:f>INDEX(Inputs!$B$7:$D$7,1,MATCH(A923,Inputs!$B$6:$D$6,0))</x:f>
        <x:v>13</x:v>
      </x:c>
      <x:c r="H923" s="14" t="n">
        <x:f>MIN(=INDEX(Inputs!$B$7:$D$7,1,MATCH(A923,Inputs!$B$6:$D$6,0)),MAX(0,INDEX(Inputs!$B$14:$D$14,1,MATCH(A923,Inputs!$B$6:$D$6,0))-(C923-1)*=INDEX(Inputs!$B$7:$D$7,1,MATCH(A923,Inputs!$B$6:$D$6,0))))</x:f>
        <x:v>13</x:v>
      </x:c>
      <x:c r="I923" s="20" t="n">
        <x:f>INDEX(Inputs!$B$8:$D$8,1,MATCH(A923,Inputs!$B$6:$D$6,0))</x:f>
        <x:v>2395</x:v>
      </x:c>
      <x:c r="J923" s="20" t="n">
        <x:f>INDEX(Roster!$C$6:$C$108,MATCH(D923,Roster!$A$6:$A$108,0))*(1+INDEX(Inputs!$B$9:$D$9,1,MATCH(A923,Inputs!$B$6:$D$6,0)))</x:f>
        <x:v>0</x:v>
      </x:c>
      <x:c r="K923" s="20" t="n">
        <x:f>IF(=INDEX(Roster!$F$6:$F$108,MATCH(D923,Roster!$A$6:$A$108,0))="Yes",0,=INDEX(Inputs!$B$8:$D$8,1,MATCH(A923,Inputs!$B$6:$D$6,0))*IF(=INDEX(Roster!$B$6:$B$108,MATCH(D923,Roster!$A$6:$A$108,0))="Principal",INDEX(Inputs!$B$10:$D$10,1,MATCH(A923,Inputs!$B$6:$D$6,0)),IF(=INDEX(Roster!$B$6:$B$108,MATCH(D923,Roster!$A$6:$A$108,0))="Associate Principal",INDEX(Inputs!$B$11:$D$11,1,MATCH(A923,Inputs!$B$6:$D$6,0)),IF(=INDEX(Roster!$B$6:$B$108,MATCH(D923,Roster!$A$6:$A$108,0))="Assistant Principal",INDEX(Inputs!$B$12:$D$12,1,MATCH(A923,Inputs!$B$6:$D$6,0)),0))))</x:f>
        <x:v>239.5</x:v>
      </x:c>
      <x:c r="L923" s="20" t="n">
        <x:f>IF(INDEX(Roster!$D$6:$D$108,MATCH(D923,Roster!$A$6:$A$108,0))&gt;=25,INDEX(Inputs!$B$19:$D$19,1,MATCH(A923,Inputs!$B$6:$D$6,0)),IF(INDEX(Roster!$D$6:$D$108,MATCH(D923,Roster!$A$6:$A$108,0))&gt;=20,INDEX(Inputs!$B$18:$D$18,1,MATCH(A923,Inputs!$B$6:$D$6,0)),IF(INDEX(Roster!$D$6:$D$108,MATCH(D923,Roster!$A$6:$A$108,0))&gt;=15,INDEX(Inputs!$B$17:$D$17,1,MATCH(A923,Inputs!$B$6:$D$6,0)),IF(INDEX(Roster!$D$6:$D$108,MATCH(D923,Roster!$A$6:$A$108,0))&gt;=10,INDEX(Inputs!$B$16:$D$16,1,MATCH(A923,Inputs!$B$6:$D$6,0)),IF(INDEX(Roster!$D$6:$D$108,MATCH(D923,Roster!$A$6:$A$108,0))&gt;=5,INDEX(Inputs!$B$15:$D$15,1,MATCH(A923,Inputs!$B$6:$D$6,0)),0)))))</x:f>
        <x:v>90</x:v>
      </x:c>
      <x:c r="M923" s="20" t="n">
        <x:f>G923*I923</x:f>
        <x:v>31135</x:v>
      </x:c>
      <x:c r="N923" s="20" t="n">
        <x:f>G923*J923</x:f>
        <x:v>0</x:v>
      </x:c>
      <x:c r="O923" s="20" t="n">
        <x:f>G923*K923</x:f>
        <x:v>3113.5</x:v>
      </x:c>
      <x:c r="P923" s="20" t="n">
        <x:f>G923*L923</x:f>
        <x:v>1170</x:v>
      </x:c>
      <x:c r="Q923" s="20" t="n">
        <x:f>H923*INDEX(Inputs!$B$13:$D$13,1,MATCH(A923,Inputs!$B$6:$D$6,0))</x:f>
        <x:v>390</x:v>
      </x:c>
      <x:c r="R923" s="20" t="n">
        <x:f>SUM(M923:Q923)</x:f>
        <x:v>35808.5</x:v>
      </x:c>
      <x:c r="S923" s="20" t="n">
        <x:f>IF(AND(A922=A923,D922=D923),S922+R923,R923)</x:f>
        <x:v>71617</x:v>
      </x:c>
      <x:c r="T923" s="20" t="n">
        <x:f>MIN(S923,INDEX(Inputs!$B$20:$D$20,1,MATCH(A923,Inputs!$B$6:$D$6,0)))*INDEX(Inputs!$B$22:$D$22,1,MATCH(A923,Inputs!$B$6:$D$6,0))+MAX(MIN(S923,INDEX(Inputs!$B$21:$D$21,1,MATCH(A923,Inputs!$B$6:$D$6,0)))-INDEX(Inputs!$B$20:$D$20,1,MATCH(A923,Inputs!$B$6:$D$6,0)),0)*INDEX(Inputs!$B$23:$D$23,1,MATCH(A923,Inputs!$B$6:$D$6,0))+MAX(S923-INDEX(Inputs!$B$21:$D$21,1,MATCH(A923,Inputs!$B$6:$D$6,0)),0)*INDEX(Inputs!$B$24:$D$24,1,MATCH(A923,Inputs!$B$6:$D$6,0))</x:f>
        <x:v>5968.7005</x:v>
      </x:c>
      <x:c r="U923" s="20" t="n">
        <x:f>IF(AND(A922=A923,D922=D923),T922,0)</x:f>
        <x:v>3229.35025</x:v>
      </x:c>
      <x:c r="V923" s="20" t="n">
        <x:f>T923-U923</x:f>
        <x:v>2739.35025</x:v>
      </x:c>
      <x:c r="W923" s="20" t="n">
        <x:f>R923+V923</x:f>
        <x:v>38547.85025</x:v>
      </x:c>
      <x:c r="X923" s="14" t="str">
        <x:f>IF(ABS(W923-SUM(M923:Q923)-V923)&lt;0.01,"OK","Check")</x:f>
        <x:v>OK</x:v>
      </x:c>
    </x:row>
    <x:row r="924">
      <x:c r="A924" s="14" t="n">
        <x:v>2028</x:v>
      </x:c>
      <x:c r="B924" s="14" t="str">
        <x:v>Q3</x:v>
      </x:c>
      <x:c r="C924" s="14" t="n">
        <x:v>3</x:v>
      </x:c>
      <x:c r="D924" s="14" t="n">
        <x:v>24</x:v>
      </x:c>
      <x:c r="E924" s="14" t="str">
        <x:f>INDEX(Roster!$B$6:$B$108,MATCH(D924,Roster!$A$6:$A$108,0))</x:f>
        <x:v>Assistant Principal</x:v>
      </x:c>
      <x:c r="F924" s="14" t="str">
        <x:f>INDEX(Roster!$F$6:$F$108,MATCH(D924,Roster!$A$6:$A$108,0))</x:f>
        <x:v>No</x:v>
      </x:c>
      <x:c r="G924" s="14" t="n">
        <x:f>INDEX(Inputs!$B$7:$D$7,1,MATCH(A924,Inputs!$B$6:$D$6,0))</x:f>
        <x:v>13</x:v>
      </x:c>
      <x:c r="H924" s="14" t="n">
        <x:f>MIN(=INDEX(Inputs!$B$7:$D$7,1,MATCH(A924,Inputs!$B$6:$D$6,0)),MAX(0,INDEX(Inputs!$B$14:$D$14,1,MATCH(A924,Inputs!$B$6:$D$6,0))-(C924-1)*=INDEX(Inputs!$B$7:$D$7,1,MATCH(A924,Inputs!$B$6:$D$6,0))))</x:f>
        <x:v>13</x:v>
      </x:c>
      <x:c r="I924" s="20" t="n">
        <x:f>INDEX(Inputs!$B$8:$D$8,1,MATCH(A924,Inputs!$B$6:$D$6,0))</x:f>
        <x:v>2395</x:v>
      </x:c>
      <x:c r="J924" s="20" t="n">
        <x:f>INDEX(Roster!$C$6:$C$108,MATCH(D924,Roster!$A$6:$A$108,0))*(1+INDEX(Inputs!$B$9:$D$9,1,MATCH(A924,Inputs!$B$6:$D$6,0)))</x:f>
        <x:v>0</x:v>
      </x:c>
      <x:c r="K924" s="20" t="n">
        <x:f>IF(=INDEX(Roster!$F$6:$F$108,MATCH(D924,Roster!$A$6:$A$108,0))="Yes",0,=INDEX(Inputs!$B$8:$D$8,1,MATCH(A924,Inputs!$B$6:$D$6,0))*IF(=INDEX(Roster!$B$6:$B$108,MATCH(D924,Roster!$A$6:$A$108,0))="Principal",INDEX(Inputs!$B$10:$D$10,1,MATCH(A924,Inputs!$B$6:$D$6,0)),IF(=INDEX(Roster!$B$6:$B$108,MATCH(D924,Roster!$A$6:$A$108,0))="Associate Principal",INDEX(Inputs!$B$11:$D$11,1,MATCH(A924,Inputs!$B$6:$D$6,0)),IF(=INDEX(Roster!$B$6:$B$108,MATCH(D924,Roster!$A$6:$A$108,0))="Assistant Principal",INDEX(Inputs!$B$12:$D$12,1,MATCH(A924,Inputs!$B$6:$D$6,0)),0))))</x:f>
        <x:v>239.5</x:v>
      </x:c>
      <x:c r="L924" s="20" t="n">
        <x:f>IF(INDEX(Roster!$D$6:$D$108,MATCH(D924,Roster!$A$6:$A$108,0))&gt;=25,INDEX(Inputs!$B$19:$D$19,1,MATCH(A924,Inputs!$B$6:$D$6,0)),IF(INDEX(Roster!$D$6:$D$108,MATCH(D924,Roster!$A$6:$A$108,0))&gt;=20,INDEX(Inputs!$B$18:$D$18,1,MATCH(A924,Inputs!$B$6:$D$6,0)),IF(INDEX(Roster!$D$6:$D$108,MATCH(D924,Roster!$A$6:$A$108,0))&gt;=15,INDEX(Inputs!$B$17:$D$17,1,MATCH(A924,Inputs!$B$6:$D$6,0)),IF(INDEX(Roster!$D$6:$D$108,MATCH(D924,Roster!$A$6:$A$108,0))&gt;=10,INDEX(Inputs!$B$16:$D$16,1,MATCH(A924,Inputs!$B$6:$D$6,0)),IF(INDEX(Roster!$D$6:$D$108,MATCH(D924,Roster!$A$6:$A$108,0))&gt;=5,INDEX(Inputs!$B$15:$D$15,1,MATCH(A924,Inputs!$B$6:$D$6,0)),0)))))</x:f>
        <x:v>90</x:v>
      </x:c>
      <x:c r="M924" s="20" t="n">
        <x:f>G924*I924</x:f>
        <x:v>31135</x:v>
      </x:c>
      <x:c r="N924" s="20" t="n">
        <x:f>G924*J924</x:f>
        <x:v>0</x:v>
      </x:c>
      <x:c r="O924" s="20" t="n">
        <x:f>G924*K924</x:f>
        <x:v>3113.5</x:v>
      </x:c>
      <x:c r="P924" s="20" t="n">
        <x:f>G924*L924</x:f>
        <x:v>1170</x:v>
      </x:c>
      <x:c r="Q924" s="20" t="n">
        <x:f>H924*INDEX(Inputs!$B$13:$D$13,1,MATCH(A924,Inputs!$B$6:$D$6,0))</x:f>
        <x:v>390</x:v>
      </x:c>
      <x:c r="R924" s="20" t="n">
        <x:f>SUM(M924:Q924)</x:f>
        <x:v>35808.5</x:v>
      </x:c>
      <x:c r="S924" s="20" t="n">
        <x:f>IF(AND(A923=A924,D923=D924),S923+R924,R924)</x:f>
        <x:v>107425.5</x:v>
      </x:c>
      <x:c r="T924" s="20" t="n">
        <x:f>MIN(S924,INDEX(Inputs!$B$20:$D$20,1,MATCH(A924,Inputs!$B$6:$D$6,0)))*INDEX(Inputs!$B$22:$D$22,1,MATCH(A924,Inputs!$B$6:$D$6,0))+MAX(MIN(S924,INDEX(Inputs!$B$21:$D$21,1,MATCH(A924,Inputs!$B$6:$D$6,0)))-INDEX(Inputs!$B$20:$D$20,1,MATCH(A924,Inputs!$B$6:$D$6,0)),0)*INDEX(Inputs!$B$23:$D$23,1,MATCH(A924,Inputs!$B$6:$D$6,0))+MAX(S924-INDEX(Inputs!$B$21:$D$21,1,MATCH(A924,Inputs!$B$6:$D$6,0)),0)*INDEX(Inputs!$B$24:$D$24,1,MATCH(A924,Inputs!$B$6:$D$6,0))</x:f>
        <x:v>8708.050749999999</x:v>
      </x:c>
      <x:c r="U924" s="20" t="n">
        <x:f>IF(AND(A923=A924,D923=D924),T923,0)</x:f>
        <x:v>5968.7005</x:v>
      </x:c>
      <x:c r="V924" s="20" t="n">
        <x:f>T924-U924</x:f>
        <x:v>2739.3502499999986</x:v>
      </x:c>
      <x:c r="W924" s="20" t="n">
        <x:f>R924+V924</x:f>
        <x:v>38547.850249999996</x:v>
      </x:c>
      <x:c r="X924" s="14" t="str">
        <x:f>IF(ABS(W924-SUM(M924:Q924)-V924)&lt;0.01,"OK","Check")</x:f>
        <x:v>OK</x:v>
      </x:c>
    </x:row>
    <x:row r="925">
      <x:c r="A925" s="14" t="n">
        <x:v>2028</x:v>
      </x:c>
      <x:c r="B925" s="14" t="str">
        <x:v>Q4</x:v>
      </x:c>
      <x:c r="C925" s="14" t="n">
        <x:v>4</x:v>
      </x:c>
      <x:c r="D925" s="14" t="n">
        <x:v>24</x:v>
      </x:c>
      <x:c r="E925" s="14" t="str">
        <x:f>INDEX(Roster!$B$6:$B$108,MATCH(D925,Roster!$A$6:$A$108,0))</x:f>
        <x:v>Assistant Principal</x:v>
      </x:c>
      <x:c r="F925" s="14" t="str">
        <x:f>INDEX(Roster!$F$6:$F$108,MATCH(D925,Roster!$A$6:$A$108,0))</x:f>
        <x:v>No</x:v>
      </x:c>
      <x:c r="G925" s="14" t="n">
        <x:f>INDEX(Inputs!$B$7:$D$7,1,MATCH(A925,Inputs!$B$6:$D$6,0))</x:f>
        <x:v>13</x:v>
      </x:c>
      <x:c r="H925" s="14" t="n">
        <x:f>MIN(=INDEX(Inputs!$B$7:$D$7,1,MATCH(A925,Inputs!$B$6:$D$6,0)),MAX(0,INDEX(Inputs!$B$14:$D$14,1,MATCH(A925,Inputs!$B$6:$D$6,0))-(C925-1)*=INDEX(Inputs!$B$7:$D$7,1,MATCH(A925,Inputs!$B$6:$D$6,0))))</x:f>
        <x:v>0</x:v>
      </x:c>
      <x:c r="I925" s="20" t="n">
        <x:f>INDEX(Inputs!$B$8:$D$8,1,MATCH(A925,Inputs!$B$6:$D$6,0))</x:f>
        <x:v>2395</x:v>
      </x:c>
      <x:c r="J925" s="20" t="n">
        <x:f>INDEX(Roster!$C$6:$C$108,MATCH(D925,Roster!$A$6:$A$108,0))*(1+INDEX(Inputs!$B$9:$D$9,1,MATCH(A925,Inputs!$B$6:$D$6,0)))</x:f>
        <x:v>0</x:v>
      </x:c>
      <x:c r="K925" s="20" t="n">
        <x:f>IF(=INDEX(Roster!$F$6:$F$108,MATCH(D925,Roster!$A$6:$A$108,0))="Yes",0,=INDEX(Inputs!$B$8:$D$8,1,MATCH(A925,Inputs!$B$6:$D$6,0))*IF(=INDEX(Roster!$B$6:$B$108,MATCH(D925,Roster!$A$6:$A$108,0))="Principal",INDEX(Inputs!$B$10:$D$10,1,MATCH(A925,Inputs!$B$6:$D$6,0)),IF(=INDEX(Roster!$B$6:$B$108,MATCH(D925,Roster!$A$6:$A$108,0))="Associate Principal",INDEX(Inputs!$B$11:$D$11,1,MATCH(A925,Inputs!$B$6:$D$6,0)),IF(=INDEX(Roster!$B$6:$B$108,MATCH(D925,Roster!$A$6:$A$108,0))="Assistant Principal",INDEX(Inputs!$B$12:$D$12,1,MATCH(A925,Inputs!$B$6:$D$6,0)),0))))</x:f>
        <x:v>239.5</x:v>
      </x:c>
      <x:c r="L925" s="20" t="n">
        <x:f>IF(INDEX(Roster!$D$6:$D$108,MATCH(D925,Roster!$A$6:$A$108,0))&gt;=25,INDEX(Inputs!$B$19:$D$19,1,MATCH(A925,Inputs!$B$6:$D$6,0)),IF(INDEX(Roster!$D$6:$D$108,MATCH(D925,Roster!$A$6:$A$108,0))&gt;=20,INDEX(Inputs!$B$18:$D$18,1,MATCH(A925,Inputs!$B$6:$D$6,0)),IF(INDEX(Roster!$D$6:$D$108,MATCH(D925,Roster!$A$6:$A$108,0))&gt;=15,INDEX(Inputs!$B$17:$D$17,1,MATCH(A925,Inputs!$B$6:$D$6,0)),IF(INDEX(Roster!$D$6:$D$108,MATCH(D925,Roster!$A$6:$A$108,0))&gt;=10,INDEX(Inputs!$B$16:$D$16,1,MATCH(A925,Inputs!$B$6:$D$6,0)),IF(INDEX(Roster!$D$6:$D$108,MATCH(D925,Roster!$A$6:$A$108,0))&gt;=5,INDEX(Inputs!$B$15:$D$15,1,MATCH(A925,Inputs!$B$6:$D$6,0)),0)))))</x:f>
        <x:v>90</x:v>
      </x:c>
      <x:c r="M925" s="20" t="n">
        <x:f>G925*I925</x:f>
        <x:v>31135</x:v>
      </x:c>
      <x:c r="N925" s="20" t="n">
        <x:f>G925*J925</x:f>
        <x:v>0</x:v>
      </x:c>
      <x:c r="O925" s="20" t="n">
        <x:f>G925*K925</x:f>
        <x:v>3113.5</x:v>
      </x:c>
      <x:c r="P925" s="20" t="n">
        <x:f>G925*L925</x:f>
        <x:v>1170</x:v>
      </x:c>
      <x:c r="Q925" s="20" t="n">
        <x:f>H925*INDEX(Inputs!$B$13:$D$13,1,MATCH(A925,Inputs!$B$6:$D$6,0))</x:f>
        <x:v>0</x:v>
      </x:c>
      <x:c r="R925" s="20" t="n">
        <x:f>SUM(M925:Q925)</x:f>
        <x:v>35418.5</x:v>
      </x:c>
      <x:c r="S925" s="20" t="n">
        <x:f>IF(AND(A924=A925,D924=D925),S924+R925,R925)</x:f>
        <x:v>142844</x:v>
      </x:c>
      <x:c r="T925" s="20" t="n">
        <x:f>MIN(S925,INDEX(Inputs!$B$20:$D$20,1,MATCH(A925,Inputs!$B$6:$D$6,0)))*INDEX(Inputs!$B$22:$D$22,1,MATCH(A925,Inputs!$B$6:$D$6,0))+MAX(MIN(S925,INDEX(Inputs!$B$21:$D$21,1,MATCH(A925,Inputs!$B$6:$D$6,0)))-INDEX(Inputs!$B$20:$D$20,1,MATCH(A925,Inputs!$B$6:$D$6,0)),0)*INDEX(Inputs!$B$23:$D$23,1,MATCH(A925,Inputs!$B$6:$D$6,0))+MAX(S925-INDEX(Inputs!$B$21:$D$21,1,MATCH(A925,Inputs!$B$6:$D$6,0)),0)*INDEX(Inputs!$B$24:$D$24,1,MATCH(A925,Inputs!$B$6:$D$6,0))</x:f>
        <x:v>9985.18</x:v>
      </x:c>
      <x:c r="U925" s="20" t="n">
        <x:f>IF(AND(A924=A925,D924=D925),T924,0)</x:f>
        <x:v>8708.050749999999</x:v>
      </x:c>
      <x:c r="V925" s="20" t="n">
        <x:f>T925-U925</x:f>
        <x:v>1277.1292500000018</x:v>
      </x:c>
      <x:c r="W925" s="20" t="n">
        <x:f>R925+V925</x:f>
        <x:v>36695.62925</x:v>
      </x:c>
      <x:c r="X925" s="14" t="str">
        <x:f>IF(ABS(W925-SUM(M925:Q925)-V925)&lt;0.01,"OK","Check")</x:f>
        <x:v>OK</x:v>
      </x:c>
    </x:row>
    <x:row r="926">
      <x:c r="A926" s="14" t="n">
        <x:v>2028</x:v>
      </x:c>
      <x:c r="B926" s="14" t="str">
        <x:v>Q1</x:v>
      </x:c>
      <x:c r="C926" s="14" t="n">
        <x:v>1</x:v>
      </x:c>
      <x:c r="D926" s="14" t="n">
        <x:v>25</x:v>
      </x:c>
      <x:c r="E926" s="14" t="str">
        <x:f>INDEX(Roster!$B$6:$B$108,MATCH(D926,Roster!$A$6:$A$108,0))</x:f>
      </x:c>
      <x:c r="F926" s="14" t="str">
        <x:f>INDEX(Roster!$F$6:$F$108,MATCH(D926,Roster!$A$6:$A$108,0))</x:f>
        <x:v>No</x:v>
      </x:c>
      <x:c r="G926" s="14" t="n">
        <x:f>INDEX(Inputs!$B$7:$D$7,1,MATCH(A926,Inputs!$B$6:$D$6,0))</x:f>
        <x:v>13</x:v>
      </x:c>
      <x:c r="H926" s="14" t="n">
        <x:f>MIN(=INDEX(Inputs!$B$7:$D$7,1,MATCH(A926,Inputs!$B$6:$D$6,0)),MAX(0,INDEX(Inputs!$B$14:$D$14,1,MATCH(A926,Inputs!$B$6:$D$6,0))-(C926-1)*=INDEX(Inputs!$B$7:$D$7,1,MATCH(A926,Inputs!$B$6:$D$6,0))))</x:f>
        <x:v>13</x:v>
      </x:c>
      <x:c r="I926" s="20" t="n">
        <x:f>INDEX(Inputs!$B$8:$D$8,1,MATCH(A926,Inputs!$B$6:$D$6,0))</x:f>
        <x:v>2395</x:v>
      </x:c>
      <x:c r="J926" s="20" t="n">
        <x:f>INDEX(Roster!$C$6:$C$108,MATCH(D926,Roster!$A$6:$A$108,0))*(1+INDEX(Inputs!$B$9:$D$9,1,MATCH(A926,Inputs!$B$6:$D$6,0)))</x:f>
        <x:v>20</x:v>
      </x:c>
      <x:c r="K926" s="20" t="n">
        <x:f>IF(=INDEX(Roster!$F$6:$F$108,MATCH(D926,Roster!$A$6:$A$108,0))="Yes",0,=INDEX(Inputs!$B$8:$D$8,1,MATCH(A926,Inputs!$B$6:$D$6,0))*IF(=INDEX(Roster!$B$6:$B$108,MATCH(D926,Roster!$A$6:$A$108,0))="Principal",INDEX(Inputs!$B$10:$D$10,1,MATCH(A926,Inputs!$B$6:$D$6,0)),IF(=INDEX(Roster!$B$6:$B$108,MATCH(D926,Roster!$A$6:$A$108,0))="Associate Principal",INDEX(Inputs!$B$11:$D$11,1,MATCH(A926,Inputs!$B$6:$D$6,0)),IF(=INDEX(Roster!$B$6:$B$108,MATCH(D926,Roster!$A$6:$A$108,0))="Assistant Principal",INDEX(Inputs!$B$12:$D$12,1,MATCH(A926,Inputs!$B$6:$D$6,0)),0))))</x:f>
        <x:v>0</x:v>
      </x:c>
      <x:c r="L926" s="20" t="n">
        <x:f>IF(INDEX(Roster!$D$6:$D$108,MATCH(D926,Roster!$A$6:$A$108,0))&gt;=25,INDEX(Inputs!$B$19:$D$19,1,MATCH(A926,Inputs!$B$6:$D$6,0)),IF(INDEX(Roster!$D$6:$D$108,MATCH(D926,Roster!$A$6:$A$108,0))&gt;=20,INDEX(Inputs!$B$18:$D$18,1,MATCH(A926,Inputs!$B$6:$D$6,0)),IF(INDEX(Roster!$D$6:$D$108,MATCH(D926,Roster!$A$6:$A$108,0))&gt;=15,INDEX(Inputs!$B$17:$D$17,1,MATCH(A926,Inputs!$B$6:$D$6,0)),IF(INDEX(Roster!$D$6:$D$108,MATCH(D926,Roster!$A$6:$A$108,0))&gt;=10,INDEX(Inputs!$B$16:$D$16,1,MATCH(A926,Inputs!$B$6:$D$6,0)),IF(INDEX(Roster!$D$6:$D$108,MATCH(D926,Roster!$A$6:$A$108,0))&gt;=5,INDEX(Inputs!$B$15:$D$15,1,MATCH(A926,Inputs!$B$6:$D$6,0)),0)))))</x:f>
        <x:v>60</x:v>
      </x:c>
      <x:c r="M926" s="20" t="n">
        <x:f>G926*I926</x:f>
        <x:v>31135</x:v>
      </x:c>
      <x:c r="N926" s="20" t="n">
        <x:f>G926*J926</x:f>
        <x:v>260</x:v>
      </x:c>
      <x:c r="O926" s="20" t="n">
        <x:f>G926*K926</x:f>
        <x:v>0</x:v>
      </x:c>
      <x:c r="P926" s="20" t="n">
        <x:f>G926*L926</x:f>
        <x:v>780</x:v>
      </x:c>
      <x:c r="Q926" s="20" t="n">
        <x:f>H926*INDEX(Inputs!$B$13:$D$13,1,MATCH(A926,Inputs!$B$6:$D$6,0))</x:f>
        <x:v>390</x:v>
      </x:c>
      <x:c r="R926" s="20" t="n">
        <x:f>SUM(M926:Q926)</x:f>
        <x:v>32565</x:v>
      </x:c>
      <x:c r="S926" s="20" t="n">
        <x:f>IF(AND(A925=A926,D925=D926),S925+R926,R926)</x:f>
        <x:v>32565</x:v>
      </x:c>
      <x:c r="T926" s="20" t="n">
        <x:f>MIN(S926,INDEX(Inputs!$B$20:$D$20,1,MATCH(A926,Inputs!$B$6:$D$6,0)))*INDEX(Inputs!$B$22:$D$22,1,MATCH(A926,Inputs!$B$6:$D$6,0))+MAX(MIN(S926,INDEX(Inputs!$B$21:$D$21,1,MATCH(A926,Inputs!$B$6:$D$6,0)))-INDEX(Inputs!$B$20:$D$20,1,MATCH(A926,Inputs!$B$6:$D$6,0)),0)*INDEX(Inputs!$B$23:$D$23,1,MATCH(A926,Inputs!$B$6:$D$6,0))+MAX(S926-INDEX(Inputs!$B$21:$D$21,1,MATCH(A926,Inputs!$B$6:$D$6,0)),0)*INDEX(Inputs!$B$24:$D$24,1,MATCH(A926,Inputs!$B$6:$D$6,0))</x:f>
        <x:v>2981.2225</x:v>
      </x:c>
      <x:c r="U926" s="20" t="n">
        <x:f>IF(AND(A925=A926,D925=D926),T925,0)</x:f>
        <x:v>0</x:v>
      </x:c>
      <x:c r="V926" s="20" t="n">
        <x:f>T926-U926</x:f>
        <x:v>2981.2225</x:v>
      </x:c>
      <x:c r="W926" s="20" t="n">
        <x:f>R926+V926</x:f>
        <x:v>35546.2225</x:v>
      </x:c>
      <x:c r="X926" s="14" t="str">
        <x:f>IF(ABS(W926-SUM(M926:Q926)-V926)&lt;0.01,"OK","Check")</x:f>
        <x:v>OK</x:v>
      </x:c>
    </x:row>
    <x:row r="927">
      <x:c r="A927" s="14" t="n">
        <x:v>2028</x:v>
      </x:c>
      <x:c r="B927" s="14" t="str">
        <x:v>Q2</x:v>
      </x:c>
      <x:c r="C927" s="14" t="n">
        <x:v>2</x:v>
      </x:c>
      <x:c r="D927" s="14" t="n">
        <x:v>25</x:v>
      </x:c>
      <x:c r="E927" s="14" t="str">
        <x:f>INDEX(Roster!$B$6:$B$108,MATCH(D927,Roster!$A$6:$A$108,0))</x:f>
      </x:c>
      <x:c r="F927" s="14" t="str">
        <x:f>INDEX(Roster!$F$6:$F$108,MATCH(D927,Roster!$A$6:$A$108,0))</x:f>
        <x:v>No</x:v>
      </x:c>
      <x:c r="G927" s="14" t="n">
        <x:f>INDEX(Inputs!$B$7:$D$7,1,MATCH(A927,Inputs!$B$6:$D$6,0))</x:f>
        <x:v>13</x:v>
      </x:c>
      <x:c r="H927" s="14" t="n">
        <x:f>MIN(=INDEX(Inputs!$B$7:$D$7,1,MATCH(A927,Inputs!$B$6:$D$6,0)),MAX(0,INDEX(Inputs!$B$14:$D$14,1,MATCH(A927,Inputs!$B$6:$D$6,0))-(C927-1)*=INDEX(Inputs!$B$7:$D$7,1,MATCH(A927,Inputs!$B$6:$D$6,0))))</x:f>
        <x:v>13</x:v>
      </x:c>
      <x:c r="I927" s="20" t="n">
        <x:f>INDEX(Inputs!$B$8:$D$8,1,MATCH(A927,Inputs!$B$6:$D$6,0))</x:f>
        <x:v>2395</x:v>
      </x:c>
      <x:c r="J927" s="20" t="n">
        <x:f>INDEX(Roster!$C$6:$C$108,MATCH(D927,Roster!$A$6:$A$108,0))*(1+INDEX(Inputs!$B$9:$D$9,1,MATCH(A927,Inputs!$B$6:$D$6,0)))</x:f>
        <x:v>20</x:v>
      </x:c>
      <x:c r="K927" s="20" t="n">
        <x:f>IF(=INDEX(Roster!$F$6:$F$108,MATCH(D927,Roster!$A$6:$A$108,0))="Yes",0,=INDEX(Inputs!$B$8:$D$8,1,MATCH(A927,Inputs!$B$6:$D$6,0))*IF(=INDEX(Roster!$B$6:$B$108,MATCH(D927,Roster!$A$6:$A$108,0))="Principal",INDEX(Inputs!$B$10:$D$10,1,MATCH(A927,Inputs!$B$6:$D$6,0)),IF(=INDEX(Roster!$B$6:$B$108,MATCH(D927,Roster!$A$6:$A$108,0))="Associate Principal",INDEX(Inputs!$B$11:$D$11,1,MATCH(A927,Inputs!$B$6:$D$6,0)),IF(=INDEX(Roster!$B$6:$B$108,MATCH(D927,Roster!$A$6:$A$108,0))="Assistant Principal",INDEX(Inputs!$B$12:$D$12,1,MATCH(A927,Inputs!$B$6:$D$6,0)),0))))</x:f>
        <x:v>0</x:v>
      </x:c>
      <x:c r="L927" s="20" t="n">
        <x:f>IF(INDEX(Roster!$D$6:$D$108,MATCH(D927,Roster!$A$6:$A$108,0))&gt;=25,INDEX(Inputs!$B$19:$D$19,1,MATCH(A927,Inputs!$B$6:$D$6,0)),IF(INDEX(Roster!$D$6:$D$108,MATCH(D927,Roster!$A$6:$A$108,0))&gt;=20,INDEX(Inputs!$B$18:$D$18,1,MATCH(A927,Inputs!$B$6:$D$6,0)),IF(INDEX(Roster!$D$6:$D$108,MATCH(D927,Roster!$A$6:$A$108,0))&gt;=15,INDEX(Inputs!$B$17:$D$17,1,MATCH(A927,Inputs!$B$6:$D$6,0)),IF(INDEX(Roster!$D$6:$D$108,MATCH(D927,Roster!$A$6:$A$108,0))&gt;=10,INDEX(Inputs!$B$16:$D$16,1,MATCH(A927,Inputs!$B$6:$D$6,0)),IF(INDEX(Roster!$D$6:$D$108,MATCH(D927,Roster!$A$6:$A$108,0))&gt;=5,INDEX(Inputs!$B$15:$D$15,1,MATCH(A927,Inputs!$B$6:$D$6,0)),0)))))</x:f>
        <x:v>60</x:v>
      </x:c>
      <x:c r="M927" s="20" t="n">
        <x:f>G927*I927</x:f>
        <x:v>31135</x:v>
      </x:c>
      <x:c r="N927" s="20" t="n">
        <x:f>G927*J927</x:f>
        <x:v>260</x:v>
      </x:c>
      <x:c r="O927" s="20" t="n">
        <x:f>G927*K927</x:f>
        <x:v>0</x:v>
      </x:c>
      <x:c r="P927" s="20" t="n">
        <x:f>G927*L927</x:f>
        <x:v>780</x:v>
      </x:c>
      <x:c r="Q927" s="20" t="n">
        <x:f>H927*INDEX(Inputs!$B$13:$D$13,1,MATCH(A927,Inputs!$B$6:$D$6,0))</x:f>
        <x:v>390</x:v>
      </x:c>
      <x:c r="R927" s="20" t="n">
        <x:f>SUM(M927:Q927)</x:f>
        <x:v>32565</x:v>
      </x:c>
      <x:c r="S927" s="20" t="n">
        <x:f>IF(AND(A926=A927,D926=D927),S926+R927,R927)</x:f>
        <x:v>65130</x:v>
      </x:c>
      <x:c r="T927" s="20" t="n">
        <x:f>MIN(S927,INDEX(Inputs!$B$20:$D$20,1,MATCH(A927,Inputs!$B$6:$D$6,0)))*INDEX(Inputs!$B$22:$D$22,1,MATCH(A927,Inputs!$B$6:$D$6,0))+MAX(MIN(S927,INDEX(Inputs!$B$21:$D$21,1,MATCH(A927,Inputs!$B$6:$D$6,0)))-INDEX(Inputs!$B$20:$D$20,1,MATCH(A927,Inputs!$B$6:$D$6,0)),0)*INDEX(Inputs!$B$23:$D$23,1,MATCH(A927,Inputs!$B$6:$D$6,0))+MAX(S927-INDEX(Inputs!$B$21:$D$21,1,MATCH(A927,Inputs!$B$6:$D$6,0)),0)*INDEX(Inputs!$B$24:$D$24,1,MATCH(A927,Inputs!$B$6:$D$6,0))</x:f>
        <x:v>5472.445</x:v>
      </x:c>
      <x:c r="U927" s="20" t="n">
        <x:f>IF(AND(A926=A927,D926=D927),T926,0)</x:f>
        <x:v>2981.2225</x:v>
      </x:c>
      <x:c r="V927" s="20" t="n">
        <x:f>T927-U927</x:f>
        <x:v>2491.2225</x:v>
      </x:c>
      <x:c r="W927" s="20" t="n">
        <x:f>R927+V927</x:f>
        <x:v>35056.2225</x:v>
      </x:c>
      <x:c r="X927" s="14" t="str">
        <x:f>IF(ABS(W927-SUM(M927:Q927)-V927)&lt;0.01,"OK","Check")</x:f>
        <x:v>OK</x:v>
      </x:c>
    </x:row>
    <x:row r="928">
      <x:c r="A928" s="14" t="n">
        <x:v>2028</x:v>
      </x:c>
      <x:c r="B928" s="14" t="str">
        <x:v>Q3</x:v>
      </x:c>
      <x:c r="C928" s="14" t="n">
        <x:v>3</x:v>
      </x:c>
      <x:c r="D928" s="14" t="n">
        <x:v>25</x:v>
      </x:c>
      <x:c r="E928" s="14" t="str">
        <x:f>INDEX(Roster!$B$6:$B$108,MATCH(D928,Roster!$A$6:$A$108,0))</x:f>
      </x:c>
      <x:c r="F928" s="14" t="str">
        <x:f>INDEX(Roster!$F$6:$F$108,MATCH(D928,Roster!$A$6:$A$108,0))</x:f>
        <x:v>No</x:v>
      </x:c>
      <x:c r="G928" s="14" t="n">
        <x:f>INDEX(Inputs!$B$7:$D$7,1,MATCH(A928,Inputs!$B$6:$D$6,0))</x:f>
        <x:v>13</x:v>
      </x:c>
      <x:c r="H928" s="14" t="n">
        <x:f>MIN(=INDEX(Inputs!$B$7:$D$7,1,MATCH(A928,Inputs!$B$6:$D$6,0)),MAX(0,INDEX(Inputs!$B$14:$D$14,1,MATCH(A928,Inputs!$B$6:$D$6,0))-(C928-1)*=INDEX(Inputs!$B$7:$D$7,1,MATCH(A928,Inputs!$B$6:$D$6,0))))</x:f>
        <x:v>13</x:v>
      </x:c>
      <x:c r="I928" s="20" t="n">
        <x:f>INDEX(Inputs!$B$8:$D$8,1,MATCH(A928,Inputs!$B$6:$D$6,0))</x:f>
        <x:v>2395</x:v>
      </x:c>
      <x:c r="J928" s="20" t="n">
        <x:f>INDEX(Roster!$C$6:$C$108,MATCH(D928,Roster!$A$6:$A$108,0))*(1+INDEX(Inputs!$B$9:$D$9,1,MATCH(A928,Inputs!$B$6:$D$6,0)))</x:f>
        <x:v>20</x:v>
      </x:c>
      <x:c r="K928" s="20" t="n">
        <x:f>IF(=INDEX(Roster!$F$6:$F$108,MATCH(D928,Roster!$A$6:$A$108,0))="Yes",0,=INDEX(Inputs!$B$8:$D$8,1,MATCH(A928,Inputs!$B$6:$D$6,0))*IF(=INDEX(Roster!$B$6:$B$108,MATCH(D928,Roster!$A$6:$A$108,0))="Principal",INDEX(Inputs!$B$10:$D$10,1,MATCH(A928,Inputs!$B$6:$D$6,0)),IF(=INDEX(Roster!$B$6:$B$108,MATCH(D928,Roster!$A$6:$A$108,0))="Associate Principal",INDEX(Inputs!$B$11:$D$11,1,MATCH(A928,Inputs!$B$6:$D$6,0)),IF(=INDEX(Roster!$B$6:$B$108,MATCH(D928,Roster!$A$6:$A$108,0))="Assistant Principal",INDEX(Inputs!$B$12:$D$12,1,MATCH(A928,Inputs!$B$6:$D$6,0)),0))))</x:f>
        <x:v>0</x:v>
      </x:c>
      <x:c r="L928" s="20" t="n">
        <x:f>IF(INDEX(Roster!$D$6:$D$108,MATCH(D928,Roster!$A$6:$A$108,0))&gt;=25,INDEX(Inputs!$B$19:$D$19,1,MATCH(A928,Inputs!$B$6:$D$6,0)),IF(INDEX(Roster!$D$6:$D$108,MATCH(D928,Roster!$A$6:$A$108,0))&gt;=20,INDEX(Inputs!$B$18:$D$18,1,MATCH(A928,Inputs!$B$6:$D$6,0)),IF(INDEX(Roster!$D$6:$D$108,MATCH(D928,Roster!$A$6:$A$108,0))&gt;=15,INDEX(Inputs!$B$17:$D$17,1,MATCH(A928,Inputs!$B$6:$D$6,0)),IF(INDEX(Roster!$D$6:$D$108,MATCH(D928,Roster!$A$6:$A$108,0))&gt;=10,INDEX(Inputs!$B$16:$D$16,1,MATCH(A928,Inputs!$B$6:$D$6,0)),IF(INDEX(Roster!$D$6:$D$108,MATCH(D928,Roster!$A$6:$A$108,0))&gt;=5,INDEX(Inputs!$B$15:$D$15,1,MATCH(A928,Inputs!$B$6:$D$6,0)),0)))))</x:f>
        <x:v>60</x:v>
      </x:c>
      <x:c r="M928" s="20" t="n">
        <x:f>G928*I928</x:f>
        <x:v>31135</x:v>
      </x:c>
      <x:c r="N928" s="20" t="n">
        <x:f>G928*J928</x:f>
        <x:v>260</x:v>
      </x:c>
      <x:c r="O928" s="20" t="n">
        <x:f>G928*K928</x:f>
        <x:v>0</x:v>
      </x:c>
      <x:c r="P928" s="20" t="n">
        <x:f>G928*L928</x:f>
        <x:v>780</x:v>
      </x:c>
      <x:c r="Q928" s="20" t="n">
        <x:f>H928*INDEX(Inputs!$B$13:$D$13,1,MATCH(A928,Inputs!$B$6:$D$6,0))</x:f>
        <x:v>390</x:v>
      </x:c>
      <x:c r="R928" s="20" t="n">
        <x:f>SUM(M928:Q928)</x:f>
        <x:v>32565</x:v>
      </x:c>
      <x:c r="S928" s="20" t="n">
        <x:f>IF(AND(A927=A928,D927=D928),S927+R928,R928)</x:f>
        <x:v>97695</x:v>
      </x:c>
      <x:c r="T928" s="20" t="n">
        <x:f>MIN(S928,INDEX(Inputs!$B$20:$D$20,1,MATCH(A928,Inputs!$B$6:$D$6,0)))*INDEX(Inputs!$B$22:$D$22,1,MATCH(A928,Inputs!$B$6:$D$6,0))+MAX(MIN(S928,INDEX(Inputs!$B$21:$D$21,1,MATCH(A928,Inputs!$B$6:$D$6,0)))-INDEX(Inputs!$B$20:$D$20,1,MATCH(A928,Inputs!$B$6:$D$6,0)),0)*INDEX(Inputs!$B$23:$D$23,1,MATCH(A928,Inputs!$B$6:$D$6,0))+MAX(S928-INDEX(Inputs!$B$21:$D$21,1,MATCH(A928,Inputs!$B$6:$D$6,0)),0)*INDEX(Inputs!$B$24:$D$24,1,MATCH(A928,Inputs!$B$6:$D$6,0))</x:f>
        <x:v>7963.6675</x:v>
      </x:c>
      <x:c r="U928" s="20" t="n">
        <x:f>IF(AND(A927=A928,D927=D928),T927,0)</x:f>
        <x:v>5472.445</x:v>
      </x:c>
      <x:c r="V928" s="20" t="n">
        <x:f>T928-U928</x:f>
        <x:v>2491.2225</x:v>
      </x:c>
      <x:c r="W928" s="20" t="n">
        <x:f>R928+V928</x:f>
        <x:v>35056.2225</x:v>
      </x:c>
      <x:c r="X928" s="14" t="str">
        <x:f>IF(ABS(W928-SUM(M928:Q928)-V928)&lt;0.01,"OK","Check")</x:f>
        <x:v>OK</x:v>
      </x:c>
    </x:row>
    <x:row r="929">
      <x:c r="A929" s="14" t="n">
        <x:v>2028</x:v>
      </x:c>
      <x:c r="B929" s="14" t="str">
        <x:v>Q4</x:v>
      </x:c>
      <x:c r="C929" s="14" t="n">
        <x:v>4</x:v>
      </x:c>
      <x:c r="D929" s="14" t="n">
        <x:v>25</x:v>
      </x:c>
      <x:c r="E929" s="14" t="str">
        <x:f>INDEX(Roster!$B$6:$B$108,MATCH(D929,Roster!$A$6:$A$108,0))</x:f>
      </x:c>
      <x:c r="F929" s="14" t="str">
        <x:f>INDEX(Roster!$F$6:$F$108,MATCH(D929,Roster!$A$6:$A$108,0))</x:f>
        <x:v>No</x:v>
      </x:c>
      <x:c r="G929" s="14" t="n">
        <x:f>INDEX(Inputs!$B$7:$D$7,1,MATCH(A929,Inputs!$B$6:$D$6,0))</x:f>
        <x:v>13</x:v>
      </x:c>
      <x:c r="H929" s="14" t="n">
        <x:f>MIN(=INDEX(Inputs!$B$7:$D$7,1,MATCH(A929,Inputs!$B$6:$D$6,0)),MAX(0,INDEX(Inputs!$B$14:$D$14,1,MATCH(A929,Inputs!$B$6:$D$6,0))-(C929-1)*=INDEX(Inputs!$B$7:$D$7,1,MATCH(A929,Inputs!$B$6:$D$6,0))))</x:f>
        <x:v>0</x:v>
      </x:c>
      <x:c r="I929" s="20" t="n">
        <x:f>INDEX(Inputs!$B$8:$D$8,1,MATCH(A929,Inputs!$B$6:$D$6,0))</x:f>
        <x:v>2395</x:v>
      </x:c>
      <x:c r="J929" s="20" t="n">
        <x:f>INDEX(Roster!$C$6:$C$108,MATCH(D929,Roster!$A$6:$A$108,0))*(1+INDEX(Inputs!$B$9:$D$9,1,MATCH(A929,Inputs!$B$6:$D$6,0)))</x:f>
        <x:v>20</x:v>
      </x:c>
      <x:c r="K929" s="20" t="n">
        <x:f>IF(=INDEX(Roster!$F$6:$F$108,MATCH(D929,Roster!$A$6:$A$108,0))="Yes",0,=INDEX(Inputs!$B$8:$D$8,1,MATCH(A929,Inputs!$B$6:$D$6,0))*IF(=INDEX(Roster!$B$6:$B$108,MATCH(D929,Roster!$A$6:$A$108,0))="Principal",INDEX(Inputs!$B$10:$D$10,1,MATCH(A929,Inputs!$B$6:$D$6,0)),IF(=INDEX(Roster!$B$6:$B$108,MATCH(D929,Roster!$A$6:$A$108,0))="Associate Principal",INDEX(Inputs!$B$11:$D$11,1,MATCH(A929,Inputs!$B$6:$D$6,0)),IF(=INDEX(Roster!$B$6:$B$108,MATCH(D929,Roster!$A$6:$A$108,0))="Assistant Principal",INDEX(Inputs!$B$12:$D$12,1,MATCH(A929,Inputs!$B$6:$D$6,0)),0))))</x:f>
        <x:v>0</x:v>
      </x:c>
      <x:c r="L929" s="20" t="n">
        <x:f>IF(INDEX(Roster!$D$6:$D$108,MATCH(D929,Roster!$A$6:$A$108,0))&gt;=25,INDEX(Inputs!$B$19:$D$19,1,MATCH(A929,Inputs!$B$6:$D$6,0)),IF(INDEX(Roster!$D$6:$D$108,MATCH(D929,Roster!$A$6:$A$108,0))&gt;=20,INDEX(Inputs!$B$18:$D$18,1,MATCH(A929,Inputs!$B$6:$D$6,0)),IF(INDEX(Roster!$D$6:$D$108,MATCH(D929,Roster!$A$6:$A$108,0))&gt;=15,INDEX(Inputs!$B$17:$D$17,1,MATCH(A929,Inputs!$B$6:$D$6,0)),IF(INDEX(Roster!$D$6:$D$108,MATCH(D929,Roster!$A$6:$A$108,0))&gt;=10,INDEX(Inputs!$B$16:$D$16,1,MATCH(A929,Inputs!$B$6:$D$6,0)),IF(INDEX(Roster!$D$6:$D$108,MATCH(D929,Roster!$A$6:$A$108,0))&gt;=5,INDEX(Inputs!$B$15:$D$15,1,MATCH(A929,Inputs!$B$6:$D$6,0)),0)))))</x:f>
        <x:v>60</x:v>
      </x:c>
      <x:c r="M929" s="20" t="n">
        <x:f>G929*I929</x:f>
        <x:v>31135</x:v>
      </x:c>
      <x:c r="N929" s="20" t="n">
        <x:f>G929*J929</x:f>
        <x:v>260</x:v>
      </x:c>
      <x:c r="O929" s="20" t="n">
        <x:f>G929*K929</x:f>
        <x:v>0</x:v>
      </x:c>
      <x:c r="P929" s="20" t="n">
        <x:f>G929*L929</x:f>
        <x:v>780</x:v>
      </x:c>
      <x:c r="Q929" s="20" t="n">
        <x:f>H929*INDEX(Inputs!$B$13:$D$13,1,MATCH(A929,Inputs!$B$6:$D$6,0))</x:f>
        <x:v>0</x:v>
      </x:c>
      <x:c r="R929" s="20" t="n">
        <x:f>SUM(M929:Q929)</x:f>
        <x:v>32175</x:v>
      </x:c>
      <x:c r="S929" s="20" t="n">
        <x:f>IF(AND(A928=A929,D928=D929),S928+R929,R929)</x:f>
        <x:v>129870</x:v>
      </x:c>
      <x:c r="T929" s="20" t="n">
        <x:f>MIN(S929,INDEX(Inputs!$B$20:$D$20,1,MATCH(A929,Inputs!$B$6:$D$6,0)))*INDEX(Inputs!$B$22:$D$22,1,MATCH(A929,Inputs!$B$6:$D$6,0))+MAX(MIN(S929,INDEX(Inputs!$B$21:$D$21,1,MATCH(A929,Inputs!$B$6:$D$6,0)))-INDEX(Inputs!$B$20:$D$20,1,MATCH(A929,Inputs!$B$6:$D$6,0)),0)*INDEX(Inputs!$B$23:$D$23,1,MATCH(A929,Inputs!$B$6:$D$6,0))+MAX(S929-INDEX(Inputs!$B$21:$D$21,1,MATCH(A929,Inputs!$B$6:$D$6,0)),0)*INDEX(Inputs!$B$24:$D$24,1,MATCH(A929,Inputs!$B$6:$D$6,0))</x:f>
        <x:v>9797.057</x:v>
      </x:c>
      <x:c r="U929" s="20" t="n">
        <x:f>IF(AND(A928=A929,D928=D929),T928,0)</x:f>
        <x:v>7963.6675</x:v>
      </x:c>
      <x:c r="V929" s="20" t="n">
        <x:f>T929-U929</x:f>
        <x:v>1833.3895000000011</x:v>
      </x:c>
      <x:c r="W929" s="20" t="n">
        <x:f>R929+V929</x:f>
        <x:v>34008.389500000005</x:v>
      </x:c>
      <x:c r="X929" s="14" t="str">
        <x:f>IF(ABS(W929-SUM(M929:Q929)-V929)&lt;0.01,"OK","Check")</x:f>
        <x:v>OK</x:v>
      </x:c>
    </x:row>
    <x:row r="930">
      <x:c r="A930" s="14" t="n">
        <x:v>2028</x:v>
      </x:c>
      <x:c r="B930" s="14" t="str">
        <x:v>Q1</x:v>
      </x:c>
      <x:c r="C930" s="14" t="n">
        <x:v>1</x:v>
      </x:c>
      <x:c r="D930" s="14" t="n">
        <x:v>26</x:v>
      </x:c>
      <x:c r="E930" s="14" t="str">
        <x:f>INDEX(Roster!$B$6:$B$108,MATCH(D930,Roster!$A$6:$A$108,0))</x:f>
      </x:c>
      <x:c r="F930" s="14" t="str">
        <x:f>INDEX(Roster!$F$6:$F$108,MATCH(D930,Roster!$A$6:$A$108,0))</x:f>
        <x:v>No</x:v>
      </x:c>
      <x:c r="G930" s="14" t="n">
        <x:f>INDEX(Inputs!$B$7:$D$7,1,MATCH(A930,Inputs!$B$6:$D$6,0))</x:f>
        <x:v>13</x:v>
      </x:c>
      <x:c r="H930" s="14" t="n">
        <x:f>MIN(=INDEX(Inputs!$B$7:$D$7,1,MATCH(A930,Inputs!$B$6:$D$6,0)),MAX(0,INDEX(Inputs!$B$14:$D$14,1,MATCH(A930,Inputs!$B$6:$D$6,0))-(C930-1)*=INDEX(Inputs!$B$7:$D$7,1,MATCH(A930,Inputs!$B$6:$D$6,0))))</x:f>
        <x:v>13</x:v>
      </x:c>
      <x:c r="I930" s="20" t="n">
        <x:f>INDEX(Inputs!$B$8:$D$8,1,MATCH(A930,Inputs!$B$6:$D$6,0))</x:f>
        <x:v>2395</x:v>
      </x:c>
      <x:c r="J930" s="20" t="n">
        <x:f>INDEX(Roster!$C$6:$C$108,MATCH(D930,Roster!$A$6:$A$108,0))*(1+INDEX(Inputs!$B$9:$D$9,1,MATCH(A930,Inputs!$B$6:$D$6,0)))</x:f>
        <x:v>60</x:v>
      </x:c>
      <x:c r="K930" s="20" t="n">
        <x:f>IF(=INDEX(Roster!$F$6:$F$108,MATCH(D930,Roster!$A$6:$A$108,0))="Yes",0,=INDEX(Inputs!$B$8:$D$8,1,MATCH(A930,Inputs!$B$6:$D$6,0))*IF(=INDEX(Roster!$B$6:$B$108,MATCH(D930,Roster!$A$6:$A$108,0))="Principal",INDEX(Inputs!$B$10:$D$10,1,MATCH(A930,Inputs!$B$6:$D$6,0)),IF(=INDEX(Roster!$B$6:$B$108,MATCH(D930,Roster!$A$6:$A$108,0))="Associate Principal",INDEX(Inputs!$B$11:$D$11,1,MATCH(A930,Inputs!$B$6:$D$6,0)),IF(=INDEX(Roster!$B$6:$B$108,MATCH(D930,Roster!$A$6:$A$108,0))="Assistant Principal",INDEX(Inputs!$B$12:$D$12,1,MATCH(A930,Inputs!$B$6:$D$6,0)),0))))</x:f>
        <x:v>0</x:v>
      </x:c>
      <x:c r="L930" s="20" t="n">
        <x:f>IF(INDEX(Roster!$D$6:$D$108,MATCH(D930,Roster!$A$6:$A$108,0))&gt;=25,INDEX(Inputs!$B$19:$D$19,1,MATCH(A930,Inputs!$B$6:$D$6,0)),IF(INDEX(Roster!$D$6:$D$108,MATCH(D930,Roster!$A$6:$A$108,0))&gt;=20,INDEX(Inputs!$B$18:$D$18,1,MATCH(A930,Inputs!$B$6:$D$6,0)),IF(INDEX(Roster!$D$6:$D$108,MATCH(D930,Roster!$A$6:$A$108,0))&gt;=15,INDEX(Inputs!$B$17:$D$17,1,MATCH(A930,Inputs!$B$6:$D$6,0)),IF(INDEX(Roster!$D$6:$D$108,MATCH(D930,Roster!$A$6:$A$108,0))&gt;=10,INDEX(Inputs!$B$16:$D$16,1,MATCH(A930,Inputs!$B$6:$D$6,0)),IF(INDEX(Roster!$D$6:$D$108,MATCH(D930,Roster!$A$6:$A$108,0))&gt;=5,INDEX(Inputs!$B$15:$D$15,1,MATCH(A930,Inputs!$B$6:$D$6,0)),0)))))</x:f>
        <x:v>90</x:v>
      </x:c>
      <x:c r="M930" s="20" t="n">
        <x:f>G930*I930</x:f>
        <x:v>31135</x:v>
      </x:c>
      <x:c r="N930" s="20" t="n">
        <x:f>G930*J930</x:f>
        <x:v>780</x:v>
      </x:c>
      <x:c r="O930" s="20" t="n">
        <x:f>G930*K930</x:f>
        <x:v>0</x:v>
      </x:c>
      <x:c r="P930" s="20" t="n">
        <x:f>G930*L930</x:f>
        <x:v>1170</x:v>
      </x:c>
      <x:c r="Q930" s="20" t="n">
        <x:f>H930*INDEX(Inputs!$B$13:$D$13,1,MATCH(A930,Inputs!$B$6:$D$6,0))</x:f>
        <x:v>390</x:v>
      </x:c>
      <x:c r="R930" s="20" t="n">
        <x:f>SUM(M930:Q930)</x:f>
        <x:v>33475</x:v>
      </x:c>
      <x:c r="S930" s="20" t="n">
        <x:f>IF(AND(A929=A930,D929=D930),S929+R930,R930)</x:f>
        <x:v>33475</x:v>
      </x:c>
      <x:c r="T930" s="20" t="n">
        <x:f>MIN(S930,INDEX(Inputs!$B$20:$D$20,1,MATCH(A930,Inputs!$B$6:$D$6,0)))*INDEX(Inputs!$B$22:$D$22,1,MATCH(A930,Inputs!$B$6:$D$6,0))+MAX(MIN(S930,INDEX(Inputs!$B$21:$D$21,1,MATCH(A930,Inputs!$B$6:$D$6,0)))-INDEX(Inputs!$B$20:$D$20,1,MATCH(A930,Inputs!$B$6:$D$6,0)),0)*INDEX(Inputs!$B$23:$D$23,1,MATCH(A930,Inputs!$B$6:$D$6,0))+MAX(S930-INDEX(Inputs!$B$21:$D$21,1,MATCH(A930,Inputs!$B$6:$D$6,0)),0)*INDEX(Inputs!$B$24:$D$24,1,MATCH(A930,Inputs!$B$6:$D$6,0))</x:f>
        <x:v>3050.8374999999996</x:v>
      </x:c>
      <x:c r="U930" s="20" t="n">
        <x:f>IF(AND(A929=A930,D929=D930),T929,0)</x:f>
        <x:v>0</x:v>
      </x:c>
      <x:c r="V930" s="20" t="n">
        <x:f>T930-U930</x:f>
        <x:v>3050.8374999999996</x:v>
      </x:c>
      <x:c r="W930" s="20" t="n">
        <x:f>R930+V930</x:f>
        <x:v>36525.8375</x:v>
      </x:c>
      <x:c r="X930" s="14" t="str">
        <x:f>IF(ABS(W930-SUM(M930:Q930)-V930)&lt;0.01,"OK","Check")</x:f>
        <x:v>OK</x:v>
      </x:c>
    </x:row>
    <x:row r="931">
      <x:c r="A931" s="14" t="n">
        <x:v>2028</x:v>
      </x:c>
      <x:c r="B931" s="14" t="str">
        <x:v>Q2</x:v>
      </x:c>
      <x:c r="C931" s="14" t="n">
        <x:v>2</x:v>
      </x:c>
      <x:c r="D931" s="14" t="n">
        <x:v>26</x:v>
      </x:c>
      <x:c r="E931" s="14" t="str">
        <x:f>INDEX(Roster!$B$6:$B$108,MATCH(D931,Roster!$A$6:$A$108,0))</x:f>
      </x:c>
      <x:c r="F931" s="14" t="str">
        <x:f>INDEX(Roster!$F$6:$F$108,MATCH(D931,Roster!$A$6:$A$108,0))</x:f>
        <x:v>No</x:v>
      </x:c>
      <x:c r="G931" s="14" t="n">
        <x:f>INDEX(Inputs!$B$7:$D$7,1,MATCH(A931,Inputs!$B$6:$D$6,0))</x:f>
        <x:v>13</x:v>
      </x:c>
      <x:c r="H931" s="14" t="n">
        <x:f>MIN(=INDEX(Inputs!$B$7:$D$7,1,MATCH(A931,Inputs!$B$6:$D$6,0)),MAX(0,INDEX(Inputs!$B$14:$D$14,1,MATCH(A931,Inputs!$B$6:$D$6,0))-(C931-1)*=INDEX(Inputs!$B$7:$D$7,1,MATCH(A931,Inputs!$B$6:$D$6,0))))</x:f>
        <x:v>13</x:v>
      </x:c>
      <x:c r="I931" s="20" t="n">
        <x:f>INDEX(Inputs!$B$8:$D$8,1,MATCH(A931,Inputs!$B$6:$D$6,0))</x:f>
        <x:v>2395</x:v>
      </x:c>
      <x:c r="J931" s="20" t="n">
        <x:f>INDEX(Roster!$C$6:$C$108,MATCH(D931,Roster!$A$6:$A$108,0))*(1+INDEX(Inputs!$B$9:$D$9,1,MATCH(A931,Inputs!$B$6:$D$6,0)))</x:f>
        <x:v>60</x:v>
      </x:c>
      <x:c r="K931" s="20" t="n">
        <x:f>IF(=INDEX(Roster!$F$6:$F$108,MATCH(D931,Roster!$A$6:$A$108,0))="Yes",0,=INDEX(Inputs!$B$8:$D$8,1,MATCH(A931,Inputs!$B$6:$D$6,0))*IF(=INDEX(Roster!$B$6:$B$108,MATCH(D931,Roster!$A$6:$A$108,0))="Principal",INDEX(Inputs!$B$10:$D$10,1,MATCH(A931,Inputs!$B$6:$D$6,0)),IF(=INDEX(Roster!$B$6:$B$108,MATCH(D931,Roster!$A$6:$A$108,0))="Associate Principal",INDEX(Inputs!$B$11:$D$11,1,MATCH(A931,Inputs!$B$6:$D$6,0)),IF(=INDEX(Roster!$B$6:$B$108,MATCH(D931,Roster!$A$6:$A$108,0))="Assistant Principal",INDEX(Inputs!$B$12:$D$12,1,MATCH(A931,Inputs!$B$6:$D$6,0)),0))))</x:f>
        <x:v>0</x:v>
      </x:c>
      <x:c r="L931" s="20" t="n">
        <x:f>IF(INDEX(Roster!$D$6:$D$108,MATCH(D931,Roster!$A$6:$A$108,0))&gt;=25,INDEX(Inputs!$B$19:$D$19,1,MATCH(A931,Inputs!$B$6:$D$6,0)),IF(INDEX(Roster!$D$6:$D$108,MATCH(D931,Roster!$A$6:$A$108,0))&gt;=20,INDEX(Inputs!$B$18:$D$18,1,MATCH(A931,Inputs!$B$6:$D$6,0)),IF(INDEX(Roster!$D$6:$D$108,MATCH(D931,Roster!$A$6:$A$108,0))&gt;=15,INDEX(Inputs!$B$17:$D$17,1,MATCH(A931,Inputs!$B$6:$D$6,0)),IF(INDEX(Roster!$D$6:$D$108,MATCH(D931,Roster!$A$6:$A$108,0))&gt;=10,INDEX(Inputs!$B$16:$D$16,1,MATCH(A931,Inputs!$B$6:$D$6,0)),IF(INDEX(Roster!$D$6:$D$108,MATCH(D931,Roster!$A$6:$A$108,0))&gt;=5,INDEX(Inputs!$B$15:$D$15,1,MATCH(A931,Inputs!$B$6:$D$6,0)),0)))))</x:f>
        <x:v>90</x:v>
      </x:c>
      <x:c r="M931" s="20" t="n">
        <x:f>G931*I931</x:f>
        <x:v>31135</x:v>
      </x:c>
      <x:c r="N931" s="20" t="n">
        <x:f>G931*J931</x:f>
        <x:v>780</x:v>
      </x:c>
      <x:c r="O931" s="20" t="n">
        <x:f>G931*K931</x:f>
        <x:v>0</x:v>
      </x:c>
      <x:c r="P931" s="20" t="n">
        <x:f>G931*L931</x:f>
        <x:v>1170</x:v>
      </x:c>
      <x:c r="Q931" s="20" t="n">
        <x:f>H931*INDEX(Inputs!$B$13:$D$13,1,MATCH(A931,Inputs!$B$6:$D$6,0))</x:f>
        <x:v>390</x:v>
      </x:c>
      <x:c r="R931" s="20" t="n">
        <x:f>SUM(M931:Q931)</x:f>
        <x:v>33475</x:v>
      </x:c>
      <x:c r="S931" s="20" t="n">
        <x:f>IF(AND(A930=A931,D930=D931),S930+R931,R931)</x:f>
        <x:v>66950</x:v>
      </x:c>
      <x:c r="T931" s="20" t="n">
        <x:f>MIN(S931,INDEX(Inputs!$B$20:$D$20,1,MATCH(A931,Inputs!$B$6:$D$6,0)))*INDEX(Inputs!$B$22:$D$22,1,MATCH(A931,Inputs!$B$6:$D$6,0))+MAX(MIN(S931,INDEX(Inputs!$B$21:$D$21,1,MATCH(A931,Inputs!$B$6:$D$6,0)))-INDEX(Inputs!$B$20:$D$20,1,MATCH(A931,Inputs!$B$6:$D$6,0)),0)*INDEX(Inputs!$B$23:$D$23,1,MATCH(A931,Inputs!$B$6:$D$6,0))+MAX(S931-INDEX(Inputs!$B$21:$D$21,1,MATCH(A931,Inputs!$B$6:$D$6,0)),0)*INDEX(Inputs!$B$24:$D$24,1,MATCH(A931,Inputs!$B$6:$D$6,0))</x:f>
        <x:v>5611.675</x:v>
      </x:c>
      <x:c r="U931" s="20" t="n">
        <x:f>IF(AND(A930=A931,D930=D931),T930,0)</x:f>
        <x:v>3050.8374999999996</x:v>
      </x:c>
      <x:c r="V931" s="20" t="n">
        <x:f>T931-U931</x:f>
        <x:v>2560.8375000000005</x:v>
      </x:c>
      <x:c r="W931" s="20" t="n">
        <x:f>R931+V931</x:f>
        <x:v>36035.8375</x:v>
      </x:c>
      <x:c r="X931" s="14" t="str">
        <x:f>IF(ABS(W931-SUM(M931:Q931)-V931)&lt;0.01,"OK","Check")</x:f>
        <x:v>OK</x:v>
      </x:c>
    </x:row>
    <x:row r="932">
      <x:c r="A932" s="14" t="n">
        <x:v>2028</x:v>
      </x:c>
      <x:c r="B932" s="14" t="str">
        <x:v>Q3</x:v>
      </x:c>
      <x:c r="C932" s="14" t="n">
        <x:v>3</x:v>
      </x:c>
      <x:c r="D932" s="14" t="n">
        <x:v>26</x:v>
      </x:c>
      <x:c r="E932" s="14" t="str">
        <x:f>INDEX(Roster!$B$6:$B$108,MATCH(D932,Roster!$A$6:$A$108,0))</x:f>
      </x:c>
      <x:c r="F932" s="14" t="str">
        <x:f>INDEX(Roster!$F$6:$F$108,MATCH(D932,Roster!$A$6:$A$108,0))</x:f>
        <x:v>No</x:v>
      </x:c>
      <x:c r="G932" s="14" t="n">
        <x:f>INDEX(Inputs!$B$7:$D$7,1,MATCH(A932,Inputs!$B$6:$D$6,0))</x:f>
        <x:v>13</x:v>
      </x:c>
      <x:c r="H932" s="14" t="n">
        <x:f>MIN(=INDEX(Inputs!$B$7:$D$7,1,MATCH(A932,Inputs!$B$6:$D$6,0)),MAX(0,INDEX(Inputs!$B$14:$D$14,1,MATCH(A932,Inputs!$B$6:$D$6,0))-(C932-1)*=INDEX(Inputs!$B$7:$D$7,1,MATCH(A932,Inputs!$B$6:$D$6,0))))</x:f>
        <x:v>13</x:v>
      </x:c>
      <x:c r="I932" s="20" t="n">
        <x:f>INDEX(Inputs!$B$8:$D$8,1,MATCH(A932,Inputs!$B$6:$D$6,0))</x:f>
        <x:v>2395</x:v>
      </x:c>
      <x:c r="J932" s="20" t="n">
        <x:f>INDEX(Roster!$C$6:$C$108,MATCH(D932,Roster!$A$6:$A$108,0))*(1+INDEX(Inputs!$B$9:$D$9,1,MATCH(A932,Inputs!$B$6:$D$6,0)))</x:f>
        <x:v>60</x:v>
      </x:c>
      <x:c r="K932" s="20" t="n">
        <x:f>IF(=INDEX(Roster!$F$6:$F$108,MATCH(D932,Roster!$A$6:$A$108,0))="Yes",0,=INDEX(Inputs!$B$8:$D$8,1,MATCH(A932,Inputs!$B$6:$D$6,0))*IF(=INDEX(Roster!$B$6:$B$108,MATCH(D932,Roster!$A$6:$A$108,0))="Principal",INDEX(Inputs!$B$10:$D$10,1,MATCH(A932,Inputs!$B$6:$D$6,0)),IF(=INDEX(Roster!$B$6:$B$108,MATCH(D932,Roster!$A$6:$A$108,0))="Associate Principal",INDEX(Inputs!$B$11:$D$11,1,MATCH(A932,Inputs!$B$6:$D$6,0)),IF(=INDEX(Roster!$B$6:$B$108,MATCH(D932,Roster!$A$6:$A$108,0))="Assistant Principal",INDEX(Inputs!$B$12:$D$12,1,MATCH(A932,Inputs!$B$6:$D$6,0)),0))))</x:f>
        <x:v>0</x:v>
      </x:c>
      <x:c r="L932" s="20" t="n">
        <x:f>IF(INDEX(Roster!$D$6:$D$108,MATCH(D932,Roster!$A$6:$A$108,0))&gt;=25,INDEX(Inputs!$B$19:$D$19,1,MATCH(A932,Inputs!$B$6:$D$6,0)),IF(INDEX(Roster!$D$6:$D$108,MATCH(D932,Roster!$A$6:$A$108,0))&gt;=20,INDEX(Inputs!$B$18:$D$18,1,MATCH(A932,Inputs!$B$6:$D$6,0)),IF(INDEX(Roster!$D$6:$D$108,MATCH(D932,Roster!$A$6:$A$108,0))&gt;=15,INDEX(Inputs!$B$17:$D$17,1,MATCH(A932,Inputs!$B$6:$D$6,0)),IF(INDEX(Roster!$D$6:$D$108,MATCH(D932,Roster!$A$6:$A$108,0))&gt;=10,INDEX(Inputs!$B$16:$D$16,1,MATCH(A932,Inputs!$B$6:$D$6,0)),IF(INDEX(Roster!$D$6:$D$108,MATCH(D932,Roster!$A$6:$A$108,0))&gt;=5,INDEX(Inputs!$B$15:$D$15,1,MATCH(A932,Inputs!$B$6:$D$6,0)),0)))))</x:f>
        <x:v>90</x:v>
      </x:c>
      <x:c r="M932" s="20" t="n">
        <x:f>G932*I932</x:f>
        <x:v>31135</x:v>
      </x:c>
      <x:c r="N932" s="20" t="n">
        <x:f>G932*J932</x:f>
        <x:v>780</x:v>
      </x:c>
      <x:c r="O932" s="20" t="n">
        <x:f>G932*K932</x:f>
        <x:v>0</x:v>
      </x:c>
      <x:c r="P932" s="20" t="n">
        <x:f>G932*L932</x:f>
        <x:v>1170</x:v>
      </x:c>
      <x:c r="Q932" s="20" t="n">
        <x:f>H932*INDEX(Inputs!$B$13:$D$13,1,MATCH(A932,Inputs!$B$6:$D$6,0))</x:f>
        <x:v>390</x:v>
      </x:c>
      <x:c r="R932" s="20" t="n">
        <x:f>SUM(M932:Q932)</x:f>
        <x:v>33475</x:v>
      </x:c>
      <x:c r="S932" s="20" t="n">
        <x:f>IF(AND(A931=A932,D931=D932),S931+R932,R932)</x:f>
        <x:v>100425</x:v>
      </x:c>
      <x:c r="T932" s="20" t="n">
        <x:f>MIN(S932,INDEX(Inputs!$B$20:$D$20,1,MATCH(A932,Inputs!$B$6:$D$6,0)))*INDEX(Inputs!$B$22:$D$22,1,MATCH(A932,Inputs!$B$6:$D$6,0))+MAX(MIN(S932,INDEX(Inputs!$B$21:$D$21,1,MATCH(A932,Inputs!$B$6:$D$6,0)))-INDEX(Inputs!$B$20:$D$20,1,MATCH(A932,Inputs!$B$6:$D$6,0)),0)*INDEX(Inputs!$B$23:$D$23,1,MATCH(A932,Inputs!$B$6:$D$6,0))+MAX(S932-INDEX(Inputs!$B$21:$D$21,1,MATCH(A932,Inputs!$B$6:$D$6,0)),0)*INDEX(Inputs!$B$24:$D$24,1,MATCH(A932,Inputs!$B$6:$D$6,0))</x:f>
        <x:v>8172.5125</x:v>
      </x:c>
      <x:c r="U932" s="20" t="n">
        <x:f>IF(AND(A931=A932,D931=D932),T931,0)</x:f>
        <x:v>5611.675</x:v>
      </x:c>
      <x:c r="V932" s="20" t="n">
        <x:f>T932-U932</x:f>
        <x:v>2560.8374999999996</x:v>
      </x:c>
      <x:c r="W932" s="20" t="n">
        <x:f>R932+V932</x:f>
        <x:v>36035.8375</x:v>
      </x:c>
      <x:c r="X932" s="14" t="str">
        <x:f>IF(ABS(W932-SUM(M932:Q932)-V932)&lt;0.01,"OK","Check")</x:f>
        <x:v>OK</x:v>
      </x:c>
    </x:row>
    <x:row r="933">
      <x:c r="A933" s="14" t="n">
        <x:v>2028</x:v>
      </x:c>
      <x:c r="B933" s="14" t="str">
        <x:v>Q4</x:v>
      </x:c>
      <x:c r="C933" s="14" t="n">
        <x:v>4</x:v>
      </x:c>
      <x:c r="D933" s="14" t="n">
        <x:v>26</x:v>
      </x:c>
      <x:c r="E933" s="14" t="str">
        <x:f>INDEX(Roster!$B$6:$B$108,MATCH(D933,Roster!$A$6:$A$108,0))</x:f>
      </x:c>
      <x:c r="F933" s="14" t="str">
        <x:f>INDEX(Roster!$F$6:$F$108,MATCH(D933,Roster!$A$6:$A$108,0))</x:f>
        <x:v>No</x:v>
      </x:c>
      <x:c r="G933" s="14" t="n">
        <x:f>INDEX(Inputs!$B$7:$D$7,1,MATCH(A933,Inputs!$B$6:$D$6,0))</x:f>
        <x:v>13</x:v>
      </x:c>
      <x:c r="H933" s="14" t="n">
        <x:f>MIN(=INDEX(Inputs!$B$7:$D$7,1,MATCH(A933,Inputs!$B$6:$D$6,0)),MAX(0,INDEX(Inputs!$B$14:$D$14,1,MATCH(A933,Inputs!$B$6:$D$6,0))-(C933-1)*=INDEX(Inputs!$B$7:$D$7,1,MATCH(A933,Inputs!$B$6:$D$6,0))))</x:f>
        <x:v>0</x:v>
      </x:c>
      <x:c r="I933" s="20" t="n">
        <x:f>INDEX(Inputs!$B$8:$D$8,1,MATCH(A933,Inputs!$B$6:$D$6,0))</x:f>
        <x:v>2395</x:v>
      </x:c>
      <x:c r="J933" s="20" t="n">
        <x:f>INDEX(Roster!$C$6:$C$108,MATCH(D933,Roster!$A$6:$A$108,0))*(1+INDEX(Inputs!$B$9:$D$9,1,MATCH(A933,Inputs!$B$6:$D$6,0)))</x:f>
        <x:v>60</x:v>
      </x:c>
      <x:c r="K933" s="20" t="n">
        <x:f>IF(=INDEX(Roster!$F$6:$F$108,MATCH(D933,Roster!$A$6:$A$108,0))="Yes",0,=INDEX(Inputs!$B$8:$D$8,1,MATCH(A933,Inputs!$B$6:$D$6,0))*IF(=INDEX(Roster!$B$6:$B$108,MATCH(D933,Roster!$A$6:$A$108,0))="Principal",INDEX(Inputs!$B$10:$D$10,1,MATCH(A933,Inputs!$B$6:$D$6,0)),IF(=INDEX(Roster!$B$6:$B$108,MATCH(D933,Roster!$A$6:$A$108,0))="Associate Principal",INDEX(Inputs!$B$11:$D$11,1,MATCH(A933,Inputs!$B$6:$D$6,0)),IF(=INDEX(Roster!$B$6:$B$108,MATCH(D933,Roster!$A$6:$A$108,0))="Assistant Principal",INDEX(Inputs!$B$12:$D$12,1,MATCH(A933,Inputs!$B$6:$D$6,0)),0))))</x:f>
        <x:v>0</x:v>
      </x:c>
      <x:c r="L933" s="20" t="n">
        <x:f>IF(INDEX(Roster!$D$6:$D$108,MATCH(D933,Roster!$A$6:$A$108,0))&gt;=25,INDEX(Inputs!$B$19:$D$19,1,MATCH(A933,Inputs!$B$6:$D$6,0)),IF(INDEX(Roster!$D$6:$D$108,MATCH(D933,Roster!$A$6:$A$108,0))&gt;=20,INDEX(Inputs!$B$18:$D$18,1,MATCH(A933,Inputs!$B$6:$D$6,0)),IF(INDEX(Roster!$D$6:$D$108,MATCH(D933,Roster!$A$6:$A$108,0))&gt;=15,INDEX(Inputs!$B$17:$D$17,1,MATCH(A933,Inputs!$B$6:$D$6,0)),IF(INDEX(Roster!$D$6:$D$108,MATCH(D933,Roster!$A$6:$A$108,0))&gt;=10,INDEX(Inputs!$B$16:$D$16,1,MATCH(A933,Inputs!$B$6:$D$6,0)),IF(INDEX(Roster!$D$6:$D$108,MATCH(D933,Roster!$A$6:$A$108,0))&gt;=5,INDEX(Inputs!$B$15:$D$15,1,MATCH(A933,Inputs!$B$6:$D$6,0)),0)))))</x:f>
        <x:v>90</x:v>
      </x:c>
      <x:c r="M933" s="20" t="n">
        <x:f>G933*I933</x:f>
        <x:v>31135</x:v>
      </x:c>
      <x:c r="N933" s="20" t="n">
        <x:f>G933*J933</x:f>
        <x:v>780</x:v>
      </x:c>
      <x:c r="O933" s="20" t="n">
        <x:f>G933*K933</x:f>
        <x:v>0</x:v>
      </x:c>
      <x:c r="P933" s="20" t="n">
        <x:f>G933*L933</x:f>
        <x:v>1170</x:v>
      </x:c>
      <x:c r="Q933" s="20" t="n">
        <x:f>H933*INDEX(Inputs!$B$13:$D$13,1,MATCH(A933,Inputs!$B$6:$D$6,0))</x:f>
        <x:v>0</x:v>
      </x:c>
      <x:c r="R933" s="20" t="n">
        <x:f>SUM(M933:Q933)</x:f>
        <x:v>33085</x:v>
      </x:c>
      <x:c r="S933" s="20" t="n">
        <x:f>IF(AND(A932=A933,D932=D933),S932+R933,R933)</x:f>
        <x:v>133510</x:v>
      </x:c>
      <x:c r="T933" s="20" t="n">
        <x:f>MIN(S933,INDEX(Inputs!$B$20:$D$20,1,MATCH(A933,Inputs!$B$6:$D$6,0)))*INDEX(Inputs!$B$22:$D$22,1,MATCH(A933,Inputs!$B$6:$D$6,0))+MAX(MIN(S933,INDEX(Inputs!$B$21:$D$21,1,MATCH(A933,Inputs!$B$6:$D$6,0)))-INDEX(Inputs!$B$20:$D$20,1,MATCH(A933,Inputs!$B$6:$D$6,0)),0)*INDEX(Inputs!$B$23:$D$23,1,MATCH(A933,Inputs!$B$6:$D$6,0))+MAX(S933-INDEX(Inputs!$B$21:$D$21,1,MATCH(A933,Inputs!$B$6:$D$6,0)),0)*INDEX(Inputs!$B$24:$D$24,1,MATCH(A933,Inputs!$B$6:$D$6,0))</x:f>
        <x:v>9849.837</x:v>
      </x:c>
      <x:c r="U933" s="20" t="n">
        <x:f>IF(AND(A932=A933,D932=D933),T932,0)</x:f>
        <x:v>8172.5125</x:v>
      </x:c>
      <x:c r="V933" s="20" t="n">
        <x:f>T933-U933</x:f>
        <x:v>1677.3244999999997</x:v>
      </x:c>
      <x:c r="W933" s="20" t="n">
        <x:f>R933+V933</x:f>
        <x:v>34762.3245</x:v>
      </x:c>
      <x:c r="X933" s="14" t="str">
        <x:f>IF(ABS(W933-SUM(M933:Q933)-V933)&lt;0.01,"OK","Check")</x:f>
        <x:v>OK</x:v>
      </x:c>
    </x:row>
    <x:row r="934">
      <x:c r="A934" s="14" t="n">
        <x:v>2028</x:v>
      </x:c>
      <x:c r="B934" s="14" t="str">
        <x:v>Q1</x:v>
      </x:c>
      <x:c r="C934" s="14" t="n">
        <x:v>1</x:v>
      </x:c>
      <x:c r="D934" s="14" t="n">
        <x:v>27</x:v>
      </x:c>
      <x:c r="E934" s="14" t="str">
        <x:f>INDEX(Roster!$B$6:$B$108,MATCH(D934,Roster!$A$6:$A$108,0))</x:f>
        <x:v>Assistant Principal</x:v>
      </x:c>
      <x:c r="F934" s="14" t="str">
        <x:f>INDEX(Roster!$F$6:$F$108,MATCH(D934,Roster!$A$6:$A$108,0))</x:f>
        <x:v>No</x:v>
      </x:c>
      <x:c r="G934" s="14" t="n">
        <x:f>INDEX(Inputs!$B$7:$D$7,1,MATCH(A934,Inputs!$B$6:$D$6,0))</x:f>
        <x:v>13</x:v>
      </x:c>
      <x:c r="H934" s="14" t="n">
        <x:f>MIN(=INDEX(Inputs!$B$7:$D$7,1,MATCH(A934,Inputs!$B$6:$D$6,0)),MAX(0,INDEX(Inputs!$B$14:$D$14,1,MATCH(A934,Inputs!$B$6:$D$6,0))-(C934-1)*=INDEX(Inputs!$B$7:$D$7,1,MATCH(A934,Inputs!$B$6:$D$6,0))))</x:f>
        <x:v>13</x:v>
      </x:c>
      <x:c r="I934" s="20" t="n">
        <x:f>INDEX(Inputs!$B$8:$D$8,1,MATCH(A934,Inputs!$B$6:$D$6,0))</x:f>
        <x:v>2395</x:v>
      </x:c>
      <x:c r="J934" s="20" t="n">
        <x:f>INDEX(Roster!$C$6:$C$108,MATCH(D934,Roster!$A$6:$A$108,0))*(1+INDEX(Inputs!$B$9:$D$9,1,MATCH(A934,Inputs!$B$6:$D$6,0)))</x:f>
        <x:v>0</x:v>
      </x:c>
      <x:c r="K934" s="20" t="n">
        <x:f>IF(=INDEX(Roster!$F$6:$F$108,MATCH(D934,Roster!$A$6:$A$108,0))="Yes",0,=INDEX(Inputs!$B$8:$D$8,1,MATCH(A934,Inputs!$B$6:$D$6,0))*IF(=INDEX(Roster!$B$6:$B$108,MATCH(D934,Roster!$A$6:$A$108,0))="Principal",INDEX(Inputs!$B$10:$D$10,1,MATCH(A934,Inputs!$B$6:$D$6,0)),IF(=INDEX(Roster!$B$6:$B$108,MATCH(D934,Roster!$A$6:$A$108,0))="Associate Principal",INDEX(Inputs!$B$11:$D$11,1,MATCH(A934,Inputs!$B$6:$D$6,0)),IF(=INDEX(Roster!$B$6:$B$108,MATCH(D934,Roster!$A$6:$A$108,0))="Assistant Principal",INDEX(Inputs!$B$12:$D$12,1,MATCH(A934,Inputs!$B$6:$D$6,0)),0))))</x:f>
        <x:v>239.5</x:v>
      </x:c>
      <x:c r="L934" s="20" t="n">
        <x:f>IF(INDEX(Roster!$D$6:$D$108,MATCH(D934,Roster!$A$6:$A$108,0))&gt;=25,INDEX(Inputs!$B$19:$D$19,1,MATCH(A934,Inputs!$B$6:$D$6,0)),IF(INDEX(Roster!$D$6:$D$108,MATCH(D934,Roster!$A$6:$A$108,0))&gt;=20,INDEX(Inputs!$B$18:$D$18,1,MATCH(A934,Inputs!$B$6:$D$6,0)),IF(INDEX(Roster!$D$6:$D$108,MATCH(D934,Roster!$A$6:$A$108,0))&gt;=15,INDEX(Inputs!$B$17:$D$17,1,MATCH(A934,Inputs!$B$6:$D$6,0)),IF(INDEX(Roster!$D$6:$D$108,MATCH(D934,Roster!$A$6:$A$108,0))&gt;=10,INDEX(Inputs!$B$16:$D$16,1,MATCH(A934,Inputs!$B$6:$D$6,0)),IF(INDEX(Roster!$D$6:$D$108,MATCH(D934,Roster!$A$6:$A$108,0))&gt;=5,INDEX(Inputs!$B$15:$D$15,1,MATCH(A934,Inputs!$B$6:$D$6,0)),0)))))</x:f>
        <x:v>0</x:v>
      </x:c>
      <x:c r="M934" s="20" t="n">
        <x:f>G934*I934</x:f>
        <x:v>31135</x:v>
      </x:c>
      <x:c r="N934" s="20" t="n">
        <x:f>G934*J934</x:f>
        <x:v>0</x:v>
      </x:c>
      <x:c r="O934" s="20" t="n">
        <x:f>G934*K934</x:f>
        <x:v>3113.5</x:v>
      </x:c>
      <x:c r="P934" s="20" t="n">
        <x:f>G934*L934</x:f>
        <x:v>0</x:v>
      </x:c>
      <x:c r="Q934" s="20" t="n">
        <x:f>H934*INDEX(Inputs!$B$13:$D$13,1,MATCH(A934,Inputs!$B$6:$D$6,0))</x:f>
        <x:v>390</x:v>
      </x:c>
      <x:c r="R934" s="20" t="n">
        <x:f>SUM(M934:Q934)</x:f>
        <x:v>34638.5</x:v>
      </x:c>
      <x:c r="S934" s="20" t="n">
        <x:f>IF(AND(A933=A934,D933=D934),S933+R934,R934)</x:f>
        <x:v>34638.5</x:v>
      </x:c>
      <x:c r="T934" s="20" t="n">
        <x:f>MIN(S934,INDEX(Inputs!$B$20:$D$20,1,MATCH(A934,Inputs!$B$6:$D$6,0)))*INDEX(Inputs!$B$22:$D$22,1,MATCH(A934,Inputs!$B$6:$D$6,0))+MAX(MIN(S934,INDEX(Inputs!$B$21:$D$21,1,MATCH(A934,Inputs!$B$6:$D$6,0)))-INDEX(Inputs!$B$20:$D$20,1,MATCH(A934,Inputs!$B$6:$D$6,0)),0)*INDEX(Inputs!$B$23:$D$23,1,MATCH(A934,Inputs!$B$6:$D$6,0))+MAX(S934-INDEX(Inputs!$B$21:$D$21,1,MATCH(A934,Inputs!$B$6:$D$6,0)),0)*INDEX(Inputs!$B$24:$D$24,1,MATCH(A934,Inputs!$B$6:$D$6,0))</x:f>
        <x:v>3139.84525</x:v>
      </x:c>
      <x:c r="U934" s="20" t="n">
        <x:f>IF(AND(A933=A934,D933=D934),T933,0)</x:f>
        <x:v>0</x:v>
      </x:c>
      <x:c r="V934" s="20" t="n">
        <x:f>T934-U934</x:f>
        <x:v>3139.84525</x:v>
      </x:c>
      <x:c r="W934" s="20" t="n">
        <x:f>R934+V934</x:f>
        <x:v>37778.34525</x:v>
      </x:c>
      <x:c r="X934" s="14" t="str">
        <x:f>IF(ABS(W934-SUM(M934:Q934)-V934)&lt;0.01,"OK","Check")</x:f>
        <x:v>OK</x:v>
      </x:c>
    </x:row>
    <x:row r="935">
      <x:c r="A935" s="14" t="n">
        <x:v>2028</x:v>
      </x:c>
      <x:c r="B935" s="14" t="str">
        <x:v>Q2</x:v>
      </x:c>
      <x:c r="C935" s="14" t="n">
        <x:v>2</x:v>
      </x:c>
      <x:c r="D935" s="14" t="n">
        <x:v>27</x:v>
      </x:c>
      <x:c r="E935" s="14" t="str">
        <x:f>INDEX(Roster!$B$6:$B$108,MATCH(D935,Roster!$A$6:$A$108,0))</x:f>
        <x:v>Assistant Principal</x:v>
      </x:c>
      <x:c r="F935" s="14" t="str">
        <x:f>INDEX(Roster!$F$6:$F$108,MATCH(D935,Roster!$A$6:$A$108,0))</x:f>
        <x:v>No</x:v>
      </x:c>
      <x:c r="G935" s="14" t="n">
        <x:f>INDEX(Inputs!$B$7:$D$7,1,MATCH(A935,Inputs!$B$6:$D$6,0))</x:f>
        <x:v>13</x:v>
      </x:c>
      <x:c r="H935" s="14" t="n">
        <x:f>MIN(=INDEX(Inputs!$B$7:$D$7,1,MATCH(A935,Inputs!$B$6:$D$6,0)),MAX(0,INDEX(Inputs!$B$14:$D$14,1,MATCH(A935,Inputs!$B$6:$D$6,0))-(C935-1)*=INDEX(Inputs!$B$7:$D$7,1,MATCH(A935,Inputs!$B$6:$D$6,0))))</x:f>
        <x:v>13</x:v>
      </x:c>
      <x:c r="I935" s="20" t="n">
        <x:f>INDEX(Inputs!$B$8:$D$8,1,MATCH(A935,Inputs!$B$6:$D$6,0))</x:f>
        <x:v>2395</x:v>
      </x:c>
      <x:c r="J935" s="20" t="n">
        <x:f>INDEX(Roster!$C$6:$C$108,MATCH(D935,Roster!$A$6:$A$108,0))*(1+INDEX(Inputs!$B$9:$D$9,1,MATCH(A935,Inputs!$B$6:$D$6,0)))</x:f>
        <x:v>0</x:v>
      </x:c>
      <x:c r="K935" s="20" t="n">
        <x:f>IF(=INDEX(Roster!$F$6:$F$108,MATCH(D935,Roster!$A$6:$A$108,0))="Yes",0,=INDEX(Inputs!$B$8:$D$8,1,MATCH(A935,Inputs!$B$6:$D$6,0))*IF(=INDEX(Roster!$B$6:$B$108,MATCH(D935,Roster!$A$6:$A$108,0))="Principal",INDEX(Inputs!$B$10:$D$10,1,MATCH(A935,Inputs!$B$6:$D$6,0)),IF(=INDEX(Roster!$B$6:$B$108,MATCH(D935,Roster!$A$6:$A$108,0))="Associate Principal",INDEX(Inputs!$B$11:$D$11,1,MATCH(A935,Inputs!$B$6:$D$6,0)),IF(=INDEX(Roster!$B$6:$B$108,MATCH(D935,Roster!$A$6:$A$108,0))="Assistant Principal",INDEX(Inputs!$B$12:$D$12,1,MATCH(A935,Inputs!$B$6:$D$6,0)),0))))</x:f>
        <x:v>239.5</x:v>
      </x:c>
      <x:c r="L935" s="20" t="n">
        <x:f>IF(INDEX(Roster!$D$6:$D$108,MATCH(D935,Roster!$A$6:$A$108,0))&gt;=25,INDEX(Inputs!$B$19:$D$19,1,MATCH(A935,Inputs!$B$6:$D$6,0)),IF(INDEX(Roster!$D$6:$D$108,MATCH(D935,Roster!$A$6:$A$108,0))&gt;=20,INDEX(Inputs!$B$18:$D$18,1,MATCH(A935,Inputs!$B$6:$D$6,0)),IF(INDEX(Roster!$D$6:$D$108,MATCH(D935,Roster!$A$6:$A$108,0))&gt;=15,INDEX(Inputs!$B$17:$D$17,1,MATCH(A935,Inputs!$B$6:$D$6,0)),IF(INDEX(Roster!$D$6:$D$108,MATCH(D935,Roster!$A$6:$A$108,0))&gt;=10,INDEX(Inputs!$B$16:$D$16,1,MATCH(A935,Inputs!$B$6:$D$6,0)),IF(INDEX(Roster!$D$6:$D$108,MATCH(D935,Roster!$A$6:$A$108,0))&gt;=5,INDEX(Inputs!$B$15:$D$15,1,MATCH(A935,Inputs!$B$6:$D$6,0)),0)))))</x:f>
        <x:v>0</x:v>
      </x:c>
      <x:c r="M935" s="20" t="n">
        <x:f>G935*I935</x:f>
        <x:v>31135</x:v>
      </x:c>
      <x:c r="N935" s="20" t="n">
        <x:f>G935*J935</x:f>
        <x:v>0</x:v>
      </x:c>
      <x:c r="O935" s="20" t="n">
        <x:f>G935*K935</x:f>
        <x:v>3113.5</x:v>
      </x:c>
      <x:c r="P935" s="20" t="n">
        <x:f>G935*L935</x:f>
        <x:v>0</x:v>
      </x:c>
      <x:c r="Q935" s="20" t="n">
        <x:f>H935*INDEX(Inputs!$B$13:$D$13,1,MATCH(A935,Inputs!$B$6:$D$6,0))</x:f>
        <x:v>390</x:v>
      </x:c>
      <x:c r="R935" s="20" t="n">
        <x:f>SUM(M935:Q935)</x:f>
        <x:v>34638.5</x:v>
      </x:c>
      <x:c r="S935" s="20" t="n">
        <x:f>IF(AND(A934=A935,D934=D935),S934+R935,R935)</x:f>
        <x:v>69277</x:v>
      </x:c>
      <x:c r="T935" s="20" t="n">
        <x:f>MIN(S935,INDEX(Inputs!$B$20:$D$20,1,MATCH(A935,Inputs!$B$6:$D$6,0)))*INDEX(Inputs!$B$22:$D$22,1,MATCH(A935,Inputs!$B$6:$D$6,0))+MAX(MIN(S935,INDEX(Inputs!$B$21:$D$21,1,MATCH(A935,Inputs!$B$6:$D$6,0)))-INDEX(Inputs!$B$20:$D$20,1,MATCH(A935,Inputs!$B$6:$D$6,0)),0)*INDEX(Inputs!$B$23:$D$23,1,MATCH(A935,Inputs!$B$6:$D$6,0))+MAX(S935-INDEX(Inputs!$B$21:$D$21,1,MATCH(A935,Inputs!$B$6:$D$6,0)),0)*INDEX(Inputs!$B$24:$D$24,1,MATCH(A935,Inputs!$B$6:$D$6,0))</x:f>
        <x:v>5789.6905</x:v>
      </x:c>
      <x:c r="U935" s="20" t="n">
        <x:f>IF(AND(A934=A935,D934=D935),T934,0)</x:f>
        <x:v>3139.84525</x:v>
      </x:c>
      <x:c r="V935" s="20" t="n">
        <x:f>T935-U935</x:f>
        <x:v>2649.84525</x:v>
      </x:c>
      <x:c r="W935" s="20" t="n">
        <x:f>R935+V935</x:f>
        <x:v>37288.34525</x:v>
      </x:c>
      <x:c r="X935" s="14" t="str">
        <x:f>IF(ABS(W935-SUM(M935:Q935)-V935)&lt;0.01,"OK","Check")</x:f>
        <x:v>OK</x:v>
      </x:c>
    </x:row>
    <x:row r="936">
      <x:c r="A936" s="14" t="n">
        <x:v>2028</x:v>
      </x:c>
      <x:c r="B936" s="14" t="str">
        <x:v>Q3</x:v>
      </x:c>
      <x:c r="C936" s="14" t="n">
        <x:v>3</x:v>
      </x:c>
      <x:c r="D936" s="14" t="n">
        <x:v>27</x:v>
      </x:c>
      <x:c r="E936" s="14" t="str">
        <x:f>INDEX(Roster!$B$6:$B$108,MATCH(D936,Roster!$A$6:$A$108,0))</x:f>
        <x:v>Assistant Principal</x:v>
      </x:c>
      <x:c r="F936" s="14" t="str">
        <x:f>INDEX(Roster!$F$6:$F$108,MATCH(D936,Roster!$A$6:$A$108,0))</x:f>
        <x:v>No</x:v>
      </x:c>
      <x:c r="G936" s="14" t="n">
        <x:f>INDEX(Inputs!$B$7:$D$7,1,MATCH(A936,Inputs!$B$6:$D$6,0))</x:f>
        <x:v>13</x:v>
      </x:c>
      <x:c r="H936" s="14" t="n">
        <x:f>MIN(=INDEX(Inputs!$B$7:$D$7,1,MATCH(A936,Inputs!$B$6:$D$6,0)),MAX(0,INDEX(Inputs!$B$14:$D$14,1,MATCH(A936,Inputs!$B$6:$D$6,0))-(C936-1)*=INDEX(Inputs!$B$7:$D$7,1,MATCH(A936,Inputs!$B$6:$D$6,0))))</x:f>
        <x:v>13</x:v>
      </x:c>
      <x:c r="I936" s="20" t="n">
        <x:f>INDEX(Inputs!$B$8:$D$8,1,MATCH(A936,Inputs!$B$6:$D$6,0))</x:f>
        <x:v>2395</x:v>
      </x:c>
      <x:c r="J936" s="20" t="n">
        <x:f>INDEX(Roster!$C$6:$C$108,MATCH(D936,Roster!$A$6:$A$108,0))*(1+INDEX(Inputs!$B$9:$D$9,1,MATCH(A936,Inputs!$B$6:$D$6,0)))</x:f>
        <x:v>0</x:v>
      </x:c>
      <x:c r="K936" s="20" t="n">
        <x:f>IF(=INDEX(Roster!$F$6:$F$108,MATCH(D936,Roster!$A$6:$A$108,0))="Yes",0,=INDEX(Inputs!$B$8:$D$8,1,MATCH(A936,Inputs!$B$6:$D$6,0))*IF(=INDEX(Roster!$B$6:$B$108,MATCH(D936,Roster!$A$6:$A$108,0))="Principal",INDEX(Inputs!$B$10:$D$10,1,MATCH(A936,Inputs!$B$6:$D$6,0)),IF(=INDEX(Roster!$B$6:$B$108,MATCH(D936,Roster!$A$6:$A$108,0))="Associate Principal",INDEX(Inputs!$B$11:$D$11,1,MATCH(A936,Inputs!$B$6:$D$6,0)),IF(=INDEX(Roster!$B$6:$B$108,MATCH(D936,Roster!$A$6:$A$108,0))="Assistant Principal",INDEX(Inputs!$B$12:$D$12,1,MATCH(A936,Inputs!$B$6:$D$6,0)),0))))</x:f>
        <x:v>239.5</x:v>
      </x:c>
      <x:c r="L936" s="20" t="n">
        <x:f>IF(INDEX(Roster!$D$6:$D$108,MATCH(D936,Roster!$A$6:$A$108,0))&gt;=25,INDEX(Inputs!$B$19:$D$19,1,MATCH(A936,Inputs!$B$6:$D$6,0)),IF(INDEX(Roster!$D$6:$D$108,MATCH(D936,Roster!$A$6:$A$108,0))&gt;=20,INDEX(Inputs!$B$18:$D$18,1,MATCH(A936,Inputs!$B$6:$D$6,0)),IF(INDEX(Roster!$D$6:$D$108,MATCH(D936,Roster!$A$6:$A$108,0))&gt;=15,INDEX(Inputs!$B$17:$D$17,1,MATCH(A936,Inputs!$B$6:$D$6,0)),IF(INDEX(Roster!$D$6:$D$108,MATCH(D936,Roster!$A$6:$A$108,0))&gt;=10,INDEX(Inputs!$B$16:$D$16,1,MATCH(A936,Inputs!$B$6:$D$6,0)),IF(INDEX(Roster!$D$6:$D$108,MATCH(D936,Roster!$A$6:$A$108,0))&gt;=5,INDEX(Inputs!$B$15:$D$15,1,MATCH(A936,Inputs!$B$6:$D$6,0)),0)))))</x:f>
        <x:v>0</x:v>
      </x:c>
      <x:c r="M936" s="20" t="n">
        <x:f>G936*I936</x:f>
        <x:v>31135</x:v>
      </x:c>
      <x:c r="N936" s="20" t="n">
        <x:f>G936*J936</x:f>
        <x:v>0</x:v>
      </x:c>
      <x:c r="O936" s="20" t="n">
        <x:f>G936*K936</x:f>
        <x:v>3113.5</x:v>
      </x:c>
      <x:c r="P936" s="20" t="n">
        <x:f>G936*L936</x:f>
        <x:v>0</x:v>
      </x:c>
      <x:c r="Q936" s="20" t="n">
        <x:f>H936*INDEX(Inputs!$B$13:$D$13,1,MATCH(A936,Inputs!$B$6:$D$6,0))</x:f>
        <x:v>390</x:v>
      </x:c>
      <x:c r="R936" s="20" t="n">
        <x:f>SUM(M936:Q936)</x:f>
        <x:v>34638.5</x:v>
      </x:c>
      <x:c r="S936" s="20" t="n">
        <x:f>IF(AND(A935=A936,D935=D936),S935+R936,R936)</x:f>
        <x:v>103915.5</x:v>
      </x:c>
      <x:c r="T936" s="20" t="n">
        <x:f>MIN(S936,INDEX(Inputs!$B$20:$D$20,1,MATCH(A936,Inputs!$B$6:$D$6,0)))*INDEX(Inputs!$B$22:$D$22,1,MATCH(A936,Inputs!$B$6:$D$6,0))+MAX(MIN(S936,INDEX(Inputs!$B$21:$D$21,1,MATCH(A936,Inputs!$B$6:$D$6,0)))-INDEX(Inputs!$B$20:$D$20,1,MATCH(A936,Inputs!$B$6:$D$6,0)),0)*INDEX(Inputs!$B$23:$D$23,1,MATCH(A936,Inputs!$B$6:$D$6,0))+MAX(S936-INDEX(Inputs!$B$21:$D$21,1,MATCH(A936,Inputs!$B$6:$D$6,0)),0)*INDEX(Inputs!$B$24:$D$24,1,MATCH(A936,Inputs!$B$6:$D$6,0))</x:f>
        <x:v>8439.53575</x:v>
      </x:c>
      <x:c r="U936" s="20" t="n">
        <x:f>IF(AND(A935=A936,D935=D936),T935,0)</x:f>
        <x:v>5789.6905</x:v>
      </x:c>
      <x:c r="V936" s="20" t="n">
        <x:f>T936-U936</x:f>
        <x:v>2649.8452499999994</x:v>
      </x:c>
      <x:c r="W936" s="20" t="n">
        <x:f>R936+V936</x:f>
        <x:v>37288.34525</x:v>
      </x:c>
      <x:c r="X936" s="14" t="str">
        <x:f>IF(ABS(W936-SUM(M936:Q936)-V936)&lt;0.01,"OK","Check")</x:f>
        <x:v>OK</x:v>
      </x:c>
    </x:row>
    <x:row r="937">
      <x:c r="A937" s="14" t="n">
        <x:v>2028</x:v>
      </x:c>
      <x:c r="B937" s="14" t="str">
        <x:v>Q4</x:v>
      </x:c>
      <x:c r="C937" s="14" t="n">
        <x:v>4</x:v>
      </x:c>
      <x:c r="D937" s="14" t="n">
        <x:v>27</x:v>
      </x:c>
      <x:c r="E937" s="14" t="str">
        <x:f>INDEX(Roster!$B$6:$B$108,MATCH(D937,Roster!$A$6:$A$108,0))</x:f>
        <x:v>Assistant Principal</x:v>
      </x:c>
      <x:c r="F937" s="14" t="str">
        <x:f>INDEX(Roster!$F$6:$F$108,MATCH(D937,Roster!$A$6:$A$108,0))</x:f>
        <x:v>No</x:v>
      </x:c>
      <x:c r="G937" s="14" t="n">
        <x:f>INDEX(Inputs!$B$7:$D$7,1,MATCH(A937,Inputs!$B$6:$D$6,0))</x:f>
        <x:v>13</x:v>
      </x:c>
      <x:c r="H937" s="14" t="n">
        <x:f>MIN(=INDEX(Inputs!$B$7:$D$7,1,MATCH(A937,Inputs!$B$6:$D$6,0)),MAX(0,INDEX(Inputs!$B$14:$D$14,1,MATCH(A937,Inputs!$B$6:$D$6,0))-(C937-1)*=INDEX(Inputs!$B$7:$D$7,1,MATCH(A937,Inputs!$B$6:$D$6,0))))</x:f>
        <x:v>0</x:v>
      </x:c>
      <x:c r="I937" s="20" t="n">
        <x:f>INDEX(Inputs!$B$8:$D$8,1,MATCH(A937,Inputs!$B$6:$D$6,0))</x:f>
        <x:v>2395</x:v>
      </x:c>
      <x:c r="J937" s="20" t="n">
        <x:f>INDEX(Roster!$C$6:$C$108,MATCH(D937,Roster!$A$6:$A$108,0))*(1+INDEX(Inputs!$B$9:$D$9,1,MATCH(A937,Inputs!$B$6:$D$6,0)))</x:f>
        <x:v>0</x:v>
      </x:c>
      <x:c r="K937" s="20" t="n">
        <x:f>IF(=INDEX(Roster!$F$6:$F$108,MATCH(D937,Roster!$A$6:$A$108,0))="Yes",0,=INDEX(Inputs!$B$8:$D$8,1,MATCH(A937,Inputs!$B$6:$D$6,0))*IF(=INDEX(Roster!$B$6:$B$108,MATCH(D937,Roster!$A$6:$A$108,0))="Principal",INDEX(Inputs!$B$10:$D$10,1,MATCH(A937,Inputs!$B$6:$D$6,0)),IF(=INDEX(Roster!$B$6:$B$108,MATCH(D937,Roster!$A$6:$A$108,0))="Associate Principal",INDEX(Inputs!$B$11:$D$11,1,MATCH(A937,Inputs!$B$6:$D$6,0)),IF(=INDEX(Roster!$B$6:$B$108,MATCH(D937,Roster!$A$6:$A$108,0))="Assistant Principal",INDEX(Inputs!$B$12:$D$12,1,MATCH(A937,Inputs!$B$6:$D$6,0)),0))))</x:f>
        <x:v>239.5</x:v>
      </x:c>
      <x:c r="L937" s="20" t="n">
        <x:f>IF(INDEX(Roster!$D$6:$D$108,MATCH(D937,Roster!$A$6:$A$108,0))&gt;=25,INDEX(Inputs!$B$19:$D$19,1,MATCH(A937,Inputs!$B$6:$D$6,0)),IF(INDEX(Roster!$D$6:$D$108,MATCH(D937,Roster!$A$6:$A$108,0))&gt;=20,INDEX(Inputs!$B$18:$D$18,1,MATCH(A937,Inputs!$B$6:$D$6,0)),IF(INDEX(Roster!$D$6:$D$108,MATCH(D937,Roster!$A$6:$A$108,0))&gt;=15,INDEX(Inputs!$B$17:$D$17,1,MATCH(A937,Inputs!$B$6:$D$6,0)),IF(INDEX(Roster!$D$6:$D$108,MATCH(D937,Roster!$A$6:$A$108,0))&gt;=10,INDEX(Inputs!$B$16:$D$16,1,MATCH(A937,Inputs!$B$6:$D$6,0)),IF(INDEX(Roster!$D$6:$D$108,MATCH(D937,Roster!$A$6:$A$108,0))&gt;=5,INDEX(Inputs!$B$15:$D$15,1,MATCH(A937,Inputs!$B$6:$D$6,0)),0)))))</x:f>
        <x:v>0</x:v>
      </x:c>
      <x:c r="M937" s="20" t="n">
        <x:f>G937*I937</x:f>
        <x:v>31135</x:v>
      </x:c>
      <x:c r="N937" s="20" t="n">
        <x:f>G937*J937</x:f>
        <x:v>0</x:v>
      </x:c>
      <x:c r="O937" s="20" t="n">
        <x:f>G937*K937</x:f>
        <x:v>3113.5</x:v>
      </x:c>
      <x:c r="P937" s="20" t="n">
        <x:f>G937*L937</x:f>
        <x:v>0</x:v>
      </x:c>
      <x:c r="Q937" s="20" t="n">
        <x:f>H937*INDEX(Inputs!$B$13:$D$13,1,MATCH(A937,Inputs!$B$6:$D$6,0))</x:f>
        <x:v>0</x:v>
      </x:c>
      <x:c r="R937" s="20" t="n">
        <x:f>SUM(M937:Q937)</x:f>
        <x:v>34248.5</x:v>
      </x:c>
      <x:c r="S937" s="20" t="n">
        <x:f>IF(AND(A936=A937,D936=D937),S936+R937,R937)</x:f>
        <x:v>138164</x:v>
      </x:c>
      <x:c r="T937" s="20" t="n">
        <x:f>MIN(S937,INDEX(Inputs!$B$20:$D$20,1,MATCH(A937,Inputs!$B$6:$D$6,0)))*INDEX(Inputs!$B$22:$D$22,1,MATCH(A937,Inputs!$B$6:$D$6,0))+MAX(MIN(S937,INDEX(Inputs!$B$21:$D$21,1,MATCH(A937,Inputs!$B$6:$D$6,0)))-INDEX(Inputs!$B$20:$D$20,1,MATCH(A937,Inputs!$B$6:$D$6,0)),0)*INDEX(Inputs!$B$23:$D$23,1,MATCH(A937,Inputs!$B$6:$D$6,0))+MAX(S937-INDEX(Inputs!$B$21:$D$21,1,MATCH(A937,Inputs!$B$6:$D$6,0)),0)*INDEX(Inputs!$B$24:$D$24,1,MATCH(A937,Inputs!$B$6:$D$6,0))</x:f>
        <x:v>9917.32</x:v>
      </x:c>
      <x:c r="U937" s="20" t="n">
        <x:f>IF(AND(A936=A937,D936=D937),T936,0)</x:f>
        <x:v>8439.53575</x:v>
      </x:c>
      <x:c r="V937" s="20" t="n">
        <x:f>T937-U937</x:f>
        <x:v>1477.7842500000006</x:v>
      </x:c>
      <x:c r="W937" s="20" t="n">
        <x:f>R937+V937</x:f>
        <x:v>35726.28425</x:v>
      </x:c>
      <x:c r="X937" s="14" t="str">
        <x:f>IF(ABS(W937-SUM(M937:Q937)-V937)&lt;0.01,"OK","Check")</x:f>
        <x:v>OK</x:v>
      </x:c>
    </x:row>
    <x:row r="938">
      <x:c r="A938" s="14" t="n">
        <x:v>2028</x:v>
      </x:c>
      <x:c r="B938" s="14" t="str">
        <x:v>Q1</x:v>
      </x:c>
      <x:c r="C938" s="14" t="n">
        <x:v>1</x:v>
      </x:c>
      <x:c r="D938" s="14" t="n">
        <x:v>28</x:v>
      </x:c>
      <x:c r="E938" s="14" t="str">
        <x:f>INDEX(Roster!$B$6:$B$108,MATCH(D938,Roster!$A$6:$A$108,0))</x:f>
      </x:c>
      <x:c r="F938" s="14" t="str">
        <x:f>INDEX(Roster!$F$6:$F$108,MATCH(D938,Roster!$A$6:$A$108,0))</x:f>
        <x:v>No</x:v>
      </x:c>
      <x:c r="G938" s="14" t="n">
        <x:f>INDEX(Inputs!$B$7:$D$7,1,MATCH(A938,Inputs!$B$6:$D$6,0))</x:f>
        <x:v>13</x:v>
      </x:c>
      <x:c r="H938" s="14" t="n">
        <x:f>MIN(=INDEX(Inputs!$B$7:$D$7,1,MATCH(A938,Inputs!$B$6:$D$6,0)),MAX(0,INDEX(Inputs!$B$14:$D$14,1,MATCH(A938,Inputs!$B$6:$D$6,0))-(C938-1)*=INDEX(Inputs!$B$7:$D$7,1,MATCH(A938,Inputs!$B$6:$D$6,0))))</x:f>
        <x:v>13</x:v>
      </x:c>
      <x:c r="I938" s="20" t="n">
        <x:f>INDEX(Inputs!$B$8:$D$8,1,MATCH(A938,Inputs!$B$6:$D$6,0))</x:f>
        <x:v>2395</x:v>
      </x:c>
      <x:c r="J938" s="20" t="n">
        <x:f>INDEX(Roster!$C$6:$C$108,MATCH(D938,Roster!$A$6:$A$108,0))*(1+INDEX(Inputs!$B$9:$D$9,1,MATCH(A938,Inputs!$B$6:$D$6,0)))</x:f>
        <x:v>240</x:v>
      </x:c>
      <x:c r="K938" s="20" t="n">
        <x:f>IF(=INDEX(Roster!$F$6:$F$108,MATCH(D938,Roster!$A$6:$A$108,0))="Yes",0,=INDEX(Inputs!$B$8:$D$8,1,MATCH(A938,Inputs!$B$6:$D$6,0))*IF(=INDEX(Roster!$B$6:$B$108,MATCH(D938,Roster!$A$6:$A$108,0))="Principal",INDEX(Inputs!$B$10:$D$10,1,MATCH(A938,Inputs!$B$6:$D$6,0)),IF(=INDEX(Roster!$B$6:$B$108,MATCH(D938,Roster!$A$6:$A$108,0))="Associate Principal",INDEX(Inputs!$B$11:$D$11,1,MATCH(A938,Inputs!$B$6:$D$6,0)),IF(=INDEX(Roster!$B$6:$B$108,MATCH(D938,Roster!$A$6:$A$108,0))="Assistant Principal",INDEX(Inputs!$B$12:$D$12,1,MATCH(A938,Inputs!$B$6:$D$6,0)),0))))</x:f>
        <x:v>0</x:v>
      </x:c>
      <x:c r="L938" s="20" t="n">
        <x:f>IF(INDEX(Roster!$D$6:$D$108,MATCH(D938,Roster!$A$6:$A$108,0))&gt;=25,INDEX(Inputs!$B$19:$D$19,1,MATCH(A938,Inputs!$B$6:$D$6,0)),IF(INDEX(Roster!$D$6:$D$108,MATCH(D938,Roster!$A$6:$A$108,0))&gt;=20,INDEX(Inputs!$B$18:$D$18,1,MATCH(A938,Inputs!$B$6:$D$6,0)),IF(INDEX(Roster!$D$6:$D$108,MATCH(D938,Roster!$A$6:$A$108,0))&gt;=15,INDEX(Inputs!$B$17:$D$17,1,MATCH(A938,Inputs!$B$6:$D$6,0)),IF(INDEX(Roster!$D$6:$D$108,MATCH(D938,Roster!$A$6:$A$108,0))&gt;=10,INDEX(Inputs!$B$16:$D$16,1,MATCH(A938,Inputs!$B$6:$D$6,0)),IF(INDEX(Roster!$D$6:$D$108,MATCH(D938,Roster!$A$6:$A$108,0))&gt;=5,INDEX(Inputs!$B$15:$D$15,1,MATCH(A938,Inputs!$B$6:$D$6,0)),0)))))</x:f>
        <x:v>90</x:v>
      </x:c>
      <x:c r="M938" s="20" t="n">
        <x:f>G938*I938</x:f>
        <x:v>31135</x:v>
      </x:c>
      <x:c r="N938" s="20" t="n">
        <x:f>G938*J938</x:f>
        <x:v>3120</x:v>
      </x:c>
      <x:c r="O938" s="20" t="n">
        <x:f>G938*K938</x:f>
        <x:v>0</x:v>
      </x:c>
      <x:c r="P938" s="20" t="n">
        <x:f>G938*L938</x:f>
        <x:v>1170</x:v>
      </x:c>
      <x:c r="Q938" s="20" t="n">
        <x:f>H938*INDEX(Inputs!$B$13:$D$13,1,MATCH(A938,Inputs!$B$6:$D$6,0))</x:f>
        <x:v>390</x:v>
      </x:c>
      <x:c r="R938" s="20" t="n">
        <x:f>SUM(M938:Q938)</x:f>
        <x:v>35815</x:v>
      </x:c>
      <x:c r="S938" s="20" t="n">
        <x:f>IF(AND(A937=A938,D937=D938),S937+R938,R938)</x:f>
        <x:v>35815</x:v>
      </x:c>
      <x:c r="T938" s="20" t="n">
        <x:f>MIN(S938,INDEX(Inputs!$B$20:$D$20,1,MATCH(A938,Inputs!$B$6:$D$6,0)))*INDEX(Inputs!$B$22:$D$22,1,MATCH(A938,Inputs!$B$6:$D$6,0))+MAX(MIN(S938,INDEX(Inputs!$B$21:$D$21,1,MATCH(A938,Inputs!$B$6:$D$6,0)))-INDEX(Inputs!$B$20:$D$20,1,MATCH(A938,Inputs!$B$6:$D$6,0)),0)*INDEX(Inputs!$B$23:$D$23,1,MATCH(A938,Inputs!$B$6:$D$6,0))+MAX(S938-INDEX(Inputs!$B$21:$D$21,1,MATCH(A938,Inputs!$B$6:$D$6,0)),0)*INDEX(Inputs!$B$24:$D$24,1,MATCH(A938,Inputs!$B$6:$D$6,0))</x:f>
        <x:v>3229.8475</x:v>
      </x:c>
      <x:c r="U938" s="20" t="n">
        <x:f>IF(AND(A937=A938,D937=D938),T937,0)</x:f>
        <x:v>0</x:v>
      </x:c>
      <x:c r="V938" s="20" t="n">
        <x:f>T938-U938</x:f>
        <x:v>3229.8475</x:v>
      </x:c>
      <x:c r="W938" s="20" t="n">
        <x:f>R938+V938</x:f>
        <x:v>39044.8475</x:v>
      </x:c>
      <x:c r="X938" s="14" t="str">
        <x:f>IF(ABS(W938-SUM(M938:Q938)-V938)&lt;0.01,"OK","Check")</x:f>
        <x:v>OK</x:v>
      </x:c>
    </x:row>
    <x:row r="939">
      <x:c r="A939" s="14" t="n">
        <x:v>2028</x:v>
      </x:c>
      <x:c r="B939" s="14" t="str">
        <x:v>Q2</x:v>
      </x:c>
      <x:c r="C939" s="14" t="n">
        <x:v>2</x:v>
      </x:c>
      <x:c r="D939" s="14" t="n">
        <x:v>28</x:v>
      </x:c>
      <x:c r="E939" s="14" t="str">
        <x:f>INDEX(Roster!$B$6:$B$108,MATCH(D939,Roster!$A$6:$A$108,0))</x:f>
      </x:c>
      <x:c r="F939" s="14" t="str">
        <x:f>INDEX(Roster!$F$6:$F$108,MATCH(D939,Roster!$A$6:$A$108,0))</x:f>
        <x:v>No</x:v>
      </x:c>
      <x:c r="G939" s="14" t="n">
        <x:f>INDEX(Inputs!$B$7:$D$7,1,MATCH(A939,Inputs!$B$6:$D$6,0))</x:f>
        <x:v>13</x:v>
      </x:c>
      <x:c r="H939" s="14" t="n">
        <x:f>MIN(=INDEX(Inputs!$B$7:$D$7,1,MATCH(A939,Inputs!$B$6:$D$6,0)),MAX(0,INDEX(Inputs!$B$14:$D$14,1,MATCH(A939,Inputs!$B$6:$D$6,0))-(C939-1)*=INDEX(Inputs!$B$7:$D$7,1,MATCH(A939,Inputs!$B$6:$D$6,0))))</x:f>
        <x:v>13</x:v>
      </x:c>
      <x:c r="I939" s="20" t="n">
        <x:f>INDEX(Inputs!$B$8:$D$8,1,MATCH(A939,Inputs!$B$6:$D$6,0))</x:f>
        <x:v>2395</x:v>
      </x:c>
      <x:c r="J939" s="20" t="n">
        <x:f>INDEX(Roster!$C$6:$C$108,MATCH(D939,Roster!$A$6:$A$108,0))*(1+INDEX(Inputs!$B$9:$D$9,1,MATCH(A939,Inputs!$B$6:$D$6,0)))</x:f>
        <x:v>240</x:v>
      </x:c>
      <x:c r="K939" s="20" t="n">
        <x:f>IF(=INDEX(Roster!$F$6:$F$108,MATCH(D939,Roster!$A$6:$A$108,0))="Yes",0,=INDEX(Inputs!$B$8:$D$8,1,MATCH(A939,Inputs!$B$6:$D$6,0))*IF(=INDEX(Roster!$B$6:$B$108,MATCH(D939,Roster!$A$6:$A$108,0))="Principal",INDEX(Inputs!$B$10:$D$10,1,MATCH(A939,Inputs!$B$6:$D$6,0)),IF(=INDEX(Roster!$B$6:$B$108,MATCH(D939,Roster!$A$6:$A$108,0))="Associate Principal",INDEX(Inputs!$B$11:$D$11,1,MATCH(A939,Inputs!$B$6:$D$6,0)),IF(=INDEX(Roster!$B$6:$B$108,MATCH(D939,Roster!$A$6:$A$108,0))="Assistant Principal",INDEX(Inputs!$B$12:$D$12,1,MATCH(A939,Inputs!$B$6:$D$6,0)),0))))</x:f>
        <x:v>0</x:v>
      </x:c>
      <x:c r="L939" s="20" t="n">
        <x:f>IF(INDEX(Roster!$D$6:$D$108,MATCH(D939,Roster!$A$6:$A$108,0))&gt;=25,INDEX(Inputs!$B$19:$D$19,1,MATCH(A939,Inputs!$B$6:$D$6,0)),IF(INDEX(Roster!$D$6:$D$108,MATCH(D939,Roster!$A$6:$A$108,0))&gt;=20,INDEX(Inputs!$B$18:$D$18,1,MATCH(A939,Inputs!$B$6:$D$6,0)),IF(INDEX(Roster!$D$6:$D$108,MATCH(D939,Roster!$A$6:$A$108,0))&gt;=15,INDEX(Inputs!$B$17:$D$17,1,MATCH(A939,Inputs!$B$6:$D$6,0)),IF(INDEX(Roster!$D$6:$D$108,MATCH(D939,Roster!$A$6:$A$108,0))&gt;=10,INDEX(Inputs!$B$16:$D$16,1,MATCH(A939,Inputs!$B$6:$D$6,0)),IF(INDEX(Roster!$D$6:$D$108,MATCH(D939,Roster!$A$6:$A$108,0))&gt;=5,INDEX(Inputs!$B$15:$D$15,1,MATCH(A939,Inputs!$B$6:$D$6,0)),0)))))</x:f>
        <x:v>90</x:v>
      </x:c>
      <x:c r="M939" s="20" t="n">
        <x:f>G939*I939</x:f>
        <x:v>31135</x:v>
      </x:c>
      <x:c r="N939" s="20" t="n">
        <x:f>G939*J939</x:f>
        <x:v>3120</x:v>
      </x:c>
      <x:c r="O939" s="20" t="n">
        <x:f>G939*K939</x:f>
        <x:v>0</x:v>
      </x:c>
      <x:c r="P939" s="20" t="n">
        <x:f>G939*L939</x:f>
        <x:v>1170</x:v>
      </x:c>
      <x:c r="Q939" s="20" t="n">
        <x:f>H939*INDEX(Inputs!$B$13:$D$13,1,MATCH(A939,Inputs!$B$6:$D$6,0))</x:f>
        <x:v>390</x:v>
      </x:c>
      <x:c r="R939" s="20" t="n">
        <x:f>SUM(M939:Q939)</x:f>
        <x:v>35815</x:v>
      </x:c>
      <x:c r="S939" s="20" t="n">
        <x:f>IF(AND(A938=A939,D938=D939),S938+R939,R939)</x:f>
        <x:v>71630</x:v>
      </x:c>
      <x:c r="T939" s="20" t="n">
        <x:f>MIN(S939,INDEX(Inputs!$B$20:$D$20,1,MATCH(A939,Inputs!$B$6:$D$6,0)))*INDEX(Inputs!$B$22:$D$22,1,MATCH(A939,Inputs!$B$6:$D$6,0))+MAX(MIN(S939,INDEX(Inputs!$B$21:$D$21,1,MATCH(A939,Inputs!$B$6:$D$6,0)))-INDEX(Inputs!$B$20:$D$20,1,MATCH(A939,Inputs!$B$6:$D$6,0)),0)*INDEX(Inputs!$B$23:$D$23,1,MATCH(A939,Inputs!$B$6:$D$6,0))+MAX(S939-INDEX(Inputs!$B$21:$D$21,1,MATCH(A939,Inputs!$B$6:$D$6,0)),0)*INDEX(Inputs!$B$24:$D$24,1,MATCH(A939,Inputs!$B$6:$D$6,0))</x:f>
        <x:v>5969.695</x:v>
      </x:c>
      <x:c r="U939" s="20" t="n">
        <x:f>IF(AND(A938=A939,D938=D939),T938,0)</x:f>
        <x:v>3229.8475</x:v>
      </x:c>
      <x:c r="V939" s="20" t="n">
        <x:f>T939-U939</x:f>
        <x:v>2739.8475</x:v>
      </x:c>
      <x:c r="W939" s="20" t="n">
        <x:f>R939+V939</x:f>
        <x:v>38554.8475</x:v>
      </x:c>
      <x:c r="X939" s="14" t="str">
        <x:f>IF(ABS(W939-SUM(M939:Q939)-V939)&lt;0.01,"OK","Check")</x:f>
        <x:v>OK</x:v>
      </x:c>
    </x:row>
    <x:row r="940">
      <x:c r="A940" s="14" t="n">
        <x:v>2028</x:v>
      </x:c>
      <x:c r="B940" s="14" t="str">
        <x:v>Q3</x:v>
      </x:c>
      <x:c r="C940" s="14" t="n">
        <x:v>3</x:v>
      </x:c>
      <x:c r="D940" s="14" t="n">
        <x:v>28</x:v>
      </x:c>
      <x:c r="E940" s="14" t="str">
        <x:f>INDEX(Roster!$B$6:$B$108,MATCH(D940,Roster!$A$6:$A$108,0))</x:f>
      </x:c>
      <x:c r="F940" s="14" t="str">
        <x:f>INDEX(Roster!$F$6:$F$108,MATCH(D940,Roster!$A$6:$A$108,0))</x:f>
        <x:v>No</x:v>
      </x:c>
      <x:c r="G940" s="14" t="n">
        <x:f>INDEX(Inputs!$B$7:$D$7,1,MATCH(A940,Inputs!$B$6:$D$6,0))</x:f>
        <x:v>13</x:v>
      </x:c>
      <x:c r="H940" s="14" t="n">
        <x:f>MIN(=INDEX(Inputs!$B$7:$D$7,1,MATCH(A940,Inputs!$B$6:$D$6,0)),MAX(0,INDEX(Inputs!$B$14:$D$14,1,MATCH(A940,Inputs!$B$6:$D$6,0))-(C940-1)*=INDEX(Inputs!$B$7:$D$7,1,MATCH(A940,Inputs!$B$6:$D$6,0))))</x:f>
        <x:v>13</x:v>
      </x:c>
      <x:c r="I940" s="20" t="n">
        <x:f>INDEX(Inputs!$B$8:$D$8,1,MATCH(A940,Inputs!$B$6:$D$6,0))</x:f>
        <x:v>2395</x:v>
      </x:c>
      <x:c r="J940" s="20" t="n">
        <x:f>INDEX(Roster!$C$6:$C$108,MATCH(D940,Roster!$A$6:$A$108,0))*(1+INDEX(Inputs!$B$9:$D$9,1,MATCH(A940,Inputs!$B$6:$D$6,0)))</x:f>
        <x:v>240</x:v>
      </x:c>
      <x:c r="K940" s="20" t="n">
        <x:f>IF(=INDEX(Roster!$F$6:$F$108,MATCH(D940,Roster!$A$6:$A$108,0))="Yes",0,=INDEX(Inputs!$B$8:$D$8,1,MATCH(A940,Inputs!$B$6:$D$6,0))*IF(=INDEX(Roster!$B$6:$B$108,MATCH(D940,Roster!$A$6:$A$108,0))="Principal",INDEX(Inputs!$B$10:$D$10,1,MATCH(A940,Inputs!$B$6:$D$6,0)),IF(=INDEX(Roster!$B$6:$B$108,MATCH(D940,Roster!$A$6:$A$108,0))="Associate Principal",INDEX(Inputs!$B$11:$D$11,1,MATCH(A940,Inputs!$B$6:$D$6,0)),IF(=INDEX(Roster!$B$6:$B$108,MATCH(D940,Roster!$A$6:$A$108,0))="Assistant Principal",INDEX(Inputs!$B$12:$D$12,1,MATCH(A940,Inputs!$B$6:$D$6,0)),0))))</x:f>
        <x:v>0</x:v>
      </x:c>
      <x:c r="L940" s="20" t="n">
        <x:f>IF(INDEX(Roster!$D$6:$D$108,MATCH(D940,Roster!$A$6:$A$108,0))&gt;=25,INDEX(Inputs!$B$19:$D$19,1,MATCH(A940,Inputs!$B$6:$D$6,0)),IF(INDEX(Roster!$D$6:$D$108,MATCH(D940,Roster!$A$6:$A$108,0))&gt;=20,INDEX(Inputs!$B$18:$D$18,1,MATCH(A940,Inputs!$B$6:$D$6,0)),IF(INDEX(Roster!$D$6:$D$108,MATCH(D940,Roster!$A$6:$A$108,0))&gt;=15,INDEX(Inputs!$B$17:$D$17,1,MATCH(A940,Inputs!$B$6:$D$6,0)),IF(INDEX(Roster!$D$6:$D$108,MATCH(D940,Roster!$A$6:$A$108,0))&gt;=10,INDEX(Inputs!$B$16:$D$16,1,MATCH(A940,Inputs!$B$6:$D$6,0)),IF(INDEX(Roster!$D$6:$D$108,MATCH(D940,Roster!$A$6:$A$108,0))&gt;=5,INDEX(Inputs!$B$15:$D$15,1,MATCH(A940,Inputs!$B$6:$D$6,0)),0)))))</x:f>
        <x:v>90</x:v>
      </x:c>
      <x:c r="M940" s="20" t="n">
        <x:f>G940*I940</x:f>
        <x:v>31135</x:v>
      </x:c>
      <x:c r="N940" s="20" t="n">
        <x:f>G940*J940</x:f>
        <x:v>3120</x:v>
      </x:c>
      <x:c r="O940" s="20" t="n">
        <x:f>G940*K940</x:f>
        <x:v>0</x:v>
      </x:c>
      <x:c r="P940" s="20" t="n">
        <x:f>G940*L940</x:f>
        <x:v>1170</x:v>
      </x:c>
      <x:c r="Q940" s="20" t="n">
        <x:f>H940*INDEX(Inputs!$B$13:$D$13,1,MATCH(A940,Inputs!$B$6:$D$6,0))</x:f>
        <x:v>390</x:v>
      </x:c>
      <x:c r="R940" s="20" t="n">
        <x:f>SUM(M940:Q940)</x:f>
        <x:v>35815</x:v>
      </x:c>
      <x:c r="S940" s="20" t="n">
        <x:f>IF(AND(A939=A940,D939=D940),S939+R940,R940)</x:f>
        <x:v>107445</x:v>
      </x:c>
      <x:c r="T940" s="20" t="n">
        <x:f>MIN(S940,INDEX(Inputs!$B$20:$D$20,1,MATCH(A940,Inputs!$B$6:$D$6,0)))*INDEX(Inputs!$B$22:$D$22,1,MATCH(A940,Inputs!$B$6:$D$6,0))+MAX(MIN(S940,INDEX(Inputs!$B$21:$D$21,1,MATCH(A940,Inputs!$B$6:$D$6,0)))-INDEX(Inputs!$B$20:$D$20,1,MATCH(A940,Inputs!$B$6:$D$6,0)),0)*INDEX(Inputs!$B$23:$D$23,1,MATCH(A940,Inputs!$B$6:$D$6,0))+MAX(S940-INDEX(Inputs!$B$21:$D$21,1,MATCH(A940,Inputs!$B$6:$D$6,0)),0)*INDEX(Inputs!$B$24:$D$24,1,MATCH(A940,Inputs!$B$6:$D$6,0))</x:f>
        <x:v>8709.5425</x:v>
      </x:c>
      <x:c r="U940" s="20" t="n">
        <x:f>IF(AND(A939=A940,D939=D940),T939,0)</x:f>
        <x:v>5969.695</x:v>
      </x:c>
      <x:c r="V940" s="20" t="n">
        <x:f>T940-U940</x:f>
        <x:v>2739.8475</x:v>
      </x:c>
      <x:c r="W940" s="20" t="n">
        <x:f>R940+V940</x:f>
        <x:v>38554.8475</x:v>
      </x:c>
      <x:c r="X940" s="14" t="str">
        <x:f>IF(ABS(W940-SUM(M940:Q940)-V940)&lt;0.01,"OK","Check")</x:f>
        <x:v>OK</x:v>
      </x:c>
    </x:row>
    <x:row r="941">
      <x:c r="A941" s="14" t="n">
        <x:v>2028</x:v>
      </x:c>
      <x:c r="B941" s="14" t="str">
        <x:v>Q4</x:v>
      </x:c>
      <x:c r="C941" s="14" t="n">
        <x:v>4</x:v>
      </x:c>
      <x:c r="D941" s="14" t="n">
        <x:v>28</x:v>
      </x:c>
      <x:c r="E941" s="14" t="str">
        <x:f>INDEX(Roster!$B$6:$B$108,MATCH(D941,Roster!$A$6:$A$108,0))</x:f>
      </x:c>
      <x:c r="F941" s="14" t="str">
        <x:f>INDEX(Roster!$F$6:$F$108,MATCH(D941,Roster!$A$6:$A$108,0))</x:f>
        <x:v>No</x:v>
      </x:c>
      <x:c r="G941" s="14" t="n">
        <x:f>INDEX(Inputs!$B$7:$D$7,1,MATCH(A941,Inputs!$B$6:$D$6,0))</x:f>
        <x:v>13</x:v>
      </x:c>
      <x:c r="H941" s="14" t="n">
        <x:f>MIN(=INDEX(Inputs!$B$7:$D$7,1,MATCH(A941,Inputs!$B$6:$D$6,0)),MAX(0,INDEX(Inputs!$B$14:$D$14,1,MATCH(A941,Inputs!$B$6:$D$6,0))-(C941-1)*=INDEX(Inputs!$B$7:$D$7,1,MATCH(A941,Inputs!$B$6:$D$6,0))))</x:f>
        <x:v>0</x:v>
      </x:c>
      <x:c r="I941" s="20" t="n">
        <x:f>INDEX(Inputs!$B$8:$D$8,1,MATCH(A941,Inputs!$B$6:$D$6,0))</x:f>
        <x:v>2395</x:v>
      </x:c>
      <x:c r="J941" s="20" t="n">
        <x:f>INDEX(Roster!$C$6:$C$108,MATCH(D941,Roster!$A$6:$A$108,0))*(1+INDEX(Inputs!$B$9:$D$9,1,MATCH(A941,Inputs!$B$6:$D$6,0)))</x:f>
        <x:v>240</x:v>
      </x:c>
      <x:c r="K941" s="20" t="n">
        <x:f>IF(=INDEX(Roster!$F$6:$F$108,MATCH(D941,Roster!$A$6:$A$108,0))="Yes",0,=INDEX(Inputs!$B$8:$D$8,1,MATCH(A941,Inputs!$B$6:$D$6,0))*IF(=INDEX(Roster!$B$6:$B$108,MATCH(D941,Roster!$A$6:$A$108,0))="Principal",INDEX(Inputs!$B$10:$D$10,1,MATCH(A941,Inputs!$B$6:$D$6,0)),IF(=INDEX(Roster!$B$6:$B$108,MATCH(D941,Roster!$A$6:$A$108,0))="Associate Principal",INDEX(Inputs!$B$11:$D$11,1,MATCH(A941,Inputs!$B$6:$D$6,0)),IF(=INDEX(Roster!$B$6:$B$108,MATCH(D941,Roster!$A$6:$A$108,0))="Assistant Principal",INDEX(Inputs!$B$12:$D$12,1,MATCH(A941,Inputs!$B$6:$D$6,0)),0))))</x:f>
        <x:v>0</x:v>
      </x:c>
      <x:c r="L941" s="20" t="n">
        <x:f>IF(INDEX(Roster!$D$6:$D$108,MATCH(D941,Roster!$A$6:$A$108,0))&gt;=25,INDEX(Inputs!$B$19:$D$19,1,MATCH(A941,Inputs!$B$6:$D$6,0)),IF(INDEX(Roster!$D$6:$D$108,MATCH(D941,Roster!$A$6:$A$108,0))&gt;=20,INDEX(Inputs!$B$18:$D$18,1,MATCH(A941,Inputs!$B$6:$D$6,0)),IF(INDEX(Roster!$D$6:$D$108,MATCH(D941,Roster!$A$6:$A$108,0))&gt;=15,INDEX(Inputs!$B$17:$D$17,1,MATCH(A941,Inputs!$B$6:$D$6,0)),IF(INDEX(Roster!$D$6:$D$108,MATCH(D941,Roster!$A$6:$A$108,0))&gt;=10,INDEX(Inputs!$B$16:$D$16,1,MATCH(A941,Inputs!$B$6:$D$6,0)),IF(INDEX(Roster!$D$6:$D$108,MATCH(D941,Roster!$A$6:$A$108,0))&gt;=5,INDEX(Inputs!$B$15:$D$15,1,MATCH(A941,Inputs!$B$6:$D$6,0)),0)))))</x:f>
        <x:v>90</x:v>
      </x:c>
      <x:c r="M941" s="20" t="n">
        <x:f>G941*I941</x:f>
        <x:v>31135</x:v>
      </x:c>
      <x:c r="N941" s="20" t="n">
        <x:f>G941*J941</x:f>
        <x:v>3120</x:v>
      </x:c>
      <x:c r="O941" s="20" t="n">
        <x:f>G941*K941</x:f>
        <x:v>0</x:v>
      </x:c>
      <x:c r="P941" s="20" t="n">
        <x:f>G941*L941</x:f>
        <x:v>1170</x:v>
      </x:c>
      <x:c r="Q941" s="20" t="n">
        <x:f>H941*INDEX(Inputs!$B$13:$D$13,1,MATCH(A941,Inputs!$B$6:$D$6,0))</x:f>
        <x:v>0</x:v>
      </x:c>
      <x:c r="R941" s="20" t="n">
        <x:f>SUM(M941:Q941)</x:f>
        <x:v>35425</x:v>
      </x:c>
      <x:c r="S941" s="20" t="n">
        <x:f>IF(AND(A940=A941,D940=D941),S940+R941,R941)</x:f>
        <x:v>142870</x:v>
      </x:c>
      <x:c r="T941" s="20" t="n">
        <x:f>MIN(S941,INDEX(Inputs!$B$20:$D$20,1,MATCH(A941,Inputs!$B$6:$D$6,0)))*INDEX(Inputs!$B$22:$D$22,1,MATCH(A941,Inputs!$B$6:$D$6,0))+MAX(MIN(S941,INDEX(Inputs!$B$21:$D$21,1,MATCH(A941,Inputs!$B$6:$D$6,0)))-INDEX(Inputs!$B$20:$D$20,1,MATCH(A941,Inputs!$B$6:$D$6,0)),0)*INDEX(Inputs!$B$23:$D$23,1,MATCH(A941,Inputs!$B$6:$D$6,0))+MAX(S941-INDEX(Inputs!$B$21:$D$21,1,MATCH(A941,Inputs!$B$6:$D$6,0)),0)*INDEX(Inputs!$B$24:$D$24,1,MATCH(A941,Inputs!$B$6:$D$6,0))</x:f>
        <x:v>9985.557</x:v>
      </x:c>
      <x:c r="U941" s="20" t="n">
        <x:f>IF(AND(A940=A941,D940=D941),T940,0)</x:f>
        <x:v>8709.5425</x:v>
      </x:c>
      <x:c r="V941" s="20" t="n">
        <x:f>T941-U941</x:f>
        <x:v>1276.0145000000011</x:v>
      </x:c>
      <x:c r="W941" s="20" t="n">
        <x:f>R941+V941</x:f>
        <x:v>36701.014500000005</x:v>
      </x:c>
      <x:c r="X941" s="14" t="str">
        <x:f>IF(ABS(W941-SUM(M941:Q941)-V941)&lt;0.01,"OK","Check")</x:f>
        <x:v>OK</x:v>
      </x:c>
    </x:row>
    <x:row r="942">
      <x:c r="A942" s="14" t="n">
        <x:v>2028</x:v>
      </x:c>
      <x:c r="B942" s="14" t="str">
        <x:v>Q1</x:v>
      </x:c>
      <x:c r="C942" s="14" t="n">
        <x:v>1</x:v>
      </x:c>
      <x:c r="D942" s="14" t="n">
        <x:v>29</x:v>
      </x:c>
      <x:c r="E942" s="14" t="str">
        <x:f>INDEX(Roster!$B$6:$B$108,MATCH(D942,Roster!$A$6:$A$108,0))</x:f>
        <x:v>Assistant Principal</x:v>
      </x:c>
      <x:c r="F942" s="14" t="str">
        <x:f>INDEX(Roster!$F$6:$F$108,MATCH(D942,Roster!$A$6:$A$108,0))</x:f>
        <x:v>No</x:v>
      </x:c>
      <x:c r="G942" s="14" t="n">
        <x:f>INDEX(Inputs!$B$7:$D$7,1,MATCH(A942,Inputs!$B$6:$D$6,0))</x:f>
        <x:v>13</x:v>
      </x:c>
      <x:c r="H942" s="14" t="n">
        <x:f>MIN(=INDEX(Inputs!$B$7:$D$7,1,MATCH(A942,Inputs!$B$6:$D$6,0)),MAX(0,INDEX(Inputs!$B$14:$D$14,1,MATCH(A942,Inputs!$B$6:$D$6,0))-(C942-1)*=INDEX(Inputs!$B$7:$D$7,1,MATCH(A942,Inputs!$B$6:$D$6,0))))</x:f>
        <x:v>13</x:v>
      </x:c>
      <x:c r="I942" s="20" t="n">
        <x:f>INDEX(Inputs!$B$8:$D$8,1,MATCH(A942,Inputs!$B$6:$D$6,0))</x:f>
        <x:v>2395</x:v>
      </x:c>
      <x:c r="J942" s="20" t="n">
        <x:f>INDEX(Roster!$C$6:$C$108,MATCH(D942,Roster!$A$6:$A$108,0))*(1+INDEX(Inputs!$B$9:$D$9,1,MATCH(A942,Inputs!$B$6:$D$6,0)))</x:f>
        <x:v>0</x:v>
      </x:c>
      <x:c r="K942" s="20" t="n">
        <x:f>IF(=INDEX(Roster!$F$6:$F$108,MATCH(D942,Roster!$A$6:$A$108,0))="Yes",0,=INDEX(Inputs!$B$8:$D$8,1,MATCH(A942,Inputs!$B$6:$D$6,0))*IF(=INDEX(Roster!$B$6:$B$108,MATCH(D942,Roster!$A$6:$A$108,0))="Principal",INDEX(Inputs!$B$10:$D$10,1,MATCH(A942,Inputs!$B$6:$D$6,0)),IF(=INDEX(Roster!$B$6:$B$108,MATCH(D942,Roster!$A$6:$A$108,0))="Associate Principal",INDEX(Inputs!$B$11:$D$11,1,MATCH(A942,Inputs!$B$6:$D$6,0)),IF(=INDEX(Roster!$B$6:$B$108,MATCH(D942,Roster!$A$6:$A$108,0))="Assistant Principal",INDEX(Inputs!$B$12:$D$12,1,MATCH(A942,Inputs!$B$6:$D$6,0)),0))))</x:f>
        <x:v>239.5</x:v>
      </x:c>
      <x:c r="L942" s="20" t="n">
        <x:f>IF(INDEX(Roster!$D$6:$D$108,MATCH(D942,Roster!$A$6:$A$108,0))&gt;=25,INDEX(Inputs!$B$19:$D$19,1,MATCH(A942,Inputs!$B$6:$D$6,0)),IF(INDEX(Roster!$D$6:$D$108,MATCH(D942,Roster!$A$6:$A$108,0))&gt;=20,INDEX(Inputs!$B$18:$D$18,1,MATCH(A942,Inputs!$B$6:$D$6,0)),IF(INDEX(Roster!$D$6:$D$108,MATCH(D942,Roster!$A$6:$A$108,0))&gt;=15,INDEX(Inputs!$B$17:$D$17,1,MATCH(A942,Inputs!$B$6:$D$6,0)),IF(INDEX(Roster!$D$6:$D$108,MATCH(D942,Roster!$A$6:$A$108,0))&gt;=10,INDEX(Inputs!$B$16:$D$16,1,MATCH(A942,Inputs!$B$6:$D$6,0)),IF(INDEX(Roster!$D$6:$D$108,MATCH(D942,Roster!$A$6:$A$108,0))&gt;=5,INDEX(Inputs!$B$15:$D$15,1,MATCH(A942,Inputs!$B$6:$D$6,0)),0)))))</x:f>
        <x:v>90</x:v>
      </x:c>
      <x:c r="M942" s="20" t="n">
        <x:f>G942*I942</x:f>
        <x:v>31135</x:v>
      </x:c>
      <x:c r="N942" s="20" t="n">
        <x:f>G942*J942</x:f>
        <x:v>0</x:v>
      </x:c>
      <x:c r="O942" s="20" t="n">
        <x:f>G942*K942</x:f>
        <x:v>3113.5</x:v>
      </x:c>
      <x:c r="P942" s="20" t="n">
        <x:f>G942*L942</x:f>
        <x:v>1170</x:v>
      </x:c>
      <x:c r="Q942" s="20" t="n">
        <x:f>H942*INDEX(Inputs!$B$13:$D$13,1,MATCH(A942,Inputs!$B$6:$D$6,0))</x:f>
        <x:v>390</x:v>
      </x:c>
      <x:c r="R942" s="20" t="n">
        <x:f>SUM(M942:Q942)</x:f>
        <x:v>35808.5</x:v>
      </x:c>
      <x:c r="S942" s="20" t="n">
        <x:f>IF(AND(A941=A942,D941=D942),S941+R942,R942)</x:f>
        <x:v>35808.5</x:v>
      </x:c>
      <x:c r="T942" s="20" t="n">
        <x:f>MIN(S942,INDEX(Inputs!$B$20:$D$20,1,MATCH(A942,Inputs!$B$6:$D$6,0)))*INDEX(Inputs!$B$22:$D$22,1,MATCH(A942,Inputs!$B$6:$D$6,0))+MAX(MIN(S942,INDEX(Inputs!$B$21:$D$21,1,MATCH(A942,Inputs!$B$6:$D$6,0)))-INDEX(Inputs!$B$20:$D$20,1,MATCH(A942,Inputs!$B$6:$D$6,0)),0)*INDEX(Inputs!$B$23:$D$23,1,MATCH(A942,Inputs!$B$6:$D$6,0))+MAX(S942-INDEX(Inputs!$B$21:$D$21,1,MATCH(A942,Inputs!$B$6:$D$6,0)),0)*INDEX(Inputs!$B$24:$D$24,1,MATCH(A942,Inputs!$B$6:$D$6,0))</x:f>
        <x:v>3229.35025</x:v>
      </x:c>
      <x:c r="U942" s="20" t="n">
        <x:f>IF(AND(A941=A942,D941=D942),T941,0)</x:f>
        <x:v>0</x:v>
      </x:c>
      <x:c r="V942" s="20" t="n">
        <x:f>T942-U942</x:f>
        <x:v>3229.35025</x:v>
      </x:c>
      <x:c r="W942" s="20" t="n">
        <x:f>R942+V942</x:f>
        <x:v>39037.85025</x:v>
      </x:c>
      <x:c r="X942" s="14" t="str">
        <x:f>IF(ABS(W942-SUM(M942:Q942)-V942)&lt;0.01,"OK","Check")</x:f>
        <x:v>OK</x:v>
      </x:c>
    </x:row>
    <x:row r="943">
      <x:c r="A943" s="14" t="n">
        <x:v>2028</x:v>
      </x:c>
      <x:c r="B943" s="14" t="str">
        <x:v>Q2</x:v>
      </x:c>
      <x:c r="C943" s="14" t="n">
        <x:v>2</x:v>
      </x:c>
      <x:c r="D943" s="14" t="n">
        <x:v>29</x:v>
      </x:c>
      <x:c r="E943" s="14" t="str">
        <x:f>INDEX(Roster!$B$6:$B$108,MATCH(D943,Roster!$A$6:$A$108,0))</x:f>
        <x:v>Assistant Principal</x:v>
      </x:c>
      <x:c r="F943" s="14" t="str">
        <x:f>INDEX(Roster!$F$6:$F$108,MATCH(D943,Roster!$A$6:$A$108,0))</x:f>
        <x:v>No</x:v>
      </x:c>
      <x:c r="G943" s="14" t="n">
        <x:f>INDEX(Inputs!$B$7:$D$7,1,MATCH(A943,Inputs!$B$6:$D$6,0))</x:f>
        <x:v>13</x:v>
      </x:c>
      <x:c r="H943" s="14" t="n">
        <x:f>MIN(=INDEX(Inputs!$B$7:$D$7,1,MATCH(A943,Inputs!$B$6:$D$6,0)),MAX(0,INDEX(Inputs!$B$14:$D$14,1,MATCH(A943,Inputs!$B$6:$D$6,0))-(C943-1)*=INDEX(Inputs!$B$7:$D$7,1,MATCH(A943,Inputs!$B$6:$D$6,0))))</x:f>
        <x:v>13</x:v>
      </x:c>
      <x:c r="I943" s="20" t="n">
        <x:f>INDEX(Inputs!$B$8:$D$8,1,MATCH(A943,Inputs!$B$6:$D$6,0))</x:f>
        <x:v>2395</x:v>
      </x:c>
      <x:c r="J943" s="20" t="n">
        <x:f>INDEX(Roster!$C$6:$C$108,MATCH(D943,Roster!$A$6:$A$108,0))*(1+INDEX(Inputs!$B$9:$D$9,1,MATCH(A943,Inputs!$B$6:$D$6,0)))</x:f>
        <x:v>0</x:v>
      </x:c>
      <x:c r="K943" s="20" t="n">
        <x:f>IF(=INDEX(Roster!$F$6:$F$108,MATCH(D943,Roster!$A$6:$A$108,0))="Yes",0,=INDEX(Inputs!$B$8:$D$8,1,MATCH(A943,Inputs!$B$6:$D$6,0))*IF(=INDEX(Roster!$B$6:$B$108,MATCH(D943,Roster!$A$6:$A$108,0))="Principal",INDEX(Inputs!$B$10:$D$10,1,MATCH(A943,Inputs!$B$6:$D$6,0)),IF(=INDEX(Roster!$B$6:$B$108,MATCH(D943,Roster!$A$6:$A$108,0))="Associate Principal",INDEX(Inputs!$B$11:$D$11,1,MATCH(A943,Inputs!$B$6:$D$6,0)),IF(=INDEX(Roster!$B$6:$B$108,MATCH(D943,Roster!$A$6:$A$108,0))="Assistant Principal",INDEX(Inputs!$B$12:$D$12,1,MATCH(A943,Inputs!$B$6:$D$6,0)),0))))</x:f>
        <x:v>239.5</x:v>
      </x:c>
      <x:c r="L943" s="20" t="n">
        <x:f>IF(INDEX(Roster!$D$6:$D$108,MATCH(D943,Roster!$A$6:$A$108,0))&gt;=25,INDEX(Inputs!$B$19:$D$19,1,MATCH(A943,Inputs!$B$6:$D$6,0)),IF(INDEX(Roster!$D$6:$D$108,MATCH(D943,Roster!$A$6:$A$108,0))&gt;=20,INDEX(Inputs!$B$18:$D$18,1,MATCH(A943,Inputs!$B$6:$D$6,0)),IF(INDEX(Roster!$D$6:$D$108,MATCH(D943,Roster!$A$6:$A$108,0))&gt;=15,INDEX(Inputs!$B$17:$D$17,1,MATCH(A943,Inputs!$B$6:$D$6,0)),IF(INDEX(Roster!$D$6:$D$108,MATCH(D943,Roster!$A$6:$A$108,0))&gt;=10,INDEX(Inputs!$B$16:$D$16,1,MATCH(A943,Inputs!$B$6:$D$6,0)),IF(INDEX(Roster!$D$6:$D$108,MATCH(D943,Roster!$A$6:$A$108,0))&gt;=5,INDEX(Inputs!$B$15:$D$15,1,MATCH(A943,Inputs!$B$6:$D$6,0)),0)))))</x:f>
        <x:v>90</x:v>
      </x:c>
      <x:c r="M943" s="20" t="n">
        <x:f>G943*I943</x:f>
        <x:v>31135</x:v>
      </x:c>
      <x:c r="N943" s="20" t="n">
        <x:f>G943*J943</x:f>
        <x:v>0</x:v>
      </x:c>
      <x:c r="O943" s="20" t="n">
        <x:f>G943*K943</x:f>
        <x:v>3113.5</x:v>
      </x:c>
      <x:c r="P943" s="20" t="n">
        <x:f>G943*L943</x:f>
        <x:v>1170</x:v>
      </x:c>
      <x:c r="Q943" s="20" t="n">
        <x:f>H943*INDEX(Inputs!$B$13:$D$13,1,MATCH(A943,Inputs!$B$6:$D$6,0))</x:f>
        <x:v>390</x:v>
      </x:c>
      <x:c r="R943" s="20" t="n">
        <x:f>SUM(M943:Q943)</x:f>
        <x:v>35808.5</x:v>
      </x:c>
      <x:c r="S943" s="20" t="n">
        <x:f>IF(AND(A942=A943,D942=D943),S942+R943,R943)</x:f>
        <x:v>71617</x:v>
      </x:c>
      <x:c r="T943" s="20" t="n">
        <x:f>MIN(S943,INDEX(Inputs!$B$20:$D$20,1,MATCH(A943,Inputs!$B$6:$D$6,0)))*INDEX(Inputs!$B$22:$D$22,1,MATCH(A943,Inputs!$B$6:$D$6,0))+MAX(MIN(S943,INDEX(Inputs!$B$21:$D$21,1,MATCH(A943,Inputs!$B$6:$D$6,0)))-INDEX(Inputs!$B$20:$D$20,1,MATCH(A943,Inputs!$B$6:$D$6,0)),0)*INDEX(Inputs!$B$23:$D$23,1,MATCH(A943,Inputs!$B$6:$D$6,0))+MAX(S943-INDEX(Inputs!$B$21:$D$21,1,MATCH(A943,Inputs!$B$6:$D$6,0)),0)*INDEX(Inputs!$B$24:$D$24,1,MATCH(A943,Inputs!$B$6:$D$6,0))</x:f>
        <x:v>5968.7005</x:v>
      </x:c>
      <x:c r="U943" s="20" t="n">
        <x:f>IF(AND(A942=A943,D942=D943),T942,0)</x:f>
        <x:v>3229.35025</x:v>
      </x:c>
      <x:c r="V943" s="20" t="n">
        <x:f>T943-U943</x:f>
        <x:v>2739.35025</x:v>
      </x:c>
      <x:c r="W943" s="20" t="n">
        <x:f>R943+V943</x:f>
        <x:v>38547.85025</x:v>
      </x:c>
      <x:c r="X943" s="14" t="str">
        <x:f>IF(ABS(W943-SUM(M943:Q943)-V943)&lt;0.01,"OK","Check")</x:f>
        <x:v>OK</x:v>
      </x:c>
    </x:row>
    <x:row r="944">
      <x:c r="A944" s="14" t="n">
        <x:v>2028</x:v>
      </x:c>
      <x:c r="B944" s="14" t="str">
        <x:v>Q3</x:v>
      </x:c>
      <x:c r="C944" s="14" t="n">
        <x:v>3</x:v>
      </x:c>
      <x:c r="D944" s="14" t="n">
        <x:v>29</x:v>
      </x:c>
      <x:c r="E944" s="14" t="str">
        <x:f>INDEX(Roster!$B$6:$B$108,MATCH(D944,Roster!$A$6:$A$108,0))</x:f>
        <x:v>Assistant Principal</x:v>
      </x:c>
      <x:c r="F944" s="14" t="str">
        <x:f>INDEX(Roster!$F$6:$F$108,MATCH(D944,Roster!$A$6:$A$108,0))</x:f>
        <x:v>No</x:v>
      </x:c>
      <x:c r="G944" s="14" t="n">
        <x:f>INDEX(Inputs!$B$7:$D$7,1,MATCH(A944,Inputs!$B$6:$D$6,0))</x:f>
        <x:v>13</x:v>
      </x:c>
      <x:c r="H944" s="14" t="n">
        <x:f>MIN(=INDEX(Inputs!$B$7:$D$7,1,MATCH(A944,Inputs!$B$6:$D$6,0)),MAX(0,INDEX(Inputs!$B$14:$D$14,1,MATCH(A944,Inputs!$B$6:$D$6,0))-(C944-1)*=INDEX(Inputs!$B$7:$D$7,1,MATCH(A944,Inputs!$B$6:$D$6,0))))</x:f>
        <x:v>13</x:v>
      </x:c>
      <x:c r="I944" s="20" t="n">
        <x:f>INDEX(Inputs!$B$8:$D$8,1,MATCH(A944,Inputs!$B$6:$D$6,0))</x:f>
        <x:v>2395</x:v>
      </x:c>
      <x:c r="J944" s="20" t="n">
        <x:f>INDEX(Roster!$C$6:$C$108,MATCH(D944,Roster!$A$6:$A$108,0))*(1+INDEX(Inputs!$B$9:$D$9,1,MATCH(A944,Inputs!$B$6:$D$6,0)))</x:f>
        <x:v>0</x:v>
      </x:c>
      <x:c r="K944" s="20" t="n">
        <x:f>IF(=INDEX(Roster!$F$6:$F$108,MATCH(D944,Roster!$A$6:$A$108,0))="Yes",0,=INDEX(Inputs!$B$8:$D$8,1,MATCH(A944,Inputs!$B$6:$D$6,0))*IF(=INDEX(Roster!$B$6:$B$108,MATCH(D944,Roster!$A$6:$A$108,0))="Principal",INDEX(Inputs!$B$10:$D$10,1,MATCH(A944,Inputs!$B$6:$D$6,0)),IF(=INDEX(Roster!$B$6:$B$108,MATCH(D944,Roster!$A$6:$A$108,0))="Associate Principal",INDEX(Inputs!$B$11:$D$11,1,MATCH(A944,Inputs!$B$6:$D$6,0)),IF(=INDEX(Roster!$B$6:$B$108,MATCH(D944,Roster!$A$6:$A$108,0))="Assistant Principal",INDEX(Inputs!$B$12:$D$12,1,MATCH(A944,Inputs!$B$6:$D$6,0)),0))))</x:f>
        <x:v>239.5</x:v>
      </x:c>
      <x:c r="L944" s="20" t="n">
        <x:f>IF(INDEX(Roster!$D$6:$D$108,MATCH(D944,Roster!$A$6:$A$108,0))&gt;=25,INDEX(Inputs!$B$19:$D$19,1,MATCH(A944,Inputs!$B$6:$D$6,0)),IF(INDEX(Roster!$D$6:$D$108,MATCH(D944,Roster!$A$6:$A$108,0))&gt;=20,INDEX(Inputs!$B$18:$D$18,1,MATCH(A944,Inputs!$B$6:$D$6,0)),IF(INDEX(Roster!$D$6:$D$108,MATCH(D944,Roster!$A$6:$A$108,0))&gt;=15,INDEX(Inputs!$B$17:$D$17,1,MATCH(A944,Inputs!$B$6:$D$6,0)),IF(INDEX(Roster!$D$6:$D$108,MATCH(D944,Roster!$A$6:$A$108,0))&gt;=10,INDEX(Inputs!$B$16:$D$16,1,MATCH(A944,Inputs!$B$6:$D$6,0)),IF(INDEX(Roster!$D$6:$D$108,MATCH(D944,Roster!$A$6:$A$108,0))&gt;=5,INDEX(Inputs!$B$15:$D$15,1,MATCH(A944,Inputs!$B$6:$D$6,0)),0)))))</x:f>
        <x:v>90</x:v>
      </x:c>
      <x:c r="M944" s="20" t="n">
        <x:f>G944*I944</x:f>
        <x:v>31135</x:v>
      </x:c>
      <x:c r="N944" s="20" t="n">
        <x:f>G944*J944</x:f>
        <x:v>0</x:v>
      </x:c>
      <x:c r="O944" s="20" t="n">
        <x:f>G944*K944</x:f>
        <x:v>3113.5</x:v>
      </x:c>
      <x:c r="P944" s="20" t="n">
        <x:f>G944*L944</x:f>
        <x:v>1170</x:v>
      </x:c>
      <x:c r="Q944" s="20" t="n">
        <x:f>H944*INDEX(Inputs!$B$13:$D$13,1,MATCH(A944,Inputs!$B$6:$D$6,0))</x:f>
        <x:v>390</x:v>
      </x:c>
      <x:c r="R944" s="20" t="n">
        <x:f>SUM(M944:Q944)</x:f>
        <x:v>35808.5</x:v>
      </x:c>
      <x:c r="S944" s="20" t="n">
        <x:f>IF(AND(A943=A944,D943=D944),S943+R944,R944)</x:f>
        <x:v>107425.5</x:v>
      </x:c>
      <x:c r="T944" s="20" t="n">
        <x:f>MIN(S944,INDEX(Inputs!$B$20:$D$20,1,MATCH(A944,Inputs!$B$6:$D$6,0)))*INDEX(Inputs!$B$22:$D$22,1,MATCH(A944,Inputs!$B$6:$D$6,0))+MAX(MIN(S944,INDEX(Inputs!$B$21:$D$21,1,MATCH(A944,Inputs!$B$6:$D$6,0)))-INDEX(Inputs!$B$20:$D$20,1,MATCH(A944,Inputs!$B$6:$D$6,0)),0)*INDEX(Inputs!$B$23:$D$23,1,MATCH(A944,Inputs!$B$6:$D$6,0))+MAX(S944-INDEX(Inputs!$B$21:$D$21,1,MATCH(A944,Inputs!$B$6:$D$6,0)),0)*INDEX(Inputs!$B$24:$D$24,1,MATCH(A944,Inputs!$B$6:$D$6,0))</x:f>
        <x:v>8708.050749999999</x:v>
      </x:c>
      <x:c r="U944" s="20" t="n">
        <x:f>IF(AND(A943=A944,D943=D944),T943,0)</x:f>
        <x:v>5968.7005</x:v>
      </x:c>
      <x:c r="V944" s="20" t="n">
        <x:f>T944-U944</x:f>
        <x:v>2739.3502499999986</x:v>
      </x:c>
      <x:c r="W944" s="20" t="n">
        <x:f>R944+V944</x:f>
        <x:v>38547.850249999996</x:v>
      </x:c>
      <x:c r="X944" s="14" t="str">
        <x:f>IF(ABS(W944-SUM(M944:Q944)-V944)&lt;0.01,"OK","Check")</x:f>
        <x:v>OK</x:v>
      </x:c>
    </x:row>
    <x:row r="945">
      <x:c r="A945" s="14" t="n">
        <x:v>2028</x:v>
      </x:c>
      <x:c r="B945" s="14" t="str">
        <x:v>Q4</x:v>
      </x:c>
      <x:c r="C945" s="14" t="n">
        <x:v>4</x:v>
      </x:c>
      <x:c r="D945" s="14" t="n">
        <x:v>29</x:v>
      </x:c>
      <x:c r="E945" s="14" t="str">
        <x:f>INDEX(Roster!$B$6:$B$108,MATCH(D945,Roster!$A$6:$A$108,0))</x:f>
        <x:v>Assistant Principal</x:v>
      </x:c>
      <x:c r="F945" s="14" t="str">
        <x:f>INDEX(Roster!$F$6:$F$108,MATCH(D945,Roster!$A$6:$A$108,0))</x:f>
        <x:v>No</x:v>
      </x:c>
      <x:c r="G945" s="14" t="n">
        <x:f>INDEX(Inputs!$B$7:$D$7,1,MATCH(A945,Inputs!$B$6:$D$6,0))</x:f>
        <x:v>13</x:v>
      </x:c>
      <x:c r="H945" s="14" t="n">
        <x:f>MIN(=INDEX(Inputs!$B$7:$D$7,1,MATCH(A945,Inputs!$B$6:$D$6,0)),MAX(0,INDEX(Inputs!$B$14:$D$14,1,MATCH(A945,Inputs!$B$6:$D$6,0))-(C945-1)*=INDEX(Inputs!$B$7:$D$7,1,MATCH(A945,Inputs!$B$6:$D$6,0))))</x:f>
        <x:v>0</x:v>
      </x:c>
      <x:c r="I945" s="20" t="n">
        <x:f>INDEX(Inputs!$B$8:$D$8,1,MATCH(A945,Inputs!$B$6:$D$6,0))</x:f>
        <x:v>2395</x:v>
      </x:c>
      <x:c r="J945" s="20" t="n">
        <x:f>INDEX(Roster!$C$6:$C$108,MATCH(D945,Roster!$A$6:$A$108,0))*(1+INDEX(Inputs!$B$9:$D$9,1,MATCH(A945,Inputs!$B$6:$D$6,0)))</x:f>
        <x:v>0</x:v>
      </x:c>
      <x:c r="K945" s="20" t="n">
        <x:f>IF(=INDEX(Roster!$F$6:$F$108,MATCH(D945,Roster!$A$6:$A$108,0))="Yes",0,=INDEX(Inputs!$B$8:$D$8,1,MATCH(A945,Inputs!$B$6:$D$6,0))*IF(=INDEX(Roster!$B$6:$B$108,MATCH(D945,Roster!$A$6:$A$108,0))="Principal",INDEX(Inputs!$B$10:$D$10,1,MATCH(A945,Inputs!$B$6:$D$6,0)),IF(=INDEX(Roster!$B$6:$B$108,MATCH(D945,Roster!$A$6:$A$108,0))="Associate Principal",INDEX(Inputs!$B$11:$D$11,1,MATCH(A945,Inputs!$B$6:$D$6,0)),IF(=INDEX(Roster!$B$6:$B$108,MATCH(D945,Roster!$A$6:$A$108,0))="Assistant Principal",INDEX(Inputs!$B$12:$D$12,1,MATCH(A945,Inputs!$B$6:$D$6,0)),0))))</x:f>
        <x:v>239.5</x:v>
      </x:c>
      <x:c r="L945" s="20" t="n">
        <x:f>IF(INDEX(Roster!$D$6:$D$108,MATCH(D945,Roster!$A$6:$A$108,0))&gt;=25,INDEX(Inputs!$B$19:$D$19,1,MATCH(A945,Inputs!$B$6:$D$6,0)),IF(INDEX(Roster!$D$6:$D$108,MATCH(D945,Roster!$A$6:$A$108,0))&gt;=20,INDEX(Inputs!$B$18:$D$18,1,MATCH(A945,Inputs!$B$6:$D$6,0)),IF(INDEX(Roster!$D$6:$D$108,MATCH(D945,Roster!$A$6:$A$108,0))&gt;=15,INDEX(Inputs!$B$17:$D$17,1,MATCH(A945,Inputs!$B$6:$D$6,0)),IF(INDEX(Roster!$D$6:$D$108,MATCH(D945,Roster!$A$6:$A$108,0))&gt;=10,INDEX(Inputs!$B$16:$D$16,1,MATCH(A945,Inputs!$B$6:$D$6,0)),IF(INDEX(Roster!$D$6:$D$108,MATCH(D945,Roster!$A$6:$A$108,0))&gt;=5,INDEX(Inputs!$B$15:$D$15,1,MATCH(A945,Inputs!$B$6:$D$6,0)),0)))))</x:f>
        <x:v>90</x:v>
      </x:c>
      <x:c r="M945" s="20" t="n">
        <x:f>G945*I945</x:f>
        <x:v>31135</x:v>
      </x:c>
      <x:c r="N945" s="20" t="n">
        <x:f>G945*J945</x:f>
        <x:v>0</x:v>
      </x:c>
      <x:c r="O945" s="20" t="n">
        <x:f>G945*K945</x:f>
        <x:v>3113.5</x:v>
      </x:c>
      <x:c r="P945" s="20" t="n">
        <x:f>G945*L945</x:f>
        <x:v>1170</x:v>
      </x:c>
      <x:c r="Q945" s="20" t="n">
        <x:f>H945*INDEX(Inputs!$B$13:$D$13,1,MATCH(A945,Inputs!$B$6:$D$6,0))</x:f>
        <x:v>0</x:v>
      </x:c>
      <x:c r="R945" s="20" t="n">
        <x:f>SUM(M945:Q945)</x:f>
        <x:v>35418.5</x:v>
      </x:c>
      <x:c r="S945" s="20" t="n">
        <x:f>IF(AND(A944=A945,D944=D945),S944+R945,R945)</x:f>
        <x:v>142844</x:v>
      </x:c>
      <x:c r="T945" s="20" t="n">
        <x:f>MIN(S945,INDEX(Inputs!$B$20:$D$20,1,MATCH(A945,Inputs!$B$6:$D$6,0)))*INDEX(Inputs!$B$22:$D$22,1,MATCH(A945,Inputs!$B$6:$D$6,0))+MAX(MIN(S945,INDEX(Inputs!$B$21:$D$21,1,MATCH(A945,Inputs!$B$6:$D$6,0)))-INDEX(Inputs!$B$20:$D$20,1,MATCH(A945,Inputs!$B$6:$D$6,0)),0)*INDEX(Inputs!$B$23:$D$23,1,MATCH(A945,Inputs!$B$6:$D$6,0))+MAX(S945-INDEX(Inputs!$B$21:$D$21,1,MATCH(A945,Inputs!$B$6:$D$6,0)),0)*INDEX(Inputs!$B$24:$D$24,1,MATCH(A945,Inputs!$B$6:$D$6,0))</x:f>
        <x:v>9985.18</x:v>
      </x:c>
      <x:c r="U945" s="20" t="n">
        <x:f>IF(AND(A944=A945,D944=D945),T944,0)</x:f>
        <x:v>8708.050749999999</x:v>
      </x:c>
      <x:c r="V945" s="20" t="n">
        <x:f>T945-U945</x:f>
        <x:v>1277.1292500000018</x:v>
      </x:c>
      <x:c r="W945" s="20" t="n">
        <x:f>R945+V945</x:f>
        <x:v>36695.62925</x:v>
      </x:c>
      <x:c r="X945" s="14" t="str">
        <x:f>IF(ABS(W945-SUM(M945:Q945)-V945)&lt;0.01,"OK","Check")</x:f>
        <x:v>OK</x:v>
      </x:c>
    </x:row>
    <x:row r="946">
      <x:c r="A946" s="14" t="n">
        <x:v>2028</x:v>
      </x:c>
      <x:c r="B946" s="14" t="str">
        <x:v>Q1</x:v>
      </x:c>
      <x:c r="C946" s="14" t="n">
        <x:v>1</x:v>
      </x:c>
      <x:c r="D946" s="14" t="n">
        <x:v>30</x:v>
      </x:c>
      <x:c r="E946" s="14" t="str">
        <x:f>INDEX(Roster!$B$6:$B$108,MATCH(D946,Roster!$A$6:$A$108,0))</x:f>
      </x:c>
      <x:c r="F946" s="14" t="str">
        <x:f>INDEX(Roster!$F$6:$F$108,MATCH(D946,Roster!$A$6:$A$108,0))</x:f>
        <x:v>No</x:v>
      </x:c>
      <x:c r="G946" s="14" t="n">
        <x:f>INDEX(Inputs!$B$7:$D$7,1,MATCH(A946,Inputs!$B$6:$D$6,0))</x:f>
        <x:v>13</x:v>
      </x:c>
      <x:c r="H946" s="14" t="n">
        <x:f>MIN(=INDEX(Inputs!$B$7:$D$7,1,MATCH(A946,Inputs!$B$6:$D$6,0)),MAX(0,INDEX(Inputs!$B$14:$D$14,1,MATCH(A946,Inputs!$B$6:$D$6,0))-(C946-1)*=INDEX(Inputs!$B$7:$D$7,1,MATCH(A946,Inputs!$B$6:$D$6,0))))</x:f>
        <x:v>13</x:v>
      </x:c>
      <x:c r="I946" s="20" t="n">
        <x:f>INDEX(Inputs!$B$8:$D$8,1,MATCH(A946,Inputs!$B$6:$D$6,0))</x:f>
        <x:v>2395</x:v>
      </x:c>
      <x:c r="J946" s="20" t="n">
        <x:f>INDEX(Roster!$C$6:$C$108,MATCH(D946,Roster!$A$6:$A$108,0))*(1+INDEX(Inputs!$B$9:$D$9,1,MATCH(A946,Inputs!$B$6:$D$6,0)))</x:f>
        <x:v>60</x:v>
      </x:c>
      <x:c r="K946" s="20" t="n">
        <x:f>IF(=INDEX(Roster!$F$6:$F$108,MATCH(D946,Roster!$A$6:$A$108,0))="Yes",0,=INDEX(Inputs!$B$8:$D$8,1,MATCH(A946,Inputs!$B$6:$D$6,0))*IF(=INDEX(Roster!$B$6:$B$108,MATCH(D946,Roster!$A$6:$A$108,0))="Principal",INDEX(Inputs!$B$10:$D$10,1,MATCH(A946,Inputs!$B$6:$D$6,0)),IF(=INDEX(Roster!$B$6:$B$108,MATCH(D946,Roster!$A$6:$A$108,0))="Associate Principal",INDEX(Inputs!$B$11:$D$11,1,MATCH(A946,Inputs!$B$6:$D$6,0)),IF(=INDEX(Roster!$B$6:$B$108,MATCH(D946,Roster!$A$6:$A$108,0))="Assistant Principal",INDEX(Inputs!$B$12:$D$12,1,MATCH(A946,Inputs!$B$6:$D$6,0)),0))))</x:f>
        <x:v>0</x:v>
      </x:c>
      <x:c r="L946" s="20" t="n">
        <x:f>IF(INDEX(Roster!$D$6:$D$108,MATCH(D946,Roster!$A$6:$A$108,0))&gt;=25,INDEX(Inputs!$B$19:$D$19,1,MATCH(A946,Inputs!$B$6:$D$6,0)),IF(INDEX(Roster!$D$6:$D$108,MATCH(D946,Roster!$A$6:$A$108,0))&gt;=20,INDEX(Inputs!$B$18:$D$18,1,MATCH(A946,Inputs!$B$6:$D$6,0)),IF(INDEX(Roster!$D$6:$D$108,MATCH(D946,Roster!$A$6:$A$108,0))&gt;=15,INDEX(Inputs!$B$17:$D$17,1,MATCH(A946,Inputs!$B$6:$D$6,0)),IF(INDEX(Roster!$D$6:$D$108,MATCH(D946,Roster!$A$6:$A$108,0))&gt;=10,INDEX(Inputs!$B$16:$D$16,1,MATCH(A946,Inputs!$B$6:$D$6,0)),IF(INDEX(Roster!$D$6:$D$108,MATCH(D946,Roster!$A$6:$A$108,0))&gt;=5,INDEX(Inputs!$B$15:$D$15,1,MATCH(A946,Inputs!$B$6:$D$6,0)),0)))))</x:f>
        <x:v>80</x:v>
      </x:c>
      <x:c r="M946" s="20" t="n">
        <x:f>G946*I946</x:f>
        <x:v>31135</x:v>
      </x:c>
      <x:c r="N946" s="20" t="n">
        <x:f>G946*J946</x:f>
        <x:v>780</x:v>
      </x:c>
      <x:c r="O946" s="20" t="n">
        <x:f>G946*K946</x:f>
        <x:v>0</x:v>
      </x:c>
      <x:c r="P946" s="20" t="n">
        <x:f>G946*L946</x:f>
        <x:v>1040</x:v>
      </x:c>
      <x:c r="Q946" s="20" t="n">
        <x:f>H946*INDEX(Inputs!$B$13:$D$13,1,MATCH(A946,Inputs!$B$6:$D$6,0))</x:f>
        <x:v>390</x:v>
      </x:c>
      <x:c r="R946" s="20" t="n">
        <x:f>SUM(M946:Q946)</x:f>
        <x:v>33345</x:v>
      </x:c>
      <x:c r="S946" s="20" t="n">
        <x:f>IF(AND(A945=A946,D945=D946),S945+R946,R946)</x:f>
        <x:v>33345</x:v>
      </x:c>
      <x:c r="T946" s="20" t="n">
        <x:f>MIN(S946,INDEX(Inputs!$B$20:$D$20,1,MATCH(A946,Inputs!$B$6:$D$6,0)))*INDEX(Inputs!$B$22:$D$22,1,MATCH(A946,Inputs!$B$6:$D$6,0))+MAX(MIN(S946,INDEX(Inputs!$B$21:$D$21,1,MATCH(A946,Inputs!$B$6:$D$6,0)))-INDEX(Inputs!$B$20:$D$20,1,MATCH(A946,Inputs!$B$6:$D$6,0)),0)*INDEX(Inputs!$B$23:$D$23,1,MATCH(A946,Inputs!$B$6:$D$6,0))+MAX(S946-INDEX(Inputs!$B$21:$D$21,1,MATCH(A946,Inputs!$B$6:$D$6,0)),0)*INDEX(Inputs!$B$24:$D$24,1,MATCH(A946,Inputs!$B$6:$D$6,0))</x:f>
        <x:v>3040.8925</x:v>
      </x:c>
      <x:c r="U946" s="20" t="n">
        <x:f>IF(AND(A945=A946,D945=D946),T945,0)</x:f>
        <x:v>0</x:v>
      </x:c>
      <x:c r="V946" s="20" t="n">
        <x:f>T946-U946</x:f>
        <x:v>3040.8925</x:v>
      </x:c>
      <x:c r="W946" s="20" t="n">
        <x:f>R946+V946</x:f>
        <x:v>36385.8925</x:v>
      </x:c>
      <x:c r="X946" s="14" t="str">
        <x:f>IF(ABS(W946-SUM(M946:Q946)-V946)&lt;0.01,"OK","Check")</x:f>
        <x:v>OK</x:v>
      </x:c>
    </x:row>
    <x:row r="947">
      <x:c r="A947" s="14" t="n">
        <x:v>2028</x:v>
      </x:c>
      <x:c r="B947" s="14" t="str">
        <x:v>Q2</x:v>
      </x:c>
      <x:c r="C947" s="14" t="n">
        <x:v>2</x:v>
      </x:c>
      <x:c r="D947" s="14" t="n">
        <x:v>30</x:v>
      </x:c>
      <x:c r="E947" s="14" t="str">
        <x:f>INDEX(Roster!$B$6:$B$108,MATCH(D947,Roster!$A$6:$A$108,0))</x:f>
      </x:c>
      <x:c r="F947" s="14" t="str">
        <x:f>INDEX(Roster!$F$6:$F$108,MATCH(D947,Roster!$A$6:$A$108,0))</x:f>
        <x:v>No</x:v>
      </x:c>
      <x:c r="G947" s="14" t="n">
        <x:f>INDEX(Inputs!$B$7:$D$7,1,MATCH(A947,Inputs!$B$6:$D$6,0))</x:f>
        <x:v>13</x:v>
      </x:c>
      <x:c r="H947" s="14" t="n">
        <x:f>MIN(=INDEX(Inputs!$B$7:$D$7,1,MATCH(A947,Inputs!$B$6:$D$6,0)),MAX(0,INDEX(Inputs!$B$14:$D$14,1,MATCH(A947,Inputs!$B$6:$D$6,0))-(C947-1)*=INDEX(Inputs!$B$7:$D$7,1,MATCH(A947,Inputs!$B$6:$D$6,0))))</x:f>
        <x:v>13</x:v>
      </x:c>
      <x:c r="I947" s="20" t="n">
        <x:f>INDEX(Inputs!$B$8:$D$8,1,MATCH(A947,Inputs!$B$6:$D$6,0))</x:f>
        <x:v>2395</x:v>
      </x:c>
      <x:c r="J947" s="20" t="n">
        <x:f>INDEX(Roster!$C$6:$C$108,MATCH(D947,Roster!$A$6:$A$108,0))*(1+INDEX(Inputs!$B$9:$D$9,1,MATCH(A947,Inputs!$B$6:$D$6,0)))</x:f>
        <x:v>60</x:v>
      </x:c>
      <x:c r="K947" s="20" t="n">
        <x:f>IF(=INDEX(Roster!$F$6:$F$108,MATCH(D947,Roster!$A$6:$A$108,0))="Yes",0,=INDEX(Inputs!$B$8:$D$8,1,MATCH(A947,Inputs!$B$6:$D$6,0))*IF(=INDEX(Roster!$B$6:$B$108,MATCH(D947,Roster!$A$6:$A$108,0))="Principal",INDEX(Inputs!$B$10:$D$10,1,MATCH(A947,Inputs!$B$6:$D$6,0)),IF(=INDEX(Roster!$B$6:$B$108,MATCH(D947,Roster!$A$6:$A$108,0))="Associate Principal",INDEX(Inputs!$B$11:$D$11,1,MATCH(A947,Inputs!$B$6:$D$6,0)),IF(=INDEX(Roster!$B$6:$B$108,MATCH(D947,Roster!$A$6:$A$108,0))="Assistant Principal",INDEX(Inputs!$B$12:$D$12,1,MATCH(A947,Inputs!$B$6:$D$6,0)),0))))</x:f>
        <x:v>0</x:v>
      </x:c>
      <x:c r="L947" s="20" t="n">
        <x:f>IF(INDEX(Roster!$D$6:$D$108,MATCH(D947,Roster!$A$6:$A$108,0))&gt;=25,INDEX(Inputs!$B$19:$D$19,1,MATCH(A947,Inputs!$B$6:$D$6,0)),IF(INDEX(Roster!$D$6:$D$108,MATCH(D947,Roster!$A$6:$A$108,0))&gt;=20,INDEX(Inputs!$B$18:$D$18,1,MATCH(A947,Inputs!$B$6:$D$6,0)),IF(INDEX(Roster!$D$6:$D$108,MATCH(D947,Roster!$A$6:$A$108,0))&gt;=15,INDEX(Inputs!$B$17:$D$17,1,MATCH(A947,Inputs!$B$6:$D$6,0)),IF(INDEX(Roster!$D$6:$D$108,MATCH(D947,Roster!$A$6:$A$108,0))&gt;=10,INDEX(Inputs!$B$16:$D$16,1,MATCH(A947,Inputs!$B$6:$D$6,0)),IF(INDEX(Roster!$D$6:$D$108,MATCH(D947,Roster!$A$6:$A$108,0))&gt;=5,INDEX(Inputs!$B$15:$D$15,1,MATCH(A947,Inputs!$B$6:$D$6,0)),0)))))</x:f>
        <x:v>80</x:v>
      </x:c>
      <x:c r="M947" s="20" t="n">
        <x:f>G947*I947</x:f>
        <x:v>31135</x:v>
      </x:c>
      <x:c r="N947" s="20" t="n">
        <x:f>G947*J947</x:f>
        <x:v>780</x:v>
      </x:c>
      <x:c r="O947" s="20" t="n">
        <x:f>G947*K947</x:f>
        <x:v>0</x:v>
      </x:c>
      <x:c r="P947" s="20" t="n">
        <x:f>G947*L947</x:f>
        <x:v>1040</x:v>
      </x:c>
      <x:c r="Q947" s="20" t="n">
        <x:f>H947*INDEX(Inputs!$B$13:$D$13,1,MATCH(A947,Inputs!$B$6:$D$6,0))</x:f>
        <x:v>390</x:v>
      </x:c>
      <x:c r="R947" s="20" t="n">
        <x:f>SUM(M947:Q947)</x:f>
        <x:v>33345</x:v>
      </x:c>
      <x:c r="S947" s="20" t="n">
        <x:f>IF(AND(A946=A947,D946=D947),S946+R947,R947)</x:f>
        <x:v>66690</x:v>
      </x:c>
      <x:c r="T947" s="20" t="n">
        <x:f>MIN(S947,INDEX(Inputs!$B$20:$D$20,1,MATCH(A947,Inputs!$B$6:$D$6,0)))*INDEX(Inputs!$B$22:$D$22,1,MATCH(A947,Inputs!$B$6:$D$6,0))+MAX(MIN(S947,INDEX(Inputs!$B$21:$D$21,1,MATCH(A947,Inputs!$B$6:$D$6,0)))-INDEX(Inputs!$B$20:$D$20,1,MATCH(A947,Inputs!$B$6:$D$6,0)),0)*INDEX(Inputs!$B$23:$D$23,1,MATCH(A947,Inputs!$B$6:$D$6,0))+MAX(S947-INDEX(Inputs!$B$21:$D$21,1,MATCH(A947,Inputs!$B$6:$D$6,0)),0)*INDEX(Inputs!$B$24:$D$24,1,MATCH(A947,Inputs!$B$6:$D$6,0))</x:f>
        <x:v>5591.785</x:v>
      </x:c>
      <x:c r="U947" s="20" t="n">
        <x:f>IF(AND(A946=A947,D946=D947),T946,0)</x:f>
        <x:v>3040.8925</x:v>
      </x:c>
      <x:c r="V947" s="20" t="n">
        <x:f>T947-U947</x:f>
        <x:v>2550.8925</x:v>
      </x:c>
      <x:c r="W947" s="20" t="n">
        <x:f>R947+V947</x:f>
        <x:v>35895.8925</x:v>
      </x:c>
      <x:c r="X947" s="14" t="str">
        <x:f>IF(ABS(W947-SUM(M947:Q947)-V947)&lt;0.01,"OK","Check")</x:f>
        <x:v>OK</x:v>
      </x:c>
    </x:row>
    <x:row r="948">
      <x:c r="A948" s="14" t="n">
        <x:v>2028</x:v>
      </x:c>
      <x:c r="B948" s="14" t="str">
        <x:v>Q3</x:v>
      </x:c>
      <x:c r="C948" s="14" t="n">
        <x:v>3</x:v>
      </x:c>
      <x:c r="D948" s="14" t="n">
        <x:v>30</x:v>
      </x:c>
      <x:c r="E948" s="14" t="str">
        <x:f>INDEX(Roster!$B$6:$B$108,MATCH(D948,Roster!$A$6:$A$108,0))</x:f>
      </x:c>
      <x:c r="F948" s="14" t="str">
        <x:f>INDEX(Roster!$F$6:$F$108,MATCH(D948,Roster!$A$6:$A$108,0))</x:f>
        <x:v>No</x:v>
      </x:c>
      <x:c r="G948" s="14" t="n">
        <x:f>INDEX(Inputs!$B$7:$D$7,1,MATCH(A948,Inputs!$B$6:$D$6,0))</x:f>
        <x:v>13</x:v>
      </x:c>
      <x:c r="H948" s="14" t="n">
        <x:f>MIN(=INDEX(Inputs!$B$7:$D$7,1,MATCH(A948,Inputs!$B$6:$D$6,0)),MAX(0,INDEX(Inputs!$B$14:$D$14,1,MATCH(A948,Inputs!$B$6:$D$6,0))-(C948-1)*=INDEX(Inputs!$B$7:$D$7,1,MATCH(A948,Inputs!$B$6:$D$6,0))))</x:f>
        <x:v>13</x:v>
      </x:c>
      <x:c r="I948" s="20" t="n">
        <x:f>INDEX(Inputs!$B$8:$D$8,1,MATCH(A948,Inputs!$B$6:$D$6,0))</x:f>
        <x:v>2395</x:v>
      </x:c>
      <x:c r="J948" s="20" t="n">
        <x:f>INDEX(Roster!$C$6:$C$108,MATCH(D948,Roster!$A$6:$A$108,0))*(1+INDEX(Inputs!$B$9:$D$9,1,MATCH(A948,Inputs!$B$6:$D$6,0)))</x:f>
        <x:v>60</x:v>
      </x:c>
      <x:c r="K948" s="20" t="n">
        <x:f>IF(=INDEX(Roster!$F$6:$F$108,MATCH(D948,Roster!$A$6:$A$108,0))="Yes",0,=INDEX(Inputs!$B$8:$D$8,1,MATCH(A948,Inputs!$B$6:$D$6,0))*IF(=INDEX(Roster!$B$6:$B$108,MATCH(D948,Roster!$A$6:$A$108,0))="Principal",INDEX(Inputs!$B$10:$D$10,1,MATCH(A948,Inputs!$B$6:$D$6,0)),IF(=INDEX(Roster!$B$6:$B$108,MATCH(D948,Roster!$A$6:$A$108,0))="Associate Principal",INDEX(Inputs!$B$11:$D$11,1,MATCH(A948,Inputs!$B$6:$D$6,0)),IF(=INDEX(Roster!$B$6:$B$108,MATCH(D948,Roster!$A$6:$A$108,0))="Assistant Principal",INDEX(Inputs!$B$12:$D$12,1,MATCH(A948,Inputs!$B$6:$D$6,0)),0))))</x:f>
        <x:v>0</x:v>
      </x:c>
      <x:c r="L948" s="20" t="n">
        <x:f>IF(INDEX(Roster!$D$6:$D$108,MATCH(D948,Roster!$A$6:$A$108,0))&gt;=25,INDEX(Inputs!$B$19:$D$19,1,MATCH(A948,Inputs!$B$6:$D$6,0)),IF(INDEX(Roster!$D$6:$D$108,MATCH(D948,Roster!$A$6:$A$108,0))&gt;=20,INDEX(Inputs!$B$18:$D$18,1,MATCH(A948,Inputs!$B$6:$D$6,0)),IF(INDEX(Roster!$D$6:$D$108,MATCH(D948,Roster!$A$6:$A$108,0))&gt;=15,INDEX(Inputs!$B$17:$D$17,1,MATCH(A948,Inputs!$B$6:$D$6,0)),IF(INDEX(Roster!$D$6:$D$108,MATCH(D948,Roster!$A$6:$A$108,0))&gt;=10,INDEX(Inputs!$B$16:$D$16,1,MATCH(A948,Inputs!$B$6:$D$6,0)),IF(INDEX(Roster!$D$6:$D$108,MATCH(D948,Roster!$A$6:$A$108,0))&gt;=5,INDEX(Inputs!$B$15:$D$15,1,MATCH(A948,Inputs!$B$6:$D$6,0)),0)))))</x:f>
        <x:v>80</x:v>
      </x:c>
      <x:c r="M948" s="20" t="n">
        <x:f>G948*I948</x:f>
        <x:v>31135</x:v>
      </x:c>
      <x:c r="N948" s="20" t="n">
        <x:f>G948*J948</x:f>
        <x:v>780</x:v>
      </x:c>
      <x:c r="O948" s="20" t="n">
        <x:f>G948*K948</x:f>
        <x:v>0</x:v>
      </x:c>
      <x:c r="P948" s="20" t="n">
        <x:f>G948*L948</x:f>
        <x:v>1040</x:v>
      </x:c>
      <x:c r="Q948" s="20" t="n">
        <x:f>H948*INDEX(Inputs!$B$13:$D$13,1,MATCH(A948,Inputs!$B$6:$D$6,0))</x:f>
        <x:v>390</x:v>
      </x:c>
      <x:c r="R948" s="20" t="n">
        <x:f>SUM(M948:Q948)</x:f>
        <x:v>33345</x:v>
      </x:c>
      <x:c r="S948" s="20" t="n">
        <x:f>IF(AND(A947=A948,D947=D948),S947+R948,R948)</x:f>
        <x:v>100035</x:v>
      </x:c>
      <x:c r="T948" s="20" t="n">
        <x:f>MIN(S948,INDEX(Inputs!$B$20:$D$20,1,MATCH(A948,Inputs!$B$6:$D$6,0)))*INDEX(Inputs!$B$22:$D$22,1,MATCH(A948,Inputs!$B$6:$D$6,0))+MAX(MIN(S948,INDEX(Inputs!$B$21:$D$21,1,MATCH(A948,Inputs!$B$6:$D$6,0)))-INDEX(Inputs!$B$20:$D$20,1,MATCH(A948,Inputs!$B$6:$D$6,0)),0)*INDEX(Inputs!$B$23:$D$23,1,MATCH(A948,Inputs!$B$6:$D$6,0))+MAX(S948-INDEX(Inputs!$B$21:$D$21,1,MATCH(A948,Inputs!$B$6:$D$6,0)),0)*INDEX(Inputs!$B$24:$D$24,1,MATCH(A948,Inputs!$B$6:$D$6,0))</x:f>
        <x:v>8142.6775</x:v>
      </x:c>
      <x:c r="U948" s="20" t="n">
        <x:f>IF(AND(A947=A948,D947=D948),T947,0)</x:f>
        <x:v>5591.785</x:v>
      </x:c>
      <x:c r="V948" s="20" t="n">
        <x:f>T948-U948</x:f>
        <x:v>2550.8925</x:v>
      </x:c>
      <x:c r="W948" s="20" t="n">
        <x:f>R948+V948</x:f>
        <x:v>35895.8925</x:v>
      </x:c>
      <x:c r="X948" s="14" t="str">
        <x:f>IF(ABS(W948-SUM(M948:Q948)-V948)&lt;0.01,"OK","Check")</x:f>
        <x:v>OK</x:v>
      </x:c>
    </x:row>
    <x:row r="949">
      <x:c r="A949" s="14" t="n">
        <x:v>2028</x:v>
      </x:c>
      <x:c r="B949" s="14" t="str">
        <x:v>Q4</x:v>
      </x:c>
      <x:c r="C949" s="14" t="n">
        <x:v>4</x:v>
      </x:c>
      <x:c r="D949" s="14" t="n">
        <x:v>30</x:v>
      </x:c>
      <x:c r="E949" s="14" t="str">
        <x:f>INDEX(Roster!$B$6:$B$108,MATCH(D949,Roster!$A$6:$A$108,0))</x:f>
      </x:c>
      <x:c r="F949" s="14" t="str">
        <x:f>INDEX(Roster!$F$6:$F$108,MATCH(D949,Roster!$A$6:$A$108,0))</x:f>
        <x:v>No</x:v>
      </x:c>
      <x:c r="G949" s="14" t="n">
        <x:f>INDEX(Inputs!$B$7:$D$7,1,MATCH(A949,Inputs!$B$6:$D$6,0))</x:f>
        <x:v>13</x:v>
      </x:c>
      <x:c r="H949" s="14" t="n">
        <x:f>MIN(=INDEX(Inputs!$B$7:$D$7,1,MATCH(A949,Inputs!$B$6:$D$6,0)),MAX(0,INDEX(Inputs!$B$14:$D$14,1,MATCH(A949,Inputs!$B$6:$D$6,0))-(C949-1)*=INDEX(Inputs!$B$7:$D$7,1,MATCH(A949,Inputs!$B$6:$D$6,0))))</x:f>
        <x:v>0</x:v>
      </x:c>
      <x:c r="I949" s="20" t="n">
        <x:f>INDEX(Inputs!$B$8:$D$8,1,MATCH(A949,Inputs!$B$6:$D$6,0))</x:f>
        <x:v>2395</x:v>
      </x:c>
      <x:c r="J949" s="20" t="n">
        <x:f>INDEX(Roster!$C$6:$C$108,MATCH(D949,Roster!$A$6:$A$108,0))*(1+INDEX(Inputs!$B$9:$D$9,1,MATCH(A949,Inputs!$B$6:$D$6,0)))</x:f>
        <x:v>60</x:v>
      </x:c>
      <x:c r="K949" s="20" t="n">
        <x:f>IF(=INDEX(Roster!$F$6:$F$108,MATCH(D949,Roster!$A$6:$A$108,0))="Yes",0,=INDEX(Inputs!$B$8:$D$8,1,MATCH(A949,Inputs!$B$6:$D$6,0))*IF(=INDEX(Roster!$B$6:$B$108,MATCH(D949,Roster!$A$6:$A$108,0))="Principal",INDEX(Inputs!$B$10:$D$10,1,MATCH(A949,Inputs!$B$6:$D$6,0)),IF(=INDEX(Roster!$B$6:$B$108,MATCH(D949,Roster!$A$6:$A$108,0))="Associate Principal",INDEX(Inputs!$B$11:$D$11,1,MATCH(A949,Inputs!$B$6:$D$6,0)),IF(=INDEX(Roster!$B$6:$B$108,MATCH(D949,Roster!$A$6:$A$108,0))="Assistant Principal",INDEX(Inputs!$B$12:$D$12,1,MATCH(A949,Inputs!$B$6:$D$6,0)),0))))</x:f>
        <x:v>0</x:v>
      </x:c>
      <x:c r="L949" s="20" t="n">
        <x:f>IF(INDEX(Roster!$D$6:$D$108,MATCH(D949,Roster!$A$6:$A$108,0))&gt;=25,INDEX(Inputs!$B$19:$D$19,1,MATCH(A949,Inputs!$B$6:$D$6,0)),IF(INDEX(Roster!$D$6:$D$108,MATCH(D949,Roster!$A$6:$A$108,0))&gt;=20,INDEX(Inputs!$B$18:$D$18,1,MATCH(A949,Inputs!$B$6:$D$6,0)),IF(INDEX(Roster!$D$6:$D$108,MATCH(D949,Roster!$A$6:$A$108,0))&gt;=15,INDEX(Inputs!$B$17:$D$17,1,MATCH(A949,Inputs!$B$6:$D$6,0)),IF(INDEX(Roster!$D$6:$D$108,MATCH(D949,Roster!$A$6:$A$108,0))&gt;=10,INDEX(Inputs!$B$16:$D$16,1,MATCH(A949,Inputs!$B$6:$D$6,0)),IF(INDEX(Roster!$D$6:$D$108,MATCH(D949,Roster!$A$6:$A$108,0))&gt;=5,INDEX(Inputs!$B$15:$D$15,1,MATCH(A949,Inputs!$B$6:$D$6,0)),0)))))</x:f>
        <x:v>80</x:v>
      </x:c>
      <x:c r="M949" s="20" t="n">
        <x:f>G949*I949</x:f>
        <x:v>31135</x:v>
      </x:c>
      <x:c r="N949" s="20" t="n">
        <x:f>G949*J949</x:f>
        <x:v>780</x:v>
      </x:c>
      <x:c r="O949" s="20" t="n">
        <x:f>G949*K949</x:f>
        <x:v>0</x:v>
      </x:c>
      <x:c r="P949" s="20" t="n">
        <x:f>G949*L949</x:f>
        <x:v>1040</x:v>
      </x:c>
      <x:c r="Q949" s="20" t="n">
        <x:f>H949*INDEX(Inputs!$B$13:$D$13,1,MATCH(A949,Inputs!$B$6:$D$6,0))</x:f>
        <x:v>0</x:v>
      </x:c>
      <x:c r="R949" s="20" t="n">
        <x:f>SUM(M949:Q949)</x:f>
        <x:v>32955</x:v>
      </x:c>
      <x:c r="S949" s="20" t="n">
        <x:f>IF(AND(A948=A949,D948=D949),S948+R949,R949)</x:f>
        <x:v>132990</x:v>
      </x:c>
      <x:c r="T949" s="20" t="n">
        <x:f>MIN(S949,INDEX(Inputs!$B$20:$D$20,1,MATCH(A949,Inputs!$B$6:$D$6,0)))*INDEX(Inputs!$B$22:$D$22,1,MATCH(A949,Inputs!$B$6:$D$6,0))+MAX(MIN(S949,INDEX(Inputs!$B$21:$D$21,1,MATCH(A949,Inputs!$B$6:$D$6,0)))-INDEX(Inputs!$B$20:$D$20,1,MATCH(A949,Inputs!$B$6:$D$6,0)),0)*INDEX(Inputs!$B$23:$D$23,1,MATCH(A949,Inputs!$B$6:$D$6,0))+MAX(S949-INDEX(Inputs!$B$21:$D$21,1,MATCH(A949,Inputs!$B$6:$D$6,0)),0)*INDEX(Inputs!$B$24:$D$24,1,MATCH(A949,Inputs!$B$6:$D$6,0))</x:f>
        <x:v>9842.297</x:v>
      </x:c>
      <x:c r="U949" s="20" t="n">
        <x:f>IF(AND(A948=A949,D948=D949),T948,0)</x:f>
        <x:v>8142.6775</x:v>
      </x:c>
      <x:c r="V949" s="20" t="n">
        <x:f>T949-U949</x:f>
        <x:v>1699.6195000000007</x:v>
      </x:c>
      <x:c r="W949" s="20" t="n">
        <x:f>R949+V949</x:f>
        <x:v>34654.6195</x:v>
      </x:c>
      <x:c r="X949" s="14" t="str">
        <x:f>IF(ABS(W949-SUM(M949:Q949)-V949)&lt;0.01,"OK","Check")</x:f>
        <x:v>OK</x:v>
      </x:c>
    </x:row>
    <x:row r="950">
      <x:c r="A950" s="14" t="n">
        <x:v>2028</x:v>
      </x:c>
      <x:c r="B950" s="14" t="str">
        <x:v>Q1</x:v>
      </x:c>
      <x:c r="C950" s="14" t="n">
        <x:v>1</x:v>
      </x:c>
      <x:c r="D950" s="14" t="n">
        <x:v>31</x:v>
      </x:c>
      <x:c r="E950" s="14" t="str">
        <x:f>INDEX(Roster!$B$6:$B$108,MATCH(D950,Roster!$A$6:$A$108,0))</x:f>
        <x:v>Associate Principal</x:v>
      </x:c>
      <x:c r="F950" s="14" t="str">
        <x:f>INDEX(Roster!$F$6:$F$108,MATCH(D950,Roster!$A$6:$A$108,0))</x:f>
        <x:v>Yes</x:v>
      </x:c>
      <x:c r="G950" s="14" t="n">
        <x:f>INDEX(Inputs!$B$7:$D$7,1,MATCH(A950,Inputs!$B$6:$D$6,0))</x:f>
        <x:v>13</x:v>
      </x:c>
      <x:c r="H950" s="14" t="n">
        <x:f>MIN(=INDEX(Inputs!$B$7:$D$7,1,MATCH(A950,Inputs!$B$6:$D$6,0)),MAX(0,INDEX(Inputs!$B$14:$D$14,1,MATCH(A950,Inputs!$B$6:$D$6,0))-(C950-1)*=INDEX(Inputs!$B$7:$D$7,1,MATCH(A950,Inputs!$B$6:$D$6,0))))</x:f>
        <x:v>13</x:v>
      </x:c>
      <x:c r="I950" s="20" t="n">
        <x:f>INDEX(Inputs!$B$8:$D$8,1,MATCH(A950,Inputs!$B$6:$D$6,0))</x:f>
        <x:v>2395</x:v>
      </x:c>
      <x:c r="J950" s="20" t="n">
        <x:f>INDEX(Roster!$C$6:$C$108,MATCH(D950,Roster!$A$6:$A$108,0))*(1+INDEX(Inputs!$B$9:$D$9,1,MATCH(A950,Inputs!$B$6:$D$6,0)))</x:f>
        <x:v>775</x:v>
      </x:c>
      <x:c r="K950" s="20" t="n">
        <x:f>IF(=INDEX(Roster!$F$6:$F$108,MATCH(D950,Roster!$A$6:$A$108,0))="Yes",0,=INDEX(Inputs!$B$8:$D$8,1,MATCH(A950,Inputs!$B$6:$D$6,0))*IF(=INDEX(Roster!$B$6:$B$108,MATCH(D950,Roster!$A$6:$A$108,0))="Principal",INDEX(Inputs!$B$10:$D$10,1,MATCH(A950,Inputs!$B$6:$D$6,0)),IF(=INDEX(Roster!$B$6:$B$108,MATCH(D950,Roster!$A$6:$A$108,0))="Associate Principal",INDEX(Inputs!$B$11:$D$11,1,MATCH(A950,Inputs!$B$6:$D$6,0)),IF(=INDEX(Roster!$B$6:$B$108,MATCH(D950,Roster!$A$6:$A$108,0))="Assistant Principal",INDEX(Inputs!$B$12:$D$12,1,MATCH(A950,Inputs!$B$6:$D$6,0)),0))))</x:f>
        <x:v>0</x:v>
      </x:c>
      <x:c r="L950" s="20" t="n">
        <x:f>IF(INDEX(Roster!$D$6:$D$108,MATCH(D950,Roster!$A$6:$A$108,0))&gt;=25,INDEX(Inputs!$B$19:$D$19,1,MATCH(A950,Inputs!$B$6:$D$6,0)),IF(INDEX(Roster!$D$6:$D$108,MATCH(D950,Roster!$A$6:$A$108,0))&gt;=20,INDEX(Inputs!$B$18:$D$18,1,MATCH(A950,Inputs!$B$6:$D$6,0)),IF(INDEX(Roster!$D$6:$D$108,MATCH(D950,Roster!$A$6:$A$108,0))&gt;=15,INDEX(Inputs!$B$17:$D$17,1,MATCH(A950,Inputs!$B$6:$D$6,0)),IF(INDEX(Roster!$D$6:$D$108,MATCH(D950,Roster!$A$6:$A$108,0))&gt;=10,INDEX(Inputs!$B$16:$D$16,1,MATCH(A950,Inputs!$B$6:$D$6,0)),IF(INDEX(Roster!$D$6:$D$108,MATCH(D950,Roster!$A$6:$A$108,0))&gt;=5,INDEX(Inputs!$B$15:$D$15,1,MATCH(A950,Inputs!$B$6:$D$6,0)),0)))))</x:f>
        <x:v>0</x:v>
      </x:c>
      <x:c r="M950" s="20" t="n">
        <x:f>G950*I950</x:f>
        <x:v>31135</x:v>
      </x:c>
      <x:c r="N950" s="20" t="n">
        <x:f>G950*J950</x:f>
        <x:v>10075</x:v>
      </x:c>
      <x:c r="O950" s="20" t="n">
        <x:f>G950*K950</x:f>
        <x:v>0</x:v>
      </x:c>
      <x:c r="P950" s="20" t="n">
        <x:f>G950*L950</x:f>
        <x:v>0</x:v>
      </x:c>
      <x:c r="Q950" s="20" t="n">
        <x:f>H950*INDEX(Inputs!$B$13:$D$13,1,MATCH(A950,Inputs!$B$6:$D$6,0))</x:f>
        <x:v>390</x:v>
      </x:c>
      <x:c r="R950" s="20" t="n">
        <x:f>SUM(M950:Q950)</x:f>
        <x:v>41600</x:v>
      </x:c>
      <x:c r="S950" s="20" t="n">
        <x:f>IF(AND(A949=A950,D949=D950),S949+R950,R950)</x:f>
        <x:v>41600</x:v>
      </x:c>
      <x:c r="T950" s="20" t="n">
        <x:f>MIN(S950,INDEX(Inputs!$B$20:$D$20,1,MATCH(A950,Inputs!$B$6:$D$6,0)))*INDEX(Inputs!$B$22:$D$22,1,MATCH(A950,Inputs!$B$6:$D$6,0))+MAX(MIN(S950,INDEX(Inputs!$B$21:$D$21,1,MATCH(A950,Inputs!$B$6:$D$6,0)))-INDEX(Inputs!$B$20:$D$20,1,MATCH(A950,Inputs!$B$6:$D$6,0)),0)*INDEX(Inputs!$B$23:$D$23,1,MATCH(A950,Inputs!$B$6:$D$6,0))+MAX(S950-INDEX(Inputs!$B$21:$D$21,1,MATCH(A950,Inputs!$B$6:$D$6,0)),0)*INDEX(Inputs!$B$24:$D$24,1,MATCH(A950,Inputs!$B$6:$D$6,0))</x:f>
        <x:v>3672.4</x:v>
      </x:c>
      <x:c r="U950" s="20" t="n">
        <x:f>IF(AND(A949=A950,D949=D950),T949,0)</x:f>
        <x:v>0</x:v>
      </x:c>
      <x:c r="V950" s="20" t="n">
        <x:f>T950-U950</x:f>
        <x:v>3672.4</x:v>
      </x:c>
      <x:c r="W950" s="20" t="n">
        <x:f>R950+V950</x:f>
        <x:v>45272.4</x:v>
      </x:c>
      <x:c r="X950" s="14" t="str">
        <x:f>IF(ABS(W950-SUM(M950:Q950)-V950)&lt;0.01,"OK","Check")</x:f>
        <x:v>OK</x:v>
      </x:c>
    </x:row>
    <x:row r="951">
      <x:c r="A951" s="14" t="n">
        <x:v>2028</x:v>
      </x:c>
      <x:c r="B951" s="14" t="str">
        <x:v>Q2</x:v>
      </x:c>
      <x:c r="C951" s="14" t="n">
        <x:v>2</x:v>
      </x:c>
      <x:c r="D951" s="14" t="n">
        <x:v>31</x:v>
      </x:c>
      <x:c r="E951" s="14" t="str">
        <x:f>INDEX(Roster!$B$6:$B$108,MATCH(D951,Roster!$A$6:$A$108,0))</x:f>
        <x:v>Associate Principal</x:v>
      </x:c>
      <x:c r="F951" s="14" t="str">
        <x:f>INDEX(Roster!$F$6:$F$108,MATCH(D951,Roster!$A$6:$A$108,0))</x:f>
        <x:v>Yes</x:v>
      </x:c>
      <x:c r="G951" s="14" t="n">
        <x:f>INDEX(Inputs!$B$7:$D$7,1,MATCH(A951,Inputs!$B$6:$D$6,0))</x:f>
        <x:v>13</x:v>
      </x:c>
      <x:c r="H951" s="14" t="n">
        <x:f>MIN(=INDEX(Inputs!$B$7:$D$7,1,MATCH(A951,Inputs!$B$6:$D$6,0)),MAX(0,INDEX(Inputs!$B$14:$D$14,1,MATCH(A951,Inputs!$B$6:$D$6,0))-(C951-1)*=INDEX(Inputs!$B$7:$D$7,1,MATCH(A951,Inputs!$B$6:$D$6,0))))</x:f>
        <x:v>13</x:v>
      </x:c>
      <x:c r="I951" s="20" t="n">
        <x:f>INDEX(Inputs!$B$8:$D$8,1,MATCH(A951,Inputs!$B$6:$D$6,0))</x:f>
        <x:v>2395</x:v>
      </x:c>
      <x:c r="J951" s="20" t="n">
        <x:f>INDEX(Roster!$C$6:$C$108,MATCH(D951,Roster!$A$6:$A$108,0))*(1+INDEX(Inputs!$B$9:$D$9,1,MATCH(A951,Inputs!$B$6:$D$6,0)))</x:f>
        <x:v>775</x:v>
      </x:c>
      <x:c r="K951" s="20" t="n">
        <x:f>IF(=INDEX(Roster!$F$6:$F$108,MATCH(D951,Roster!$A$6:$A$108,0))="Yes",0,=INDEX(Inputs!$B$8:$D$8,1,MATCH(A951,Inputs!$B$6:$D$6,0))*IF(=INDEX(Roster!$B$6:$B$108,MATCH(D951,Roster!$A$6:$A$108,0))="Principal",INDEX(Inputs!$B$10:$D$10,1,MATCH(A951,Inputs!$B$6:$D$6,0)),IF(=INDEX(Roster!$B$6:$B$108,MATCH(D951,Roster!$A$6:$A$108,0))="Associate Principal",INDEX(Inputs!$B$11:$D$11,1,MATCH(A951,Inputs!$B$6:$D$6,0)),IF(=INDEX(Roster!$B$6:$B$108,MATCH(D951,Roster!$A$6:$A$108,0))="Assistant Principal",INDEX(Inputs!$B$12:$D$12,1,MATCH(A951,Inputs!$B$6:$D$6,0)),0))))</x:f>
        <x:v>0</x:v>
      </x:c>
      <x:c r="L951" s="20" t="n">
        <x:f>IF(INDEX(Roster!$D$6:$D$108,MATCH(D951,Roster!$A$6:$A$108,0))&gt;=25,INDEX(Inputs!$B$19:$D$19,1,MATCH(A951,Inputs!$B$6:$D$6,0)),IF(INDEX(Roster!$D$6:$D$108,MATCH(D951,Roster!$A$6:$A$108,0))&gt;=20,INDEX(Inputs!$B$18:$D$18,1,MATCH(A951,Inputs!$B$6:$D$6,0)),IF(INDEX(Roster!$D$6:$D$108,MATCH(D951,Roster!$A$6:$A$108,0))&gt;=15,INDEX(Inputs!$B$17:$D$17,1,MATCH(A951,Inputs!$B$6:$D$6,0)),IF(INDEX(Roster!$D$6:$D$108,MATCH(D951,Roster!$A$6:$A$108,0))&gt;=10,INDEX(Inputs!$B$16:$D$16,1,MATCH(A951,Inputs!$B$6:$D$6,0)),IF(INDEX(Roster!$D$6:$D$108,MATCH(D951,Roster!$A$6:$A$108,0))&gt;=5,INDEX(Inputs!$B$15:$D$15,1,MATCH(A951,Inputs!$B$6:$D$6,0)),0)))))</x:f>
        <x:v>0</x:v>
      </x:c>
      <x:c r="M951" s="20" t="n">
        <x:f>G951*I951</x:f>
        <x:v>31135</x:v>
      </x:c>
      <x:c r="N951" s="20" t="n">
        <x:f>G951*J951</x:f>
        <x:v>10075</x:v>
      </x:c>
      <x:c r="O951" s="20" t="n">
        <x:f>G951*K951</x:f>
        <x:v>0</x:v>
      </x:c>
      <x:c r="P951" s="20" t="n">
        <x:f>G951*L951</x:f>
        <x:v>0</x:v>
      </x:c>
      <x:c r="Q951" s="20" t="n">
        <x:f>H951*INDEX(Inputs!$B$13:$D$13,1,MATCH(A951,Inputs!$B$6:$D$6,0))</x:f>
        <x:v>390</x:v>
      </x:c>
      <x:c r="R951" s="20" t="n">
        <x:f>SUM(M951:Q951)</x:f>
        <x:v>41600</x:v>
      </x:c>
      <x:c r="S951" s="20" t="n">
        <x:f>IF(AND(A950=A951,D950=D951),S950+R951,R951)</x:f>
        <x:v>83200</x:v>
      </x:c>
      <x:c r="T951" s="20" t="n">
        <x:f>MIN(S951,INDEX(Inputs!$B$20:$D$20,1,MATCH(A951,Inputs!$B$6:$D$6,0)))*INDEX(Inputs!$B$22:$D$22,1,MATCH(A951,Inputs!$B$6:$D$6,0))+MAX(MIN(S951,INDEX(Inputs!$B$21:$D$21,1,MATCH(A951,Inputs!$B$6:$D$6,0)))-INDEX(Inputs!$B$20:$D$20,1,MATCH(A951,Inputs!$B$6:$D$6,0)),0)*INDEX(Inputs!$B$23:$D$23,1,MATCH(A951,Inputs!$B$6:$D$6,0))+MAX(S951-INDEX(Inputs!$B$21:$D$21,1,MATCH(A951,Inputs!$B$6:$D$6,0)),0)*INDEX(Inputs!$B$24:$D$24,1,MATCH(A951,Inputs!$B$6:$D$6,0))</x:f>
        <x:v>6854.8</x:v>
      </x:c>
      <x:c r="U951" s="20" t="n">
        <x:f>IF(AND(A950=A951,D950=D951),T950,0)</x:f>
        <x:v>3672.4</x:v>
      </x:c>
      <x:c r="V951" s="20" t="n">
        <x:f>T951-U951</x:f>
        <x:v>3182.4</x:v>
      </x:c>
      <x:c r="W951" s="20" t="n">
        <x:f>R951+V951</x:f>
        <x:v>44782.4</x:v>
      </x:c>
      <x:c r="X951" s="14" t="str">
        <x:f>IF(ABS(W951-SUM(M951:Q951)-V951)&lt;0.01,"OK","Check")</x:f>
        <x:v>OK</x:v>
      </x:c>
    </x:row>
    <x:row r="952">
      <x:c r="A952" s="14" t="n">
        <x:v>2028</x:v>
      </x:c>
      <x:c r="B952" s="14" t="str">
        <x:v>Q3</x:v>
      </x:c>
      <x:c r="C952" s="14" t="n">
        <x:v>3</x:v>
      </x:c>
      <x:c r="D952" s="14" t="n">
        <x:v>31</x:v>
      </x:c>
      <x:c r="E952" s="14" t="str">
        <x:f>INDEX(Roster!$B$6:$B$108,MATCH(D952,Roster!$A$6:$A$108,0))</x:f>
        <x:v>Associate Principal</x:v>
      </x:c>
      <x:c r="F952" s="14" t="str">
        <x:f>INDEX(Roster!$F$6:$F$108,MATCH(D952,Roster!$A$6:$A$108,0))</x:f>
        <x:v>Yes</x:v>
      </x:c>
      <x:c r="G952" s="14" t="n">
        <x:f>INDEX(Inputs!$B$7:$D$7,1,MATCH(A952,Inputs!$B$6:$D$6,0))</x:f>
        <x:v>13</x:v>
      </x:c>
      <x:c r="H952" s="14" t="n">
        <x:f>MIN(=INDEX(Inputs!$B$7:$D$7,1,MATCH(A952,Inputs!$B$6:$D$6,0)),MAX(0,INDEX(Inputs!$B$14:$D$14,1,MATCH(A952,Inputs!$B$6:$D$6,0))-(C952-1)*=INDEX(Inputs!$B$7:$D$7,1,MATCH(A952,Inputs!$B$6:$D$6,0))))</x:f>
        <x:v>13</x:v>
      </x:c>
      <x:c r="I952" s="20" t="n">
        <x:f>INDEX(Inputs!$B$8:$D$8,1,MATCH(A952,Inputs!$B$6:$D$6,0))</x:f>
        <x:v>2395</x:v>
      </x:c>
      <x:c r="J952" s="20" t="n">
        <x:f>INDEX(Roster!$C$6:$C$108,MATCH(D952,Roster!$A$6:$A$108,0))*(1+INDEX(Inputs!$B$9:$D$9,1,MATCH(A952,Inputs!$B$6:$D$6,0)))</x:f>
        <x:v>775</x:v>
      </x:c>
      <x:c r="K952" s="20" t="n">
        <x:f>IF(=INDEX(Roster!$F$6:$F$108,MATCH(D952,Roster!$A$6:$A$108,0))="Yes",0,=INDEX(Inputs!$B$8:$D$8,1,MATCH(A952,Inputs!$B$6:$D$6,0))*IF(=INDEX(Roster!$B$6:$B$108,MATCH(D952,Roster!$A$6:$A$108,0))="Principal",INDEX(Inputs!$B$10:$D$10,1,MATCH(A952,Inputs!$B$6:$D$6,0)),IF(=INDEX(Roster!$B$6:$B$108,MATCH(D952,Roster!$A$6:$A$108,0))="Associate Principal",INDEX(Inputs!$B$11:$D$11,1,MATCH(A952,Inputs!$B$6:$D$6,0)),IF(=INDEX(Roster!$B$6:$B$108,MATCH(D952,Roster!$A$6:$A$108,0))="Assistant Principal",INDEX(Inputs!$B$12:$D$12,1,MATCH(A952,Inputs!$B$6:$D$6,0)),0))))</x:f>
        <x:v>0</x:v>
      </x:c>
      <x:c r="L952" s="20" t="n">
        <x:f>IF(INDEX(Roster!$D$6:$D$108,MATCH(D952,Roster!$A$6:$A$108,0))&gt;=25,INDEX(Inputs!$B$19:$D$19,1,MATCH(A952,Inputs!$B$6:$D$6,0)),IF(INDEX(Roster!$D$6:$D$108,MATCH(D952,Roster!$A$6:$A$108,0))&gt;=20,INDEX(Inputs!$B$18:$D$18,1,MATCH(A952,Inputs!$B$6:$D$6,0)),IF(INDEX(Roster!$D$6:$D$108,MATCH(D952,Roster!$A$6:$A$108,0))&gt;=15,INDEX(Inputs!$B$17:$D$17,1,MATCH(A952,Inputs!$B$6:$D$6,0)),IF(INDEX(Roster!$D$6:$D$108,MATCH(D952,Roster!$A$6:$A$108,0))&gt;=10,INDEX(Inputs!$B$16:$D$16,1,MATCH(A952,Inputs!$B$6:$D$6,0)),IF(INDEX(Roster!$D$6:$D$108,MATCH(D952,Roster!$A$6:$A$108,0))&gt;=5,INDEX(Inputs!$B$15:$D$15,1,MATCH(A952,Inputs!$B$6:$D$6,0)),0)))))</x:f>
        <x:v>0</x:v>
      </x:c>
      <x:c r="M952" s="20" t="n">
        <x:f>G952*I952</x:f>
        <x:v>31135</x:v>
      </x:c>
      <x:c r="N952" s="20" t="n">
        <x:f>G952*J952</x:f>
        <x:v>10075</x:v>
      </x:c>
      <x:c r="O952" s="20" t="n">
        <x:f>G952*K952</x:f>
        <x:v>0</x:v>
      </x:c>
      <x:c r="P952" s="20" t="n">
        <x:f>G952*L952</x:f>
        <x:v>0</x:v>
      </x:c>
      <x:c r="Q952" s="20" t="n">
        <x:f>H952*INDEX(Inputs!$B$13:$D$13,1,MATCH(A952,Inputs!$B$6:$D$6,0))</x:f>
        <x:v>390</x:v>
      </x:c>
      <x:c r="R952" s="20" t="n">
        <x:f>SUM(M952:Q952)</x:f>
        <x:v>41600</x:v>
      </x:c>
      <x:c r="S952" s="20" t="n">
        <x:f>IF(AND(A951=A952,D951=D952),S951+R952,R952)</x:f>
        <x:v>124800</x:v>
      </x:c>
      <x:c r="T952" s="20" t="n">
        <x:f>MIN(S952,INDEX(Inputs!$B$20:$D$20,1,MATCH(A952,Inputs!$B$6:$D$6,0)))*INDEX(Inputs!$B$22:$D$22,1,MATCH(A952,Inputs!$B$6:$D$6,0))+MAX(MIN(S952,INDEX(Inputs!$B$21:$D$21,1,MATCH(A952,Inputs!$B$6:$D$6,0)))-INDEX(Inputs!$B$20:$D$20,1,MATCH(A952,Inputs!$B$6:$D$6,0)),0)*INDEX(Inputs!$B$23:$D$23,1,MATCH(A952,Inputs!$B$6:$D$6,0))+MAX(S952-INDEX(Inputs!$B$21:$D$21,1,MATCH(A952,Inputs!$B$6:$D$6,0)),0)*INDEX(Inputs!$B$24:$D$24,1,MATCH(A952,Inputs!$B$6:$D$6,0))</x:f>
        <x:v>9723.542</x:v>
      </x:c>
      <x:c r="U952" s="20" t="n">
        <x:f>IF(AND(A951=A952,D951=D952),T951,0)</x:f>
        <x:v>6854.8</x:v>
      </x:c>
      <x:c r="V952" s="20" t="n">
        <x:f>T952-U952</x:f>
        <x:v>2868.7419999999993</x:v>
      </x:c>
      <x:c r="W952" s="20" t="n">
        <x:f>R952+V952</x:f>
        <x:v>44468.742</x:v>
      </x:c>
      <x:c r="X952" s="14" t="str">
        <x:f>IF(ABS(W952-SUM(M952:Q952)-V952)&lt;0.01,"OK","Check")</x:f>
        <x:v>OK</x:v>
      </x:c>
    </x:row>
    <x:row r="953">
      <x:c r="A953" s="14" t="n">
        <x:v>2028</x:v>
      </x:c>
      <x:c r="B953" s="14" t="str">
        <x:v>Q4</x:v>
      </x:c>
      <x:c r="C953" s="14" t="n">
        <x:v>4</x:v>
      </x:c>
      <x:c r="D953" s="14" t="n">
        <x:v>31</x:v>
      </x:c>
      <x:c r="E953" s="14" t="str">
        <x:f>INDEX(Roster!$B$6:$B$108,MATCH(D953,Roster!$A$6:$A$108,0))</x:f>
        <x:v>Associate Principal</x:v>
      </x:c>
      <x:c r="F953" s="14" t="str">
        <x:f>INDEX(Roster!$F$6:$F$108,MATCH(D953,Roster!$A$6:$A$108,0))</x:f>
        <x:v>Yes</x:v>
      </x:c>
      <x:c r="G953" s="14" t="n">
        <x:f>INDEX(Inputs!$B$7:$D$7,1,MATCH(A953,Inputs!$B$6:$D$6,0))</x:f>
        <x:v>13</x:v>
      </x:c>
      <x:c r="H953" s="14" t="n">
        <x:f>MIN(=INDEX(Inputs!$B$7:$D$7,1,MATCH(A953,Inputs!$B$6:$D$6,0)),MAX(0,INDEX(Inputs!$B$14:$D$14,1,MATCH(A953,Inputs!$B$6:$D$6,0))-(C953-1)*=INDEX(Inputs!$B$7:$D$7,1,MATCH(A953,Inputs!$B$6:$D$6,0))))</x:f>
        <x:v>0</x:v>
      </x:c>
      <x:c r="I953" s="20" t="n">
        <x:f>INDEX(Inputs!$B$8:$D$8,1,MATCH(A953,Inputs!$B$6:$D$6,0))</x:f>
        <x:v>2395</x:v>
      </x:c>
      <x:c r="J953" s="20" t="n">
        <x:f>INDEX(Roster!$C$6:$C$108,MATCH(D953,Roster!$A$6:$A$108,0))*(1+INDEX(Inputs!$B$9:$D$9,1,MATCH(A953,Inputs!$B$6:$D$6,0)))</x:f>
        <x:v>775</x:v>
      </x:c>
      <x:c r="K953" s="20" t="n">
        <x:f>IF(=INDEX(Roster!$F$6:$F$108,MATCH(D953,Roster!$A$6:$A$108,0))="Yes",0,=INDEX(Inputs!$B$8:$D$8,1,MATCH(A953,Inputs!$B$6:$D$6,0))*IF(=INDEX(Roster!$B$6:$B$108,MATCH(D953,Roster!$A$6:$A$108,0))="Principal",INDEX(Inputs!$B$10:$D$10,1,MATCH(A953,Inputs!$B$6:$D$6,0)),IF(=INDEX(Roster!$B$6:$B$108,MATCH(D953,Roster!$A$6:$A$108,0))="Associate Principal",INDEX(Inputs!$B$11:$D$11,1,MATCH(A953,Inputs!$B$6:$D$6,0)),IF(=INDEX(Roster!$B$6:$B$108,MATCH(D953,Roster!$A$6:$A$108,0))="Assistant Principal",INDEX(Inputs!$B$12:$D$12,1,MATCH(A953,Inputs!$B$6:$D$6,0)),0))))</x:f>
        <x:v>0</x:v>
      </x:c>
      <x:c r="L953" s="20" t="n">
        <x:f>IF(INDEX(Roster!$D$6:$D$108,MATCH(D953,Roster!$A$6:$A$108,0))&gt;=25,INDEX(Inputs!$B$19:$D$19,1,MATCH(A953,Inputs!$B$6:$D$6,0)),IF(INDEX(Roster!$D$6:$D$108,MATCH(D953,Roster!$A$6:$A$108,0))&gt;=20,INDEX(Inputs!$B$18:$D$18,1,MATCH(A953,Inputs!$B$6:$D$6,0)),IF(INDEX(Roster!$D$6:$D$108,MATCH(D953,Roster!$A$6:$A$108,0))&gt;=15,INDEX(Inputs!$B$17:$D$17,1,MATCH(A953,Inputs!$B$6:$D$6,0)),IF(INDEX(Roster!$D$6:$D$108,MATCH(D953,Roster!$A$6:$A$108,0))&gt;=10,INDEX(Inputs!$B$16:$D$16,1,MATCH(A953,Inputs!$B$6:$D$6,0)),IF(INDEX(Roster!$D$6:$D$108,MATCH(D953,Roster!$A$6:$A$108,0))&gt;=5,INDEX(Inputs!$B$15:$D$15,1,MATCH(A953,Inputs!$B$6:$D$6,0)),0)))))</x:f>
        <x:v>0</x:v>
      </x:c>
      <x:c r="M953" s="20" t="n">
        <x:f>G953*I953</x:f>
        <x:v>31135</x:v>
      </x:c>
      <x:c r="N953" s="20" t="n">
        <x:f>G953*J953</x:f>
        <x:v>10075</x:v>
      </x:c>
      <x:c r="O953" s="20" t="n">
        <x:f>G953*K953</x:f>
        <x:v>0</x:v>
      </x:c>
      <x:c r="P953" s="20" t="n">
        <x:f>G953*L953</x:f>
        <x:v>0</x:v>
      </x:c>
      <x:c r="Q953" s="20" t="n">
        <x:f>H953*INDEX(Inputs!$B$13:$D$13,1,MATCH(A953,Inputs!$B$6:$D$6,0))</x:f>
        <x:v>0</x:v>
      </x:c>
      <x:c r="R953" s="20" t="n">
        <x:f>SUM(M953:Q953)</x:f>
        <x:v>41210</x:v>
      </x:c>
      <x:c r="S953" s="20" t="n">
        <x:f>IF(AND(A952=A953,D952=D953),S952+R953,R953)</x:f>
        <x:v>166010</x:v>
      </x:c>
      <x:c r="T953" s="20" t="n">
        <x:f>MIN(S953,INDEX(Inputs!$B$20:$D$20,1,MATCH(A953,Inputs!$B$6:$D$6,0)))*INDEX(Inputs!$B$22:$D$22,1,MATCH(A953,Inputs!$B$6:$D$6,0))+MAX(MIN(S953,INDEX(Inputs!$B$21:$D$21,1,MATCH(A953,Inputs!$B$6:$D$6,0)))-INDEX(Inputs!$B$20:$D$20,1,MATCH(A953,Inputs!$B$6:$D$6,0)),0)*INDEX(Inputs!$B$23:$D$23,1,MATCH(A953,Inputs!$B$6:$D$6,0))+MAX(S953-INDEX(Inputs!$B$21:$D$21,1,MATCH(A953,Inputs!$B$6:$D$6,0)),0)*INDEX(Inputs!$B$24:$D$24,1,MATCH(A953,Inputs!$B$6:$D$6,0))</x:f>
        <x:v>10321.087</x:v>
      </x:c>
      <x:c r="U953" s="20" t="n">
        <x:f>IF(AND(A952=A953,D952=D953),T952,0)</x:f>
        <x:v>9723.542</x:v>
      </x:c>
      <x:c r="V953" s="20" t="n">
        <x:f>T953-U953</x:f>
        <x:v>597.5450000000001</x:v>
      </x:c>
      <x:c r="W953" s="20" t="n">
        <x:f>R953+V953</x:f>
        <x:v>41807.545</x:v>
      </x:c>
      <x:c r="X953" s="14" t="str">
        <x:f>IF(ABS(W953-SUM(M953:Q953)-V953)&lt;0.01,"OK","Check")</x:f>
        <x:v>OK</x:v>
      </x:c>
    </x:row>
    <x:row r="954">
      <x:c r="A954" s="14" t="n">
        <x:v>2028</x:v>
      </x:c>
      <x:c r="B954" s="14" t="str">
        <x:v>Q1</x:v>
      </x:c>
      <x:c r="C954" s="14" t="n">
        <x:v>1</x:v>
      </x:c>
      <x:c r="D954" s="14" t="n">
        <x:v>32</x:v>
      </x:c>
      <x:c r="E954" s="14" t="str">
        <x:f>INDEX(Roster!$B$6:$B$108,MATCH(D954,Roster!$A$6:$A$108,0))</x:f>
      </x:c>
      <x:c r="F954" s="14" t="str">
        <x:f>INDEX(Roster!$F$6:$F$108,MATCH(D954,Roster!$A$6:$A$108,0))</x:f>
        <x:v>No</x:v>
      </x:c>
      <x:c r="G954" s="14" t="n">
        <x:f>INDEX(Inputs!$B$7:$D$7,1,MATCH(A954,Inputs!$B$6:$D$6,0))</x:f>
        <x:v>13</x:v>
      </x:c>
      <x:c r="H954" s="14" t="n">
        <x:f>MIN(=INDEX(Inputs!$B$7:$D$7,1,MATCH(A954,Inputs!$B$6:$D$6,0)),MAX(0,INDEX(Inputs!$B$14:$D$14,1,MATCH(A954,Inputs!$B$6:$D$6,0))-(C954-1)*=INDEX(Inputs!$B$7:$D$7,1,MATCH(A954,Inputs!$B$6:$D$6,0))))</x:f>
        <x:v>13</x:v>
      </x:c>
      <x:c r="I954" s="20" t="n">
        <x:f>INDEX(Inputs!$B$8:$D$8,1,MATCH(A954,Inputs!$B$6:$D$6,0))</x:f>
        <x:v>2395</x:v>
      </x:c>
      <x:c r="J954" s="20" t="n">
        <x:f>INDEX(Roster!$C$6:$C$108,MATCH(D954,Roster!$A$6:$A$108,0))*(1+INDEX(Inputs!$B$9:$D$9,1,MATCH(A954,Inputs!$B$6:$D$6,0)))</x:f>
        <x:v>90</x:v>
      </x:c>
      <x:c r="K954" s="20" t="n">
        <x:f>IF(=INDEX(Roster!$F$6:$F$108,MATCH(D954,Roster!$A$6:$A$108,0))="Yes",0,=INDEX(Inputs!$B$8:$D$8,1,MATCH(A954,Inputs!$B$6:$D$6,0))*IF(=INDEX(Roster!$B$6:$B$108,MATCH(D954,Roster!$A$6:$A$108,0))="Principal",INDEX(Inputs!$B$10:$D$10,1,MATCH(A954,Inputs!$B$6:$D$6,0)),IF(=INDEX(Roster!$B$6:$B$108,MATCH(D954,Roster!$A$6:$A$108,0))="Associate Principal",INDEX(Inputs!$B$11:$D$11,1,MATCH(A954,Inputs!$B$6:$D$6,0)),IF(=INDEX(Roster!$B$6:$B$108,MATCH(D954,Roster!$A$6:$A$108,0))="Assistant Principal",INDEX(Inputs!$B$12:$D$12,1,MATCH(A954,Inputs!$B$6:$D$6,0)),0))))</x:f>
        <x:v>0</x:v>
      </x:c>
      <x:c r="L954" s="20" t="n">
        <x:f>IF(INDEX(Roster!$D$6:$D$108,MATCH(D954,Roster!$A$6:$A$108,0))&gt;=25,INDEX(Inputs!$B$19:$D$19,1,MATCH(A954,Inputs!$B$6:$D$6,0)),IF(INDEX(Roster!$D$6:$D$108,MATCH(D954,Roster!$A$6:$A$108,0))&gt;=20,INDEX(Inputs!$B$18:$D$18,1,MATCH(A954,Inputs!$B$6:$D$6,0)),IF(INDEX(Roster!$D$6:$D$108,MATCH(D954,Roster!$A$6:$A$108,0))&gt;=15,INDEX(Inputs!$B$17:$D$17,1,MATCH(A954,Inputs!$B$6:$D$6,0)),IF(INDEX(Roster!$D$6:$D$108,MATCH(D954,Roster!$A$6:$A$108,0))&gt;=10,INDEX(Inputs!$B$16:$D$16,1,MATCH(A954,Inputs!$B$6:$D$6,0)),IF(INDEX(Roster!$D$6:$D$108,MATCH(D954,Roster!$A$6:$A$108,0))&gt;=5,INDEX(Inputs!$B$15:$D$15,1,MATCH(A954,Inputs!$B$6:$D$6,0)),0)))))</x:f>
        <x:v>80</x:v>
      </x:c>
      <x:c r="M954" s="20" t="n">
        <x:f>G954*I954</x:f>
        <x:v>31135</x:v>
      </x:c>
      <x:c r="N954" s="20" t="n">
        <x:f>G954*J954</x:f>
        <x:v>1170</x:v>
      </x:c>
      <x:c r="O954" s="20" t="n">
        <x:f>G954*K954</x:f>
        <x:v>0</x:v>
      </x:c>
      <x:c r="P954" s="20" t="n">
        <x:f>G954*L954</x:f>
        <x:v>1040</x:v>
      </x:c>
      <x:c r="Q954" s="20" t="n">
        <x:f>H954*INDEX(Inputs!$B$13:$D$13,1,MATCH(A954,Inputs!$B$6:$D$6,0))</x:f>
        <x:v>390</x:v>
      </x:c>
      <x:c r="R954" s="20" t="n">
        <x:f>SUM(M954:Q954)</x:f>
        <x:v>33735</x:v>
      </x:c>
      <x:c r="S954" s="20" t="n">
        <x:f>IF(AND(A953=A954,D953=D954),S953+R954,R954)</x:f>
        <x:v>33735</x:v>
      </x:c>
      <x:c r="T954" s="20" t="n">
        <x:f>MIN(S954,INDEX(Inputs!$B$20:$D$20,1,MATCH(A954,Inputs!$B$6:$D$6,0)))*INDEX(Inputs!$B$22:$D$22,1,MATCH(A954,Inputs!$B$6:$D$6,0))+MAX(MIN(S954,INDEX(Inputs!$B$21:$D$21,1,MATCH(A954,Inputs!$B$6:$D$6,0)))-INDEX(Inputs!$B$20:$D$20,1,MATCH(A954,Inputs!$B$6:$D$6,0)),0)*INDEX(Inputs!$B$23:$D$23,1,MATCH(A954,Inputs!$B$6:$D$6,0))+MAX(S954-INDEX(Inputs!$B$21:$D$21,1,MATCH(A954,Inputs!$B$6:$D$6,0)),0)*INDEX(Inputs!$B$24:$D$24,1,MATCH(A954,Inputs!$B$6:$D$6,0))</x:f>
        <x:v>3070.7275</x:v>
      </x:c>
      <x:c r="U954" s="20" t="n">
        <x:f>IF(AND(A953=A954,D953=D954),T953,0)</x:f>
        <x:v>0</x:v>
      </x:c>
      <x:c r="V954" s="20" t="n">
        <x:f>T954-U954</x:f>
        <x:v>3070.7275</x:v>
      </x:c>
      <x:c r="W954" s="20" t="n">
        <x:f>R954+V954</x:f>
        <x:v>36805.7275</x:v>
      </x:c>
      <x:c r="X954" s="14" t="str">
        <x:f>IF(ABS(W954-SUM(M954:Q954)-V954)&lt;0.01,"OK","Check")</x:f>
        <x:v>OK</x:v>
      </x:c>
    </x:row>
    <x:row r="955">
      <x:c r="A955" s="14" t="n">
        <x:v>2028</x:v>
      </x:c>
      <x:c r="B955" s="14" t="str">
        <x:v>Q2</x:v>
      </x:c>
      <x:c r="C955" s="14" t="n">
        <x:v>2</x:v>
      </x:c>
      <x:c r="D955" s="14" t="n">
        <x:v>32</x:v>
      </x:c>
      <x:c r="E955" s="14" t="str">
        <x:f>INDEX(Roster!$B$6:$B$108,MATCH(D955,Roster!$A$6:$A$108,0))</x:f>
      </x:c>
      <x:c r="F955" s="14" t="str">
        <x:f>INDEX(Roster!$F$6:$F$108,MATCH(D955,Roster!$A$6:$A$108,0))</x:f>
        <x:v>No</x:v>
      </x:c>
      <x:c r="G955" s="14" t="n">
        <x:f>INDEX(Inputs!$B$7:$D$7,1,MATCH(A955,Inputs!$B$6:$D$6,0))</x:f>
        <x:v>13</x:v>
      </x:c>
      <x:c r="H955" s="14" t="n">
        <x:f>MIN(=INDEX(Inputs!$B$7:$D$7,1,MATCH(A955,Inputs!$B$6:$D$6,0)),MAX(0,INDEX(Inputs!$B$14:$D$14,1,MATCH(A955,Inputs!$B$6:$D$6,0))-(C955-1)*=INDEX(Inputs!$B$7:$D$7,1,MATCH(A955,Inputs!$B$6:$D$6,0))))</x:f>
        <x:v>13</x:v>
      </x:c>
      <x:c r="I955" s="20" t="n">
        <x:f>INDEX(Inputs!$B$8:$D$8,1,MATCH(A955,Inputs!$B$6:$D$6,0))</x:f>
        <x:v>2395</x:v>
      </x:c>
      <x:c r="J955" s="20" t="n">
        <x:f>INDEX(Roster!$C$6:$C$108,MATCH(D955,Roster!$A$6:$A$108,0))*(1+INDEX(Inputs!$B$9:$D$9,1,MATCH(A955,Inputs!$B$6:$D$6,0)))</x:f>
        <x:v>90</x:v>
      </x:c>
      <x:c r="K955" s="20" t="n">
        <x:f>IF(=INDEX(Roster!$F$6:$F$108,MATCH(D955,Roster!$A$6:$A$108,0))="Yes",0,=INDEX(Inputs!$B$8:$D$8,1,MATCH(A955,Inputs!$B$6:$D$6,0))*IF(=INDEX(Roster!$B$6:$B$108,MATCH(D955,Roster!$A$6:$A$108,0))="Principal",INDEX(Inputs!$B$10:$D$10,1,MATCH(A955,Inputs!$B$6:$D$6,0)),IF(=INDEX(Roster!$B$6:$B$108,MATCH(D955,Roster!$A$6:$A$108,0))="Associate Principal",INDEX(Inputs!$B$11:$D$11,1,MATCH(A955,Inputs!$B$6:$D$6,0)),IF(=INDEX(Roster!$B$6:$B$108,MATCH(D955,Roster!$A$6:$A$108,0))="Assistant Principal",INDEX(Inputs!$B$12:$D$12,1,MATCH(A955,Inputs!$B$6:$D$6,0)),0))))</x:f>
        <x:v>0</x:v>
      </x:c>
      <x:c r="L955" s="20" t="n">
        <x:f>IF(INDEX(Roster!$D$6:$D$108,MATCH(D955,Roster!$A$6:$A$108,0))&gt;=25,INDEX(Inputs!$B$19:$D$19,1,MATCH(A955,Inputs!$B$6:$D$6,0)),IF(INDEX(Roster!$D$6:$D$108,MATCH(D955,Roster!$A$6:$A$108,0))&gt;=20,INDEX(Inputs!$B$18:$D$18,1,MATCH(A955,Inputs!$B$6:$D$6,0)),IF(INDEX(Roster!$D$6:$D$108,MATCH(D955,Roster!$A$6:$A$108,0))&gt;=15,INDEX(Inputs!$B$17:$D$17,1,MATCH(A955,Inputs!$B$6:$D$6,0)),IF(INDEX(Roster!$D$6:$D$108,MATCH(D955,Roster!$A$6:$A$108,0))&gt;=10,INDEX(Inputs!$B$16:$D$16,1,MATCH(A955,Inputs!$B$6:$D$6,0)),IF(INDEX(Roster!$D$6:$D$108,MATCH(D955,Roster!$A$6:$A$108,0))&gt;=5,INDEX(Inputs!$B$15:$D$15,1,MATCH(A955,Inputs!$B$6:$D$6,0)),0)))))</x:f>
        <x:v>80</x:v>
      </x:c>
      <x:c r="M955" s="20" t="n">
        <x:f>G955*I955</x:f>
        <x:v>31135</x:v>
      </x:c>
      <x:c r="N955" s="20" t="n">
        <x:f>G955*J955</x:f>
        <x:v>1170</x:v>
      </x:c>
      <x:c r="O955" s="20" t="n">
        <x:f>G955*K955</x:f>
        <x:v>0</x:v>
      </x:c>
      <x:c r="P955" s="20" t="n">
        <x:f>G955*L955</x:f>
        <x:v>1040</x:v>
      </x:c>
      <x:c r="Q955" s="20" t="n">
        <x:f>H955*INDEX(Inputs!$B$13:$D$13,1,MATCH(A955,Inputs!$B$6:$D$6,0))</x:f>
        <x:v>390</x:v>
      </x:c>
      <x:c r="R955" s="20" t="n">
        <x:f>SUM(M955:Q955)</x:f>
        <x:v>33735</x:v>
      </x:c>
      <x:c r="S955" s="20" t="n">
        <x:f>IF(AND(A954=A955,D954=D955),S954+R955,R955)</x:f>
        <x:v>67470</x:v>
      </x:c>
      <x:c r="T955" s="20" t="n">
        <x:f>MIN(S955,INDEX(Inputs!$B$20:$D$20,1,MATCH(A955,Inputs!$B$6:$D$6,0)))*INDEX(Inputs!$B$22:$D$22,1,MATCH(A955,Inputs!$B$6:$D$6,0))+MAX(MIN(S955,INDEX(Inputs!$B$21:$D$21,1,MATCH(A955,Inputs!$B$6:$D$6,0)))-INDEX(Inputs!$B$20:$D$20,1,MATCH(A955,Inputs!$B$6:$D$6,0)),0)*INDEX(Inputs!$B$23:$D$23,1,MATCH(A955,Inputs!$B$6:$D$6,0))+MAX(S955-INDEX(Inputs!$B$21:$D$21,1,MATCH(A955,Inputs!$B$6:$D$6,0)),0)*INDEX(Inputs!$B$24:$D$24,1,MATCH(A955,Inputs!$B$6:$D$6,0))</x:f>
        <x:v>5651.455</x:v>
      </x:c>
      <x:c r="U955" s="20" t="n">
        <x:f>IF(AND(A954=A955,D954=D955),T954,0)</x:f>
        <x:v>3070.7275</x:v>
      </x:c>
      <x:c r="V955" s="20" t="n">
        <x:f>T955-U955</x:f>
        <x:v>2580.7275</x:v>
      </x:c>
      <x:c r="W955" s="20" t="n">
        <x:f>R955+V955</x:f>
        <x:v>36315.7275</x:v>
      </x:c>
      <x:c r="X955" s="14" t="str">
        <x:f>IF(ABS(W955-SUM(M955:Q955)-V955)&lt;0.01,"OK","Check")</x:f>
        <x:v>OK</x:v>
      </x:c>
    </x:row>
    <x:row r="956">
      <x:c r="A956" s="14" t="n">
        <x:v>2028</x:v>
      </x:c>
      <x:c r="B956" s="14" t="str">
        <x:v>Q3</x:v>
      </x:c>
      <x:c r="C956" s="14" t="n">
        <x:v>3</x:v>
      </x:c>
      <x:c r="D956" s="14" t="n">
        <x:v>32</x:v>
      </x:c>
      <x:c r="E956" s="14" t="str">
        <x:f>INDEX(Roster!$B$6:$B$108,MATCH(D956,Roster!$A$6:$A$108,0))</x:f>
      </x:c>
      <x:c r="F956" s="14" t="str">
        <x:f>INDEX(Roster!$F$6:$F$108,MATCH(D956,Roster!$A$6:$A$108,0))</x:f>
        <x:v>No</x:v>
      </x:c>
      <x:c r="G956" s="14" t="n">
        <x:f>INDEX(Inputs!$B$7:$D$7,1,MATCH(A956,Inputs!$B$6:$D$6,0))</x:f>
        <x:v>13</x:v>
      </x:c>
      <x:c r="H956" s="14" t="n">
        <x:f>MIN(=INDEX(Inputs!$B$7:$D$7,1,MATCH(A956,Inputs!$B$6:$D$6,0)),MAX(0,INDEX(Inputs!$B$14:$D$14,1,MATCH(A956,Inputs!$B$6:$D$6,0))-(C956-1)*=INDEX(Inputs!$B$7:$D$7,1,MATCH(A956,Inputs!$B$6:$D$6,0))))</x:f>
        <x:v>13</x:v>
      </x:c>
      <x:c r="I956" s="20" t="n">
        <x:f>INDEX(Inputs!$B$8:$D$8,1,MATCH(A956,Inputs!$B$6:$D$6,0))</x:f>
        <x:v>2395</x:v>
      </x:c>
      <x:c r="J956" s="20" t="n">
        <x:f>INDEX(Roster!$C$6:$C$108,MATCH(D956,Roster!$A$6:$A$108,0))*(1+INDEX(Inputs!$B$9:$D$9,1,MATCH(A956,Inputs!$B$6:$D$6,0)))</x:f>
        <x:v>90</x:v>
      </x:c>
      <x:c r="K956" s="20" t="n">
        <x:f>IF(=INDEX(Roster!$F$6:$F$108,MATCH(D956,Roster!$A$6:$A$108,0))="Yes",0,=INDEX(Inputs!$B$8:$D$8,1,MATCH(A956,Inputs!$B$6:$D$6,0))*IF(=INDEX(Roster!$B$6:$B$108,MATCH(D956,Roster!$A$6:$A$108,0))="Principal",INDEX(Inputs!$B$10:$D$10,1,MATCH(A956,Inputs!$B$6:$D$6,0)),IF(=INDEX(Roster!$B$6:$B$108,MATCH(D956,Roster!$A$6:$A$108,0))="Associate Principal",INDEX(Inputs!$B$11:$D$11,1,MATCH(A956,Inputs!$B$6:$D$6,0)),IF(=INDEX(Roster!$B$6:$B$108,MATCH(D956,Roster!$A$6:$A$108,0))="Assistant Principal",INDEX(Inputs!$B$12:$D$12,1,MATCH(A956,Inputs!$B$6:$D$6,0)),0))))</x:f>
        <x:v>0</x:v>
      </x:c>
      <x:c r="L956" s="20" t="n">
        <x:f>IF(INDEX(Roster!$D$6:$D$108,MATCH(D956,Roster!$A$6:$A$108,0))&gt;=25,INDEX(Inputs!$B$19:$D$19,1,MATCH(A956,Inputs!$B$6:$D$6,0)),IF(INDEX(Roster!$D$6:$D$108,MATCH(D956,Roster!$A$6:$A$108,0))&gt;=20,INDEX(Inputs!$B$18:$D$18,1,MATCH(A956,Inputs!$B$6:$D$6,0)),IF(INDEX(Roster!$D$6:$D$108,MATCH(D956,Roster!$A$6:$A$108,0))&gt;=15,INDEX(Inputs!$B$17:$D$17,1,MATCH(A956,Inputs!$B$6:$D$6,0)),IF(INDEX(Roster!$D$6:$D$108,MATCH(D956,Roster!$A$6:$A$108,0))&gt;=10,INDEX(Inputs!$B$16:$D$16,1,MATCH(A956,Inputs!$B$6:$D$6,0)),IF(INDEX(Roster!$D$6:$D$108,MATCH(D956,Roster!$A$6:$A$108,0))&gt;=5,INDEX(Inputs!$B$15:$D$15,1,MATCH(A956,Inputs!$B$6:$D$6,0)),0)))))</x:f>
        <x:v>80</x:v>
      </x:c>
      <x:c r="M956" s="20" t="n">
        <x:f>G956*I956</x:f>
        <x:v>31135</x:v>
      </x:c>
      <x:c r="N956" s="20" t="n">
        <x:f>G956*J956</x:f>
        <x:v>1170</x:v>
      </x:c>
      <x:c r="O956" s="20" t="n">
        <x:f>G956*K956</x:f>
        <x:v>0</x:v>
      </x:c>
      <x:c r="P956" s="20" t="n">
        <x:f>G956*L956</x:f>
        <x:v>1040</x:v>
      </x:c>
      <x:c r="Q956" s="20" t="n">
        <x:f>H956*INDEX(Inputs!$B$13:$D$13,1,MATCH(A956,Inputs!$B$6:$D$6,0))</x:f>
        <x:v>390</x:v>
      </x:c>
      <x:c r="R956" s="20" t="n">
        <x:f>SUM(M956:Q956)</x:f>
        <x:v>33735</x:v>
      </x:c>
      <x:c r="S956" s="20" t="n">
        <x:f>IF(AND(A955=A956,D955=D956),S955+R956,R956)</x:f>
        <x:v>101205</x:v>
      </x:c>
      <x:c r="T956" s="20" t="n">
        <x:f>MIN(S956,INDEX(Inputs!$B$20:$D$20,1,MATCH(A956,Inputs!$B$6:$D$6,0)))*INDEX(Inputs!$B$22:$D$22,1,MATCH(A956,Inputs!$B$6:$D$6,0))+MAX(MIN(S956,INDEX(Inputs!$B$21:$D$21,1,MATCH(A956,Inputs!$B$6:$D$6,0)))-INDEX(Inputs!$B$20:$D$20,1,MATCH(A956,Inputs!$B$6:$D$6,0)),0)*INDEX(Inputs!$B$23:$D$23,1,MATCH(A956,Inputs!$B$6:$D$6,0))+MAX(S956-INDEX(Inputs!$B$21:$D$21,1,MATCH(A956,Inputs!$B$6:$D$6,0)),0)*INDEX(Inputs!$B$24:$D$24,1,MATCH(A956,Inputs!$B$6:$D$6,0))</x:f>
        <x:v>8232.182499999999</x:v>
      </x:c>
      <x:c r="U956" s="20" t="n">
        <x:f>IF(AND(A955=A956,D955=D956),T955,0)</x:f>
        <x:v>5651.455</x:v>
      </x:c>
      <x:c r="V956" s="20" t="n">
        <x:f>T956-U956</x:f>
        <x:v>2580.727499999999</x:v>
      </x:c>
      <x:c r="W956" s="20" t="n">
        <x:f>R956+V956</x:f>
        <x:v>36315.7275</x:v>
      </x:c>
      <x:c r="X956" s="14" t="str">
        <x:f>IF(ABS(W956-SUM(M956:Q956)-V956)&lt;0.01,"OK","Check")</x:f>
        <x:v>OK</x:v>
      </x:c>
    </x:row>
    <x:row r="957">
      <x:c r="A957" s="14" t="n">
        <x:v>2028</x:v>
      </x:c>
      <x:c r="B957" s="14" t="str">
        <x:v>Q4</x:v>
      </x:c>
      <x:c r="C957" s="14" t="n">
        <x:v>4</x:v>
      </x:c>
      <x:c r="D957" s="14" t="n">
        <x:v>32</x:v>
      </x:c>
      <x:c r="E957" s="14" t="str">
        <x:f>INDEX(Roster!$B$6:$B$108,MATCH(D957,Roster!$A$6:$A$108,0))</x:f>
      </x:c>
      <x:c r="F957" s="14" t="str">
        <x:f>INDEX(Roster!$F$6:$F$108,MATCH(D957,Roster!$A$6:$A$108,0))</x:f>
        <x:v>No</x:v>
      </x:c>
      <x:c r="G957" s="14" t="n">
        <x:f>INDEX(Inputs!$B$7:$D$7,1,MATCH(A957,Inputs!$B$6:$D$6,0))</x:f>
        <x:v>13</x:v>
      </x:c>
      <x:c r="H957" s="14" t="n">
        <x:f>MIN(=INDEX(Inputs!$B$7:$D$7,1,MATCH(A957,Inputs!$B$6:$D$6,0)),MAX(0,INDEX(Inputs!$B$14:$D$14,1,MATCH(A957,Inputs!$B$6:$D$6,0))-(C957-1)*=INDEX(Inputs!$B$7:$D$7,1,MATCH(A957,Inputs!$B$6:$D$6,0))))</x:f>
        <x:v>0</x:v>
      </x:c>
      <x:c r="I957" s="20" t="n">
        <x:f>INDEX(Inputs!$B$8:$D$8,1,MATCH(A957,Inputs!$B$6:$D$6,0))</x:f>
        <x:v>2395</x:v>
      </x:c>
      <x:c r="J957" s="20" t="n">
        <x:f>INDEX(Roster!$C$6:$C$108,MATCH(D957,Roster!$A$6:$A$108,0))*(1+INDEX(Inputs!$B$9:$D$9,1,MATCH(A957,Inputs!$B$6:$D$6,0)))</x:f>
        <x:v>90</x:v>
      </x:c>
      <x:c r="K957" s="20" t="n">
        <x:f>IF(=INDEX(Roster!$F$6:$F$108,MATCH(D957,Roster!$A$6:$A$108,0))="Yes",0,=INDEX(Inputs!$B$8:$D$8,1,MATCH(A957,Inputs!$B$6:$D$6,0))*IF(=INDEX(Roster!$B$6:$B$108,MATCH(D957,Roster!$A$6:$A$108,0))="Principal",INDEX(Inputs!$B$10:$D$10,1,MATCH(A957,Inputs!$B$6:$D$6,0)),IF(=INDEX(Roster!$B$6:$B$108,MATCH(D957,Roster!$A$6:$A$108,0))="Associate Principal",INDEX(Inputs!$B$11:$D$11,1,MATCH(A957,Inputs!$B$6:$D$6,0)),IF(=INDEX(Roster!$B$6:$B$108,MATCH(D957,Roster!$A$6:$A$108,0))="Assistant Principal",INDEX(Inputs!$B$12:$D$12,1,MATCH(A957,Inputs!$B$6:$D$6,0)),0))))</x:f>
        <x:v>0</x:v>
      </x:c>
      <x:c r="L957" s="20" t="n">
        <x:f>IF(INDEX(Roster!$D$6:$D$108,MATCH(D957,Roster!$A$6:$A$108,0))&gt;=25,INDEX(Inputs!$B$19:$D$19,1,MATCH(A957,Inputs!$B$6:$D$6,0)),IF(INDEX(Roster!$D$6:$D$108,MATCH(D957,Roster!$A$6:$A$108,0))&gt;=20,INDEX(Inputs!$B$18:$D$18,1,MATCH(A957,Inputs!$B$6:$D$6,0)),IF(INDEX(Roster!$D$6:$D$108,MATCH(D957,Roster!$A$6:$A$108,0))&gt;=15,INDEX(Inputs!$B$17:$D$17,1,MATCH(A957,Inputs!$B$6:$D$6,0)),IF(INDEX(Roster!$D$6:$D$108,MATCH(D957,Roster!$A$6:$A$108,0))&gt;=10,INDEX(Inputs!$B$16:$D$16,1,MATCH(A957,Inputs!$B$6:$D$6,0)),IF(INDEX(Roster!$D$6:$D$108,MATCH(D957,Roster!$A$6:$A$108,0))&gt;=5,INDEX(Inputs!$B$15:$D$15,1,MATCH(A957,Inputs!$B$6:$D$6,0)),0)))))</x:f>
        <x:v>80</x:v>
      </x:c>
      <x:c r="M957" s="20" t="n">
        <x:f>G957*I957</x:f>
        <x:v>31135</x:v>
      </x:c>
      <x:c r="N957" s="20" t="n">
        <x:f>G957*J957</x:f>
        <x:v>1170</x:v>
      </x:c>
      <x:c r="O957" s="20" t="n">
        <x:f>G957*K957</x:f>
        <x:v>0</x:v>
      </x:c>
      <x:c r="P957" s="20" t="n">
        <x:f>G957*L957</x:f>
        <x:v>1040</x:v>
      </x:c>
      <x:c r="Q957" s="20" t="n">
        <x:f>H957*INDEX(Inputs!$B$13:$D$13,1,MATCH(A957,Inputs!$B$6:$D$6,0))</x:f>
        <x:v>0</x:v>
      </x:c>
      <x:c r="R957" s="20" t="n">
        <x:f>SUM(M957:Q957)</x:f>
        <x:v>33345</x:v>
      </x:c>
      <x:c r="S957" s="20" t="n">
        <x:f>IF(AND(A956=A957,D956=D957),S956+R957,R957)</x:f>
        <x:v>134550</x:v>
      </x:c>
      <x:c r="T957" s="20" t="n">
        <x:f>MIN(S957,INDEX(Inputs!$B$20:$D$20,1,MATCH(A957,Inputs!$B$6:$D$6,0)))*INDEX(Inputs!$B$22:$D$22,1,MATCH(A957,Inputs!$B$6:$D$6,0))+MAX(MIN(S957,INDEX(Inputs!$B$21:$D$21,1,MATCH(A957,Inputs!$B$6:$D$6,0)))-INDEX(Inputs!$B$20:$D$20,1,MATCH(A957,Inputs!$B$6:$D$6,0)),0)*INDEX(Inputs!$B$23:$D$23,1,MATCH(A957,Inputs!$B$6:$D$6,0))+MAX(S957-INDEX(Inputs!$B$21:$D$21,1,MATCH(A957,Inputs!$B$6:$D$6,0)),0)*INDEX(Inputs!$B$24:$D$24,1,MATCH(A957,Inputs!$B$6:$D$6,0))</x:f>
        <x:v>9864.917</x:v>
      </x:c>
      <x:c r="U957" s="20" t="n">
        <x:f>IF(AND(A956=A957,D956=D957),T956,0)</x:f>
        <x:v>8232.182499999999</x:v>
      </x:c>
      <x:c r="V957" s="20" t="n">
        <x:f>T957-U957</x:f>
        <x:v>1632.7345000000005</x:v>
      </x:c>
      <x:c r="W957" s="20" t="n">
        <x:f>R957+V957</x:f>
        <x:v>34977.7345</x:v>
      </x:c>
      <x:c r="X957" s="14" t="str">
        <x:f>IF(ABS(W957-SUM(M957:Q957)-V957)&lt;0.01,"OK","Check")</x:f>
        <x:v>OK</x:v>
      </x:c>
    </x:row>
    <x:row r="958">
      <x:c r="A958" s="14" t="n">
        <x:v>2028</x:v>
      </x:c>
      <x:c r="B958" s="14" t="str">
        <x:v>Q1</x:v>
      </x:c>
      <x:c r="C958" s="14" t="n">
        <x:v>1</x:v>
      </x:c>
      <x:c r="D958" s="14" t="n">
        <x:v>33</x:v>
      </x:c>
      <x:c r="E958" s="14" t="str">
        <x:f>INDEX(Roster!$B$6:$B$108,MATCH(D958,Roster!$A$6:$A$108,0))</x:f>
      </x:c>
      <x:c r="F958" s="14" t="str">
        <x:f>INDEX(Roster!$F$6:$F$108,MATCH(D958,Roster!$A$6:$A$108,0))</x:f>
        <x:v>No</x:v>
      </x:c>
      <x:c r="G958" s="14" t="n">
        <x:f>INDEX(Inputs!$B$7:$D$7,1,MATCH(A958,Inputs!$B$6:$D$6,0))</x:f>
        <x:v>13</x:v>
      </x:c>
      <x:c r="H958" s="14" t="n">
        <x:f>MIN(=INDEX(Inputs!$B$7:$D$7,1,MATCH(A958,Inputs!$B$6:$D$6,0)),MAX(0,INDEX(Inputs!$B$14:$D$14,1,MATCH(A958,Inputs!$B$6:$D$6,0))-(C958-1)*=INDEX(Inputs!$B$7:$D$7,1,MATCH(A958,Inputs!$B$6:$D$6,0))))</x:f>
        <x:v>13</x:v>
      </x:c>
      <x:c r="I958" s="20" t="n">
        <x:f>INDEX(Inputs!$B$8:$D$8,1,MATCH(A958,Inputs!$B$6:$D$6,0))</x:f>
        <x:v>2395</x:v>
      </x:c>
      <x:c r="J958" s="20" t="n">
        <x:f>INDEX(Roster!$C$6:$C$108,MATCH(D958,Roster!$A$6:$A$108,0))*(1+INDEX(Inputs!$B$9:$D$9,1,MATCH(A958,Inputs!$B$6:$D$6,0)))</x:f>
        <x:v>60</x:v>
      </x:c>
      <x:c r="K958" s="20" t="n">
        <x:f>IF(=INDEX(Roster!$F$6:$F$108,MATCH(D958,Roster!$A$6:$A$108,0))="Yes",0,=INDEX(Inputs!$B$8:$D$8,1,MATCH(A958,Inputs!$B$6:$D$6,0))*IF(=INDEX(Roster!$B$6:$B$108,MATCH(D958,Roster!$A$6:$A$108,0))="Principal",INDEX(Inputs!$B$10:$D$10,1,MATCH(A958,Inputs!$B$6:$D$6,0)),IF(=INDEX(Roster!$B$6:$B$108,MATCH(D958,Roster!$A$6:$A$108,0))="Associate Principal",INDEX(Inputs!$B$11:$D$11,1,MATCH(A958,Inputs!$B$6:$D$6,0)),IF(=INDEX(Roster!$B$6:$B$108,MATCH(D958,Roster!$A$6:$A$108,0))="Assistant Principal",INDEX(Inputs!$B$12:$D$12,1,MATCH(A958,Inputs!$B$6:$D$6,0)),0))))</x:f>
        <x:v>0</x:v>
      </x:c>
      <x:c r="L958" s="20" t="n">
        <x:f>IF(INDEX(Roster!$D$6:$D$108,MATCH(D958,Roster!$A$6:$A$108,0))&gt;=25,INDEX(Inputs!$B$19:$D$19,1,MATCH(A958,Inputs!$B$6:$D$6,0)),IF(INDEX(Roster!$D$6:$D$108,MATCH(D958,Roster!$A$6:$A$108,0))&gt;=20,INDEX(Inputs!$B$18:$D$18,1,MATCH(A958,Inputs!$B$6:$D$6,0)),IF(INDEX(Roster!$D$6:$D$108,MATCH(D958,Roster!$A$6:$A$108,0))&gt;=15,INDEX(Inputs!$B$17:$D$17,1,MATCH(A958,Inputs!$B$6:$D$6,0)),IF(INDEX(Roster!$D$6:$D$108,MATCH(D958,Roster!$A$6:$A$108,0))&gt;=10,INDEX(Inputs!$B$16:$D$16,1,MATCH(A958,Inputs!$B$6:$D$6,0)),IF(INDEX(Roster!$D$6:$D$108,MATCH(D958,Roster!$A$6:$A$108,0))&gt;=5,INDEX(Inputs!$B$15:$D$15,1,MATCH(A958,Inputs!$B$6:$D$6,0)),0)))))</x:f>
        <x:v>90</x:v>
      </x:c>
      <x:c r="M958" s="20" t="n">
        <x:f>G958*I958</x:f>
        <x:v>31135</x:v>
      </x:c>
      <x:c r="N958" s="20" t="n">
        <x:f>G958*J958</x:f>
        <x:v>780</x:v>
      </x:c>
      <x:c r="O958" s="20" t="n">
        <x:f>G958*K958</x:f>
        <x:v>0</x:v>
      </x:c>
      <x:c r="P958" s="20" t="n">
        <x:f>G958*L958</x:f>
        <x:v>1170</x:v>
      </x:c>
      <x:c r="Q958" s="20" t="n">
        <x:f>H958*INDEX(Inputs!$B$13:$D$13,1,MATCH(A958,Inputs!$B$6:$D$6,0))</x:f>
        <x:v>390</x:v>
      </x:c>
      <x:c r="R958" s="20" t="n">
        <x:f>SUM(M958:Q958)</x:f>
        <x:v>33475</x:v>
      </x:c>
      <x:c r="S958" s="20" t="n">
        <x:f>IF(AND(A957=A958,D957=D958),S957+R958,R958)</x:f>
        <x:v>33475</x:v>
      </x:c>
      <x:c r="T958" s="20" t="n">
        <x:f>MIN(S958,INDEX(Inputs!$B$20:$D$20,1,MATCH(A958,Inputs!$B$6:$D$6,0)))*INDEX(Inputs!$B$22:$D$22,1,MATCH(A958,Inputs!$B$6:$D$6,0))+MAX(MIN(S958,INDEX(Inputs!$B$21:$D$21,1,MATCH(A958,Inputs!$B$6:$D$6,0)))-INDEX(Inputs!$B$20:$D$20,1,MATCH(A958,Inputs!$B$6:$D$6,0)),0)*INDEX(Inputs!$B$23:$D$23,1,MATCH(A958,Inputs!$B$6:$D$6,0))+MAX(S958-INDEX(Inputs!$B$21:$D$21,1,MATCH(A958,Inputs!$B$6:$D$6,0)),0)*INDEX(Inputs!$B$24:$D$24,1,MATCH(A958,Inputs!$B$6:$D$6,0))</x:f>
        <x:v>3050.8374999999996</x:v>
      </x:c>
      <x:c r="U958" s="20" t="n">
        <x:f>IF(AND(A957=A958,D957=D958),T957,0)</x:f>
        <x:v>0</x:v>
      </x:c>
      <x:c r="V958" s="20" t="n">
        <x:f>T958-U958</x:f>
        <x:v>3050.8374999999996</x:v>
      </x:c>
      <x:c r="W958" s="20" t="n">
        <x:f>R958+V958</x:f>
        <x:v>36525.8375</x:v>
      </x:c>
      <x:c r="X958" s="14" t="str">
        <x:f>IF(ABS(W958-SUM(M958:Q958)-V958)&lt;0.01,"OK","Check")</x:f>
        <x:v>OK</x:v>
      </x:c>
    </x:row>
    <x:row r="959">
      <x:c r="A959" s="14" t="n">
        <x:v>2028</x:v>
      </x:c>
      <x:c r="B959" s="14" t="str">
        <x:v>Q2</x:v>
      </x:c>
      <x:c r="C959" s="14" t="n">
        <x:v>2</x:v>
      </x:c>
      <x:c r="D959" s="14" t="n">
        <x:v>33</x:v>
      </x:c>
      <x:c r="E959" s="14" t="str">
        <x:f>INDEX(Roster!$B$6:$B$108,MATCH(D959,Roster!$A$6:$A$108,0))</x:f>
      </x:c>
      <x:c r="F959" s="14" t="str">
        <x:f>INDEX(Roster!$F$6:$F$108,MATCH(D959,Roster!$A$6:$A$108,0))</x:f>
        <x:v>No</x:v>
      </x:c>
      <x:c r="G959" s="14" t="n">
        <x:f>INDEX(Inputs!$B$7:$D$7,1,MATCH(A959,Inputs!$B$6:$D$6,0))</x:f>
        <x:v>13</x:v>
      </x:c>
      <x:c r="H959" s="14" t="n">
        <x:f>MIN(=INDEX(Inputs!$B$7:$D$7,1,MATCH(A959,Inputs!$B$6:$D$6,0)),MAX(0,INDEX(Inputs!$B$14:$D$14,1,MATCH(A959,Inputs!$B$6:$D$6,0))-(C959-1)*=INDEX(Inputs!$B$7:$D$7,1,MATCH(A959,Inputs!$B$6:$D$6,0))))</x:f>
        <x:v>13</x:v>
      </x:c>
      <x:c r="I959" s="20" t="n">
        <x:f>INDEX(Inputs!$B$8:$D$8,1,MATCH(A959,Inputs!$B$6:$D$6,0))</x:f>
        <x:v>2395</x:v>
      </x:c>
      <x:c r="J959" s="20" t="n">
        <x:f>INDEX(Roster!$C$6:$C$108,MATCH(D959,Roster!$A$6:$A$108,0))*(1+INDEX(Inputs!$B$9:$D$9,1,MATCH(A959,Inputs!$B$6:$D$6,0)))</x:f>
        <x:v>60</x:v>
      </x:c>
      <x:c r="K959" s="20" t="n">
        <x:f>IF(=INDEX(Roster!$F$6:$F$108,MATCH(D959,Roster!$A$6:$A$108,0))="Yes",0,=INDEX(Inputs!$B$8:$D$8,1,MATCH(A959,Inputs!$B$6:$D$6,0))*IF(=INDEX(Roster!$B$6:$B$108,MATCH(D959,Roster!$A$6:$A$108,0))="Principal",INDEX(Inputs!$B$10:$D$10,1,MATCH(A959,Inputs!$B$6:$D$6,0)),IF(=INDEX(Roster!$B$6:$B$108,MATCH(D959,Roster!$A$6:$A$108,0))="Associate Principal",INDEX(Inputs!$B$11:$D$11,1,MATCH(A959,Inputs!$B$6:$D$6,0)),IF(=INDEX(Roster!$B$6:$B$108,MATCH(D959,Roster!$A$6:$A$108,0))="Assistant Principal",INDEX(Inputs!$B$12:$D$12,1,MATCH(A959,Inputs!$B$6:$D$6,0)),0))))</x:f>
        <x:v>0</x:v>
      </x:c>
      <x:c r="L959" s="20" t="n">
        <x:f>IF(INDEX(Roster!$D$6:$D$108,MATCH(D959,Roster!$A$6:$A$108,0))&gt;=25,INDEX(Inputs!$B$19:$D$19,1,MATCH(A959,Inputs!$B$6:$D$6,0)),IF(INDEX(Roster!$D$6:$D$108,MATCH(D959,Roster!$A$6:$A$108,0))&gt;=20,INDEX(Inputs!$B$18:$D$18,1,MATCH(A959,Inputs!$B$6:$D$6,0)),IF(INDEX(Roster!$D$6:$D$108,MATCH(D959,Roster!$A$6:$A$108,0))&gt;=15,INDEX(Inputs!$B$17:$D$17,1,MATCH(A959,Inputs!$B$6:$D$6,0)),IF(INDEX(Roster!$D$6:$D$108,MATCH(D959,Roster!$A$6:$A$108,0))&gt;=10,INDEX(Inputs!$B$16:$D$16,1,MATCH(A959,Inputs!$B$6:$D$6,0)),IF(INDEX(Roster!$D$6:$D$108,MATCH(D959,Roster!$A$6:$A$108,0))&gt;=5,INDEX(Inputs!$B$15:$D$15,1,MATCH(A959,Inputs!$B$6:$D$6,0)),0)))))</x:f>
        <x:v>90</x:v>
      </x:c>
      <x:c r="M959" s="20" t="n">
        <x:f>G959*I959</x:f>
        <x:v>31135</x:v>
      </x:c>
      <x:c r="N959" s="20" t="n">
        <x:f>G959*J959</x:f>
        <x:v>780</x:v>
      </x:c>
      <x:c r="O959" s="20" t="n">
        <x:f>G959*K959</x:f>
        <x:v>0</x:v>
      </x:c>
      <x:c r="P959" s="20" t="n">
        <x:f>G959*L959</x:f>
        <x:v>1170</x:v>
      </x:c>
      <x:c r="Q959" s="20" t="n">
        <x:f>H959*INDEX(Inputs!$B$13:$D$13,1,MATCH(A959,Inputs!$B$6:$D$6,0))</x:f>
        <x:v>390</x:v>
      </x:c>
      <x:c r="R959" s="20" t="n">
        <x:f>SUM(M959:Q959)</x:f>
        <x:v>33475</x:v>
      </x:c>
      <x:c r="S959" s="20" t="n">
        <x:f>IF(AND(A958=A959,D958=D959),S958+R959,R959)</x:f>
        <x:v>66950</x:v>
      </x:c>
      <x:c r="T959" s="20" t="n">
        <x:f>MIN(S959,INDEX(Inputs!$B$20:$D$20,1,MATCH(A959,Inputs!$B$6:$D$6,0)))*INDEX(Inputs!$B$22:$D$22,1,MATCH(A959,Inputs!$B$6:$D$6,0))+MAX(MIN(S959,INDEX(Inputs!$B$21:$D$21,1,MATCH(A959,Inputs!$B$6:$D$6,0)))-INDEX(Inputs!$B$20:$D$20,1,MATCH(A959,Inputs!$B$6:$D$6,0)),0)*INDEX(Inputs!$B$23:$D$23,1,MATCH(A959,Inputs!$B$6:$D$6,0))+MAX(S959-INDEX(Inputs!$B$21:$D$21,1,MATCH(A959,Inputs!$B$6:$D$6,0)),0)*INDEX(Inputs!$B$24:$D$24,1,MATCH(A959,Inputs!$B$6:$D$6,0))</x:f>
        <x:v>5611.675</x:v>
      </x:c>
      <x:c r="U959" s="20" t="n">
        <x:f>IF(AND(A958=A959,D958=D959),T958,0)</x:f>
        <x:v>3050.8374999999996</x:v>
      </x:c>
      <x:c r="V959" s="20" t="n">
        <x:f>T959-U959</x:f>
        <x:v>2560.8375000000005</x:v>
      </x:c>
      <x:c r="W959" s="20" t="n">
        <x:f>R959+V959</x:f>
        <x:v>36035.8375</x:v>
      </x:c>
      <x:c r="X959" s="14" t="str">
        <x:f>IF(ABS(W959-SUM(M959:Q959)-V959)&lt;0.01,"OK","Check")</x:f>
        <x:v>OK</x:v>
      </x:c>
    </x:row>
    <x:row r="960">
      <x:c r="A960" s="14" t="n">
        <x:v>2028</x:v>
      </x:c>
      <x:c r="B960" s="14" t="str">
        <x:v>Q3</x:v>
      </x:c>
      <x:c r="C960" s="14" t="n">
        <x:v>3</x:v>
      </x:c>
      <x:c r="D960" s="14" t="n">
        <x:v>33</x:v>
      </x:c>
      <x:c r="E960" s="14" t="str">
        <x:f>INDEX(Roster!$B$6:$B$108,MATCH(D960,Roster!$A$6:$A$108,0))</x:f>
      </x:c>
      <x:c r="F960" s="14" t="str">
        <x:f>INDEX(Roster!$F$6:$F$108,MATCH(D960,Roster!$A$6:$A$108,0))</x:f>
        <x:v>No</x:v>
      </x:c>
      <x:c r="G960" s="14" t="n">
        <x:f>INDEX(Inputs!$B$7:$D$7,1,MATCH(A960,Inputs!$B$6:$D$6,0))</x:f>
        <x:v>13</x:v>
      </x:c>
      <x:c r="H960" s="14" t="n">
        <x:f>MIN(=INDEX(Inputs!$B$7:$D$7,1,MATCH(A960,Inputs!$B$6:$D$6,0)),MAX(0,INDEX(Inputs!$B$14:$D$14,1,MATCH(A960,Inputs!$B$6:$D$6,0))-(C960-1)*=INDEX(Inputs!$B$7:$D$7,1,MATCH(A960,Inputs!$B$6:$D$6,0))))</x:f>
        <x:v>13</x:v>
      </x:c>
      <x:c r="I960" s="20" t="n">
        <x:f>INDEX(Inputs!$B$8:$D$8,1,MATCH(A960,Inputs!$B$6:$D$6,0))</x:f>
        <x:v>2395</x:v>
      </x:c>
      <x:c r="J960" s="20" t="n">
        <x:f>INDEX(Roster!$C$6:$C$108,MATCH(D960,Roster!$A$6:$A$108,0))*(1+INDEX(Inputs!$B$9:$D$9,1,MATCH(A960,Inputs!$B$6:$D$6,0)))</x:f>
        <x:v>60</x:v>
      </x:c>
      <x:c r="K960" s="20" t="n">
        <x:f>IF(=INDEX(Roster!$F$6:$F$108,MATCH(D960,Roster!$A$6:$A$108,0))="Yes",0,=INDEX(Inputs!$B$8:$D$8,1,MATCH(A960,Inputs!$B$6:$D$6,0))*IF(=INDEX(Roster!$B$6:$B$108,MATCH(D960,Roster!$A$6:$A$108,0))="Principal",INDEX(Inputs!$B$10:$D$10,1,MATCH(A960,Inputs!$B$6:$D$6,0)),IF(=INDEX(Roster!$B$6:$B$108,MATCH(D960,Roster!$A$6:$A$108,0))="Associate Principal",INDEX(Inputs!$B$11:$D$11,1,MATCH(A960,Inputs!$B$6:$D$6,0)),IF(=INDEX(Roster!$B$6:$B$108,MATCH(D960,Roster!$A$6:$A$108,0))="Assistant Principal",INDEX(Inputs!$B$12:$D$12,1,MATCH(A960,Inputs!$B$6:$D$6,0)),0))))</x:f>
        <x:v>0</x:v>
      </x:c>
      <x:c r="L960" s="20" t="n">
        <x:f>IF(INDEX(Roster!$D$6:$D$108,MATCH(D960,Roster!$A$6:$A$108,0))&gt;=25,INDEX(Inputs!$B$19:$D$19,1,MATCH(A960,Inputs!$B$6:$D$6,0)),IF(INDEX(Roster!$D$6:$D$108,MATCH(D960,Roster!$A$6:$A$108,0))&gt;=20,INDEX(Inputs!$B$18:$D$18,1,MATCH(A960,Inputs!$B$6:$D$6,0)),IF(INDEX(Roster!$D$6:$D$108,MATCH(D960,Roster!$A$6:$A$108,0))&gt;=15,INDEX(Inputs!$B$17:$D$17,1,MATCH(A960,Inputs!$B$6:$D$6,0)),IF(INDEX(Roster!$D$6:$D$108,MATCH(D960,Roster!$A$6:$A$108,0))&gt;=10,INDEX(Inputs!$B$16:$D$16,1,MATCH(A960,Inputs!$B$6:$D$6,0)),IF(INDEX(Roster!$D$6:$D$108,MATCH(D960,Roster!$A$6:$A$108,0))&gt;=5,INDEX(Inputs!$B$15:$D$15,1,MATCH(A960,Inputs!$B$6:$D$6,0)),0)))))</x:f>
        <x:v>90</x:v>
      </x:c>
      <x:c r="M960" s="20" t="n">
        <x:f>G960*I960</x:f>
        <x:v>31135</x:v>
      </x:c>
      <x:c r="N960" s="20" t="n">
        <x:f>G960*J960</x:f>
        <x:v>780</x:v>
      </x:c>
      <x:c r="O960" s="20" t="n">
        <x:f>G960*K960</x:f>
        <x:v>0</x:v>
      </x:c>
      <x:c r="P960" s="20" t="n">
        <x:f>G960*L960</x:f>
        <x:v>1170</x:v>
      </x:c>
      <x:c r="Q960" s="20" t="n">
        <x:f>H960*INDEX(Inputs!$B$13:$D$13,1,MATCH(A960,Inputs!$B$6:$D$6,0))</x:f>
        <x:v>390</x:v>
      </x:c>
      <x:c r="R960" s="20" t="n">
        <x:f>SUM(M960:Q960)</x:f>
        <x:v>33475</x:v>
      </x:c>
      <x:c r="S960" s="20" t="n">
        <x:f>IF(AND(A959=A960,D959=D960),S959+R960,R960)</x:f>
        <x:v>100425</x:v>
      </x:c>
      <x:c r="T960" s="20" t="n">
        <x:f>MIN(S960,INDEX(Inputs!$B$20:$D$20,1,MATCH(A960,Inputs!$B$6:$D$6,0)))*INDEX(Inputs!$B$22:$D$22,1,MATCH(A960,Inputs!$B$6:$D$6,0))+MAX(MIN(S960,INDEX(Inputs!$B$21:$D$21,1,MATCH(A960,Inputs!$B$6:$D$6,0)))-INDEX(Inputs!$B$20:$D$20,1,MATCH(A960,Inputs!$B$6:$D$6,0)),0)*INDEX(Inputs!$B$23:$D$23,1,MATCH(A960,Inputs!$B$6:$D$6,0))+MAX(S960-INDEX(Inputs!$B$21:$D$21,1,MATCH(A960,Inputs!$B$6:$D$6,0)),0)*INDEX(Inputs!$B$24:$D$24,1,MATCH(A960,Inputs!$B$6:$D$6,0))</x:f>
        <x:v>8172.5125</x:v>
      </x:c>
      <x:c r="U960" s="20" t="n">
        <x:f>IF(AND(A959=A960,D959=D960),T959,0)</x:f>
        <x:v>5611.675</x:v>
      </x:c>
      <x:c r="V960" s="20" t="n">
        <x:f>T960-U960</x:f>
        <x:v>2560.8374999999996</x:v>
      </x:c>
      <x:c r="W960" s="20" t="n">
        <x:f>R960+V960</x:f>
        <x:v>36035.8375</x:v>
      </x:c>
      <x:c r="X960" s="14" t="str">
        <x:f>IF(ABS(W960-SUM(M960:Q960)-V960)&lt;0.01,"OK","Check")</x:f>
        <x:v>OK</x:v>
      </x:c>
    </x:row>
    <x:row r="961">
      <x:c r="A961" s="14" t="n">
        <x:v>2028</x:v>
      </x:c>
      <x:c r="B961" s="14" t="str">
        <x:v>Q4</x:v>
      </x:c>
      <x:c r="C961" s="14" t="n">
        <x:v>4</x:v>
      </x:c>
      <x:c r="D961" s="14" t="n">
        <x:v>33</x:v>
      </x:c>
      <x:c r="E961" s="14" t="str">
        <x:f>INDEX(Roster!$B$6:$B$108,MATCH(D961,Roster!$A$6:$A$108,0))</x:f>
      </x:c>
      <x:c r="F961" s="14" t="str">
        <x:f>INDEX(Roster!$F$6:$F$108,MATCH(D961,Roster!$A$6:$A$108,0))</x:f>
        <x:v>No</x:v>
      </x:c>
      <x:c r="G961" s="14" t="n">
        <x:f>INDEX(Inputs!$B$7:$D$7,1,MATCH(A961,Inputs!$B$6:$D$6,0))</x:f>
        <x:v>13</x:v>
      </x:c>
      <x:c r="H961" s="14" t="n">
        <x:f>MIN(=INDEX(Inputs!$B$7:$D$7,1,MATCH(A961,Inputs!$B$6:$D$6,0)),MAX(0,INDEX(Inputs!$B$14:$D$14,1,MATCH(A961,Inputs!$B$6:$D$6,0))-(C961-1)*=INDEX(Inputs!$B$7:$D$7,1,MATCH(A961,Inputs!$B$6:$D$6,0))))</x:f>
        <x:v>0</x:v>
      </x:c>
      <x:c r="I961" s="20" t="n">
        <x:f>INDEX(Inputs!$B$8:$D$8,1,MATCH(A961,Inputs!$B$6:$D$6,0))</x:f>
        <x:v>2395</x:v>
      </x:c>
      <x:c r="J961" s="20" t="n">
        <x:f>INDEX(Roster!$C$6:$C$108,MATCH(D961,Roster!$A$6:$A$108,0))*(1+INDEX(Inputs!$B$9:$D$9,1,MATCH(A961,Inputs!$B$6:$D$6,0)))</x:f>
        <x:v>60</x:v>
      </x:c>
      <x:c r="K961" s="20" t="n">
        <x:f>IF(=INDEX(Roster!$F$6:$F$108,MATCH(D961,Roster!$A$6:$A$108,0))="Yes",0,=INDEX(Inputs!$B$8:$D$8,1,MATCH(A961,Inputs!$B$6:$D$6,0))*IF(=INDEX(Roster!$B$6:$B$108,MATCH(D961,Roster!$A$6:$A$108,0))="Principal",INDEX(Inputs!$B$10:$D$10,1,MATCH(A961,Inputs!$B$6:$D$6,0)),IF(=INDEX(Roster!$B$6:$B$108,MATCH(D961,Roster!$A$6:$A$108,0))="Associate Principal",INDEX(Inputs!$B$11:$D$11,1,MATCH(A961,Inputs!$B$6:$D$6,0)),IF(=INDEX(Roster!$B$6:$B$108,MATCH(D961,Roster!$A$6:$A$108,0))="Assistant Principal",INDEX(Inputs!$B$12:$D$12,1,MATCH(A961,Inputs!$B$6:$D$6,0)),0))))</x:f>
        <x:v>0</x:v>
      </x:c>
      <x:c r="L961" s="20" t="n">
        <x:f>IF(INDEX(Roster!$D$6:$D$108,MATCH(D961,Roster!$A$6:$A$108,0))&gt;=25,INDEX(Inputs!$B$19:$D$19,1,MATCH(A961,Inputs!$B$6:$D$6,0)),IF(INDEX(Roster!$D$6:$D$108,MATCH(D961,Roster!$A$6:$A$108,0))&gt;=20,INDEX(Inputs!$B$18:$D$18,1,MATCH(A961,Inputs!$B$6:$D$6,0)),IF(INDEX(Roster!$D$6:$D$108,MATCH(D961,Roster!$A$6:$A$108,0))&gt;=15,INDEX(Inputs!$B$17:$D$17,1,MATCH(A961,Inputs!$B$6:$D$6,0)),IF(INDEX(Roster!$D$6:$D$108,MATCH(D961,Roster!$A$6:$A$108,0))&gt;=10,INDEX(Inputs!$B$16:$D$16,1,MATCH(A961,Inputs!$B$6:$D$6,0)),IF(INDEX(Roster!$D$6:$D$108,MATCH(D961,Roster!$A$6:$A$108,0))&gt;=5,INDEX(Inputs!$B$15:$D$15,1,MATCH(A961,Inputs!$B$6:$D$6,0)),0)))))</x:f>
        <x:v>90</x:v>
      </x:c>
      <x:c r="M961" s="20" t="n">
        <x:f>G961*I961</x:f>
        <x:v>31135</x:v>
      </x:c>
      <x:c r="N961" s="20" t="n">
        <x:f>G961*J961</x:f>
        <x:v>780</x:v>
      </x:c>
      <x:c r="O961" s="20" t="n">
        <x:f>G961*K961</x:f>
        <x:v>0</x:v>
      </x:c>
      <x:c r="P961" s="20" t="n">
        <x:f>G961*L961</x:f>
        <x:v>1170</x:v>
      </x:c>
      <x:c r="Q961" s="20" t="n">
        <x:f>H961*INDEX(Inputs!$B$13:$D$13,1,MATCH(A961,Inputs!$B$6:$D$6,0))</x:f>
        <x:v>0</x:v>
      </x:c>
      <x:c r="R961" s="20" t="n">
        <x:f>SUM(M961:Q961)</x:f>
        <x:v>33085</x:v>
      </x:c>
      <x:c r="S961" s="20" t="n">
        <x:f>IF(AND(A960=A961,D960=D961),S960+R961,R961)</x:f>
        <x:v>133510</x:v>
      </x:c>
      <x:c r="T961" s="20" t="n">
        <x:f>MIN(S961,INDEX(Inputs!$B$20:$D$20,1,MATCH(A961,Inputs!$B$6:$D$6,0)))*INDEX(Inputs!$B$22:$D$22,1,MATCH(A961,Inputs!$B$6:$D$6,0))+MAX(MIN(S961,INDEX(Inputs!$B$21:$D$21,1,MATCH(A961,Inputs!$B$6:$D$6,0)))-INDEX(Inputs!$B$20:$D$20,1,MATCH(A961,Inputs!$B$6:$D$6,0)),0)*INDEX(Inputs!$B$23:$D$23,1,MATCH(A961,Inputs!$B$6:$D$6,0))+MAX(S961-INDEX(Inputs!$B$21:$D$21,1,MATCH(A961,Inputs!$B$6:$D$6,0)),0)*INDEX(Inputs!$B$24:$D$24,1,MATCH(A961,Inputs!$B$6:$D$6,0))</x:f>
        <x:v>9849.837</x:v>
      </x:c>
      <x:c r="U961" s="20" t="n">
        <x:f>IF(AND(A960=A961,D960=D961),T960,0)</x:f>
        <x:v>8172.5125</x:v>
      </x:c>
      <x:c r="V961" s="20" t="n">
        <x:f>T961-U961</x:f>
        <x:v>1677.3244999999997</x:v>
      </x:c>
      <x:c r="W961" s="20" t="n">
        <x:f>R961+V961</x:f>
        <x:v>34762.3245</x:v>
      </x:c>
      <x:c r="X961" s="14" t="str">
        <x:f>IF(ABS(W961-SUM(M961:Q961)-V961)&lt;0.01,"OK","Check")</x:f>
        <x:v>OK</x:v>
      </x:c>
    </x:row>
    <x:row r="962">
      <x:c r="A962" s="14" t="n">
        <x:v>2028</x:v>
      </x:c>
      <x:c r="B962" s="14" t="str">
        <x:v>Q1</x:v>
      </x:c>
      <x:c r="C962" s="14" t="n">
        <x:v>1</x:v>
      </x:c>
      <x:c r="D962" s="14" t="n">
        <x:v>34</x:v>
      </x:c>
      <x:c r="E962" s="14" t="str">
        <x:f>INDEX(Roster!$B$6:$B$108,MATCH(D962,Roster!$A$6:$A$108,0))</x:f>
      </x:c>
      <x:c r="F962" s="14" t="str">
        <x:f>INDEX(Roster!$F$6:$F$108,MATCH(D962,Roster!$A$6:$A$108,0))</x:f>
        <x:v>No</x:v>
      </x:c>
      <x:c r="G962" s="14" t="n">
        <x:f>INDEX(Inputs!$B$7:$D$7,1,MATCH(A962,Inputs!$B$6:$D$6,0))</x:f>
        <x:v>13</x:v>
      </x:c>
      <x:c r="H962" s="14" t="n">
        <x:f>MIN(=INDEX(Inputs!$B$7:$D$7,1,MATCH(A962,Inputs!$B$6:$D$6,0)),MAX(0,INDEX(Inputs!$B$14:$D$14,1,MATCH(A962,Inputs!$B$6:$D$6,0))-(C962-1)*=INDEX(Inputs!$B$7:$D$7,1,MATCH(A962,Inputs!$B$6:$D$6,0))))</x:f>
        <x:v>13</x:v>
      </x:c>
      <x:c r="I962" s="20" t="n">
        <x:f>INDEX(Inputs!$B$8:$D$8,1,MATCH(A962,Inputs!$B$6:$D$6,0))</x:f>
        <x:v>2395</x:v>
      </x:c>
      <x:c r="J962" s="20" t="n">
        <x:f>INDEX(Roster!$C$6:$C$108,MATCH(D962,Roster!$A$6:$A$108,0))*(1+INDEX(Inputs!$B$9:$D$9,1,MATCH(A962,Inputs!$B$6:$D$6,0)))</x:f>
        <x:v>40</x:v>
      </x:c>
      <x:c r="K962" s="20" t="n">
        <x:f>IF(=INDEX(Roster!$F$6:$F$108,MATCH(D962,Roster!$A$6:$A$108,0))="Yes",0,=INDEX(Inputs!$B$8:$D$8,1,MATCH(A962,Inputs!$B$6:$D$6,0))*IF(=INDEX(Roster!$B$6:$B$108,MATCH(D962,Roster!$A$6:$A$108,0))="Principal",INDEX(Inputs!$B$10:$D$10,1,MATCH(A962,Inputs!$B$6:$D$6,0)),IF(=INDEX(Roster!$B$6:$B$108,MATCH(D962,Roster!$A$6:$A$108,0))="Associate Principal",INDEX(Inputs!$B$11:$D$11,1,MATCH(A962,Inputs!$B$6:$D$6,0)),IF(=INDEX(Roster!$B$6:$B$108,MATCH(D962,Roster!$A$6:$A$108,0))="Assistant Principal",INDEX(Inputs!$B$12:$D$12,1,MATCH(A962,Inputs!$B$6:$D$6,0)),0))))</x:f>
        <x:v>0</x:v>
      </x:c>
      <x:c r="L962" s="20" t="n">
        <x:f>IF(INDEX(Roster!$D$6:$D$108,MATCH(D962,Roster!$A$6:$A$108,0))&gt;=25,INDEX(Inputs!$B$19:$D$19,1,MATCH(A962,Inputs!$B$6:$D$6,0)),IF(INDEX(Roster!$D$6:$D$108,MATCH(D962,Roster!$A$6:$A$108,0))&gt;=20,INDEX(Inputs!$B$18:$D$18,1,MATCH(A962,Inputs!$B$6:$D$6,0)),IF(INDEX(Roster!$D$6:$D$108,MATCH(D962,Roster!$A$6:$A$108,0))&gt;=15,INDEX(Inputs!$B$17:$D$17,1,MATCH(A962,Inputs!$B$6:$D$6,0)),IF(INDEX(Roster!$D$6:$D$108,MATCH(D962,Roster!$A$6:$A$108,0))&gt;=10,INDEX(Inputs!$B$16:$D$16,1,MATCH(A962,Inputs!$B$6:$D$6,0)),IF(INDEX(Roster!$D$6:$D$108,MATCH(D962,Roster!$A$6:$A$108,0))&gt;=5,INDEX(Inputs!$B$15:$D$15,1,MATCH(A962,Inputs!$B$6:$D$6,0)),0)))))</x:f>
        <x:v>90</x:v>
      </x:c>
      <x:c r="M962" s="20" t="n">
        <x:f>G962*I962</x:f>
        <x:v>31135</x:v>
      </x:c>
      <x:c r="N962" s="20" t="n">
        <x:f>G962*J962</x:f>
        <x:v>520</x:v>
      </x:c>
      <x:c r="O962" s="20" t="n">
        <x:f>G962*K962</x:f>
        <x:v>0</x:v>
      </x:c>
      <x:c r="P962" s="20" t="n">
        <x:f>G962*L962</x:f>
        <x:v>1170</x:v>
      </x:c>
      <x:c r="Q962" s="20" t="n">
        <x:f>H962*INDEX(Inputs!$B$13:$D$13,1,MATCH(A962,Inputs!$B$6:$D$6,0))</x:f>
        <x:v>390</x:v>
      </x:c>
      <x:c r="R962" s="20" t="n">
        <x:f>SUM(M962:Q962)</x:f>
        <x:v>33215</x:v>
      </x:c>
      <x:c r="S962" s="20" t="n">
        <x:f>IF(AND(A961=A962,D961=D962),S961+R962,R962)</x:f>
        <x:v>33215</x:v>
      </x:c>
      <x:c r="T962" s="20" t="n">
        <x:f>MIN(S962,INDEX(Inputs!$B$20:$D$20,1,MATCH(A962,Inputs!$B$6:$D$6,0)))*INDEX(Inputs!$B$22:$D$22,1,MATCH(A962,Inputs!$B$6:$D$6,0))+MAX(MIN(S962,INDEX(Inputs!$B$21:$D$21,1,MATCH(A962,Inputs!$B$6:$D$6,0)))-INDEX(Inputs!$B$20:$D$20,1,MATCH(A962,Inputs!$B$6:$D$6,0)),0)*INDEX(Inputs!$B$23:$D$23,1,MATCH(A962,Inputs!$B$6:$D$6,0))+MAX(S962-INDEX(Inputs!$B$21:$D$21,1,MATCH(A962,Inputs!$B$6:$D$6,0)),0)*INDEX(Inputs!$B$24:$D$24,1,MATCH(A962,Inputs!$B$6:$D$6,0))</x:f>
        <x:v>3030.9475</x:v>
      </x:c>
      <x:c r="U962" s="20" t="n">
        <x:f>IF(AND(A961=A962,D961=D962),T961,0)</x:f>
        <x:v>0</x:v>
      </x:c>
      <x:c r="V962" s="20" t="n">
        <x:f>T962-U962</x:f>
        <x:v>3030.9475</x:v>
      </x:c>
      <x:c r="W962" s="20" t="n">
        <x:f>R962+V962</x:f>
        <x:v>36245.9475</x:v>
      </x:c>
      <x:c r="X962" s="14" t="str">
        <x:f>IF(ABS(W962-SUM(M962:Q962)-V962)&lt;0.01,"OK","Check")</x:f>
        <x:v>OK</x:v>
      </x:c>
    </x:row>
    <x:row r="963">
      <x:c r="A963" s="14" t="n">
        <x:v>2028</x:v>
      </x:c>
      <x:c r="B963" s="14" t="str">
        <x:v>Q2</x:v>
      </x:c>
      <x:c r="C963" s="14" t="n">
        <x:v>2</x:v>
      </x:c>
      <x:c r="D963" s="14" t="n">
        <x:v>34</x:v>
      </x:c>
      <x:c r="E963" s="14" t="str">
        <x:f>INDEX(Roster!$B$6:$B$108,MATCH(D963,Roster!$A$6:$A$108,0))</x:f>
      </x:c>
      <x:c r="F963" s="14" t="str">
        <x:f>INDEX(Roster!$F$6:$F$108,MATCH(D963,Roster!$A$6:$A$108,0))</x:f>
        <x:v>No</x:v>
      </x:c>
      <x:c r="G963" s="14" t="n">
        <x:f>INDEX(Inputs!$B$7:$D$7,1,MATCH(A963,Inputs!$B$6:$D$6,0))</x:f>
        <x:v>13</x:v>
      </x:c>
      <x:c r="H963" s="14" t="n">
        <x:f>MIN(=INDEX(Inputs!$B$7:$D$7,1,MATCH(A963,Inputs!$B$6:$D$6,0)),MAX(0,INDEX(Inputs!$B$14:$D$14,1,MATCH(A963,Inputs!$B$6:$D$6,0))-(C963-1)*=INDEX(Inputs!$B$7:$D$7,1,MATCH(A963,Inputs!$B$6:$D$6,0))))</x:f>
        <x:v>13</x:v>
      </x:c>
      <x:c r="I963" s="20" t="n">
        <x:f>INDEX(Inputs!$B$8:$D$8,1,MATCH(A963,Inputs!$B$6:$D$6,0))</x:f>
        <x:v>2395</x:v>
      </x:c>
      <x:c r="J963" s="20" t="n">
        <x:f>INDEX(Roster!$C$6:$C$108,MATCH(D963,Roster!$A$6:$A$108,0))*(1+INDEX(Inputs!$B$9:$D$9,1,MATCH(A963,Inputs!$B$6:$D$6,0)))</x:f>
        <x:v>40</x:v>
      </x:c>
      <x:c r="K963" s="20" t="n">
        <x:f>IF(=INDEX(Roster!$F$6:$F$108,MATCH(D963,Roster!$A$6:$A$108,0))="Yes",0,=INDEX(Inputs!$B$8:$D$8,1,MATCH(A963,Inputs!$B$6:$D$6,0))*IF(=INDEX(Roster!$B$6:$B$108,MATCH(D963,Roster!$A$6:$A$108,0))="Principal",INDEX(Inputs!$B$10:$D$10,1,MATCH(A963,Inputs!$B$6:$D$6,0)),IF(=INDEX(Roster!$B$6:$B$108,MATCH(D963,Roster!$A$6:$A$108,0))="Associate Principal",INDEX(Inputs!$B$11:$D$11,1,MATCH(A963,Inputs!$B$6:$D$6,0)),IF(=INDEX(Roster!$B$6:$B$108,MATCH(D963,Roster!$A$6:$A$108,0))="Assistant Principal",INDEX(Inputs!$B$12:$D$12,1,MATCH(A963,Inputs!$B$6:$D$6,0)),0))))</x:f>
        <x:v>0</x:v>
      </x:c>
      <x:c r="L963" s="20" t="n">
        <x:f>IF(INDEX(Roster!$D$6:$D$108,MATCH(D963,Roster!$A$6:$A$108,0))&gt;=25,INDEX(Inputs!$B$19:$D$19,1,MATCH(A963,Inputs!$B$6:$D$6,0)),IF(INDEX(Roster!$D$6:$D$108,MATCH(D963,Roster!$A$6:$A$108,0))&gt;=20,INDEX(Inputs!$B$18:$D$18,1,MATCH(A963,Inputs!$B$6:$D$6,0)),IF(INDEX(Roster!$D$6:$D$108,MATCH(D963,Roster!$A$6:$A$108,0))&gt;=15,INDEX(Inputs!$B$17:$D$17,1,MATCH(A963,Inputs!$B$6:$D$6,0)),IF(INDEX(Roster!$D$6:$D$108,MATCH(D963,Roster!$A$6:$A$108,0))&gt;=10,INDEX(Inputs!$B$16:$D$16,1,MATCH(A963,Inputs!$B$6:$D$6,0)),IF(INDEX(Roster!$D$6:$D$108,MATCH(D963,Roster!$A$6:$A$108,0))&gt;=5,INDEX(Inputs!$B$15:$D$15,1,MATCH(A963,Inputs!$B$6:$D$6,0)),0)))))</x:f>
        <x:v>90</x:v>
      </x:c>
      <x:c r="M963" s="20" t="n">
        <x:f>G963*I963</x:f>
        <x:v>31135</x:v>
      </x:c>
      <x:c r="N963" s="20" t="n">
        <x:f>G963*J963</x:f>
        <x:v>520</x:v>
      </x:c>
      <x:c r="O963" s="20" t="n">
        <x:f>G963*K963</x:f>
        <x:v>0</x:v>
      </x:c>
      <x:c r="P963" s="20" t="n">
        <x:f>G963*L963</x:f>
        <x:v>1170</x:v>
      </x:c>
      <x:c r="Q963" s="20" t="n">
        <x:f>H963*INDEX(Inputs!$B$13:$D$13,1,MATCH(A963,Inputs!$B$6:$D$6,0))</x:f>
        <x:v>390</x:v>
      </x:c>
      <x:c r="R963" s="20" t="n">
        <x:f>SUM(M963:Q963)</x:f>
        <x:v>33215</x:v>
      </x:c>
      <x:c r="S963" s="20" t="n">
        <x:f>IF(AND(A962=A963,D962=D963),S962+R963,R963)</x:f>
        <x:v>66430</x:v>
      </x:c>
      <x:c r="T963" s="20" t="n">
        <x:f>MIN(S963,INDEX(Inputs!$B$20:$D$20,1,MATCH(A963,Inputs!$B$6:$D$6,0)))*INDEX(Inputs!$B$22:$D$22,1,MATCH(A963,Inputs!$B$6:$D$6,0))+MAX(MIN(S963,INDEX(Inputs!$B$21:$D$21,1,MATCH(A963,Inputs!$B$6:$D$6,0)))-INDEX(Inputs!$B$20:$D$20,1,MATCH(A963,Inputs!$B$6:$D$6,0)),0)*INDEX(Inputs!$B$23:$D$23,1,MATCH(A963,Inputs!$B$6:$D$6,0))+MAX(S963-INDEX(Inputs!$B$21:$D$21,1,MATCH(A963,Inputs!$B$6:$D$6,0)),0)*INDEX(Inputs!$B$24:$D$24,1,MATCH(A963,Inputs!$B$6:$D$6,0))</x:f>
        <x:v>5571.8949999999995</x:v>
      </x:c>
      <x:c r="U963" s="20" t="n">
        <x:f>IF(AND(A962=A963,D962=D963),T962,0)</x:f>
        <x:v>3030.9475</x:v>
      </x:c>
      <x:c r="V963" s="20" t="n">
        <x:f>T963-U963</x:f>
        <x:v>2540.9474999999993</x:v>
      </x:c>
      <x:c r="W963" s="20" t="n">
        <x:f>R963+V963</x:f>
        <x:v>35755.9475</x:v>
      </x:c>
      <x:c r="X963" s="14" t="str">
        <x:f>IF(ABS(W963-SUM(M963:Q963)-V963)&lt;0.01,"OK","Check")</x:f>
        <x:v>OK</x:v>
      </x:c>
    </x:row>
    <x:row r="964">
      <x:c r="A964" s="14" t="n">
        <x:v>2028</x:v>
      </x:c>
      <x:c r="B964" s="14" t="str">
        <x:v>Q3</x:v>
      </x:c>
      <x:c r="C964" s="14" t="n">
        <x:v>3</x:v>
      </x:c>
      <x:c r="D964" s="14" t="n">
        <x:v>34</x:v>
      </x:c>
      <x:c r="E964" s="14" t="str">
        <x:f>INDEX(Roster!$B$6:$B$108,MATCH(D964,Roster!$A$6:$A$108,0))</x:f>
      </x:c>
      <x:c r="F964" s="14" t="str">
        <x:f>INDEX(Roster!$F$6:$F$108,MATCH(D964,Roster!$A$6:$A$108,0))</x:f>
        <x:v>No</x:v>
      </x:c>
      <x:c r="G964" s="14" t="n">
        <x:f>INDEX(Inputs!$B$7:$D$7,1,MATCH(A964,Inputs!$B$6:$D$6,0))</x:f>
        <x:v>13</x:v>
      </x:c>
      <x:c r="H964" s="14" t="n">
        <x:f>MIN(=INDEX(Inputs!$B$7:$D$7,1,MATCH(A964,Inputs!$B$6:$D$6,0)),MAX(0,INDEX(Inputs!$B$14:$D$14,1,MATCH(A964,Inputs!$B$6:$D$6,0))-(C964-1)*=INDEX(Inputs!$B$7:$D$7,1,MATCH(A964,Inputs!$B$6:$D$6,0))))</x:f>
        <x:v>13</x:v>
      </x:c>
      <x:c r="I964" s="20" t="n">
        <x:f>INDEX(Inputs!$B$8:$D$8,1,MATCH(A964,Inputs!$B$6:$D$6,0))</x:f>
        <x:v>2395</x:v>
      </x:c>
      <x:c r="J964" s="20" t="n">
        <x:f>INDEX(Roster!$C$6:$C$108,MATCH(D964,Roster!$A$6:$A$108,0))*(1+INDEX(Inputs!$B$9:$D$9,1,MATCH(A964,Inputs!$B$6:$D$6,0)))</x:f>
        <x:v>40</x:v>
      </x:c>
      <x:c r="K964" s="20" t="n">
        <x:f>IF(=INDEX(Roster!$F$6:$F$108,MATCH(D964,Roster!$A$6:$A$108,0))="Yes",0,=INDEX(Inputs!$B$8:$D$8,1,MATCH(A964,Inputs!$B$6:$D$6,0))*IF(=INDEX(Roster!$B$6:$B$108,MATCH(D964,Roster!$A$6:$A$108,0))="Principal",INDEX(Inputs!$B$10:$D$10,1,MATCH(A964,Inputs!$B$6:$D$6,0)),IF(=INDEX(Roster!$B$6:$B$108,MATCH(D964,Roster!$A$6:$A$108,0))="Associate Principal",INDEX(Inputs!$B$11:$D$11,1,MATCH(A964,Inputs!$B$6:$D$6,0)),IF(=INDEX(Roster!$B$6:$B$108,MATCH(D964,Roster!$A$6:$A$108,0))="Assistant Principal",INDEX(Inputs!$B$12:$D$12,1,MATCH(A964,Inputs!$B$6:$D$6,0)),0))))</x:f>
        <x:v>0</x:v>
      </x:c>
      <x:c r="L964" s="20" t="n">
        <x:f>IF(INDEX(Roster!$D$6:$D$108,MATCH(D964,Roster!$A$6:$A$108,0))&gt;=25,INDEX(Inputs!$B$19:$D$19,1,MATCH(A964,Inputs!$B$6:$D$6,0)),IF(INDEX(Roster!$D$6:$D$108,MATCH(D964,Roster!$A$6:$A$108,0))&gt;=20,INDEX(Inputs!$B$18:$D$18,1,MATCH(A964,Inputs!$B$6:$D$6,0)),IF(INDEX(Roster!$D$6:$D$108,MATCH(D964,Roster!$A$6:$A$108,0))&gt;=15,INDEX(Inputs!$B$17:$D$17,1,MATCH(A964,Inputs!$B$6:$D$6,0)),IF(INDEX(Roster!$D$6:$D$108,MATCH(D964,Roster!$A$6:$A$108,0))&gt;=10,INDEX(Inputs!$B$16:$D$16,1,MATCH(A964,Inputs!$B$6:$D$6,0)),IF(INDEX(Roster!$D$6:$D$108,MATCH(D964,Roster!$A$6:$A$108,0))&gt;=5,INDEX(Inputs!$B$15:$D$15,1,MATCH(A964,Inputs!$B$6:$D$6,0)),0)))))</x:f>
        <x:v>90</x:v>
      </x:c>
      <x:c r="M964" s="20" t="n">
        <x:f>G964*I964</x:f>
        <x:v>31135</x:v>
      </x:c>
      <x:c r="N964" s="20" t="n">
        <x:f>G964*J964</x:f>
        <x:v>520</x:v>
      </x:c>
      <x:c r="O964" s="20" t="n">
        <x:f>G964*K964</x:f>
        <x:v>0</x:v>
      </x:c>
      <x:c r="P964" s="20" t="n">
        <x:f>G964*L964</x:f>
        <x:v>1170</x:v>
      </x:c>
      <x:c r="Q964" s="20" t="n">
        <x:f>H964*INDEX(Inputs!$B$13:$D$13,1,MATCH(A964,Inputs!$B$6:$D$6,0))</x:f>
        <x:v>390</x:v>
      </x:c>
      <x:c r="R964" s="20" t="n">
        <x:f>SUM(M964:Q964)</x:f>
        <x:v>33215</x:v>
      </x:c>
      <x:c r="S964" s="20" t="n">
        <x:f>IF(AND(A963=A964,D963=D964),S963+R964,R964)</x:f>
        <x:v>99645</x:v>
      </x:c>
      <x:c r="T964" s="20" t="n">
        <x:f>MIN(S964,INDEX(Inputs!$B$20:$D$20,1,MATCH(A964,Inputs!$B$6:$D$6,0)))*INDEX(Inputs!$B$22:$D$22,1,MATCH(A964,Inputs!$B$6:$D$6,0))+MAX(MIN(S964,INDEX(Inputs!$B$21:$D$21,1,MATCH(A964,Inputs!$B$6:$D$6,0)))-INDEX(Inputs!$B$20:$D$20,1,MATCH(A964,Inputs!$B$6:$D$6,0)),0)*INDEX(Inputs!$B$23:$D$23,1,MATCH(A964,Inputs!$B$6:$D$6,0))+MAX(S964-INDEX(Inputs!$B$21:$D$21,1,MATCH(A964,Inputs!$B$6:$D$6,0)),0)*INDEX(Inputs!$B$24:$D$24,1,MATCH(A964,Inputs!$B$6:$D$6,0))</x:f>
        <x:v>8112.8425</x:v>
      </x:c>
      <x:c r="U964" s="20" t="n">
        <x:f>IF(AND(A963=A964,D963=D964),T963,0)</x:f>
        <x:v>5571.8949999999995</x:v>
      </x:c>
      <x:c r="V964" s="20" t="n">
        <x:f>T964-U964</x:f>
        <x:v>2540.9475</x:v>
      </x:c>
      <x:c r="W964" s="20" t="n">
        <x:f>R964+V964</x:f>
        <x:v>35755.9475</x:v>
      </x:c>
      <x:c r="X964" s="14" t="str">
        <x:f>IF(ABS(W964-SUM(M964:Q964)-V964)&lt;0.01,"OK","Check")</x:f>
        <x:v>OK</x:v>
      </x:c>
    </x:row>
    <x:row r="965">
      <x:c r="A965" s="14" t="n">
        <x:v>2028</x:v>
      </x:c>
      <x:c r="B965" s="14" t="str">
        <x:v>Q4</x:v>
      </x:c>
      <x:c r="C965" s="14" t="n">
        <x:v>4</x:v>
      </x:c>
      <x:c r="D965" s="14" t="n">
        <x:v>34</x:v>
      </x:c>
      <x:c r="E965" s="14" t="str">
        <x:f>INDEX(Roster!$B$6:$B$108,MATCH(D965,Roster!$A$6:$A$108,0))</x:f>
      </x:c>
      <x:c r="F965" s="14" t="str">
        <x:f>INDEX(Roster!$F$6:$F$108,MATCH(D965,Roster!$A$6:$A$108,0))</x:f>
        <x:v>No</x:v>
      </x:c>
      <x:c r="G965" s="14" t="n">
        <x:f>INDEX(Inputs!$B$7:$D$7,1,MATCH(A965,Inputs!$B$6:$D$6,0))</x:f>
        <x:v>13</x:v>
      </x:c>
      <x:c r="H965" s="14" t="n">
        <x:f>MIN(=INDEX(Inputs!$B$7:$D$7,1,MATCH(A965,Inputs!$B$6:$D$6,0)),MAX(0,INDEX(Inputs!$B$14:$D$14,1,MATCH(A965,Inputs!$B$6:$D$6,0))-(C965-1)*=INDEX(Inputs!$B$7:$D$7,1,MATCH(A965,Inputs!$B$6:$D$6,0))))</x:f>
        <x:v>0</x:v>
      </x:c>
      <x:c r="I965" s="20" t="n">
        <x:f>INDEX(Inputs!$B$8:$D$8,1,MATCH(A965,Inputs!$B$6:$D$6,0))</x:f>
        <x:v>2395</x:v>
      </x:c>
      <x:c r="J965" s="20" t="n">
        <x:f>INDEX(Roster!$C$6:$C$108,MATCH(D965,Roster!$A$6:$A$108,0))*(1+INDEX(Inputs!$B$9:$D$9,1,MATCH(A965,Inputs!$B$6:$D$6,0)))</x:f>
        <x:v>40</x:v>
      </x:c>
      <x:c r="K965" s="20" t="n">
        <x:f>IF(=INDEX(Roster!$F$6:$F$108,MATCH(D965,Roster!$A$6:$A$108,0))="Yes",0,=INDEX(Inputs!$B$8:$D$8,1,MATCH(A965,Inputs!$B$6:$D$6,0))*IF(=INDEX(Roster!$B$6:$B$108,MATCH(D965,Roster!$A$6:$A$108,0))="Principal",INDEX(Inputs!$B$10:$D$10,1,MATCH(A965,Inputs!$B$6:$D$6,0)),IF(=INDEX(Roster!$B$6:$B$108,MATCH(D965,Roster!$A$6:$A$108,0))="Associate Principal",INDEX(Inputs!$B$11:$D$11,1,MATCH(A965,Inputs!$B$6:$D$6,0)),IF(=INDEX(Roster!$B$6:$B$108,MATCH(D965,Roster!$A$6:$A$108,0))="Assistant Principal",INDEX(Inputs!$B$12:$D$12,1,MATCH(A965,Inputs!$B$6:$D$6,0)),0))))</x:f>
        <x:v>0</x:v>
      </x:c>
      <x:c r="L965" s="20" t="n">
        <x:f>IF(INDEX(Roster!$D$6:$D$108,MATCH(D965,Roster!$A$6:$A$108,0))&gt;=25,INDEX(Inputs!$B$19:$D$19,1,MATCH(A965,Inputs!$B$6:$D$6,0)),IF(INDEX(Roster!$D$6:$D$108,MATCH(D965,Roster!$A$6:$A$108,0))&gt;=20,INDEX(Inputs!$B$18:$D$18,1,MATCH(A965,Inputs!$B$6:$D$6,0)),IF(INDEX(Roster!$D$6:$D$108,MATCH(D965,Roster!$A$6:$A$108,0))&gt;=15,INDEX(Inputs!$B$17:$D$17,1,MATCH(A965,Inputs!$B$6:$D$6,0)),IF(INDEX(Roster!$D$6:$D$108,MATCH(D965,Roster!$A$6:$A$108,0))&gt;=10,INDEX(Inputs!$B$16:$D$16,1,MATCH(A965,Inputs!$B$6:$D$6,0)),IF(INDEX(Roster!$D$6:$D$108,MATCH(D965,Roster!$A$6:$A$108,0))&gt;=5,INDEX(Inputs!$B$15:$D$15,1,MATCH(A965,Inputs!$B$6:$D$6,0)),0)))))</x:f>
        <x:v>90</x:v>
      </x:c>
      <x:c r="M965" s="20" t="n">
        <x:f>G965*I965</x:f>
        <x:v>31135</x:v>
      </x:c>
      <x:c r="N965" s="20" t="n">
        <x:f>G965*J965</x:f>
        <x:v>520</x:v>
      </x:c>
      <x:c r="O965" s="20" t="n">
        <x:f>G965*K965</x:f>
        <x:v>0</x:v>
      </x:c>
      <x:c r="P965" s="20" t="n">
        <x:f>G965*L965</x:f>
        <x:v>1170</x:v>
      </x:c>
      <x:c r="Q965" s="20" t="n">
        <x:f>H965*INDEX(Inputs!$B$13:$D$13,1,MATCH(A965,Inputs!$B$6:$D$6,0))</x:f>
        <x:v>0</x:v>
      </x:c>
      <x:c r="R965" s="20" t="n">
        <x:f>SUM(M965:Q965)</x:f>
        <x:v>32825</x:v>
      </x:c>
      <x:c r="S965" s="20" t="n">
        <x:f>IF(AND(A964=A965,D964=D965),S964+R965,R965)</x:f>
        <x:v>132470</x:v>
      </x:c>
      <x:c r="T965" s="20" t="n">
        <x:f>MIN(S965,INDEX(Inputs!$B$20:$D$20,1,MATCH(A965,Inputs!$B$6:$D$6,0)))*INDEX(Inputs!$B$22:$D$22,1,MATCH(A965,Inputs!$B$6:$D$6,0))+MAX(MIN(S965,INDEX(Inputs!$B$21:$D$21,1,MATCH(A965,Inputs!$B$6:$D$6,0)))-INDEX(Inputs!$B$20:$D$20,1,MATCH(A965,Inputs!$B$6:$D$6,0)),0)*INDEX(Inputs!$B$23:$D$23,1,MATCH(A965,Inputs!$B$6:$D$6,0))+MAX(S965-INDEX(Inputs!$B$21:$D$21,1,MATCH(A965,Inputs!$B$6:$D$6,0)),0)*INDEX(Inputs!$B$24:$D$24,1,MATCH(A965,Inputs!$B$6:$D$6,0))</x:f>
        <x:v>9834.757</x:v>
      </x:c>
      <x:c r="U965" s="20" t="n">
        <x:f>IF(AND(A964=A965,D964=D965),T964,0)</x:f>
        <x:v>8112.8425</x:v>
      </x:c>
      <x:c r="V965" s="20" t="n">
        <x:f>T965-U965</x:f>
        <x:v>1721.9144999999999</x:v>
      </x:c>
      <x:c r="W965" s="20" t="n">
        <x:f>R965+V965</x:f>
        <x:v>34546.9145</x:v>
      </x:c>
      <x:c r="X965" s="14" t="str">
        <x:f>IF(ABS(W965-SUM(M965:Q965)-V965)&lt;0.01,"OK","Check")</x:f>
        <x:v>OK</x:v>
      </x:c>
    </x:row>
    <x:row r="966">
      <x:c r="A966" s="14" t="n">
        <x:v>2028</x:v>
      </x:c>
      <x:c r="B966" s="14" t="str">
        <x:v>Q1</x:v>
      </x:c>
      <x:c r="C966" s="14" t="n">
        <x:v>1</x:v>
      </x:c>
      <x:c r="D966" s="14" t="n">
        <x:v>35</x:v>
      </x:c>
      <x:c r="E966" s="14" t="str">
        <x:f>INDEX(Roster!$B$6:$B$108,MATCH(D966,Roster!$A$6:$A$108,0))</x:f>
      </x:c>
      <x:c r="F966" s="14" t="str">
        <x:f>INDEX(Roster!$F$6:$F$108,MATCH(D966,Roster!$A$6:$A$108,0))</x:f>
        <x:v>No</x:v>
      </x:c>
      <x:c r="G966" s="14" t="n">
        <x:f>INDEX(Inputs!$B$7:$D$7,1,MATCH(A966,Inputs!$B$6:$D$6,0))</x:f>
        <x:v>13</x:v>
      </x:c>
      <x:c r="H966" s="14" t="n">
        <x:f>MIN(=INDEX(Inputs!$B$7:$D$7,1,MATCH(A966,Inputs!$B$6:$D$6,0)),MAX(0,INDEX(Inputs!$B$14:$D$14,1,MATCH(A966,Inputs!$B$6:$D$6,0))-(C966-1)*=INDEX(Inputs!$B$7:$D$7,1,MATCH(A966,Inputs!$B$6:$D$6,0))))</x:f>
        <x:v>13</x:v>
      </x:c>
      <x:c r="I966" s="20" t="n">
        <x:f>INDEX(Inputs!$B$8:$D$8,1,MATCH(A966,Inputs!$B$6:$D$6,0))</x:f>
        <x:v>2395</x:v>
      </x:c>
      <x:c r="J966" s="20" t="n">
        <x:f>INDEX(Roster!$C$6:$C$108,MATCH(D966,Roster!$A$6:$A$108,0))*(1+INDEX(Inputs!$B$9:$D$9,1,MATCH(A966,Inputs!$B$6:$D$6,0)))</x:f>
        <x:v>30</x:v>
      </x:c>
      <x:c r="K966" s="20" t="n">
        <x:f>IF(=INDEX(Roster!$F$6:$F$108,MATCH(D966,Roster!$A$6:$A$108,0))="Yes",0,=INDEX(Inputs!$B$8:$D$8,1,MATCH(A966,Inputs!$B$6:$D$6,0))*IF(=INDEX(Roster!$B$6:$B$108,MATCH(D966,Roster!$A$6:$A$108,0))="Principal",INDEX(Inputs!$B$10:$D$10,1,MATCH(A966,Inputs!$B$6:$D$6,0)),IF(=INDEX(Roster!$B$6:$B$108,MATCH(D966,Roster!$A$6:$A$108,0))="Associate Principal",INDEX(Inputs!$B$11:$D$11,1,MATCH(A966,Inputs!$B$6:$D$6,0)),IF(=INDEX(Roster!$B$6:$B$108,MATCH(D966,Roster!$A$6:$A$108,0))="Assistant Principal",INDEX(Inputs!$B$12:$D$12,1,MATCH(A966,Inputs!$B$6:$D$6,0)),0))))</x:f>
        <x:v>0</x:v>
      </x:c>
      <x:c r="L966" s="20" t="n">
        <x:f>IF(INDEX(Roster!$D$6:$D$108,MATCH(D966,Roster!$A$6:$A$108,0))&gt;=25,INDEX(Inputs!$B$19:$D$19,1,MATCH(A966,Inputs!$B$6:$D$6,0)),IF(INDEX(Roster!$D$6:$D$108,MATCH(D966,Roster!$A$6:$A$108,0))&gt;=20,INDEX(Inputs!$B$18:$D$18,1,MATCH(A966,Inputs!$B$6:$D$6,0)),IF(INDEX(Roster!$D$6:$D$108,MATCH(D966,Roster!$A$6:$A$108,0))&gt;=15,INDEX(Inputs!$B$17:$D$17,1,MATCH(A966,Inputs!$B$6:$D$6,0)),IF(INDEX(Roster!$D$6:$D$108,MATCH(D966,Roster!$A$6:$A$108,0))&gt;=10,INDEX(Inputs!$B$16:$D$16,1,MATCH(A966,Inputs!$B$6:$D$6,0)),IF(INDEX(Roster!$D$6:$D$108,MATCH(D966,Roster!$A$6:$A$108,0))&gt;=5,INDEX(Inputs!$B$15:$D$15,1,MATCH(A966,Inputs!$B$6:$D$6,0)),0)))))</x:f>
        <x:v>0</x:v>
      </x:c>
      <x:c r="M966" s="20" t="n">
        <x:f>G966*I966</x:f>
        <x:v>31135</x:v>
      </x:c>
      <x:c r="N966" s="20" t="n">
        <x:f>G966*J966</x:f>
        <x:v>390</x:v>
      </x:c>
      <x:c r="O966" s="20" t="n">
        <x:f>G966*K966</x:f>
        <x:v>0</x:v>
      </x:c>
      <x:c r="P966" s="20" t="n">
        <x:f>G966*L966</x:f>
        <x:v>0</x:v>
      </x:c>
      <x:c r="Q966" s="20" t="n">
        <x:f>H966*INDEX(Inputs!$B$13:$D$13,1,MATCH(A966,Inputs!$B$6:$D$6,0))</x:f>
        <x:v>390</x:v>
      </x:c>
      <x:c r="R966" s="20" t="n">
        <x:f>SUM(M966:Q966)</x:f>
        <x:v>31915</x:v>
      </x:c>
      <x:c r="S966" s="20" t="n">
        <x:f>IF(AND(A965=A966,D965=D966),S965+R966,R966)</x:f>
        <x:v>31915</x:v>
      </x:c>
      <x:c r="T966" s="20" t="n">
        <x:f>MIN(S966,INDEX(Inputs!$B$20:$D$20,1,MATCH(A966,Inputs!$B$6:$D$6,0)))*INDEX(Inputs!$B$22:$D$22,1,MATCH(A966,Inputs!$B$6:$D$6,0))+MAX(MIN(S966,INDEX(Inputs!$B$21:$D$21,1,MATCH(A966,Inputs!$B$6:$D$6,0)))-INDEX(Inputs!$B$20:$D$20,1,MATCH(A966,Inputs!$B$6:$D$6,0)),0)*INDEX(Inputs!$B$23:$D$23,1,MATCH(A966,Inputs!$B$6:$D$6,0))+MAX(S966-INDEX(Inputs!$B$21:$D$21,1,MATCH(A966,Inputs!$B$6:$D$6,0)),0)*INDEX(Inputs!$B$24:$D$24,1,MATCH(A966,Inputs!$B$6:$D$6,0))</x:f>
        <x:v>2931.4975</x:v>
      </x:c>
      <x:c r="U966" s="20" t="n">
        <x:f>IF(AND(A965=A966,D965=D966),T965,0)</x:f>
        <x:v>0</x:v>
      </x:c>
      <x:c r="V966" s="20" t="n">
        <x:f>T966-U966</x:f>
        <x:v>2931.4975</x:v>
      </x:c>
      <x:c r="W966" s="20" t="n">
        <x:f>R966+V966</x:f>
        <x:v>34846.4975</x:v>
      </x:c>
      <x:c r="X966" s="14" t="str">
        <x:f>IF(ABS(W966-SUM(M966:Q966)-V966)&lt;0.01,"OK","Check")</x:f>
        <x:v>OK</x:v>
      </x:c>
    </x:row>
    <x:row r="967">
      <x:c r="A967" s="14" t="n">
        <x:v>2028</x:v>
      </x:c>
      <x:c r="B967" s="14" t="str">
        <x:v>Q2</x:v>
      </x:c>
      <x:c r="C967" s="14" t="n">
        <x:v>2</x:v>
      </x:c>
      <x:c r="D967" s="14" t="n">
        <x:v>35</x:v>
      </x:c>
      <x:c r="E967" s="14" t="str">
        <x:f>INDEX(Roster!$B$6:$B$108,MATCH(D967,Roster!$A$6:$A$108,0))</x:f>
      </x:c>
      <x:c r="F967" s="14" t="str">
        <x:f>INDEX(Roster!$F$6:$F$108,MATCH(D967,Roster!$A$6:$A$108,0))</x:f>
        <x:v>No</x:v>
      </x:c>
      <x:c r="G967" s="14" t="n">
        <x:f>INDEX(Inputs!$B$7:$D$7,1,MATCH(A967,Inputs!$B$6:$D$6,0))</x:f>
        <x:v>13</x:v>
      </x:c>
      <x:c r="H967" s="14" t="n">
        <x:f>MIN(=INDEX(Inputs!$B$7:$D$7,1,MATCH(A967,Inputs!$B$6:$D$6,0)),MAX(0,INDEX(Inputs!$B$14:$D$14,1,MATCH(A967,Inputs!$B$6:$D$6,0))-(C967-1)*=INDEX(Inputs!$B$7:$D$7,1,MATCH(A967,Inputs!$B$6:$D$6,0))))</x:f>
        <x:v>13</x:v>
      </x:c>
      <x:c r="I967" s="20" t="n">
        <x:f>INDEX(Inputs!$B$8:$D$8,1,MATCH(A967,Inputs!$B$6:$D$6,0))</x:f>
        <x:v>2395</x:v>
      </x:c>
      <x:c r="J967" s="20" t="n">
        <x:f>INDEX(Roster!$C$6:$C$108,MATCH(D967,Roster!$A$6:$A$108,0))*(1+INDEX(Inputs!$B$9:$D$9,1,MATCH(A967,Inputs!$B$6:$D$6,0)))</x:f>
        <x:v>30</x:v>
      </x:c>
      <x:c r="K967" s="20" t="n">
        <x:f>IF(=INDEX(Roster!$F$6:$F$108,MATCH(D967,Roster!$A$6:$A$108,0))="Yes",0,=INDEX(Inputs!$B$8:$D$8,1,MATCH(A967,Inputs!$B$6:$D$6,0))*IF(=INDEX(Roster!$B$6:$B$108,MATCH(D967,Roster!$A$6:$A$108,0))="Principal",INDEX(Inputs!$B$10:$D$10,1,MATCH(A967,Inputs!$B$6:$D$6,0)),IF(=INDEX(Roster!$B$6:$B$108,MATCH(D967,Roster!$A$6:$A$108,0))="Associate Principal",INDEX(Inputs!$B$11:$D$11,1,MATCH(A967,Inputs!$B$6:$D$6,0)),IF(=INDEX(Roster!$B$6:$B$108,MATCH(D967,Roster!$A$6:$A$108,0))="Assistant Principal",INDEX(Inputs!$B$12:$D$12,1,MATCH(A967,Inputs!$B$6:$D$6,0)),0))))</x:f>
        <x:v>0</x:v>
      </x:c>
      <x:c r="L967" s="20" t="n">
        <x:f>IF(INDEX(Roster!$D$6:$D$108,MATCH(D967,Roster!$A$6:$A$108,0))&gt;=25,INDEX(Inputs!$B$19:$D$19,1,MATCH(A967,Inputs!$B$6:$D$6,0)),IF(INDEX(Roster!$D$6:$D$108,MATCH(D967,Roster!$A$6:$A$108,0))&gt;=20,INDEX(Inputs!$B$18:$D$18,1,MATCH(A967,Inputs!$B$6:$D$6,0)),IF(INDEX(Roster!$D$6:$D$108,MATCH(D967,Roster!$A$6:$A$108,0))&gt;=15,INDEX(Inputs!$B$17:$D$17,1,MATCH(A967,Inputs!$B$6:$D$6,0)),IF(INDEX(Roster!$D$6:$D$108,MATCH(D967,Roster!$A$6:$A$108,0))&gt;=10,INDEX(Inputs!$B$16:$D$16,1,MATCH(A967,Inputs!$B$6:$D$6,0)),IF(INDEX(Roster!$D$6:$D$108,MATCH(D967,Roster!$A$6:$A$108,0))&gt;=5,INDEX(Inputs!$B$15:$D$15,1,MATCH(A967,Inputs!$B$6:$D$6,0)),0)))))</x:f>
        <x:v>0</x:v>
      </x:c>
      <x:c r="M967" s="20" t="n">
        <x:f>G967*I967</x:f>
        <x:v>31135</x:v>
      </x:c>
      <x:c r="N967" s="20" t="n">
        <x:f>G967*J967</x:f>
        <x:v>390</x:v>
      </x:c>
      <x:c r="O967" s="20" t="n">
        <x:f>G967*K967</x:f>
        <x:v>0</x:v>
      </x:c>
      <x:c r="P967" s="20" t="n">
        <x:f>G967*L967</x:f>
        <x:v>0</x:v>
      </x:c>
      <x:c r="Q967" s="20" t="n">
        <x:f>H967*INDEX(Inputs!$B$13:$D$13,1,MATCH(A967,Inputs!$B$6:$D$6,0))</x:f>
        <x:v>390</x:v>
      </x:c>
      <x:c r="R967" s="20" t="n">
        <x:f>SUM(M967:Q967)</x:f>
        <x:v>31915</x:v>
      </x:c>
      <x:c r="S967" s="20" t="n">
        <x:f>IF(AND(A966=A967,D966=D967),S966+R967,R967)</x:f>
        <x:v>63830</x:v>
      </x:c>
      <x:c r="T967" s="20" t="n">
        <x:f>MIN(S967,INDEX(Inputs!$B$20:$D$20,1,MATCH(A967,Inputs!$B$6:$D$6,0)))*INDEX(Inputs!$B$22:$D$22,1,MATCH(A967,Inputs!$B$6:$D$6,0))+MAX(MIN(S967,INDEX(Inputs!$B$21:$D$21,1,MATCH(A967,Inputs!$B$6:$D$6,0)))-INDEX(Inputs!$B$20:$D$20,1,MATCH(A967,Inputs!$B$6:$D$6,0)),0)*INDEX(Inputs!$B$23:$D$23,1,MATCH(A967,Inputs!$B$6:$D$6,0))+MAX(S967-INDEX(Inputs!$B$21:$D$21,1,MATCH(A967,Inputs!$B$6:$D$6,0)),0)*INDEX(Inputs!$B$24:$D$24,1,MATCH(A967,Inputs!$B$6:$D$6,0))</x:f>
        <x:v>5372.995</x:v>
      </x:c>
      <x:c r="U967" s="20" t="n">
        <x:f>IF(AND(A966=A967,D966=D967),T966,0)</x:f>
        <x:v>2931.4975</x:v>
      </x:c>
      <x:c r="V967" s="20" t="n">
        <x:f>T967-U967</x:f>
        <x:v>2441.4975</x:v>
      </x:c>
      <x:c r="W967" s="20" t="n">
        <x:f>R967+V967</x:f>
        <x:v>34356.4975</x:v>
      </x:c>
      <x:c r="X967" s="14" t="str">
        <x:f>IF(ABS(W967-SUM(M967:Q967)-V967)&lt;0.01,"OK","Check")</x:f>
        <x:v>OK</x:v>
      </x:c>
    </x:row>
    <x:row r="968">
      <x:c r="A968" s="14" t="n">
        <x:v>2028</x:v>
      </x:c>
      <x:c r="B968" s="14" t="str">
        <x:v>Q3</x:v>
      </x:c>
      <x:c r="C968" s="14" t="n">
        <x:v>3</x:v>
      </x:c>
      <x:c r="D968" s="14" t="n">
        <x:v>35</x:v>
      </x:c>
      <x:c r="E968" s="14" t="str">
        <x:f>INDEX(Roster!$B$6:$B$108,MATCH(D968,Roster!$A$6:$A$108,0))</x:f>
      </x:c>
      <x:c r="F968" s="14" t="str">
        <x:f>INDEX(Roster!$F$6:$F$108,MATCH(D968,Roster!$A$6:$A$108,0))</x:f>
        <x:v>No</x:v>
      </x:c>
      <x:c r="G968" s="14" t="n">
        <x:f>INDEX(Inputs!$B$7:$D$7,1,MATCH(A968,Inputs!$B$6:$D$6,0))</x:f>
        <x:v>13</x:v>
      </x:c>
      <x:c r="H968" s="14" t="n">
        <x:f>MIN(=INDEX(Inputs!$B$7:$D$7,1,MATCH(A968,Inputs!$B$6:$D$6,0)),MAX(0,INDEX(Inputs!$B$14:$D$14,1,MATCH(A968,Inputs!$B$6:$D$6,0))-(C968-1)*=INDEX(Inputs!$B$7:$D$7,1,MATCH(A968,Inputs!$B$6:$D$6,0))))</x:f>
        <x:v>13</x:v>
      </x:c>
      <x:c r="I968" s="20" t="n">
        <x:f>INDEX(Inputs!$B$8:$D$8,1,MATCH(A968,Inputs!$B$6:$D$6,0))</x:f>
        <x:v>2395</x:v>
      </x:c>
      <x:c r="J968" s="20" t="n">
        <x:f>INDEX(Roster!$C$6:$C$108,MATCH(D968,Roster!$A$6:$A$108,0))*(1+INDEX(Inputs!$B$9:$D$9,1,MATCH(A968,Inputs!$B$6:$D$6,0)))</x:f>
        <x:v>30</x:v>
      </x:c>
      <x:c r="K968" s="20" t="n">
        <x:f>IF(=INDEX(Roster!$F$6:$F$108,MATCH(D968,Roster!$A$6:$A$108,0))="Yes",0,=INDEX(Inputs!$B$8:$D$8,1,MATCH(A968,Inputs!$B$6:$D$6,0))*IF(=INDEX(Roster!$B$6:$B$108,MATCH(D968,Roster!$A$6:$A$108,0))="Principal",INDEX(Inputs!$B$10:$D$10,1,MATCH(A968,Inputs!$B$6:$D$6,0)),IF(=INDEX(Roster!$B$6:$B$108,MATCH(D968,Roster!$A$6:$A$108,0))="Associate Principal",INDEX(Inputs!$B$11:$D$11,1,MATCH(A968,Inputs!$B$6:$D$6,0)),IF(=INDEX(Roster!$B$6:$B$108,MATCH(D968,Roster!$A$6:$A$108,0))="Assistant Principal",INDEX(Inputs!$B$12:$D$12,1,MATCH(A968,Inputs!$B$6:$D$6,0)),0))))</x:f>
        <x:v>0</x:v>
      </x:c>
      <x:c r="L968" s="20" t="n">
        <x:f>IF(INDEX(Roster!$D$6:$D$108,MATCH(D968,Roster!$A$6:$A$108,0))&gt;=25,INDEX(Inputs!$B$19:$D$19,1,MATCH(A968,Inputs!$B$6:$D$6,0)),IF(INDEX(Roster!$D$6:$D$108,MATCH(D968,Roster!$A$6:$A$108,0))&gt;=20,INDEX(Inputs!$B$18:$D$18,1,MATCH(A968,Inputs!$B$6:$D$6,0)),IF(INDEX(Roster!$D$6:$D$108,MATCH(D968,Roster!$A$6:$A$108,0))&gt;=15,INDEX(Inputs!$B$17:$D$17,1,MATCH(A968,Inputs!$B$6:$D$6,0)),IF(INDEX(Roster!$D$6:$D$108,MATCH(D968,Roster!$A$6:$A$108,0))&gt;=10,INDEX(Inputs!$B$16:$D$16,1,MATCH(A968,Inputs!$B$6:$D$6,0)),IF(INDEX(Roster!$D$6:$D$108,MATCH(D968,Roster!$A$6:$A$108,0))&gt;=5,INDEX(Inputs!$B$15:$D$15,1,MATCH(A968,Inputs!$B$6:$D$6,0)),0)))))</x:f>
        <x:v>0</x:v>
      </x:c>
      <x:c r="M968" s="20" t="n">
        <x:f>G968*I968</x:f>
        <x:v>31135</x:v>
      </x:c>
      <x:c r="N968" s="20" t="n">
        <x:f>G968*J968</x:f>
        <x:v>390</x:v>
      </x:c>
      <x:c r="O968" s="20" t="n">
        <x:f>G968*K968</x:f>
        <x:v>0</x:v>
      </x:c>
      <x:c r="P968" s="20" t="n">
        <x:f>G968*L968</x:f>
        <x:v>0</x:v>
      </x:c>
      <x:c r="Q968" s="20" t="n">
        <x:f>H968*INDEX(Inputs!$B$13:$D$13,1,MATCH(A968,Inputs!$B$6:$D$6,0))</x:f>
        <x:v>390</x:v>
      </x:c>
      <x:c r="R968" s="20" t="n">
        <x:f>SUM(M968:Q968)</x:f>
        <x:v>31915</x:v>
      </x:c>
      <x:c r="S968" s="20" t="n">
        <x:f>IF(AND(A967=A968,D967=D968),S967+R968,R968)</x:f>
        <x:v>95745</x:v>
      </x:c>
      <x:c r="T968" s="20" t="n">
        <x:f>MIN(S968,INDEX(Inputs!$B$20:$D$20,1,MATCH(A968,Inputs!$B$6:$D$6,0)))*INDEX(Inputs!$B$22:$D$22,1,MATCH(A968,Inputs!$B$6:$D$6,0))+MAX(MIN(S968,INDEX(Inputs!$B$21:$D$21,1,MATCH(A968,Inputs!$B$6:$D$6,0)))-INDEX(Inputs!$B$20:$D$20,1,MATCH(A968,Inputs!$B$6:$D$6,0)),0)*INDEX(Inputs!$B$23:$D$23,1,MATCH(A968,Inputs!$B$6:$D$6,0))+MAX(S968-INDEX(Inputs!$B$21:$D$21,1,MATCH(A968,Inputs!$B$6:$D$6,0)),0)*INDEX(Inputs!$B$24:$D$24,1,MATCH(A968,Inputs!$B$6:$D$6,0))</x:f>
        <x:v>7814.4925</x:v>
      </x:c>
      <x:c r="U968" s="20" t="n">
        <x:f>IF(AND(A967=A968,D967=D968),T967,0)</x:f>
        <x:v>5372.995</x:v>
      </x:c>
      <x:c r="V968" s="20" t="n">
        <x:f>T968-U968</x:f>
        <x:v>2441.4975000000004</x:v>
      </x:c>
      <x:c r="W968" s="20" t="n">
        <x:f>R968+V968</x:f>
        <x:v>34356.4975</x:v>
      </x:c>
      <x:c r="X968" s="14" t="str">
        <x:f>IF(ABS(W968-SUM(M968:Q968)-V968)&lt;0.01,"OK","Check")</x:f>
        <x:v>OK</x:v>
      </x:c>
    </x:row>
    <x:row r="969">
      <x:c r="A969" s="14" t="n">
        <x:v>2028</x:v>
      </x:c>
      <x:c r="B969" s="14" t="str">
        <x:v>Q4</x:v>
      </x:c>
      <x:c r="C969" s="14" t="n">
        <x:v>4</x:v>
      </x:c>
      <x:c r="D969" s="14" t="n">
        <x:v>35</x:v>
      </x:c>
      <x:c r="E969" s="14" t="str">
        <x:f>INDEX(Roster!$B$6:$B$108,MATCH(D969,Roster!$A$6:$A$108,0))</x:f>
      </x:c>
      <x:c r="F969" s="14" t="str">
        <x:f>INDEX(Roster!$F$6:$F$108,MATCH(D969,Roster!$A$6:$A$108,0))</x:f>
        <x:v>No</x:v>
      </x:c>
      <x:c r="G969" s="14" t="n">
        <x:f>INDEX(Inputs!$B$7:$D$7,1,MATCH(A969,Inputs!$B$6:$D$6,0))</x:f>
        <x:v>13</x:v>
      </x:c>
      <x:c r="H969" s="14" t="n">
        <x:f>MIN(=INDEX(Inputs!$B$7:$D$7,1,MATCH(A969,Inputs!$B$6:$D$6,0)),MAX(0,INDEX(Inputs!$B$14:$D$14,1,MATCH(A969,Inputs!$B$6:$D$6,0))-(C969-1)*=INDEX(Inputs!$B$7:$D$7,1,MATCH(A969,Inputs!$B$6:$D$6,0))))</x:f>
        <x:v>0</x:v>
      </x:c>
      <x:c r="I969" s="20" t="n">
        <x:f>INDEX(Inputs!$B$8:$D$8,1,MATCH(A969,Inputs!$B$6:$D$6,0))</x:f>
        <x:v>2395</x:v>
      </x:c>
      <x:c r="J969" s="20" t="n">
        <x:f>INDEX(Roster!$C$6:$C$108,MATCH(D969,Roster!$A$6:$A$108,0))*(1+INDEX(Inputs!$B$9:$D$9,1,MATCH(A969,Inputs!$B$6:$D$6,0)))</x:f>
        <x:v>30</x:v>
      </x:c>
      <x:c r="K969" s="20" t="n">
        <x:f>IF(=INDEX(Roster!$F$6:$F$108,MATCH(D969,Roster!$A$6:$A$108,0))="Yes",0,=INDEX(Inputs!$B$8:$D$8,1,MATCH(A969,Inputs!$B$6:$D$6,0))*IF(=INDEX(Roster!$B$6:$B$108,MATCH(D969,Roster!$A$6:$A$108,0))="Principal",INDEX(Inputs!$B$10:$D$10,1,MATCH(A969,Inputs!$B$6:$D$6,0)),IF(=INDEX(Roster!$B$6:$B$108,MATCH(D969,Roster!$A$6:$A$108,0))="Associate Principal",INDEX(Inputs!$B$11:$D$11,1,MATCH(A969,Inputs!$B$6:$D$6,0)),IF(=INDEX(Roster!$B$6:$B$108,MATCH(D969,Roster!$A$6:$A$108,0))="Assistant Principal",INDEX(Inputs!$B$12:$D$12,1,MATCH(A969,Inputs!$B$6:$D$6,0)),0))))</x:f>
        <x:v>0</x:v>
      </x:c>
      <x:c r="L969" s="20" t="n">
        <x:f>IF(INDEX(Roster!$D$6:$D$108,MATCH(D969,Roster!$A$6:$A$108,0))&gt;=25,INDEX(Inputs!$B$19:$D$19,1,MATCH(A969,Inputs!$B$6:$D$6,0)),IF(INDEX(Roster!$D$6:$D$108,MATCH(D969,Roster!$A$6:$A$108,0))&gt;=20,INDEX(Inputs!$B$18:$D$18,1,MATCH(A969,Inputs!$B$6:$D$6,0)),IF(INDEX(Roster!$D$6:$D$108,MATCH(D969,Roster!$A$6:$A$108,0))&gt;=15,INDEX(Inputs!$B$17:$D$17,1,MATCH(A969,Inputs!$B$6:$D$6,0)),IF(INDEX(Roster!$D$6:$D$108,MATCH(D969,Roster!$A$6:$A$108,0))&gt;=10,INDEX(Inputs!$B$16:$D$16,1,MATCH(A969,Inputs!$B$6:$D$6,0)),IF(INDEX(Roster!$D$6:$D$108,MATCH(D969,Roster!$A$6:$A$108,0))&gt;=5,INDEX(Inputs!$B$15:$D$15,1,MATCH(A969,Inputs!$B$6:$D$6,0)),0)))))</x:f>
        <x:v>0</x:v>
      </x:c>
      <x:c r="M969" s="20" t="n">
        <x:f>G969*I969</x:f>
        <x:v>31135</x:v>
      </x:c>
      <x:c r="N969" s="20" t="n">
        <x:f>G969*J969</x:f>
        <x:v>390</x:v>
      </x:c>
      <x:c r="O969" s="20" t="n">
        <x:f>G969*K969</x:f>
        <x:v>0</x:v>
      </x:c>
      <x:c r="P969" s="20" t="n">
        <x:f>G969*L969</x:f>
        <x:v>0</x:v>
      </x:c>
      <x:c r="Q969" s="20" t="n">
        <x:f>H969*INDEX(Inputs!$B$13:$D$13,1,MATCH(A969,Inputs!$B$6:$D$6,0))</x:f>
        <x:v>0</x:v>
      </x:c>
      <x:c r="R969" s="20" t="n">
        <x:f>SUM(M969:Q969)</x:f>
        <x:v>31525</x:v>
      </x:c>
      <x:c r="S969" s="20" t="n">
        <x:f>IF(AND(A968=A969,D968=D969),S968+R969,R969)</x:f>
        <x:v>127270</x:v>
      </x:c>
      <x:c r="T969" s="20" t="n">
        <x:f>MIN(S969,INDEX(Inputs!$B$20:$D$20,1,MATCH(A969,Inputs!$B$6:$D$6,0)))*INDEX(Inputs!$B$22:$D$22,1,MATCH(A969,Inputs!$B$6:$D$6,0))+MAX(MIN(S969,INDEX(Inputs!$B$21:$D$21,1,MATCH(A969,Inputs!$B$6:$D$6,0)))-INDEX(Inputs!$B$20:$D$20,1,MATCH(A969,Inputs!$B$6:$D$6,0)),0)*INDEX(Inputs!$B$23:$D$23,1,MATCH(A969,Inputs!$B$6:$D$6,0))+MAX(S969-INDEX(Inputs!$B$21:$D$21,1,MATCH(A969,Inputs!$B$6:$D$6,0)),0)*INDEX(Inputs!$B$24:$D$24,1,MATCH(A969,Inputs!$B$6:$D$6,0))</x:f>
        <x:v>9759.357</x:v>
      </x:c>
      <x:c r="U969" s="20" t="n">
        <x:f>IF(AND(A968=A969,D968=D969),T968,0)</x:f>
        <x:v>7814.4925</x:v>
      </x:c>
      <x:c r="V969" s="20" t="n">
        <x:f>T969-U969</x:f>
        <x:v>1944.8644999999997</x:v>
      </x:c>
      <x:c r="W969" s="20" t="n">
        <x:f>R969+V969</x:f>
        <x:v>33469.864499999996</x:v>
      </x:c>
      <x:c r="X969" s="14" t="str">
        <x:f>IF(ABS(W969-SUM(M969:Q969)-V969)&lt;0.01,"OK","Check")</x:f>
        <x:v>OK</x:v>
      </x:c>
    </x:row>
    <x:row r="970">
      <x:c r="A970" s="14" t="n">
        <x:v>2028</x:v>
      </x:c>
      <x:c r="B970" s="14" t="str">
        <x:v>Q1</x:v>
      </x:c>
      <x:c r="C970" s="14" t="n">
        <x:v>1</x:v>
      </x:c>
      <x:c r="D970" s="14" t="n">
        <x:v>36</x:v>
      </x:c>
      <x:c r="E970" s="14" t="str">
        <x:f>INDEX(Roster!$B$6:$B$108,MATCH(D970,Roster!$A$6:$A$108,0))</x:f>
      </x:c>
      <x:c r="F970" s="14" t="str">
        <x:f>INDEX(Roster!$F$6:$F$108,MATCH(D970,Roster!$A$6:$A$108,0))</x:f>
        <x:v>No</x:v>
      </x:c>
      <x:c r="G970" s="14" t="n">
        <x:f>INDEX(Inputs!$B$7:$D$7,1,MATCH(A970,Inputs!$B$6:$D$6,0))</x:f>
        <x:v>13</x:v>
      </x:c>
      <x:c r="H970" s="14" t="n">
        <x:f>MIN(=INDEX(Inputs!$B$7:$D$7,1,MATCH(A970,Inputs!$B$6:$D$6,0)),MAX(0,INDEX(Inputs!$B$14:$D$14,1,MATCH(A970,Inputs!$B$6:$D$6,0))-(C970-1)*=INDEX(Inputs!$B$7:$D$7,1,MATCH(A970,Inputs!$B$6:$D$6,0))))</x:f>
        <x:v>13</x:v>
      </x:c>
      <x:c r="I970" s="20" t="n">
        <x:f>INDEX(Inputs!$B$8:$D$8,1,MATCH(A970,Inputs!$B$6:$D$6,0))</x:f>
        <x:v>2395</x:v>
      </x:c>
      <x:c r="J970" s="20" t="n">
        <x:f>INDEX(Roster!$C$6:$C$108,MATCH(D970,Roster!$A$6:$A$108,0))*(1+INDEX(Inputs!$B$9:$D$9,1,MATCH(A970,Inputs!$B$6:$D$6,0)))</x:f>
        <x:v>50</x:v>
      </x:c>
      <x:c r="K970" s="20" t="n">
        <x:f>IF(=INDEX(Roster!$F$6:$F$108,MATCH(D970,Roster!$A$6:$A$108,0))="Yes",0,=INDEX(Inputs!$B$8:$D$8,1,MATCH(A970,Inputs!$B$6:$D$6,0))*IF(=INDEX(Roster!$B$6:$B$108,MATCH(D970,Roster!$A$6:$A$108,0))="Principal",INDEX(Inputs!$B$10:$D$10,1,MATCH(A970,Inputs!$B$6:$D$6,0)),IF(=INDEX(Roster!$B$6:$B$108,MATCH(D970,Roster!$A$6:$A$108,0))="Associate Principal",INDEX(Inputs!$B$11:$D$11,1,MATCH(A970,Inputs!$B$6:$D$6,0)),IF(=INDEX(Roster!$B$6:$B$108,MATCH(D970,Roster!$A$6:$A$108,0))="Assistant Principal",INDEX(Inputs!$B$12:$D$12,1,MATCH(A970,Inputs!$B$6:$D$6,0)),0))))</x:f>
        <x:v>0</x:v>
      </x:c>
      <x:c r="L970" s="20" t="n">
        <x:f>IF(INDEX(Roster!$D$6:$D$108,MATCH(D970,Roster!$A$6:$A$108,0))&gt;=25,INDEX(Inputs!$B$19:$D$19,1,MATCH(A970,Inputs!$B$6:$D$6,0)),IF(INDEX(Roster!$D$6:$D$108,MATCH(D970,Roster!$A$6:$A$108,0))&gt;=20,INDEX(Inputs!$B$18:$D$18,1,MATCH(A970,Inputs!$B$6:$D$6,0)),IF(INDEX(Roster!$D$6:$D$108,MATCH(D970,Roster!$A$6:$A$108,0))&gt;=15,INDEX(Inputs!$B$17:$D$17,1,MATCH(A970,Inputs!$B$6:$D$6,0)),IF(INDEX(Roster!$D$6:$D$108,MATCH(D970,Roster!$A$6:$A$108,0))&gt;=10,INDEX(Inputs!$B$16:$D$16,1,MATCH(A970,Inputs!$B$6:$D$6,0)),IF(INDEX(Roster!$D$6:$D$108,MATCH(D970,Roster!$A$6:$A$108,0))&gt;=5,INDEX(Inputs!$B$15:$D$15,1,MATCH(A970,Inputs!$B$6:$D$6,0)),0)))))</x:f>
        <x:v>90</x:v>
      </x:c>
      <x:c r="M970" s="20" t="n">
        <x:f>G970*I970</x:f>
        <x:v>31135</x:v>
      </x:c>
      <x:c r="N970" s="20" t="n">
        <x:f>G970*J970</x:f>
        <x:v>650</x:v>
      </x:c>
      <x:c r="O970" s="20" t="n">
        <x:f>G970*K970</x:f>
        <x:v>0</x:v>
      </x:c>
      <x:c r="P970" s="20" t="n">
        <x:f>G970*L970</x:f>
        <x:v>1170</x:v>
      </x:c>
      <x:c r="Q970" s="20" t="n">
        <x:f>H970*INDEX(Inputs!$B$13:$D$13,1,MATCH(A970,Inputs!$B$6:$D$6,0))</x:f>
        <x:v>390</x:v>
      </x:c>
      <x:c r="R970" s="20" t="n">
        <x:f>SUM(M970:Q970)</x:f>
        <x:v>33345</x:v>
      </x:c>
      <x:c r="S970" s="20" t="n">
        <x:f>IF(AND(A969=A970,D969=D970),S969+R970,R970)</x:f>
        <x:v>33345</x:v>
      </x:c>
      <x:c r="T970" s="20" t="n">
        <x:f>MIN(S970,INDEX(Inputs!$B$20:$D$20,1,MATCH(A970,Inputs!$B$6:$D$6,0)))*INDEX(Inputs!$B$22:$D$22,1,MATCH(A970,Inputs!$B$6:$D$6,0))+MAX(MIN(S970,INDEX(Inputs!$B$21:$D$21,1,MATCH(A970,Inputs!$B$6:$D$6,0)))-INDEX(Inputs!$B$20:$D$20,1,MATCH(A970,Inputs!$B$6:$D$6,0)),0)*INDEX(Inputs!$B$23:$D$23,1,MATCH(A970,Inputs!$B$6:$D$6,0))+MAX(S970-INDEX(Inputs!$B$21:$D$21,1,MATCH(A970,Inputs!$B$6:$D$6,0)),0)*INDEX(Inputs!$B$24:$D$24,1,MATCH(A970,Inputs!$B$6:$D$6,0))</x:f>
        <x:v>3040.8925</x:v>
      </x:c>
      <x:c r="U970" s="20" t="n">
        <x:f>IF(AND(A969=A970,D969=D970),T969,0)</x:f>
        <x:v>0</x:v>
      </x:c>
      <x:c r="V970" s="20" t="n">
        <x:f>T970-U970</x:f>
        <x:v>3040.8925</x:v>
      </x:c>
      <x:c r="W970" s="20" t="n">
        <x:f>R970+V970</x:f>
        <x:v>36385.8925</x:v>
      </x:c>
      <x:c r="X970" s="14" t="str">
        <x:f>IF(ABS(W970-SUM(M970:Q970)-V970)&lt;0.01,"OK","Check")</x:f>
        <x:v>OK</x:v>
      </x:c>
    </x:row>
    <x:row r="971">
      <x:c r="A971" s="14" t="n">
        <x:v>2028</x:v>
      </x:c>
      <x:c r="B971" s="14" t="str">
        <x:v>Q2</x:v>
      </x:c>
      <x:c r="C971" s="14" t="n">
        <x:v>2</x:v>
      </x:c>
      <x:c r="D971" s="14" t="n">
        <x:v>36</x:v>
      </x:c>
      <x:c r="E971" s="14" t="str">
        <x:f>INDEX(Roster!$B$6:$B$108,MATCH(D971,Roster!$A$6:$A$108,0))</x:f>
      </x:c>
      <x:c r="F971" s="14" t="str">
        <x:f>INDEX(Roster!$F$6:$F$108,MATCH(D971,Roster!$A$6:$A$108,0))</x:f>
        <x:v>No</x:v>
      </x:c>
      <x:c r="G971" s="14" t="n">
        <x:f>INDEX(Inputs!$B$7:$D$7,1,MATCH(A971,Inputs!$B$6:$D$6,0))</x:f>
        <x:v>13</x:v>
      </x:c>
      <x:c r="H971" s="14" t="n">
        <x:f>MIN(=INDEX(Inputs!$B$7:$D$7,1,MATCH(A971,Inputs!$B$6:$D$6,0)),MAX(0,INDEX(Inputs!$B$14:$D$14,1,MATCH(A971,Inputs!$B$6:$D$6,0))-(C971-1)*=INDEX(Inputs!$B$7:$D$7,1,MATCH(A971,Inputs!$B$6:$D$6,0))))</x:f>
        <x:v>13</x:v>
      </x:c>
      <x:c r="I971" s="20" t="n">
        <x:f>INDEX(Inputs!$B$8:$D$8,1,MATCH(A971,Inputs!$B$6:$D$6,0))</x:f>
        <x:v>2395</x:v>
      </x:c>
      <x:c r="J971" s="20" t="n">
        <x:f>INDEX(Roster!$C$6:$C$108,MATCH(D971,Roster!$A$6:$A$108,0))*(1+INDEX(Inputs!$B$9:$D$9,1,MATCH(A971,Inputs!$B$6:$D$6,0)))</x:f>
        <x:v>50</x:v>
      </x:c>
      <x:c r="K971" s="20" t="n">
        <x:f>IF(=INDEX(Roster!$F$6:$F$108,MATCH(D971,Roster!$A$6:$A$108,0))="Yes",0,=INDEX(Inputs!$B$8:$D$8,1,MATCH(A971,Inputs!$B$6:$D$6,0))*IF(=INDEX(Roster!$B$6:$B$108,MATCH(D971,Roster!$A$6:$A$108,0))="Principal",INDEX(Inputs!$B$10:$D$10,1,MATCH(A971,Inputs!$B$6:$D$6,0)),IF(=INDEX(Roster!$B$6:$B$108,MATCH(D971,Roster!$A$6:$A$108,0))="Associate Principal",INDEX(Inputs!$B$11:$D$11,1,MATCH(A971,Inputs!$B$6:$D$6,0)),IF(=INDEX(Roster!$B$6:$B$108,MATCH(D971,Roster!$A$6:$A$108,0))="Assistant Principal",INDEX(Inputs!$B$12:$D$12,1,MATCH(A971,Inputs!$B$6:$D$6,0)),0))))</x:f>
        <x:v>0</x:v>
      </x:c>
      <x:c r="L971" s="20" t="n">
        <x:f>IF(INDEX(Roster!$D$6:$D$108,MATCH(D971,Roster!$A$6:$A$108,0))&gt;=25,INDEX(Inputs!$B$19:$D$19,1,MATCH(A971,Inputs!$B$6:$D$6,0)),IF(INDEX(Roster!$D$6:$D$108,MATCH(D971,Roster!$A$6:$A$108,0))&gt;=20,INDEX(Inputs!$B$18:$D$18,1,MATCH(A971,Inputs!$B$6:$D$6,0)),IF(INDEX(Roster!$D$6:$D$108,MATCH(D971,Roster!$A$6:$A$108,0))&gt;=15,INDEX(Inputs!$B$17:$D$17,1,MATCH(A971,Inputs!$B$6:$D$6,0)),IF(INDEX(Roster!$D$6:$D$108,MATCH(D971,Roster!$A$6:$A$108,0))&gt;=10,INDEX(Inputs!$B$16:$D$16,1,MATCH(A971,Inputs!$B$6:$D$6,0)),IF(INDEX(Roster!$D$6:$D$108,MATCH(D971,Roster!$A$6:$A$108,0))&gt;=5,INDEX(Inputs!$B$15:$D$15,1,MATCH(A971,Inputs!$B$6:$D$6,0)),0)))))</x:f>
        <x:v>90</x:v>
      </x:c>
      <x:c r="M971" s="20" t="n">
        <x:f>G971*I971</x:f>
        <x:v>31135</x:v>
      </x:c>
      <x:c r="N971" s="20" t="n">
        <x:f>G971*J971</x:f>
        <x:v>650</x:v>
      </x:c>
      <x:c r="O971" s="20" t="n">
        <x:f>G971*K971</x:f>
        <x:v>0</x:v>
      </x:c>
      <x:c r="P971" s="20" t="n">
        <x:f>G971*L971</x:f>
        <x:v>1170</x:v>
      </x:c>
      <x:c r="Q971" s="20" t="n">
        <x:f>H971*INDEX(Inputs!$B$13:$D$13,1,MATCH(A971,Inputs!$B$6:$D$6,0))</x:f>
        <x:v>390</x:v>
      </x:c>
      <x:c r="R971" s="20" t="n">
        <x:f>SUM(M971:Q971)</x:f>
        <x:v>33345</x:v>
      </x:c>
      <x:c r="S971" s="20" t="n">
        <x:f>IF(AND(A970=A971,D970=D971),S970+R971,R971)</x:f>
        <x:v>66690</x:v>
      </x:c>
      <x:c r="T971" s="20" t="n">
        <x:f>MIN(S971,INDEX(Inputs!$B$20:$D$20,1,MATCH(A971,Inputs!$B$6:$D$6,0)))*INDEX(Inputs!$B$22:$D$22,1,MATCH(A971,Inputs!$B$6:$D$6,0))+MAX(MIN(S971,INDEX(Inputs!$B$21:$D$21,1,MATCH(A971,Inputs!$B$6:$D$6,0)))-INDEX(Inputs!$B$20:$D$20,1,MATCH(A971,Inputs!$B$6:$D$6,0)),0)*INDEX(Inputs!$B$23:$D$23,1,MATCH(A971,Inputs!$B$6:$D$6,0))+MAX(S971-INDEX(Inputs!$B$21:$D$21,1,MATCH(A971,Inputs!$B$6:$D$6,0)),0)*INDEX(Inputs!$B$24:$D$24,1,MATCH(A971,Inputs!$B$6:$D$6,0))</x:f>
        <x:v>5591.785</x:v>
      </x:c>
      <x:c r="U971" s="20" t="n">
        <x:f>IF(AND(A970=A971,D970=D971),T970,0)</x:f>
        <x:v>3040.8925</x:v>
      </x:c>
      <x:c r="V971" s="20" t="n">
        <x:f>T971-U971</x:f>
        <x:v>2550.8925</x:v>
      </x:c>
      <x:c r="W971" s="20" t="n">
        <x:f>R971+V971</x:f>
        <x:v>35895.8925</x:v>
      </x:c>
      <x:c r="X971" s="14" t="str">
        <x:f>IF(ABS(W971-SUM(M971:Q971)-V971)&lt;0.01,"OK","Check")</x:f>
        <x:v>OK</x:v>
      </x:c>
    </x:row>
    <x:row r="972">
      <x:c r="A972" s="14" t="n">
        <x:v>2028</x:v>
      </x:c>
      <x:c r="B972" s="14" t="str">
        <x:v>Q3</x:v>
      </x:c>
      <x:c r="C972" s="14" t="n">
        <x:v>3</x:v>
      </x:c>
      <x:c r="D972" s="14" t="n">
        <x:v>36</x:v>
      </x:c>
      <x:c r="E972" s="14" t="str">
        <x:f>INDEX(Roster!$B$6:$B$108,MATCH(D972,Roster!$A$6:$A$108,0))</x:f>
      </x:c>
      <x:c r="F972" s="14" t="str">
        <x:f>INDEX(Roster!$F$6:$F$108,MATCH(D972,Roster!$A$6:$A$108,0))</x:f>
        <x:v>No</x:v>
      </x:c>
      <x:c r="G972" s="14" t="n">
        <x:f>INDEX(Inputs!$B$7:$D$7,1,MATCH(A972,Inputs!$B$6:$D$6,0))</x:f>
        <x:v>13</x:v>
      </x:c>
      <x:c r="H972" s="14" t="n">
        <x:f>MIN(=INDEX(Inputs!$B$7:$D$7,1,MATCH(A972,Inputs!$B$6:$D$6,0)),MAX(0,INDEX(Inputs!$B$14:$D$14,1,MATCH(A972,Inputs!$B$6:$D$6,0))-(C972-1)*=INDEX(Inputs!$B$7:$D$7,1,MATCH(A972,Inputs!$B$6:$D$6,0))))</x:f>
        <x:v>13</x:v>
      </x:c>
      <x:c r="I972" s="20" t="n">
        <x:f>INDEX(Inputs!$B$8:$D$8,1,MATCH(A972,Inputs!$B$6:$D$6,0))</x:f>
        <x:v>2395</x:v>
      </x:c>
      <x:c r="J972" s="20" t="n">
        <x:f>INDEX(Roster!$C$6:$C$108,MATCH(D972,Roster!$A$6:$A$108,0))*(1+INDEX(Inputs!$B$9:$D$9,1,MATCH(A972,Inputs!$B$6:$D$6,0)))</x:f>
        <x:v>50</x:v>
      </x:c>
      <x:c r="K972" s="20" t="n">
        <x:f>IF(=INDEX(Roster!$F$6:$F$108,MATCH(D972,Roster!$A$6:$A$108,0))="Yes",0,=INDEX(Inputs!$B$8:$D$8,1,MATCH(A972,Inputs!$B$6:$D$6,0))*IF(=INDEX(Roster!$B$6:$B$108,MATCH(D972,Roster!$A$6:$A$108,0))="Principal",INDEX(Inputs!$B$10:$D$10,1,MATCH(A972,Inputs!$B$6:$D$6,0)),IF(=INDEX(Roster!$B$6:$B$108,MATCH(D972,Roster!$A$6:$A$108,0))="Associate Principal",INDEX(Inputs!$B$11:$D$11,1,MATCH(A972,Inputs!$B$6:$D$6,0)),IF(=INDEX(Roster!$B$6:$B$108,MATCH(D972,Roster!$A$6:$A$108,0))="Assistant Principal",INDEX(Inputs!$B$12:$D$12,1,MATCH(A972,Inputs!$B$6:$D$6,0)),0))))</x:f>
        <x:v>0</x:v>
      </x:c>
      <x:c r="L972" s="20" t="n">
        <x:f>IF(INDEX(Roster!$D$6:$D$108,MATCH(D972,Roster!$A$6:$A$108,0))&gt;=25,INDEX(Inputs!$B$19:$D$19,1,MATCH(A972,Inputs!$B$6:$D$6,0)),IF(INDEX(Roster!$D$6:$D$108,MATCH(D972,Roster!$A$6:$A$108,0))&gt;=20,INDEX(Inputs!$B$18:$D$18,1,MATCH(A972,Inputs!$B$6:$D$6,0)),IF(INDEX(Roster!$D$6:$D$108,MATCH(D972,Roster!$A$6:$A$108,0))&gt;=15,INDEX(Inputs!$B$17:$D$17,1,MATCH(A972,Inputs!$B$6:$D$6,0)),IF(INDEX(Roster!$D$6:$D$108,MATCH(D972,Roster!$A$6:$A$108,0))&gt;=10,INDEX(Inputs!$B$16:$D$16,1,MATCH(A972,Inputs!$B$6:$D$6,0)),IF(INDEX(Roster!$D$6:$D$108,MATCH(D972,Roster!$A$6:$A$108,0))&gt;=5,INDEX(Inputs!$B$15:$D$15,1,MATCH(A972,Inputs!$B$6:$D$6,0)),0)))))</x:f>
        <x:v>90</x:v>
      </x:c>
      <x:c r="M972" s="20" t="n">
        <x:f>G972*I972</x:f>
        <x:v>31135</x:v>
      </x:c>
      <x:c r="N972" s="20" t="n">
        <x:f>G972*J972</x:f>
        <x:v>650</x:v>
      </x:c>
      <x:c r="O972" s="20" t="n">
        <x:f>G972*K972</x:f>
        <x:v>0</x:v>
      </x:c>
      <x:c r="P972" s="20" t="n">
        <x:f>G972*L972</x:f>
        <x:v>1170</x:v>
      </x:c>
      <x:c r="Q972" s="20" t="n">
        <x:f>H972*INDEX(Inputs!$B$13:$D$13,1,MATCH(A972,Inputs!$B$6:$D$6,0))</x:f>
        <x:v>390</x:v>
      </x:c>
      <x:c r="R972" s="20" t="n">
        <x:f>SUM(M972:Q972)</x:f>
        <x:v>33345</x:v>
      </x:c>
      <x:c r="S972" s="20" t="n">
        <x:f>IF(AND(A971=A972,D971=D972),S971+R972,R972)</x:f>
        <x:v>100035</x:v>
      </x:c>
      <x:c r="T972" s="20" t="n">
        <x:f>MIN(S972,INDEX(Inputs!$B$20:$D$20,1,MATCH(A972,Inputs!$B$6:$D$6,0)))*INDEX(Inputs!$B$22:$D$22,1,MATCH(A972,Inputs!$B$6:$D$6,0))+MAX(MIN(S972,INDEX(Inputs!$B$21:$D$21,1,MATCH(A972,Inputs!$B$6:$D$6,0)))-INDEX(Inputs!$B$20:$D$20,1,MATCH(A972,Inputs!$B$6:$D$6,0)),0)*INDEX(Inputs!$B$23:$D$23,1,MATCH(A972,Inputs!$B$6:$D$6,0))+MAX(S972-INDEX(Inputs!$B$21:$D$21,1,MATCH(A972,Inputs!$B$6:$D$6,0)),0)*INDEX(Inputs!$B$24:$D$24,1,MATCH(A972,Inputs!$B$6:$D$6,0))</x:f>
        <x:v>8142.6775</x:v>
      </x:c>
      <x:c r="U972" s="20" t="n">
        <x:f>IF(AND(A971=A972,D971=D972),T971,0)</x:f>
        <x:v>5591.785</x:v>
      </x:c>
      <x:c r="V972" s="20" t="n">
        <x:f>T972-U972</x:f>
        <x:v>2550.8925</x:v>
      </x:c>
      <x:c r="W972" s="20" t="n">
        <x:f>R972+V972</x:f>
        <x:v>35895.8925</x:v>
      </x:c>
      <x:c r="X972" s="14" t="str">
        <x:f>IF(ABS(W972-SUM(M972:Q972)-V972)&lt;0.01,"OK","Check")</x:f>
        <x:v>OK</x:v>
      </x:c>
    </x:row>
    <x:row r="973">
      <x:c r="A973" s="14" t="n">
        <x:v>2028</x:v>
      </x:c>
      <x:c r="B973" s="14" t="str">
        <x:v>Q4</x:v>
      </x:c>
      <x:c r="C973" s="14" t="n">
        <x:v>4</x:v>
      </x:c>
      <x:c r="D973" s="14" t="n">
        <x:v>36</x:v>
      </x:c>
      <x:c r="E973" s="14" t="str">
        <x:f>INDEX(Roster!$B$6:$B$108,MATCH(D973,Roster!$A$6:$A$108,0))</x:f>
      </x:c>
      <x:c r="F973" s="14" t="str">
        <x:f>INDEX(Roster!$F$6:$F$108,MATCH(D973,Roster!$A$6:$A$108,0))</x:f>
        <x:v>No</x:v>
      </x:c>
      <x:c r="G973" s="14" t="n">
        <x:f>INDEX(Inputs!$B$7:$D$7,1,MATCH(A973,Inputs!$B$6:$D$6,0))</x:f>
        <x:v>13</x:v>
      </x:c>
      <x:c r="H973" s="14" t="n">
        <x:f>MIN(=INDEX(Inputs!$B$7:$D$7,1,MATCH(A973,Inputs!$B$6:$D$6,0)),MAX(0,INDEX(Inputs!$B$14:$D$14,1,MATCH(A973,Inputs!$B$6:$D$6,0))-(C973-1)*=INDEX(Inputs!$B$7:$D$7,1,MATCH(A973,Inputs!$B$6:$D$6,0))))</x:f>
        <x:v>0</x:v>
      </x:c>
      <x:c r="I973" s="20" t="n">
        <x:f>INDEX(Inputs!$B$8:$D$8,1,MATCH(A973,Inputs!$B$6:$D$6,0))</x:f>
        <x:v>2395</x:v>
      </x:c>
      <x:c r="J973" s="20" t="n">
        <x:f>INDEX(Roster!$C$6:$C$108,MATCH(D973,Roster!$A$6:$A$108,0))*(1+INDEX(Inputs!$B$9:$D$9,1,MATCH(A973,Inputs!$B$6:$D$6,0)))</x:f>
        <x:v>50</x:v>
      </x:c>
      <x:c r="K973" s="20" t="n">
        <x:f>IF(=INDEX(Roster!$F$6:$F$108,MATCH(D973,Roster!$A$6:$A$108,0))="Yes",0,=INDEX(Inputs!$B$8:$D$8,1,MATCH(A973,Inputs!$B$6:$D$6,0))*IF(=INDEX(Roster!$B$6:$B$108,MATCH(D973,Roster!$A$6:$A$108,0))="Principal",INDEX(Inputs!$B$10:$D$10,1,MATCH(A973,Inputs!$B$6:$D$6,0)),IF(=INDEX(Roster!$B$6:$B$108,MATCH(D973,Roster!$A$6:$A$108,0))="Associate Principal",INDEX(Inputs!$B$11:$D$11,1,MATCH(A973,Inputs!$B$6:$D$6,0)),IF(=INDEX(Roster!$B$6:$B$108,MATCH(D973,Roster!$A$6:$A$108,0))="Assistant Principal",INDEX(Inputs!$B$12:$D$12,1,MATCH(A973,Inputs!$B$6:$D$6,0)),0))))</x:f>
        <x:v>0</x:v>
      </x:c>
      <x:c r="L973" s="20" t="n">
        <x:f>IF(INDEX(Roster!$D$6:$D$108,MATCH(D973,Roster!$A$6:$A$108,0))&gt;=25,INDEX(Inputs!$B$19:$D$19,1,MATCH(A973,Inputs!$B$6:$D$6,0)),IF(INDEX(Roster!$D$6:$D$108,MATCH(D973,Roster!$A$6:$A$108,0))&gt;=20,INDEX(Inputs!$B$18:$D$18,1,MATCH(A973,Inputs!$B$6:$D$6,0)),IF(INDEX(Roster!$D$6:$D$108,MATCH(D973,Roster!$A$6:$A$108,0))&gt;=15,INDEX(Inputs!$B$17:$D$17,1,MATCH(A973,Inputs!$B$6:$D$6,0)),IF(INDEX(Roster!$D$6:$D$108,MATCH(D973,Roster!$A$6:$A$108,0))&gt;=10,INDEX(Inputs!$B$16:$D$16,1,MATCH(A973,Inputs!$B$6:$D$6,0)),IF(INDEX(Roster!$D$6:$D$108,MATCH(D973,Roster!$A$6:$A$108,0))&gt;=5,INDEX(Inputs!$B$15:$D$15,1,MATCH(A973,Inputs!$B$6:$D$6,0)),0)))))</x:f>
        <x:v>90</x:v>
      </x:c>
      <x:c r="M973" s="20" t="n">
        <x:f>G973*I973</x:f>
        <x:v>31135</x:v>
      </x:c>
      <x:c r="N973" s="20" t="n">
        <x:f>G973*J973</x:f>
        <x:v>650</x:v>
      </x:c>
      <x:c r="O973" s="20" t="n">
        <x:f>G973*K973</x:f>
        <x:v>0</x:v>
      </x:c>
      <x:c r="P973" s="20" t="n">
        <x:f>G973*L973</x:f>
        <x:v>1170</x:v>
      </x:c>
      <x:c r="Q973" s="20" t="n">
        <x:f>H973*INDEX(Inputs!$B$13:$D$13,1,MATCH(A973,Inputs!$B$6:$D$6,0))</x:f>
        <x:v>0</x:v>
      </x:c>
      <x:c r="R973" s="20" t="n">
        <x:f>SUM(M973:Q973)</x:f>
        <x:v>32955</x:v>
      </x:c>
      <x:c r="S973" s="20" t="n">
        <x:f>IF(AND(A972=A973,D972=D973),S972+R973,R973)</x:f>
        <x:v>132990</x:v>
      </x:c>
      <x:c r="T973" s="20" t="n">
        <x:f>MIN(S973,INDEX(Inputs!$B$20:$D$20,1,MATCH(A973,Inputs!$B$6:$D$6,0)))*INDEX(Inputs!$B$22:$D$22,1,MATCH(A973,Inputs!$B$6:$D$6,0))+MAX(MIN(S973,INDEX(Inputs!$B$21:$D$21,1,MATCH(A973,Inputs!$B$6:$D$6,0)))-INDEX(Inputs!$B$20:$D$20,1,MATCH(A973,Inputs!$B$6:$D$6,0)),0)*INDEX(Inputs!$B$23:$D$23,1,MATCH(A973,Inputs!$B$6:$D$6,0))+MAX(S973-INDEX(Inputs!$B$21:$D$21,1,MATCH(A973,Inputs!$B$6:$D$6,0)),0)*INDEX(Inputs!$B$24:$D$24,1,MATCH(A973,Inputs!$B$6:$D$6,0))</x:f>
        <x:v>9842.297</x:v>
      </x:c>
      <x:c r="U973" s="20" t="n">
        <x:f>IF(AND(A972=A973,D972=D973),T972,0)</x:f>
        <x:v>8142.6775</x:v>
      </x:c>
      <x:c r="V973" s="20" t="n">
        <x:f>T973-U973</x:f>
        <x:v>1699.6195000000007</x:v>
      </x:c>
      <x:c r="W973" s="20" t="n">
        <x:f>R973+V973</x:f>
        <x:v>34654.6195</x:v>
      </x:c>
      <x:c r="X973" s="14" t="str">
        <x:f>IF(ABS(W973-SUM(M973:Q973)-V973)&lt;0.01,"OK","Check")</x:f>
        <x:v>OK</x:v>
      </x:c>
    </x:row>
    <x:row r="974">
      <x:c r="A974" s="14" t="n">
        <x:v>2028</x:v>
      </x:c>
      <x:c r="B974" s="14" t="str">
        <x:v>Q1</x:v>
      </x:c>
      <x:c r="C974" s="14" t="n">
        <x:v>1</x:v>
      </x:c>
      <x:c r="D974" s="14" t="n">
        <x:v>37</x:v>
      </x:c>
      <x:c r="E974" s="14" t="str">
        <x:f>INDEX(Roster!$B$6:$B$108,MATCH(D974,Roster!$A$6:$A$108,0))</x:f>
      </x:c>
      <x:c r="F974" s="14" t="str">
        <x:f>INDEX(Roster!$F$6:$F$108,MATCH(D974,Roster!$A$6:$A$108,0))</x:f>
        <x:v>No</x:v>
      </x:c>
      <x:c r="G974" s="14" t="n">
        <x:f>INDEX(Inputs!$B$7:$D$7,1,MATCH(A974,Inputs!$B$6:$D$6,0))</x:f>
        <x:v>13</x:v>
      </x:c>
      <x:c r="H974" s="14" t="n">
        <x:f>MIN(=INDEX(Inputs!$B$7:$D$7,1,MATCH(A974,Inputs!$B$6:$D$6,0)),MAX(0,INDEX(Inputs!$B$14:$D$14,1,MATCH(A974,Inputs!$B$6:$D$6,0))-(C974-1)*=INDEX(Inputs!$B$7:$D$7,1,MATCH(A974,Inputs!$B$6:$D$6,0))))</x:f>
        <x:v>13</x:v>
      </x:c>
      <x:c r="I974" s="20" t="n">
        <x:f>INDEX(Inputs!$B$8:$D$8,1,MATCH(A974,Inputs!$B$6:$D$6,0))</x:f>
        <x:v>2395</x:v>
      </x:c>
      <x:c r="J974" s="20" t="n">
        <x:f>INDEX(Roster!$C$6:$C$108,MATCH(D974,Roster!$A$6:$A$108,0))*(1+INDEX(Inputs!$B$9:$D$9,1,MATCH(A974,Inputs!$B$6:$D$6,0)))</x:f>
        <x:v>300</x:v>
      </x:c>
      <x:c r="K974" s="20" t="n">
        <x:f>IF(=INDEX(Roster!$F$6:$F$108,MATCH(D974,Roster!$A$6:$A$108,0))="Yes",0,=INDEX(Inputs!$B$8:$D$8,1,MATCH(A974,Inputs!$B$6:$D$6,0))*IF(=INDEX(Roster!$B$6:$B$108,MATCH(D974,Roster!$A$6:$A$108,0))="Principal",INDEX(Inputs!$B$10:$D$10,1,MATCH(A974,Inputs!$B$6:$D$6,0)),IF(=INDEX(Roster!$B$6:$B$108,MATCH(D974,Roster!$A$6:$A$108,0))="Associate Principal",INDEX(Inputs!$B$11:$D$11,1,MATCH(A974,Inputs!$B$6:$D$6,0)),IF(=INDEX(Roster!$B$6:$B$108,MATCH(D974,Roster!$A$6:$A$108,0))="Assistant Principal",INDEX(Inputs!$B$12:$D$12,1,MATCH(A974,Inputs!$B$6:$D$6,0)),0))))</x:f>
        <x:v>0</x:v>
      </x:c>
      <x:c r="L974" s="20" t="n">
        <x:f>IF(INDEX(Roster!$D$6:$D$108,MATCH(D974,Roster!$A$6:$A$108,0))&gt;=25,INDEX(Inputs!$B$19:$D$19,1,MATCH(A974,Inputs!$B$6:$D$6,0)),IF(INDEX(Roster!$D$6:$D$108,MATCH(D974,Roster!$A$6:$A$108,0))&gt;=20,INDEX(Inputs!$B$18:$D$18,1,MATCH(A974,Inputs!$B$6:$D$6,0)),IF(INDEX(Roster!$D$6:$D$108,MATCH(D974,Roster!$A$6:$A$108,0))&gt;=15,INDEX(Inputs!$B$17:$D$17,1,MATCH(A974,Inputs!$B$6:$D$6,0)),IF(INDEX(Roster!$D$6:$D$108,MATCH(D974,Roster!$A$6:$A$108,0))&gt;=10,INDEX(Inputs!$B$16:$D$16,1,MATCH(A974,Inputs!$B$6:$D$6,0)),IF(INDEX(Roster!$D$6:$D$108,MATCH(D974,Roster!$A$6:$A$108,0))&gt;=5,INDEX(Inputs!$B$15:$D$15,1,MATCH(A974,Inputs!$B$6:$D$6,0)),0)))))</x:f>
        <x:v>90</x:v>
      </x:c>
      <x:c r="M974" s="20" t="n">
        <x:f>G974*I974</x:f>
        <x:v>31135</x:v>
      </x:c>
      <x:c r="N974" s="20" t="n">
        <x:f>G974*J974</x:f>
        <x:v>3900</x:v>
      </x:c>
      <x:c r="O974" s="20" t="n">
        <x:f>G974*K974</x:f>
        <x:v>0</x:v>
      </x:c>
      <x:c r="P974" s="20" t="n">
        <x:f>G974*L974</x:f>
        <x:v>1170</x:v>
      </x:c>
      <x:c r="Q974" s="20" t="n">
        <x:f>H974*INDEX(Inputs!$B$13:$D$13,1,MATCH(A974,Inputs!$B$6:$D$6,0))</x:f>
        <x:v>390</x:v>
      </x:c>
      <x:c r="R974" s="20" t="n">
        <x:f>SUM(M974:Q974)</x:f>
        <x:v>36595</x:v>
      </x:c>
      <x:c r="S974" s="20" t="n">
        <x:f>IF(AND(A973=A974,D973=D974),S973+R974,R974)</x:f>
        <x:v>36595</x:v>
      </x:c>
      <x:c r="T974" s="20" t="n">
        <x:f>MIN(S974,INDEX(Inputs!$B$20:$D$20,1,MATCH(A974,Inputs!$B$6:$D$6,0)))*INDEX(Inputs!$B$22:$D$22,1,MATCH(A974,Inputs!$B$6:$D$6,0))+MAX(MIN(S974,INDEX(Inputs!$B$21:$D$21,1,MATCH(A974,Inputs!$B$6:$D$6,0)))-INDEX(Inputs!$B$20:$D$20,1,MATCH(A974,Inputs!$B$6:$D$6,0)),0)*INDEX(Inputs!$B$23:$D$23,1,MATCH(A974,Inputs!$B$6:$D$6,0))+MAX(S974-INDEX(Inputs!$B$21:$D$21,1,MATCH(A974,Inputs!$B$6:$D$6,0)),0)*INDEX(Inputs!$B$24:$D$24,1,MATCH(A974,Inputs!$B$6:$D$6,0))</x:f>
        <x:v>3289.5175</x:v>
      </x:c>
      <x:c r="U974" s="20" t="n">
        <x:f>IF(AND(A973=A974,D973=D974),T973,0)</x:f>
        <x:v>0</x:v>
      </x:c>
      <x:c r="V974" s="20" t="n">
        <x:f>T974-U974</x:f>
        <x:v>3289.5175</x:v>
      </x:c>
      <x:c r="W974" s="20" t="n">
        <x:f>R974+V974</x:f>
        <x:v>39884.5175</x:v>
      </x:c>
      <x:c r="X974" s="14" t="str">
        <x:f>IF(ABS(W974-SUM(M974:Q974)-V974)&lt;0.01,"OK","Check")</x:f>
        <x:v>OK</x:v>
      </x:c>
    </x:row>
    <x:row r="975">
      <x:c r="A975" s="14" t="n">
        <x:v>2028</x:v>
      </x:c>
      <x:c r="B975" s="14" t="str">
        <x:v>Q2</x:v>
      </x:c>
      <x:c r="C975" s="14" t="n">
        <x:v>2</x:v>
      </x:c>
      <x:c r="D975" s="14" t="n">
        <x:v>37</x:v>
      </x:c>
      <x:c r="E975" s="14" t="str">
        <x:f>INDEX(Roster!$B$6:$B$108,MATCH(D975,Roster!$A$6:$A$108,0))</x:f>
      </x:c>
      <x:c r="F975" s="14" t="str">
        <x:f>INDEX(Roster!$F$6:$F$108,MATCH(D975,Roster!$A$6:$A$108,0))</x:f>
        <x:v>No</x:v>
      </x:c>
      <x:c r="G975" s="14" t="n">
        <x:f>INDEX(Inputs!$B$7:$D$7,1,MATCH(A975,Inputs!$B$6:$D$6,0))</x:f>
        <x:v>13</x:v>
      </x:c>
      <x:c r="H975" s="14" t="n">
        <x:f>MIN(=INDEX(Inputs!$B$7:$D$7,1,MATCH(A975,Inputs!$B$6:$D$6,0)),MAX(0,INDEX(Inputs!$B$14:$D$14,1,MATCH(A975,Inputs!$B$6:$D$6,0))-(C975-1)*=INDEX(Inputs!$B$7:$D$7,1,MATCH(A975,Inputs!$B$6:$D$6,0))))</x:f>
        <x:v>13</x:v>
      </x:c>
      <x:c r="I975" s="20" t="n">
        <x:f>INDEX(Inputs!$B$8:$D$8,1,MATCH(A975,Inputs!$B$6:$D$6,0))</x:f>
        <x:v>2395</x:v>
      </x:c>
      <x:c r="J975" s="20" t="n">
        <x:f>INDEX(Roster!$C$6:$C$108,MATCH(D975,Roster!$A$6:$A$108,0))*(1+INDEX(Inputs!$B$9:$D$9,1,MATCH(A975,Inputs!$B$6:$D$6,0)))</x:f>
        <x:v>300</x:v>
      </x:c>
      <x:c r="K975" s="20" t="n">
        <x:f>IF(=INDEX(Roster!$F$6:$F$108,MATCH(D975,Roster!$A$6:$A$108,0))="Yes",0,=INDEX(Inputs!$B$8:$D$8,1,MATCH(A975,Inputs!$B$6:$D$6,0))*IF(=INDEX(Roster!$B$6:$B$108,MATCH(D975,Roster!$A$6:$A$108,0))="Principal",INDEX(Inputs!$B$10:$D$10,1,MATCH(A975,Inputs!$B$6:$D$6,0)),IF(=INDEX(Roster!$B$6:$B$108,MATCH(D975,Roster!$A$6:$A$108,0))="Associate Principal",INDEX(Inputs!$B$11:$D$11,1,MATCH(A975,Inputs!$B$6:$D$6,0)),IF(=INDEX(Roster!$B$6:$B$108,MATCH(D975,Roster!$A$6:$A$108,0))="Assistant Principal",INDEX(Inputs!$B$12:$D$12,1,MATCH(A975,Inputs!$B$6:$D$6,0)),0))))</x:f>
        <x:v>0</x:v>
      </x:c>
      <x:c r="L975" s="20" t="n">
        <x:f>IF(INDEX(Roster!$D$6:$D$108,MATCH(D975,Roster!$A$6:$A$108,0))&gt;=25,INDEX(Inputs!$B$19:$D$19,1,MATCH(A975,Inputs!$B$6:$D$6,0)),IF(INDEX(Roster!$D$6:$D$108,MATCH(D975,Roster!$A$6:$A$108,0))&gt;=20,INDEX(Inputs!$B$18:$D$18,1,MATCH(A975,Inputs!$B$6:$D$6,0)),IF(INDEX(Roster!$D$6:$D$108,MATCH(D975,Roster!$A$6:$A$108,0))&gt;=15,INDEX(Inputs!$B$17:$D$17,1,MATCH(A975,Inputs!$B$6:$D$6,0)),IF(INDEX(Roster!$D$6:$D$108,MATCH(D975,Roster!$A$6:$A$108,0))&gt;=10,INDEX(Inputs!$B$16:$D$16,1,MATCH(A975,Inputs!$B$6:$D$6,0)),IF(INDEX(Roster!$D$6:$D$108,MATCH(D975,Roster!$A$6:$A$108,0))&gt;=5,INDEX(Inputs!$B$15:$D$15,1,MATCH(A975,Inputs!$B$6:$D$6,0)),0)))))</x:f>
        <x:v>90</x:v>
      </x:c>
      <x:c r="M975" s="20" t="n">
        <x:f>G975*I975</x:f>
        <x:v>31135</x:v>
      </x:c>
      <x:c r="N975" s="20" t="n">
        <x:f>G975*J975</x:f>
        <x:v>3900</x:v>
      </x:c>
      <x:c r="O975" s="20" t="n">
        <x:f>G975*K975</x:f>
        <x:v>0</x:v>
      </x:c>
      <x:c r="P975" s="20" t="n">
        <x:f>G975*L975</x:f>
        <x:v>1170</x:v>
      </x:c>
      <x:c r="Q975" s="20" t="n">
        <x:f>H975*INDEX(Inputs!$B$13:$D$13,1,MATCH(A975,Inputs!$B$6:$D$6,0))</x:f>
        <x:v>390</x:v>
      </x:c>
      <x:c r="R975" s="20" t="n">
        <x:f>SUM(M975:Q975)</x:f>
        <x:v>36595</x:v>
      </x:c>
      <x:c r="S975" s="20" t="n">
        <x:f>IF(AND(A974=A975,D974=D975),S974+R975,R975)</x:f>
        <x:v>73190</x:v>
      </x:c>
      <x:c r="T975" s="20" t="n">
        <x:f>MIN(S975,INDEX(Inputs!$B$20:$D$20,1,MATCH(A975,Inputs!$B$6:$D$6,0)))*INDEX(Inputs!$B$22:$D$22,1,MATCH(A975,Inputs!$B$6:$D$6,0))+MAX(MIN(S975,INDEX(Inputs!$B$21:$D$21,1,MATCH(A975,Inputs!$B$6:$D$6,0)))-INDEX(Inputs!$B$20:$D$20,1,MATCH(A975,Inputs!$B$6:$D$6,0)),0)*INDEX(Inputs!$B$23:$D$23,1,MATCH(A975,Inputs!$B$6:$D$6,0))+MAX(S975-INDEX(Inputs!$B$21:$D$21,1,MATCH(A975,Inputs!$B$6:$D$6,0)),0)*INDEX(Inputs!$B$24:$D$24,1,MATCH(A975,Inputs!$B$6:$D$6,0))</x:f>
        <x:v>6089.035</x:v>
      </x:c>
      <x:c r="U975" s="20" t="n">
        <x:f>IF(AND(A974=A975,D974=D975),T974,0)</x:f>
        <x:v>3289.5175</x:v>
      </x:c>
      <x:c r="V975" s="20" t="n">
        <x:f>T975-U975</x:f>
        <x:v>2799.5175</x:v>
      </x:c>
      <x:c r="W975" s="20" t="n">
        <x:f>R975+V975</x:f>
        <x:v>39394.5175</x:v>
      </x:c>
      <x:c r="X975" s="14" t="str">
        <x:f>IF(ABS(W975-SUM(M975:Q975)-V975)&lt;0.01,"OK","Check")</x:f>
        <x:v>OK</x:v>
      </x:c>
    </x:row>
    <x:row r="976">
      <x:c r="A976" s="14" t="n">
        <x:v>2028</x:v>
      </x:c>
      <x:c r="B976" s="14" t="str">
        <x:v>Q3</x:v>
      </x:c>
      <x:c r="C976" s="14" t="n">
        <x:v>3</x:v>
      </x:c>
      <x:c r="D976" s="14" t="n">
        <x:v>37</x:v>
      </x:c>
      <x:c r="E976" s="14" t="str">
        <x:f>INDEX(Roster!$B$6:$B$108,MATCH(D976,Roster!$A$6:$A$108,0))</x:f>
      </x:c>
      <x:c r="F976" s="14" t="str">
        <x:f>INDEX(Roster!$F$6:$F$108,MATCH(D976,Roster!$A$6:$A$108,0))</x:f>
        <x:v>No</x:v>
      </x:c>
      <x:c r="G976" s="14" t="n">
        <x:f>INDEX(Inputs!$B$7:$D$7,1,MATCH(A976,Inputs!$B$6:$D$6,0))</x:f>
        <x:v>13</x:v>
      </x:c>
      <x:c r="H976" s="14" t="n">
        <x:f>MIN(=INDEX(Inputs!$B$7:$D$7,1,MATCH(A976,Inputs!$B$6:$D$6,0)),MAX(0,INDEX(Inputs!$B$14:$D$14,1,MATCH(A976,Inputs!$B$6:$D$6,0))-(C976-1)*=INDEX(Inputs!$B$7:$D$7,1,MATCH(A976,Inputs!$B$6:$D$6,0))))</x:f>
        <x:v>13</x:v>
      </x:c>
      <x:c r="I976" s="20" t="n">
        <x:f>INDEX(Inputs!$B$8:$D$8,1,MATCH(A976,Inputs!$B$6:$D$6,0))</x:f>
        <x:v>2395</x:v>
      </x:c>
      <x:c r="J976" s="20" t="n">
        <x:f>INDEX(Roster!$C$6:$C$108,MATCH(D976,Roster!$A$6:$A$108,0))*(1+INDEX(Inputs!$B$9:$D$9,1,MATCH(A976,Inputs!$B$6:$D$6,0)))</x:f>
        <x:v>300</x:v>
      </x:c>
      <x:c r="K976" s="20" t="n">
        <x:f>IF(=INDEX(Roster!$F$6:$F$108,MATCH(D976,Roster!$A$6:$A$108,0))="Yes",0,=INDEX(Inputs!$B$8:$D$8,1,MATCH(A976,Inputs!$B$6:$D$6,0))*IF(=INDEX(Roster!$B$6:$B$108,MATCH(D976,Roster!$A$6:$A$108,0))="Principal",INDEX(Inputs!$B$10:$D$10,1,MATCH(A976,Inputs!$B$6:$D$6,0)),IF(=INDEX(Roster!$B$6:$B$108,MATCH(D976,Roster!$A$6:$A$108,0))="Associate Principal",INDEX(Inputs!$B$11:$D$11,1,MATCH(A976,Inputs!$B$6:$D$6,0)),IF(=INDEX(Roster!$B$6:$B$108,MATCH(D976,Roster!$A$6:$A$108,0))="Assistant Principal",INDEX(Inputs!$B$12:$D$12,1,MATCH(A976,Inputs!$B$6:$D$6,0)),0))))</x:f>
        <x:v>0</x:v>
      </x:c>
      <x:c r="L976" s="20" t="n">
        <x:f>IF(INDEX(Roster!$D$6:$D$108,MATCH(D976,Roster!$A$6:$A$108,0))&gt;=25,INDEX(Inputs!$B$19:$D$19,1,MATCH(A976,Inputs!$B$6:$D$6,0)),IF(INDEX(Roster!$D$6:$D$108,MATCH(D976,Roster!$A$6:$A$108,0))&gt;=20,INDEX(Inputs!$B$18:$D$18,1,MATCH(A976,Inputs!$B$6:$D$6,0)),IF(INDEX(Roster!$D$6:$D$108,MATCH(D976,Roster!$A$6:$A$108,0))&gt;=15,INDEX(Inputs!$B$17:$D$17,1,MATCH(A976,Inputs!$B$6:$D$6,0)),IF(INDEX(Roster!$D$6:$D$108,MATCH(D976,Roster!$A$6:$A$108,0))&gt;=10,INDEX(Inputs!$B$16:$D$16,1,MATCH(A976,Inputs!$B$6:$D$6,0)),IF(INDEX(Roster!$D$6:$D$108,MATCH(D976,Roster!$A$6:$A$108,0))&gt;=5,INDEX(Inputs!$B$15:$D$15,1,MATCH(A976,Inputs!$B$6:$D$6,0)),0)))))</x:f>
        <x:v>90</x:v>
      </x:c>
      <x:c r="M976" s="20" t="n">
        <x:f>G976*I976</x:f>
        <x:v>31135</x:v>
      </x:c>
      <x:c r="N976" s="20" t="n">
        <x:f>G976*J976</x:f>
        <x:v>3900</x:v>
      </x:c>
      <x:c r="O976" s="20" t="n">
        <x:f>G976*K976</x:f>
        <x:v>0</x:v>
      </x:c>
      <x:c r="P976" s="20" t="n">
        <x:f>G976*L976</x:f>
        <x:v>1170</x:v>
      </x:c>
      <x:c r="Q976" s="20" t="n">
        <x:f>H976*INDEX(Inputs!$B$13:$D$13,1,MATCH(A976,Inputs!$B$6:$D$6,0))</x:f>
        <x:v>390</x:v>
      </x:c>
      <x:c r="R976" s="20" t="n">
        <x:f>SUM(M976:Q976)</x:f>
        <x:v>36595</x:v>
      </x:c>
      <x:c r="S976" s="20" t="n">
        <x:f>IF(AND(A975=A976,D975=D976),S975+R976,R976)</x:f>
        <x:v>109785</x:v>
      </x:c>
      <x:c r="T976" s="20" t="n">
        <x:f>MIN(S976,INDEX(Inputs!$B$20:$D$20,1,MATCH(A976,Inputs!$B$6:$D$6,0)))*INDEX(Inputs!$B$22:$D$22,1,MATCH(A976,Inputs!$B$6:$D$6,0))+MAX(MIN(S976,INDEX(Inputs!$B$21:$D$21,1,MATCH(A976,Inputs!$B$6:$D$6,0)))-INDEX(Inputs!$B$20:$D$20,1,MATCH(A976,Inputs!$B$6:$D$6,0)),0)*INDEX(Inputs!$B$23:$D$23,1,MATCH(A976,Inputs!$B$6:$D$6,0))+MAX(S976-INDEX(Inputs!$B$21:$D$21,1,MATCH(A976,Inputs!$B$6:$D$6,0)),0)*INDEX(Inputs!$B$24:$D$24,1,MATCH(A976,Inputs!$B$6:$D$6,0))</x:f>
        <x:v>8888.5525</x:v>
      </x:c>
      <x:c r="U976" s="20" t="n">
        <x:f>IF(AND(A975=A976,D975=D976),T975,0)</x:f>
        <x:v>6089.035</x:v>
      </x:c>
      <x:c r="V976" s="20" t="n">
        <x:f>T976-U976</x:f>
        <x:v>2799.5175</x:v>
      </x:c>
      <x:c r="W976" s="20" t="n">
        <x:f>R976+V976</x:f>
        <x:v>39394.5175</x:v>
      </x:c>
      <x:c r="X976" s="14" t="str">
        <x:f>IF(ABS(W976-SUM(M976:Q976)-V976)&lt;0.01,"OK","Check")</x:f>
        <x:v>OK</x:v>
      </x:c>
    </x:row>
    <x:row r="977">
      <x:c r="A977" s="14" t="n">
        <x:v>2028</x:v>
      </x:c>
      <x:c r="B977" s="14" t="str">
        <x:v>Q4</x:v>
      </x:c>
      <x:c r="C977" s="14" t="n">
        <x:v>4</x:v>
      </x:c>
      <x:c r="D977" s="14" t="n">
        <x:v>37</x:v>
      </x:c>
      <x:c r="E977" s="14" t="str">
        <x:f>INDEX(Roster!$B$6:$B$108,MATCH(D977,Roster!$A$6:$A$108,0))</x:f>
      </x:c>
      <x:c r="F977" s="14" t="str">
        <x:f>INDEX(Roster!$F$6:$F$108,MATCH(D977,Roster!$A$6:$A$108,0))</x:f>
        <x:v>No</x:v>
      </x:c>
      <x:c r="G977" s="14" t="n">
        <x:f>INDEX(Inputs!$B$7:$D$7,1,MATCH(A977,Inputs!$B$6:$D$6,0))</x:f>
        <x:v>13</x:v>
      </x:c>
      <x:c r="H977" s="14" t="n">
        <x:f>MIN(=INDEX(Inputs!$B$7:$D$7,1,MATCH(A977,Inputs!$B$6:$D$6,0)),MAX(0,INDEX(Inputs!$B$14:$D$14,1,MATCH(A977,Inputs!$B$6:$D$6,0))-(C977-1)*=INDEX(Inputs!$B$7:$D$7,1,MATCH(A977,Inputs!$B$6:$D$6,0))))</x:f>
        <x:v>0</x:v>
      </x:c>
      <x:c r="I977" s="20" t="n">
        <x:f>INDEX(Inputs!$B$8:$D$8,1,MATCH(A977,Inputs!$B$6:$D$6,0))</x:f>
        <x:v>2395</x:v>
      </x:c>
      <x:c r="J977" s="20" t="n">
        <x:f>INDEX(Roster!$C$6:$C$108,MATCH(D977,Roster!$A$6:$A$108,0))*(1+INDEX(Inputs!$B$9:$D$9,1,MATCH(A977,Inputs!$B$6:$D$6,0)))</x:f>
        <x:v>300</x:v>
      </x:c>
      <x:c r="K977" s="20" t="n">
        <x:f>IF(=INDEX(Roster!$F$6:$F$108,MATCH(D977,Roster!$A$6:$A$108,0))="Yes",0,=INDEX(Inputs!$B$8:$D$8,1,MATCH(A977,Inputs!$B$6:$D$6,0))*IF(=INDEX(Roster!$B$6:$B$108,MATCH(D977,Roster!$A$6:$A$108,0))="Principal",INDEX(Inputs!$B$10:$D$10,1,MATCH(A977,Inputs!$B$6:$D$6,0)),IF(=INDEX(Roster!$B$6:$B$108,MATCH(D977,Roster!$A$6:$A$108,0))="Associate Principal",INDEX(Inputs!$B$11:$D$11,1,MATCH(A977,Inputs!$B$6:$D$6,0)),IF(=INDEX(Roster!$B$6:$B$108,MATCH(D977,Roster!$A$6:$A$108,0))="Assistant Principal",INDEX(Inputs!$B$12:$D$12,1,MATCH(A977,Inputs!$B$6:$D$6,0)),0))))</x:f>
        <x:v>0</x:v>
      </x:c>
      <x:c r="L977" s="20" t="n">
        <x:f>IF(INDEX(Roster!$D$6:$D$108,MATCH(D977,Roster!$A$6:$A$108,0))&gt;=25,INDEX(Inputs!$B$19:$D$19,1,MATCH(A977,Inputs!$B$6:$D$6,0)),IF(INDEX(Roster!$D$6:$D$108,MATCH(D977,Roster!$A$6:$A$108,0))&gt;=20,INDEX(Inputs!$B$18:$D$18,1,MATCH(A977,Inputs!$B$6:$D$6,0)),IF(INDEX(Roster!$D$6:$D$108,MATCH(D977,Roster!$A$6:$A$108,0))&gt;=15,INDEX(Inputs!$B$17:$D$17,1,MATCH(A977,Inputs!$B$6:$D$6,0)),IF(INDEX(Roster!$D$6:$D$108,MATCH(D977,Roster!$A$6:$A$108,0))&gt;=10,INDEX(Inputs!$B$16:$D$16,1,MATCH(A977,Inputs!$B$6:$D$6,0)),IF(INDEX(Roster!$D$6:$D$108,MATCH(D977,Roster!$A$6:$A$108,0))&gt;=5,INDEX(Inputs!$B$15:$D$15,1,MATCH(A977,Inputs!$B$6:$D$6,0)),0)))))</x:f>
        <x:v>90</x:v>
      </x:c>
      <x:c r="M977" s="20" t="n">
        <x:f>G977*I977</x:f>
        <x:v>31135</x:v>
      </x:c>
      <x:c r="N977" s="20" t="n">
        <x:f>G977*J977</x:f>
        <x:v>3900</x:v>
      </x:c>
      <x:c r="O977" s="20" t="n">
        <x:f>G977*K977</x:f>
        <x:v>0</x:v>
      </x:c>
      <x:c r="P977" s="20" t="n">
        <x:f>G977*L977</x:f>
        <x:v>1170</x:v>
      </x:c>
      <x:c r="Q977" s="20" t="n">
        <x:f>H977*INDEX(Inputs!$B$13:$D$13,1,MATCH(A977,Inputs!$B$6:$D$6,0))</x:f>
        <x:v>0</x:v>
      </x:c>
      <x:c r="R977" s="20" t="n">
        <x:f>SUM(M977:Q977)</x:f>
        <x:v>36205</x:v>
      </x:c>
      <x:c r="S977" s="20" t="n">
        <x:f>IF(AND(A976=A977,D976=D977),S976+R977,R977)</x:f>
        <x:v>145990</x:v>
      </x:c>
      <x:c r="T977" s="20" t="n">
        <x:f>MIN(S977,INDEX(Inputs!$B$20:$D$20,1,MATCH(A977,Inputs!$B$6:$D$6,0)))*INDEX(Inputs!$B$22:$D$22,1,MATCH(A977,Inputs!$B$6:$D$6,0))+MAX(MIN(S977,INDEX(Inputs!$B$21:$D$21,1,MATCH(A977,Inputs!$B$6:$D$6,0)))-INDEX(Inputs!$B$20:$D$20,1,MATCH(A977,Inputs!$B$6:$D$6,0)),0)*INDEX(Inputs!$B$23:$D$23,1,MATCH(A977,Inputs!$B$6:$D$6,0))+MAX(S977-INDEX(Inputs!$B$21:$D$21,1,MATCH(A977,Inputs!$B$6:$D$6,0)),0)*INDEX(Inputs!$B$24:$D$24,1,MATCH(A977,Inputs!$B$6:$D$6,0))</x:f>
        <x:v>10030.797</x:v>
      </x:c>
      <x:c r="U977" s="20" t="n">
        <x:f>IF(AND(A976=A977,D976=D977),T976,0)</x:f>
        <x:v>8888.5525</x:v>
      </x:c>
      <x:c r="V977" s="20" t="n">
        <x:f>T977-U977</x:f>
        <x:v>1142.2445000000007</x:v>
      </x:c>
      <x:c r="W977" s="20" t="n">
        <x:f>R977+V977</x:f>
        <x:v>37347.2445</x:v>
      </x:c>
      <x:c r="X977" s="14" t="str">
        <x:f>IF(ABS(W977-SUM(M977:Q977)-V977)&lt;0.01,"OK","Check")</x:f>
        <x:v>OK</x:v>
      </x:c>
    </x:row>
    <x:row r="978">
      <x:c r="A978" s="14" t="n">
        <x:v>2028</x:v>
      </x:c>
      <x:c r="B978" s="14" t="str">
        <x:v>Q1</x:v>
      </x:c>
      <x:c r="C978" s="14" t="n">
        <x:v>1</x:v>
      </x:c>
      <x:c r="D978" s="14" t="n">
        <x:v>38</x:v>
      </x:c>
      <x:c r="E978" s="14" t="str">
        <x:f>INDEX(Roster!$B$6:$B$108,MATCH(D978,Roster!$A$6:$A$108,0))</x:f>
        <x:v>Principal</x:v>
      </x:c>
      <x:c r="F978" s="14" t="str">
        <x:f>INDEX(Roster!$F$6:$F$108,MATCH(D978,Roster!$A$6:$A$108,0))</x:f>
        <x:v>No</x:v>
      </x:c>
      <x:c r="G978" s="14" t="n">
        <x:f>INDEX(Inputs!$B$7:$D$7,1,MATCH(A978,Inputs!$B$6:$D$6,0))</x:f>
        <x:v>13</x:v>
      </x:c>
      <x:c r="H978" s="14" t="n">
        <x:f>MIN(=INDEX(Inputs!$B$7:$D$7,1,MATCH(A978,Inputs!$B$6:$D$6,0)),MAX(0,INDEX(Inputs!$B$14:$D$14,1,MATCH(A978,Inputs!$B$6:$D$6,0))-(C978-1)*=INDEX(Inputs!$B$7:$D$7,1,MATCH(A978,Inputs!$B$6:$D$6,0))))</x:f>
        <x:v>13</x:v>
      </x:c>
      <x:c r="I978" s="20" t="n">
        <x:f>INDEX(Inputs!$B$8:$D$8,1,MATCH(A978,Inputs!$B$6:$D$6,0))</x:f>
        <x:v>2395</x:v>
      </x:c>
      <x:c r="J978" s="20" t="n">
        <x:f>INDEX(Roster!$C$6:$C$108,MATCH(D978,Roster!$A$6:$A$108,0))*(1+INDEX(Inputs!$B$9:$D$9,1,MATCH(A978,Inputs!$B$6:$D$6,0)))</x:f>
        <x:v>700</x:v>
      </x:c>
      <x:c r="K978" s="20" t="n">
        <x:f>IF(=INDEX(Roster!$F$6:$F$108,MATCH(D978,Roster!$A$6:$A$108,0))="Yes",0,=INDEX(Inputs!$B$8:$D$8,1,MATCH(A978,Inputs!$B$6:$D$6,0))*IF(=INDEX(Roster!$B$6:$B$108,MATCH(D978,Roster!$A$6:$A$108,0))="Principal",INDEX(Inputs!$B$10:$D$10,1,MATCH(A978,Inputs!$B$6:$D$6,0)),IF(=INDEX(Roster!$B$6:$B$108,MATCH(D978,Roster!$A$6:$A$108,0))="Associate Principal",INDEX(Inputs!$B$11:$D$11,1,MATCH(A978,Inputs!$B$6:$D$6,0)),IF(=INDEX(Roster!$B$6:$B$108,MATCH(D978,Roster!$A$6:$A$108,0))="Assistant Principal",INDEX(Inputs!$B$12:$D$12,1,MATCH(A978,Inputs!$B$6:$D$6,0)),0))))</x:f>
        <x:v>479</x:v>
      </x:c>
      <x:c r="L978" s="20" t="n">
        <x:f>IF(INDEX(Roster!$D$6:$D$108,MATCH(D978,Roster!$A$6:$A$108,0))&gt;=25,INDEX(Inputs!$B$19:$D$19,1,MATCH(A978,Inputs!$B$6:$D$6,0)),IF(INDEX(Roster!$D$6:$D$108,MATCH(D978,Roster!$A$6:$A$108,0))&gt;=20,INDEX(Inputs!$B$18:$D$18,1,MATCH(A978,Inputs!$B$6:$D$6,0)),IF(INDEX(Roster!$D$6:$D$108,MATCH(D978,Roster!$A$6:$A$108,0))&gt;=15,INDEX(Inputs!$B$17:$D$17,1,MATCH(A978,Inputs!$B$6:$D$6,0)),IF(INDEX(Roster!$D$6:$D$108,MATCH(D978,Roster!$A$6:$A$108,0))&gt;=10,INDEX(Inputs!$B$16:$D$16,1,MATCH(A978,Inputs!$B$6:$D$6,0)),IF(INDEX(Roster!$D$6:$D$108,MATCH(D978,Roster!$A$6:$A$108,0))&gt;=5,INDEX(Inputs!$B$15:$D$15,1,MATCH(A978,Inputs!$B$6:$D$6,0)),0)))))</x:f>
        <x:v>90</x:v>
      </x:c>
      <x:c r="M978" s="20" t="n">
        <x:f>G978*I978</x:f>
        <x:v>31135</x:v>
      </x:c>
      <x:c r="N978" s="20" t="n">
        <x:f>G978*J978</x:f>
        <x:v>9100</x:v>
      </x:c>
      <x:c r="O978" s="20" t="n">
        <x:f>G978*K978</x:f>
        <x:v>6227</x:v>
      </x:c>
      <x:c r="P978" s="20" t="n">
        <x:f>G978*L978</x:f>
        <x:v>1170</x:v>
      </x:c>
      <x:c r="Q978" s="20" t="n">
        <x:f>H978*INDEX(Inputs!$B$13:$D$13,1,MATCH(A978,Inputs!$B$6:$D$6,0))</x:f>
        <x:v>390</x:v>
      </x:c>
      <x:c r="R978" s="20" t="n">
        <x:f>SUM(M978:Q978)</x:f>
        <x:v>48022</x:v>
      </x:c>
      <x:c r="S978" s="20" t="n">
        <x:f>IF(AND(A977=A978,D977=D978),S977+R978,R978)</x:f>
        <x:v>48022</x:v>
      </x:c>
      <x:c r="T978" s="20" t="n">
        <x:f>MIN(S978,INDEX(Inputs!$B$20:$D$20,1,MATCH(A978,Inputs!$B$6:$D$6,0)))*INDEX(Inputs!$B$22:$D$22,1,MATCH(A978,Inputs!$B$6:$D$6,0))+MAX(MIN(S978,INDEX(Inputs!$B$21:$D$21,1,MATCH(A978,Inputs!$B$6:$D$6,0)))-INDEX(Inputs!$B$20:$D$20,1,MATCH(A978,Inputs!$B$6:$D$6,0)),0)*INDEX(Inputs!$B$23:$D$23,1,MATCH(A978,Inputs!$B$6:$D$6,0))+MAX(S978-INDEX(Inputs!$B$21:$D$21,1,MATCH(A978,Inputs!$B$6:$D$6,0)),0)*INDEX(Inputs!$B$24:$D$24,1,MATCH(A978,Inputs!$B$6:$D$6,0))</x:f>
        <x:v>4163.683</x:v>
      </x:c>
      <x:c r="U978" s="20" t="n">
        <x:f>IF(AND(A977=A978,D977=D978),T977,0)</x:f>
        <x:v>0</x:v>
      </x:c>
      <x:c r="V978" s="20" t="n">
        <x:f>T978-U978</x:f>
        <x:v>4163.683</x:v>
      </x:c>
      <x:c r="W978" s="20" t="n">
        <x:f>R978+V978</x:f>
        <x:v>52185.683</x:v>
      </x:c>
      <x:c r="X978" s="14" t="str">
        <x:f>IF(ABS(W978-SUM(M978:Q978)-V978)&lt;0.01,"OK","Check")</x:f>
        <x:v>OK</x:v>
      </x:c>
    </x:row>
    <x:row r="979">
      <x:c r="A979" s="14" t="n">
        <x:v>2028</x:v>
      </x:c>
      <x:c r="B979" s="14" t="str">
        <x:v>Q2</x:v>
      </x:c>
      <x:c r="C979" s="14" t="n">
        <x:v>2</x:v>
      </x:c>
      <x:c r="D979" s="14" t="n">
        <x:v>38</x:v>
      </x:c>
      <x:c r="E979" s="14" t="str">
        <x:f>INDEX(Roster!$B$6:$B$108,MATCH(D979,Roster!$A$6:$A$108,0))</x:f>
        <x:v>Principal</x:v>
      </x:c>
      <x:c r="F979" s="14" t="str">
        <x:f>INDEX(Roster!$F$6:$F$108,MATCH(D979,Roster!$A$6:$A$108,0))</x:f>
        <x:v>No</x:v>
      </x:c>
      <x:c r="G979" s="14" t="n">
        <x:f>INDEX(Inputs!$B$7:$D$7,1,MATCH(A979,Inputs!$B$6:$D$6,0))</x:f>
        <x:v>13</x:v>
      </x:c>
      <x:c r="H979" s="14" t="n">
        <x:f>MIN(=INDEX(Inputs!$B$7:$D$7,1,MATCH(A979,Inputs!$B$6:$D$6,0)),MAX(0,INDEX(Inputs!$B$14:$D$14,1,MATCH(A979,Inputs!$B$6:$D$6,0))-(C979-1)*=INDEX(Inputs!$B$7:$D$7,1,MATCH(A979,Inputs!$B$6:$D$6,0))))</x:f>
        <x:v>13</x:v>
      </x:c>
      <x:c r="I979" s="20" t="n">
        <x:f>INDEX(Inputs!$B$8:$D$8,1,MATCH(A979,Inputs!$B$6:$D$6,0))</x:f>
        <x:v>2395</x:v>
      </x:c>
      <x:c r="J979" s="20" t="n">
        <x:f>INDEX(Roster!$C$6:$C$108,MATCH(D979,Roster!$A$6:$A$108,0))*(1+INDEX(Inputs!$B$9:$D$9,1,MATCH(A979,Inputs!$B$6:$D$6,0)))</x:f>
        <x:v>700</x:v>
      </x:c>
      <x:c r="K979" s="20" t="n">
        <x:f>IF(=INDEX(Roster!$F$6:$F$108,MATCH(D979,Roster!$A$6:$A$108,0))="Yes",0,=INDEX(Inputs!$B$8:$D$8,1,MATCH(A979,Inputs!$B$6:$D$6,0))*IF(=INDEX(Roster!$B$6:$B$108,MATCH(D979,Roster!$A$6:$A$108,0))="Principal",INDEX(Inputs!$B$10:$D$10,1,MATCH(A979,Inputs!$B$6:$D$6,0)),IF(=INDEX(Roster!$B$6:$B$108,MATCH(D979,Roster!$A$6:$A$108,0))="Associate Principal",INDEX(Inputs!$B$11:$D$11,1,MATCH(A979,Inputs!$B$6:$D$6,0)),IF(=INDEX(Roster!$B$6:$B$108,MATCH(D979,Roster!$A$6:$A$108,0))="Assistant Principal",INDEX(Inputs!$B$12:$D$12,1,MATCH(A979,Inputs!$B$6:$D$6,0)),0))))</x:f>
        <x:v>479</x:v>
      </x:c>
      <x:c r="L979" s="20" t="n">
        <x:f>IF(INDEX(Roster!$D$6:$D$108,MATCH(D979,Roster!$A$6:$A$108,0))&gt;=25,INDEX(Inputs!$B$19:$D$19,1,MATCH(A979,Inputs!$B$6:$D$6,0)),IF(INDEX(Roster!$D$6:$D$108,MATCH(D979,Roster!$A$6:$A$108,0))&gt;=20,INDEX(Inputs!$B$18:$D$18,1,MATCH(A979,Inputs!$B$6:$D$6,0)),IF(INDEX(Roster!$D$6:$D$108,MATCH(D979,Roster!$A$6:$A$108,0))&gt;=15,INDEX(Inputs!$B$17:$D$17,1,MATCH(A979,Inputs!$B$6:$D$6,0)),IF(INDEX(Roster!$D$6:$D$108,MATCH(D979,Roster!$A$6:$A$108,0))&gt;=10,INDEX(Inputs!$B$16:$D$16,1,MATCH(A979,Inputs!$B$6:$D$6,0)),IF(INDEX(Roster!$D$6:$D$108,MATCH(D979,Roster!$A$6:$A$108,0))&gt;=5,INDEX(Inputs!$B$15:$D$15,1,MATCH(A979,Inputs!$B$6:$D$6,0)),0)))))</x:f>
        <x:v>90</x:v>
      </x:c>
      <x:c r="M979" s="20" t="n">
        <x:f>G979*I979</x:f>
        <x:v>31135</x:v>
      </x:c>
      <x:c r="N979" s="20" t="n">
        <x:f>G979*J979</x:f>
        <x:v>9100</x:v>
      </x:c>
      <x:c r="O979" s="20" t="n">
        <x:f>G979*K979</x:f>
        <x:v>6227</x:v>
      </x:c>
      <x:c r="P979" s="20" t="n">
        <x:f>G979*L979</x:f>
        <x:v>1170</x:v>
      </x:c>
      <x:c r="Q979" s="20" t="n">
        <x:f>H979*INDEX(Inputs!$B$13:$D$13,1,MATCH(A979,Inputs!$B$6:$D$6,0))</x:f>
        <x:v>390</x:v>
      </x:c>
      <x:c r="R979" s="20" t="n">
        <x:f>SUM(M979:Q979)</x:f>
        <x:v>48022</x:v>
      </x:c>
      <x:c r="S979" s="20" t="n">
        <x:f>IF(AND(A978=A979,D978=D979),S978+R979,R979)</x:f>
        <x:v>96044</x:v>
      </x:c>
      <x:c r="T979" s="20" t="n">
        <x:f>MIN(S979,INDEX(Inputs!$B$20:$D$20,1,MATCH(A979,Inputs!$B$6:$D$6,0)))*INDEX(Inputs!$B$22:$D$22,1,MATCH(A979,Inputs!$B$6:$D$6,0))+MAX(MIN(S979,INDEX(Inputs!$B$21:$D$21,1,MATCH(A979,Inputs!$B$6:$D$6,0)))-INDEX(Inputs!$B$20:$D$20,1,MATCH(A979,Inputs!$B$6:$D$6,0)),0)*INDEX(Inputs!$B$23:$D$23,1,MATCH(A979,Inputs!$B$6:$D$6,0))+MAX(S979-INDEX(Inputs!$B$21:$D$21,1,MATCH(A979,Inputs!$B$6:$D$6,0)),0)*INDEX(Inputs!$B$24:$D$24,1,MATCH(A979,Inputs!$B$6:$D$6,0))</x:f>
        <x:v>7837.366</x:v>
      </x:c>
      <x:c r="U979" s="20" t="n">
        <x:f>IF(AND(A978=A979,D978=D979),T978,0)</x:f>
        <x:v>4163.683</x:v>
      </x:c>
      <x:c r="V979" s="20" t="n">
        <x:f>T979-U979</x:f>
        <x:v>3673.683</x:v>
      </x:c>
      <x:c r="W979" s="20" t="n">
        <x:f>R979+V979</x:f>
        <x:v>51695.683</x:v>
      </x:c>
      <x:c r="X979" s="14" t="str">
        <x:f>IF(ABS(W979-SUM(M979:Q979)-V979)&lt;0.01,"OK","Check")</x:f>
        <x:v>OK</x:v>
      </x:c>
    </x:row>
    <x:row r="980">
      <x:c r="A980" s="14" t="n">
        <x:v>2028</x:v>
      </x:c>
      <x:c r="B980" s="14" t="str">
        <x:v>Q3</x:v>
      </x:c>
      <x:c r="C980" s="14" t="n">
        <x:v>3</x:v>
      </x:c>
      <x:c r="D980" s="14" t="n">
        <x:v>38</x:v>
      </x:c>
      <x:c r="E980" s="14" t="str">
        <x:f>INDEX(Roster!$B$6:$B$108,MATCH(D980,Roster!$A$6:$A$108,0))</x:f>
        <x:v>Principal</x:v>
      </x:c>
      <x:c r="F980" s="14" t="str">
        <x:f>INDEX(Roster!$F$6:$F$108,MATCH(D980,Roster!$A$6:$A$108,0))</x:f>
        <x:v>No</x:v>
      </x:c>
      <x:c r="G980" s="14" t="n">
        <x:f>INDEX(Inputs!$B$7:$D$7,1,MATCH(A980,Inputs!$B$6:$D$6,0))</x:f>
        <x:v>13</x:v>
      </x:c>
      <x:c r="H980" s="14" t="n">
        <x:f>MIN(=INDEX(Inputs!$B$7:$D$7,1,MATCH(A980,Inputs!$B$6:$D$6,0)),MAX(0,INDEX(Inputs!$B$14:$D$14,1,MATCH(A980,Inputs!$B$6:$D$6,0))-(C980-1)*=INDEX(Inputs!$B$7:$D$7,1,MATCH(A980,Inputs!$B$6:$D$6,0))))</x:f>
        <x:v>13</x:v>
      </x:c>
      <x:c r="I980" s="20" t="n">
        <x:f>INDEX(Inputs!$B$8:$D$8,1,MATCH(A980,Inputs!$B$6:$D$6,0))</x:f>
        <x:v>2395</x:v>
      </x:c>
      <x:c r="J980" s="20" t="n">
        <x:f>INDEX(Roster!$C$6:$C$108,MATCH(D980,Roster!$A$6:$A$108,0))*(1+INDEX(Inputs!$B$9:$D$9,1,MATCH(A980,Inputs!$B$6:$D$6,0)))</x:f>
        <x:v>700</x:v>
      </x:c>
      <x:c r="K980" s="20" t="n">
        <x:f>IF(=INDEX(Roster!$F$6:$F$108,MATCH(D980,Roster!$A$6:$A$108,0))="Yes",0,=INDEX(Inputs!$B$8:$D$8,1,MATCH(A980,Inputs!$B$6:$D$6,0))*IF(=INDEX(Roster!$B$6:$B$108,MATCH(D980,Roster!$A$6:$A$108,0))="Principal",INDEX(Inputs!$B$10:$D$10,1,MATCH(A980,Inputs!$B$6:$D$6,0)),IF(=INDEX(Roster!$B$6:$B$108,MATCH(D980,Roster!$A$6:$A$108,0))="Associate Principal",INDEX(Inputs!$B$11:$D$11,1,MATCH(A980,Inputs!$B$6:$D$6,0)),IF(=INDEX(Roster!$B$6:$B$108,MATCH(D980,Roster!$A$6:$A$108,0))="Assistant Principal",INDEX(Inputs!$B$12:$D$12,1,MATCH(A980,Inputs!$B$6:$D$6,0)),0))))</x:f>
        <x:v>479</x:v>
      </x:c>
      <x:c r="L980" s="20" t="n">
        <x:f>IF(INDEX(Roster!$D$6:$D$108,MATCH(D980,Roster!$A$6:$A$108,0))&gt;=25,INDEX(Inputs!$B$19:$D$19,1,MATCH(A980,Inputs!$B$6:$D$6,0)),IF(INDEX(Roster!$D$6:$D$108,MATCH(D980,Roster!$A$6:$A$108,0))&gt;=20,INDEX(Inputs!$B$18:$D$18,1,MATCH(A980,Inputs!$B$6:$D$6,0)),IF(INDEX(Roster!$D$6:$D$108,MATCH(D980,Roster!$A$6:$A$108,0))&gt;=15,INDEX(Inputs!$B$17:$D$17,1,MATCH(A980,Inputs!$B$6:$D$6,0)),IF(INDEX(Roster!$D$6:$D$108,MATCH(D980,Roster!$A$6:$A$108,0))&gt;=10,INDEX(Inputs!$B$16:$D$16,1,MATCH(A980,Inputs!$B$6:$D$6,0)),IF(INDEX(Roster!$D$6:$D$108,MATCH(D980,Roster!$A$6:$A$108,0))&gt;=5,INDEX(Inputs!$B$15:$D$15,1,MATCH(A980,Inputs!$B$6:$D$6,0)),0)))))</x:f>
        <x:v>90</x:v>
      </x:c>
      <x:c r="M980" s="20" t="n">
        <x:f>G980*I980</x:f>
        <x:v>31135</x:v>
      </x:c>
      <x:c r="N980" s="20" t="n">
        <x:f>G980*J980</x:f>
        <x:v>9100</x:v>
      </x:c>
      <x:c r="O980" s="20" t="n">
        <x:f>G980*K980</x:f>
        <x:v>6227</x:v>
      </x:c>
      <x:c r="P980" s="20" t="n">
        <x:f>G980*L980</x:f>
        <x:v>1170</x:v>
      </x:c>
      <x:c r="Q980" s="20" t="n">
        <x:f>H980*INDEX(Inputs!$B$13:$D$13,1,MATCH(A980,Inputs!$B$6:$D$6,0))</x:f>
        <x:v>390</x:v>
      </x:c>
      <x:c r="R980" s="20" t="n">
        <x:f>SUM(M980:Q980)</x:f>
        <x:v>48022</x:v>
      </x:c>
      <x:c r="S980" s="20" t="n">
        <x:f>IF(AND(A979=A980,D979=D980),S979+R980,R980)</x:f>
        <x:v>144066</x:v>
      </x:c>
      <x:c r="T980" s="20" t="n">
        <x:f>MIN(S980,INDEX(Inputs!$B$20:$D$20,1,MATCH(A980,Inputs!$B$6:$D$6,0)))*INDEX(Inputs!$B$22:$D$22,1,MATCH(A980,Inputs!$B$6:$D$6,0))+MAX(MIN(S980,INDEX(Inputs!$B$21:$D$21,1,MATCH(A980,Inputs!$B$6:$D$6,0)))-INDEX(Inputs!$B$20:$D$20,1,MATCH(A980,Inputs!$B$6:$D$6,0)),0)*INDEX(Inputs!$B$23:$D$23,1,MATCH(A980,Inputs!$B$6:$D$6,0))+MAX(S980-INDEX(Inputs!$B$21:$D$21,1,MATCH(A980,Inputs!$B$6:$D$6,0)),0)*INDEX(Inputs!$B$24:$D$24,1,MATCH(A980,Inputs!$B$6:$D$6,0))</x:f>
        <x:v>10002.899</x:v>
      </x:c>
      <x:c r="U980" s="20" t="n">
        <x:f>IF(AND(A979=A980,D979=D980),T979,0)</x:f>
        <x:v>7837.366</x:v>
      </x:c>
      <x:c r="V980" s="20" t="n">
        <x:f>T980-U980</x:f>
        <x:v>2165.5329999999994</x:v>
      </x:c>
      <x:c r="W980" s="20" t="n">
        <x:f>R980+V980</x:f>
        <x:v>50187.532999999996</x:v>
      </x:c>
      <x:c r="X980" s="14" t="str">
        <x:f>IF(ABS(W980-SUM(M980:Q980)-V980)&lt;0.01,"OK","Check")</x:f>
        <x:v>OK</x:v>
      </x:c>
    </x:row>
    <x:row r="981">
      <x:c r="A981" s="14" t="n">
        <x:v>2028</x:v>
      </x:c>
      <x:c r="B981" s="14" t="str">
        <x:v>Q4</x:v>
      </x:c>
      <x:c r="C981" s="14" t="n">
        <x:v>4</x:v>
      </x:c>
      <x:c r="D981" s="14" t="n">
        <x:v>38</x:v>
      </x:c>
      <x:c r="E981" s="14" t="str">
        <x:f>INDEX(Roster!$B$6:$B$108,MATCH(D981,Roster!$A$6:$A$108,0))</x:f>
        <x:v>Principal</x:v>
      </x:c>
      <x:c r="F981" s="14" t="str">
        <x:f>INDEX(Roster!$F$6:$F$108,MATCH(D981,Roster!$A$6:$A$108,0))</x:f>
        <x:v>No</x:v>
      </x:c>
      <x:c r="G981" s="14" t="n">
        <x:f>INDEX(Inputs!$B$7:$D$7,1,MATCH(A981,Inputs!$B$6:$D$6,0))</x:f>
        <x:v>13</x:v>
      </x:c>
      <x:c r="H981" s="14" t="n">
        <x:f>MIN(=INDEX(Inputs!$B$7:$D$7,1,MATCH(A981,Inputs!$B$6:$D$6,0)),MAX(0,INDEX(Inputs!$B$14:$D$14,1,MATCH(A981,Inputs!$B$6:$D$6,0))-(C981-1)*=INDEX(Inputs!$B$7:$D$7,1,MATCH(A981,Inputs!$B$6:$D$6,0))))</x:f>
        <x:v>0</x:v>
      </x:c>
      <x:c r="I981" s="20" t="n">
        <x:f>INDEX(Inputs!$B$8:$D$8,1,MATCH(A981,Inputs!$B$6:$D$6,0))</x:f>
        <x:v>2395</x:v>
      </x:c>
      <x:c r="J981" s="20" t="n">
        <x:f>INDEX(Roster!$C$6:$C$108,MATCH(D981,Roster!$A$6:$A$108,0))*(1+INDEX(Inputs!$B$9:$D$9,1,MATCH(A981,Inputs!$B$6:$D$6,0)))</x:f>
        <x:v>700</x:v>
      </x:c>
      <x:c r="K981" s="20" t="n">
        <x:f>IF(=INDEX(Roster!$F$6:$F$108,MATCH(D981,Roster!$A$6:$A$108,0))="Yes",0,=INDEX(Inputs!$B$8:$D$8,1,MATCH(A981,Inputs!$B$6:$D$6,0))*IF(=INDEX(Roster!$B$6:$B$108,MATCH(D981,Roster!$A$6:$A$108,0))="Principal",INDEX(Inputs!$B$10:$D$10,1,MATCH(A981,Inputs!$B$6:$D$6,0)),IF(=INDEX(Roster!$B$6:$B$108,MATCH(D981,Roster!$A$6:$A$108,0))="Associate Principal",INDEX(Inputs!$B$11:$D$11,1,MATCH(A981,Inputs!$B$6:$D$6,0)),IF(=INDEX(Roster!$B$6:$B$108,MATCH(D981,Roster!$A$6:$A$108,0))="Assistant Principal",INDEX(Inputs!$B$12:$D$12,1,MATCH(A981,Inputs!$B$6:$D$6,0)),0))))</x:f>
        <x:v>479</x:v>
      </x:c>
      <x:c r="L981" s="20" t="n">
        <x:f>IF(INDEX(Roster!$D$6:$D$108,MATCH(D981,Roster!$A$6:$A$108,0))&gt;=25,INDEX(Inputs!$B$19:$D$19,1,MATCH(A981,Inputs!$B$6:$D$6,0)),IF(INDEX(Roster!$D$6:$D$108,MATCH(D981,Roster!$A$6:$A$108,0))&gt;=20,INDEX(Inputs!$B$18:$D$18,1,MATCH(A981,Inputs!$B$6:$D$6,0)),IF(INDEX(Roster!$D$6:$D$108,MATCH(D981,Roster!$A$6:$A$108,0))&gt;=15,INDEX(Inputs!$B$17:$D$17,1,MATCH(A981,Inputs!$B$6:$D$6,0)),IF(INDEX(Roster!$D$6:$D$108,MATCH(D981,Roster!$A$6:$A$108,0))&gt;=10,INDEX(Inputs!$B$16:$D$16,1,MATCH(A981,Inputs!$B$6:$D$6,0)),IF(INDEX(Roster!$D$6:$D$108,MATCH(D981,Roster!$A$6:$A$108,0))&gt;=5,INDEX(Inputs!$B$15:$D$15,1,MATCH(A981,Inputs!$B$6:$D$6,0)),0)))))</x:f>
        <x:v>90</x:v>
      </x:c>
      <x:c r="M981" s="20" t="n">
        <x:f>G981*I981</x:f>
        <x:v>31135</x:v>
      </x:c>
      <x:c r="N981" s="20" t="n">
        <x:f>G981*J981</x:f>
        <x:v>9100</x:v>
      </x:c>
      <x:c r="O981" s="20" t="n">
        <x:f>G981*K981</x:f>
        <x:v>6227</x:v>
      </x:c>
      <x:c r="P981" s="20" t="n">
        <x:f>G981*L981</x:f>
        <x:v>1170</x:v>
      </x:c>
      <x:c r="Q981" s="20" t="n">
        <x:f>H981*INDEX(Inputs!$B$13:$D$13,1,MATCH(A981,Inputs!$B$6:$D$6,0))</x:f>
        <x:v>0</x:v>
      </x:c>
      <x:c r="R981" s="20" t="n">
        <x:f>SUM(M981:Q981)</x:f>
        <x:v>47632</x:v>
      </x:c>
      <x:c r="S981" s="20" t="n">
        <x:f>IF(AND(A980=A981,D980=D981),S980+R981,R981)</x:f>
        <x:v>191698</x:v>
      </x:c>
      <x:c r="T981" s="20" t="n">
        <x:f>MIN(S981,INDEX(Inputs!$B$20:$D$20,1,MATCH(A981,Inputs!$B$6:$D$6,0)))*INDEX(Inputs!$B$22:$D$22,1,MATCH(A981,Inputs!$B$6:$D$6,0))+MAX(MIN(S981,INDEX(Inputs!$B$21:$D$21,1,MATCH(A981,Inputs!$B$6:$D$6,0)))-INDEX(Inputs!$B$20:$D$20,1,MATCH(A981,Inputs!$B$6:$D$6,0)),0)*INDEX(Inputs!$B$23:$D$23,1,MATCH(A981,Inputs!$B$6:$D$6,0))+MAX(S981-INDEX(Inputs!$B$21:$D$21,1,MATCH(A981,Inputs!$B$6:$D$6,0)),0)*INDEX(Inputs!$B$24:$D$24,1,MATCH(A981,Inputs!$B$6:$D$6,0))</x:f>
        <x:v>10693.563</x:v>
      </x:c>
      <x:c r="U981" s="20" t="n">
        <x:f>IF(AND(A980=A981,D980=D981),T980,0)</x:f>
        <x:v>10002.899</x:v>
      </x:c>
      <x:c r="V981" s="20" t="n">
        <x:f>T981-U981</x:f>
        <x:v>690.6640000000007</x:v>
      </x:c>
      <x:c r="W981" s="20" t="n">
        <x:f>R981+V981</x:f>
        <x:v>48322.664000000004</x:v>
      </x:c>
      <x:c r="X981" s="14" t="str">
        <x:f>IF(ABS(W981-SUM(M981:Q981)-V981)&lt;0.01,"OK","Check")</x:f>
        <x:v>OK</x:v>
      </x:c>
    </x:row>
    <x:row r="982">
      <x:c r="A982" s="14" t="n">
        <x:v>2028</x:v>
      </x:c>
      <x:c r="B982" s="14" t="str">
        <x:v>Q1</x:v>
      </x:c>
      <x:c r="C982" s="14" t="n">
        <x:v>1</x:v>
      </x:c>
      <x:c r="D982" s="14" t="n">
        <x:v>39</x:v>
      </x:c>
      <x:c r="E982" s="14" t="str">
        <x:f>INDEX(Roster!$B$6:$B$108,MATCH(D982,Roster!$A$6:$A$108,0))</x:f>
      </x:c>
      <x:c r="F982" s="14" t="str">
        <x:f>INDEX(Roster!$F$6:$F$108,MATCH(D982,Roster!$A$6:$A$108,0))</x:f>
        <x:v>No</x:v>
      </x:c>
      <x:c r="G982" s="14" t="n">
        <x:f>INDEX(Inputs!$B$7:$D$7,1,MATCH(A982,Inputs!$B$6:$D$6,0))</x:f>
        <x:v>13</x:v>
      </x:c>
      <x:c r="H982" s="14" t="n">
        <x:f>MIN(=INDEX(Inputs!$B$7:$D$7,1,MATCH(A982,Inputs!$B$6:$D$6,0)),MAX(0,INDEX(Inputs!$B$14:$D$14,1,MATCH(A982,Inputs!$B$6:$D$6,0))-(C982-1)*=INDEX(Inputs!$B$7:$D$7,1,MATCH(A982,Inputs!$B$6:$D$6,0))))</x:f>
        <x:v>13</x:v>
      </x:c>
      <x:c r="I982" s="20" t="n">
        <x:f>INDEX(Inputs!$B$8:$D$8,1,MATCH(A982,Inputs!$B$6:$D$6,0))</x:f>
        <x:v>2395</x:v>
      </x:c>
      <x:c r="J982" s="20" t="n">
        <x:f>INDEX(Roster!$C$6:$C$108,MATCH(D982,Roster!$A$6:$A$108,0))*(1+INDEX(Inputs!$B$9:$D$9,1,MATCH(A982,Inputs!$B$6:$D$6,0)))</x:f>
        <x:v>70</x:v>
      </x:c>
      <x:c r="K982" s="20" t="n">
        <x:f>IF(=INDEX(Roster!$F$6:$F$108,MATCH(D982,Roster!$A$6:$A$108,0))="Yes",0,=INDEX(Inputs!$B$8:$D$8,1,MATCH(A982,Inputs!$B$6:$D$6,0))*IF(=INDEX(Roster!$B$6:$B$108,MATCH(D982,Roster!$A$6:$A$108,0))="Principal",INDEX(Inputs!$B$10:$D$10,1,MATCH(A982,Inputs!$B$6:$D$6,0)),IF(=INDEX(Roster!$B$6:$B$108,MATCH(D982,Roster!$A$6:$A$108,0))="Associate Principal",INDEX(Inputs!$B$11:$D$11,1,MATCH(A982,Inputs!$B$6:$D$6,0)),IF(=INDEX(Roster!$B$6:$B$108,MATCH(D982,Roster!$A$6:$A$108,0))="Assistant Principal",INDEX(Inputs!$B$12:$D$12,1,MATCH(A982,Inputs!$B$6:$D$6,0)),0))))</x:f>
        <x:v>0</x:v>
      </x:c>
      <x:c r="L982" s="20" t="n">
        <x:f>IF(INDEX(Roster!$D$6:$D$108,MATCH(D982,Roster!$A$6:$A$108,0))&gt;=25,INDEX(Inputs!$B$19:$D$19,1,MATCH(A982,Inputs!$B$6:$D$6,0)),IF(INDEX(Roster!$D$6:$D$108,MATCH(D982,Roster!$A$6:$A$108,0))&gt;=20,INDEX(Inputs!$B$18:$D$18,1,MATCH(A982,Inputs!$B$6:$D$6,0)),IF(INDEX(Roster!$D$6:$D$108,MATCH(D982,Roster!$A$6:$A$108,0))&gt;=15,INDEX(Inputs!$B$17:$D$17,1,MATCH(A982,Inputs!$B$6:$D$6,0)),IF(INDEX(Roster!$D$6:$D$108,MATCH(D982,Roster!$A$6:$A$108,0))&gt;=10,INDEX(Inputs!$B$16:$D$16,1,MATCH(A982,Inputs!$B$6:$D$6,0)),IF(INDEX(Roster!$D$6:$D$108,MATCH(D982,Roster!$A$6:$A$108,0))&gt;=5,INDEX(Inputs!$B$15:$D$15,1,MATCH(A982,Inputs!$B$6:$D$6,0)),0)))))</x:f>
        <x:v>90</x:v>
      </x:c>
      <x:c r="M982" s="20" t="n">
        <x:f>G982*I982</x:f>
        <x:v>31135</x:v>
      </x:c>
      <x:c r="N982" s="20" t="n">
        <x:f>G982*J982</x:f>
        <x:v>910</x:v>
      </x:c>
      <x:c r="O982" s="20" t="n">
        <x:f>G982*K982</x:f>
        <x:v>0</x:v>
      </x:c>
      <x:c r="P982" s="20" t="n">
        <x:f>G982*L982</x:f>
        <x:v>1170</x:v>
      </x:c>
      <x:c r="Q982" s="20" t="n">
        <x:f>H982*INDEX(Inputs!$B$13:$D$13,1,MATCH(A982,Inputs!$B$6:$D$6,0))</x:f>
        <x:v>390</x:v>
      </x:c>
      <x:c r="R982" s="20" t="n">
        <x:f>SUM(M982:Q982)</x:f>
        <x:v>33605</x:v>
      </x:c>
      <x:c r="S982" s="20" t="n">
        <x:f>IF(AND(A981=A982,D981=D982),S981+R982,R982)</x:f>
        <x:v>33605</x:v>
      </x:c>
      <x:c r="T982" s="20" t="n">
        <x:f>MIN(S982,INDEX(Inputs!$B$20:$D$20,1,MATCH(A982,Inputs!$B$6:$D$6,0)))*INDEX(Inputs!$B$22:$D$22,1,MATCH(A982,Inputs!$B$6:$D$6,0))+MAX(MIN(S982,INDEX(Inputs!$B$21:$D$21,1,MATCH(A982,Inputs!$B$6:$D$6,0)))-INDEX(Inputs!$B$20:$D$20,1,MATCH(A982,Inputs!$B$6:$D$6,0)),0)*INDEX(Inputs!$B$23:$D$23,1,MATCH(A982,Inputs!$B$6:$D$6,0))+MAX(S982-INDEX(Inputs!$B$21:$D$21,1,MATCH(A982,Inputs!$B$6:$D$6,0)),0)*INDEX(Inputs!$B$24:$D$24,1,MATCH(A982,Inputs!$B$6:$D$6,0))</x:f>
        <x:v>3060.7825000000003</x:v>
      </x:c>
      <x:c r="U982" s="20" t="n">
        <x:f>IF(AND(A981=A982,D981=D982),T981,0)</x:f>
        <x:v>0</x:v>
      </x:c>
      <x:c r="V982" s="20" t="n">
        <x:f>T982-U982</x:f>
        <x:v>3060.7825000000003</x:v>
      </x:c>
      <x:c r="W982" s="20" t="n">
        <x:f>R982+V982</x:f>
        <x:v>36665.7825</x:v>
      </x:c>
      <x:c r="X982" s="14" t="str">
        <x:f>IF(ABS(W982-SUM(M982:Q982)-V982)&lt;0.01,"OK","Check")</x:f>
        <x:v>OK</x:v>
      </x:c>
    </x:row>
    <x:row r="983">
      <x:c r="A983" s="14" t="n">
        <x:v>2028</x:v>
      </x:c>
      <x:c r="B983" s="14" t="str">
        <x:v>Q2</x:v>
      </x:c>
      <x:c r="C983" s="14" t="n">
        <x:v>2</x:v>
      </x:c>
      <x:c r="D983" s="14" t="n">
        <x:v>39</x:v>
      </x:c>
      <x:c r="E983" s="14" t="str">
        <x:f>INDEX(Roster!$B$6:$B$108,MATCH(D983,Roster!$A$6:$A$108,0))</x:f>
      </x:c>
      <x:c r="F983" s="14" t="str">
        <x:f>INDEX(Roster!$F$6:$F$108,MATCH(D983,Roster!$A$6:$A$108,0))</x:f>
        <x:v>No</x:v>
      </x:c>
      <x:c r="G983" s="14" t="n">
        <x:f>INDEX(Inputs!$B$7:$D$7,1,MATCH(A983,Inputs!$B$6:$D$6,0))</x:f>
        <x:v>13</x:v>
      </x:c>
      <x:c r="H983" s="14" t="n">
        <x:f>MIN(=INDEX(Inputs!$B$7:$D$7,1,MATCH(A983,Inputs!$B$6:$D$6,0)),MAX(0,INDEX(Inputs!$B$14:$D$14,1,MATCH(A983,Inputs!$B$6:$D$6,0))-(C983-1)*=INDEX(Inputs!$B$7:$D$7,1,MATCH(A983,Inputs!$B$6:$D$6,0))))</x:f>
        <x:v>13</x:v>
      </x:c>
      <x:c r="I983" s="20" t="n">
        <x:f>INDEX(Inputs!$B$8:$D$8,1,MATCH(A983,Inputs!$B$6:$D$6,0))</x:f>
        <x:v>2395</x:v>
      </x:c>
      <x:c r="J983" s="20" t="n">
        <x:f>INDEX(Roster!$C$6:$C$108,MATCH(D983,Roster!$A$6:$A$108,0))*(1+INDEX(Inputs!$B$9:$D$9,1,MATCH(A983,Inputs!$B$6:$D$6,0)))</x:f>
        <x:v>70</x:v>
      </x:c>
      <x:c r="K983" s="20" t="n">
        <x:f>IF(=INDEX(Roster!$F$6:$F$108,MATCH(D983,Roster!$A$6:$A$108,0))="Yes",0,=INDEX(Inputs!$B$8:$D$8,1,MATCH(A983,Inputs!$B$6:$D$6,0))*IF(=INDEX(Roster!$B$6:$B$108,MATCH(D983,Roster!$A$6:$A$108,0))="Principal",INDEX(Inputs!$B$10:$D$10,1,MATCH(A983,Inputs!$B$6:$D$6,0)),IF(=INDEX(Roster!$B$6:$B$108,MATCH(D983,Roster!$A$6:$A$108,0))="Associate Principal",INDEX(Inputs!$B$11:$D$11,1,MATCH(A983,Inputs!$B$6:$D$6,0)),IF(=INDEX(Roster!$B$6:$B$108,MATCH(D983,Roster!$A$6:$A$108,0))="Assistant Principal",INDEX(Inputs!$B$12:$D$12,1,MATCH(A983,Inputs!$B$6:$D$6,0)),0))))</x:f>
        <x:v>0</x:v>
      </x:c>
      <x:c r="L983" s="20" t="n">
        <x:f>IF(INDEX(Roster!$D$6:$D$108,MATCH(D983,Roster!$A$6:$A$108,0))&gt;=25,INDEX(Inputs!$B$19:$D$19,1,MATCH(A983,Inputs!$B$6:$D$6,0)),IF(INDEX(Roster!$D$6:$D$108,MATCH(D983,Roster!$A$6:$A$108,0))&gt;=20,INDEX(Inputs!$B$18:$D$18,1,MATCH(A983,Inputs!$B$6:$D$6,0)),IF(INDEX(Roster!$D$6:$D$108,MATCH(D983,Roster!$A$6:$A$108,0))&gt;=15,INDEX(Inputs!$B$17:$D$17,1,MATCH(A983,Inputs!$B$6:$D$6,0)),IF(INDEX(Roster!$D$6:$D$108,MATCH(D983,Roster!$A$6:$A$108,0))&gt;=10,INDEX(Inputs!$B$16:$D$16,1,MATCH(A983,Inputs!$B$6:$D$6,0)),IF(INDEX(Roster!$D$6:$D$108,MATCH(D983,Roster!$A$6:$A$108,0))&gt;=5,INDEX(Inputs!$B$15:$D$15,1,MATCH(A983,Inputs!$B$6:$D$6,0)),0)))))</x:f>
        <x:v>90</x:v>
      </x:c>
      <x:c r="M983" s="20" t="n">
        <x:f>G983*I983</x:f>
        <x:v>31135</x:v>
      </x:c>
      <x:c r="N983" s="20" t="n">
        <x:f>G983*J983</x:f>
        <x:v>910</x:v>
      </x:c>
      <x:c r="O983" s="20" t="n">
        <x:f>G983*K983</x:f>
        <x:v>0</x:v>
      </x:c>
      <x:c r="P983" s="20" t="n">
        <x:f>G983*L983</x:f>
        <x:v>1170</x:v>
      </x:c>
      <x:c r="Q983" s="20" t="n">
        <x:f>H983*INDEX(Inputs!$B$13:$D$13,1,MATCH(A983,Inputs!$B$6:$D$6,0))</x:f>
        <x:v>390</x:v>
      </x:c>
      <x:c r="R983" s="20" t="n">
        <x:f>SUM(M983:Q983)</x:f>
        <x:v>33605</x:v>
      </x:c>
      <x:c r="S983" s="20" t="n">
        <x:f>IF(AND(A982=A983,D982=D983),S982+R983,R983)</x:f>
        <x:v>67210</x:v>
      </x:c>
      <x:c r="T983" s="20" t="n">
        <x:f>MIN(S983,INDEX(Inputs!$B$20:$D$20,1,MATCH(A983,Inputs!$B$6:$D$6,0)))*INDEX(Inputs!$B$22:$D$22,1,MATCH(A983,Inputs!$B$6:$D$6,0))+MAX(MIN(S983,INDEX(Inputs!$B$21:$D$21,1,MATCH(A983,Inputs!$B$6:$D$6,0)))-INDEX(Inputs!$B$20:$D$20,1,MATCH(A983,Inputs!$B$6:$D$6,0)),0)*INDEX(Inputs!$B$23:$D$23,1,MATCH(A983,Inputs!$B$6:$D$6,0))+MAX(S983-INDEX(Inputs!$B$21:$D$21,1,MATCH(A983,Inputs!$B$6:$D$6,0)),0)*INDEX(Inputs!$B$24:$D$24,1,MATCH(A983,Inputs!$B$6:$D$6,0))</x:f>
        <x:v>5631.565</x:v>
      </x:c>
      <x:c r="U983" s="20" t="n">
        <x:f>IF(AND(A982=A983,D982=D983),T982,0)</x:f>
        <x:v>3060.7825000000003</x:v>
      </x:c>
      <x:c r="V983" s="20" t="n">
        <x:f>T983-U983</x:f>
        <x:v>2570.7824999999993</x:v>
      </x:c>
      <x:c r="W983" s="20" t="n">
        <x:f>R983+V983</x:f>
        <x:v>36175.7825</x:v>
      </x:c>
      <x:c r="X983" s="14" t="str">
        <x:f>IF(ABS(W983-SUM(M983:Q983)-V983)&lt;0.01,"OK","Check")</x:f>
        <x:v>OK</x:v>
      </x:c>
    </x:row>
    <x:row r="984">
      <x:c r="A984" s="14" t="n">
        <x:v>2028</x:v>
      </x:c>
      <x:c r="B984" s="14" t="str">
        <x:v>Q3</x:v>
      </x:c>
      <x:c r="C984" s="14" t="n">
        <x:v>3</x:v>
      </x:c>
      <x:c r="D984" s="14" t="n">
        <x:v>39</x:v>
      </x:c>
      <x:c r="E984" s="14" t="str">
        <x:f>INDEX(Roster!$B$6:$B$108,MATCH(D984,Roster!$A$6:$A$108,0))</x:f>
      </x:c>
      <x:c r="F984" s="14" t="str">
        <x:f>INDEX(Roster!$F$6:$F$108,MATCH(D984,Roster!$A$6:$A$108,0))</x:f>
        <x:v>No</x:v>
      </x:c>
      <x:c r="G984" s="14" t="n">
        <x:f>INDEX(Inputs!$B$7:$D$7,1,MATCH(A984,Inputs!$B$6:$D$6,0))</x:f>
        <x:v>13</x:v>
      </x:c>
      <x:c r="H984" s="14" t="n">
        <x:f>MIN(=INDEX(Inputs!$B$7:$D$7,1,MATCH(A984,Inputs!$B$6:$D$6,0)),MAX(0,INDEX(Inputs!$B$14:$D$14,1,MATCH(A984,Inputs!$B$6:$D$6,0))-(C984-1)*=INDEX(Inputs!$B$7:$D$7,1,MATCH(A984,Inputs!$B$6:$D$6,0))))</x:f>
        <x:v>13</x:v>
      </x:c>
      <x:c r="I984" s="20" t="n">
        <x:f>INDEX(Inputs!$B$8:$D$8,1,MATCH(A984,Inputs!$B$6:$D$6,0))</x:f>
        <x:v>2395</x:v>
      </x:c>
      <x:c r="J984" s="20" t="n">
        <x:f>INDEX(Roster!$C$6:$C$108,MATCH(D984,Roster!$A$6:$A$108,0))*(1+INDEX(Inputs!$B$9:$D$9,1,MATCH(A984,Inputs!$B$6:$D$6,0)))</x:f>
        <x:v>70</x:v>
      </x:c>
      <x:c r="K984" s="20" t="n">
        <x:f>IF(=INDEX(Roster!$F$6:$F$108,MATCH(D984,Roster!$A$6:$A$108,0))="Yes",0,=INDEX(Inputs!$B$8:$D$8,1,MATCH(A984,Inputs!$B$6:$D$6,0))*IF(=INDEX(Roster!$B$6:$B$108,MATCH(D984,Roster!$A$6:$A$108,0))="Principal",INDEX(Inputs!$B$10:$D$10,1,MATCH(A984,Inputs!$B$6:$D$6,0)),IF(=INDEX(Roster!$B$6:$B$108,MATCH(D984,Roster!$A$6:$A$108,0))="Associate Principal",INDEX(Inputs!$B$11:$D$11,1,MATCH(A984,Inputs!$B$6:$D$6,0)),IF(=INDEX(Roster!$B$6:$B$108,MATCH(D984,Roster!$A$6:$A$108,0))="Assistant Principal",INDEX(Inputs!$B$12:$D$12,1,MATCH(A984,Inputs!$B$6:$D$6,0)),0))))</x:f>
        <x:v>0</x:v>
      </x:c>
      <x:c r="L984" s="20" t="n">
        <x:f>IF(INDEX(Roster!$D$6:$D$108,MATCH(D984,Roster!$A$6:$A$108,0))&gt;=25,INDEX(Inputs!$B$19:$D$19,1,MATCH(A984,Inputs!$B$6:$D$6,0)),IF(INDEX(Roster!$D$6:$D$108,MATCH(D984,Roster!$A$6:$A$108,0))&gt;=20,INDEX(Inputs!$B$18:$D$18,1,MATCH(A984,Inputs!$B$6:$D$6,0)),IF(INDEX(Roster!$D$6:$D$108,MATCH(D984,Roster!$A$6:$A$108,0))&gt;=15,INDEX(Inputs!$B$17:$D$17,1,MATCH(A984,Inputs!$B$6:$D$6,0)),IF(INDEX(Roster!$D$6:$D$108,MATCH(D984,Roster!$A$6:$A$108,0))&gt;=10,INDEX(Inputs!$B$16:$D$16,1,MATCH(A984,Inputs!$B$6:$D$6,0)),IF(INDEX(Roster!$D$6:$D$108,MATCH(D984,Roster!$A$6:$A$108,0))&gt;=5,INDEX(Inputs!$B$15:$D$15,1,MATCH(A984,Inputs!$B$6:$D$6,0)),0)))))</x:f>
        <x:v>90</x:v>
      </x:c>
      <x:c r="M984" s="20" t="n">
        <x:f>G984*I984</x:f>
        <x:v>31135</x:v>
      </x:c>
      <x:c r="N984" s="20" t="n">
        <x:f>G984*J984</x:f>
        <x:v>910</x:v>
      </x:c>
      <x:c r="O984" s="20" t="n">
        <x:f>G984*K984</x:f>
        <x:v>0</x:v>
      </x:c>
      <x:c r="P984" s="20" t="n">
        <x:f>G984*L984</x:f>
        <x:v>1170</x:v>
      </x:c>
      <x:c r="Q984" s="20" t="n">
        <x:f>H984*INDEX(Inputs!$B$13:$D$13,1,MATCH(A984,Inputs!$B$6:$D$6,0))</x:f>
        <x:v>390</x:v>
      </x:c>
      <x:c r="R984" s="20" t="n">
        <x:f>SUM(M984:Q984)</x:f>
        <x:v>33605</x:v>
      </x:c>
      <x:c r="S984" s="20" t="n">
        <x:f>IF(AND(A983=A984,D983=D984),S983+R984,R984)</x:f>
        <x:v>100815</x:v>
      </x:c>
      <x:c r="T984" s="20" t="n">
        <x:f>MIN(S984,INDEX(Inputs!$B$20:$D$20,1,MATCH(A984,Inputs!$B$6:$D$6,0)))*INDEX(Inputs!$B$22:$D$22,1,MATCH(A984,Inputs!$B$6:$D$6,0))+MAX(MIN(S984,INDEX(Inputs!$B$21:$D$21,1,MATCH(A984,Inputs!$B$6:$D$6,0)))-INDEX(Inputs!$B$20:$D$20,1,MATCH(A984,Inputs!$B$6:$D$6,0)),0)*INDEX(Inputs!$B$23:$D$23,1,MATCH(A984,Inputs!$B$6:$D$6,0))+MAX(S984-INDEX(Inputs!$B$21:$D$21,1,MATCH(A984,Inputs!$B$6:$D$6,0)),0)*INDEX(Inputs!$B$24:$D$24,1,MATCH(A984,Inputs!$B$6:$D$6,0))</x:f>
        <x:v>8202.3475</x:v>
      </x:c>
      <x:c r="U984" s="20" t="n">
        <x:f>IF(AND(A983=A984,D983=D984),T983,0)</x:f>
        <x:v>5631.565</x:v>
      </x:c>
      <x:c r="V984" s="20" t="n">
        <x:f>T984-U984</x:f>
        <x:v>2570.7825000000003</x:v>
      </x:c>
      <x:c r="W984" s="20" t="n">
        <x:f>R984+V984</x:f>
        <x:v>36175.7825</x:v>
      </x:c>
      <x:c r="X984" s="14" t="str">
        <x:f>IF(ABS(W984-SUM(M984:Q984)-V984)&lt;0.01,"OK","Check")</x:f>
        <x:v>OK</x:v>
      </x:c>
    </x:row>
    <x:row r="985">
      <x:c r="A985" s="14" t="n">
        <x:v>2028</x:v>
      </x:c>
      <x:c r="B985" s="14" t="str">
        <x:v>Q4</x:v>
      </x:c>
      <x:c r="C985" s="14" t="n">
        <x:v>4</x:v>
      </x:c>
      <x:c r="D985" s="14" t="n">
        <x:v>39</x:v>
      </x:c>
      <x:c r="E985" s="14" t="str">
        <x:f>INDEX(Roster!$B$6:$B$108,MATCH(D985,Roster!$A$6:$A$108,0))</x:f>
      </x:c>
      <x:c r="F985" s="14" t="str">
        <x:f>INDEX(Roster!$F$6:$F$108,MATCH(D985,Roster!$A$6:$A$108,0))</x:f>
        <x:v>No</x:v>
      </x:c>
      <x:c r="G985" s="14" t="n">
        <x:f>INDEX(Inputs!$B$7:$D$7,1,MATCH(A985,Inputs!$B$6:$D$6,0))</x:f>
        <x:v>13</x:v>
      </x:c>
      <x:c r="H985" s="14" t="n">
        <x:f>MIN(=INDEX(Inputs!$B$7:$D$7,1,MATCH(A985,Inputs!$B$6:$D$6,0)),MAX(0,INDEX(Inputs!$B$14:$D$14,1,MATCH(A985,Inputs!$B$6:$D$6,0))-(C985-1)*=INDEX(Inputs!$B$7:$D$7,1,MATCH(A985,Inputs!$B$6:$D$6,0))))</x:f>
        <x:v>0</x:v>
      </x:c>
      <x:c r="I985" s="20" t="n">
        <x:f>INDEX(Inputs!$B$8:$D$8,1,MATCH(A985,Inputs!$B$6:$D$6,0))</x:f>
        <x:v>2395</x:v>
      </x:c>
      <x:c r="J985" s="20" t="n">
        <x:f>INDEX(Roster!$C$6:$C$108,MATCH(D985,Roster!$A$6:$A$108,0))*(1+INDEX(Inputs!$B$9:$D$9,1,MATCH(A985,Inputs!$B$6:$D$6,0)))</x:f>
        <x:v>70</x:v>
      </x:c>
      <x:c r="K985" s="20" t="n">
        <x:f>IF(=INDEX(Roster!$F$6:$F$108,MATCH(D985,Roster!$A$6:$A$108,0))="Yes",0,=INDEX(Inputs!$B$8:$D$8,1,MATCH(A985,Inputs!$B$6:$D$6,0))*IF(=INDEX(Roster!$B$6:$B$108,MATCH(D985,Roster!$A$6:$A$108,0))="Principal",INDEX(Inputs!$B$10:$D$10,1,MATCH(A985,Inputs!$B$6:$D$6,0)),IF(=INDEX(Roster!$B$6:$B$108,MATCH(D985,Roster!$A$6:$A$108,0))="Associate Principal",INDEX(Inputs!$B$11:$D$11,1,MATCH(A985,Inputs!$B$6:$D$6,0)),IF(=INDEX(Roster!$B$6:$B$108,MATCH(D985,Roster!$A$6:$A$108,0))="Assistant Principal",INDEX(Inputs!$B$12:$D$12,1,MATCH(A985,Inputs!$B$6:$D$6,0)),0))))</x:f>
        <x:v>0</x:v>
      </x:c>
      <x:c r="L985" s="20" t="n">
        <x:f>IF(INDEX(Roster!$D$6:$D$108,MATCH(D985,Roster!$A$6:$A$108,0))&gt;=25,INDEX(Inputs!$B$19:$D$19,1,MATCH(A985,Inputs!$B$6:$D$6,0)),IF(INDEX(Roster!$D$6:$D$108,MATCH(D985,Roster!$A$6:$A$108,0))&gt;=20,INDEX(Inputs!$B$18:$D$18,1,MATCH(A985,Inputs!$B$6:$D$6,0)),IF(INDEX(Roster!$D$6:$D$108,MATCH(D985,Roster!$A$6:$A$108,0))&gt;=15,INDEX(Inputs!$B$17:$D$17,1,MATCH(A985,Inputs!$B$6:$D$6,0)),IF(INDEX(Roster!$D$6:$D$108,MATCH(D985,Roster!$A$6:$A$108,0))&gt;=10,INDEX(Inputs!$B$16:$D$16,1,MATCH(A985,Inputs!$B$6:$D$6,0)),IF(INDEX(Roster!$D$6:$D$108,MATCH(D985,Roster!$A$6:$A$108,0))&gt;=5,INDEX(Inputs!$B$15:$D$15,1,MATCH(A985,Inputs!$B$6:$D$6,0)),0)))))</x:f>
        <x:v>90</x:v>
      </x:c>
      <x:c r="M985" s="20" t="n">
        <x:f>G985*I985</x:f>
        <x:v>31135</x:v>
      </x:c>
      <x:c r="N985" s="20" t="n">
        <x:f>G985*J985</x:f>
        <x:v>910</x:v>
      </x:c>
      <x:c r="O985" s="20" t="n">
        <x:f>G985*K985</x:f>
        <x:v>0</x:v>
      </x:c>
      <x:c r="P985" s="20" t="n">
        <x:f>G985*L985</x:f>
        <x:v>1170</x:v>
      </x:c>
      <x:c r="Q985" s="20" t="n">
        <x:f>H985*INDEX(Inputs!$B$13:$D$13,1,MATCH(A985,Inputs!$B$6:$D$6,0))</x:f>
        <x:v>0</x:v>
      </x:c>
      <x:c r="R985" s="20" t="n">
        <x:f>SUM(M985:Q985)</x:f>
        <x:v>33215</x:v>
      </x:c>
      <x:c r="S985" s="20" t="n">
        <x:f>IF(AND(A984=A985,D984=D985),S984+R985,R985)</x:f>
        <x:v>134030</x:v>
      </x:c>
      <x:c r="T985" s="20" t="n">
        <x:f>MIN(S985,INDEX(Inputs!$B$20:$D$20,1,MATCH(A985,Inputs!$B$6:$D$6,0)))*INDEX(Inputs!$B$22:$D$22,1,MATCH(A985,Inputs!$B$6:$D$6,0))+MAX(MIN(S985,INDEX(Inputs!$B$21:$D$21,1,MATCH(A985,Inputs!$B$6:$D$6,0)))-INDEX(Inputs!$B$20:$D$20,1,MATCH(A985,Inputs!$B$6:$D$6,0)),0)*INDEX(Inputs!$B$23:$D$23,1,MATCH(A985,Inputs!$B$6:$D$6,0))+MAX(S985-INDEX(Inputs!$B$21:$D$21,1,MATCH(A985,Inputs!$B$6:$D$6,0)),0)*INDEX(Inputs!$B$24:$D$24,1,MATCH(A985,Inputs!$B$6:$D$6,0))</x:f>
        <x:v>9857.377</x:v>
      </x:c>
      <x:c r="U985" s="20" t="n">
        <x:f>IF(AND(A984=A985,D984=D985),T984,0)</x:f>
        <x:v>8202.3475</x:v>
      </x:c>
      <x:c r="V985" s="20" t="n">
        <x:f>T985-U985</x:f>
        <x:v>1655.0295000000006</x:v>
      </x:c>
      <x:c r="W985" s="20" t="n">
        <x:f>R985+V985</x:f>
        <x:v>34870.029500000004</x:v>
      </x:c>
      <x:c r="X985" s="14" t="str">
        <x:f>IF(ABS(W985-SUM(M985:Q985)-V985)&lt;0.01,"OK","Check")</x:f>
        <x:v>OK</x:v>
      </x:c>
    </x:row>
    <x:row r="986">
      <x:c r="A986" s="14" t="n">
        <x:v>2028</x:v>
      </x:c>
      <x:c r="B986" s="14" t="str">
        <x:v>Q1</x:v>
      </x:c>
      <x:c r="C986" s="14" t="n">
        <x:v>1</x:v>
      </x:c>
      <x:c r="D986" s="14" t="n">
        <x:v>40</x:v>
      </x:c>
      <x:c r="E986" s="14" t="str">
        <x:f>INDEX(Roster!$B$6:$B$108,MATCH(D986,Roster!$A$6:$A$108,0))</x:f>
      </x:c>
      <x:c r="F986" s="14" t="str">
        <x:f>INDEX(Roster!$F$6:$F$108,MATCH(D986,Roster!$A$6:$A$108,0))</x:f>
        <x:v>No</x:v>
      </x:c>
      <x:c r="G986" s="14" t="n">
        <x:f>INDEX(Inputs!$B$7:$D$7,1,MATCH(A986,Inputs!$B$6:$D$6,0))</x:f>
        <x:v>13</x:v>
      </x:c>
      <x:c r="H986" s="14" t="n">
        <x:f>MIN(=INDEX(Inputs!$B$7:$D$7,1,MATCH(A986,Inputs!$B$6:$D$6,0)),MAX(0,INDEX(Inputs!$B$14:$D$14,1,MATCH(A986,Inputs!$B$6:$D$6,0))-(C986-1)*=INDEX(Inputs!$B$7:$D$7,1,MATCH(A986,Inputs!$B$6:$D$6,0))))</x:f>
        <x:v>13</x:v>
      </x:c>
      <x:c r="I986" s="20" t="n">
        <x:f>INDEX(Inputs!$B$8:$D$8,1,MATCH(A986,Inputs!$B$6:$D$6,0))</x:f>
        <x:v>2395</x:v>
      </x:c>
      <x:c r="J986" s="20" t="n">
        <x:f>INDEX(Roster!$C$6:$C$108,MATCH(D986,Roster!$A$6:$A$108,0))*(1+INDEX(Inputs!$B$9:$D$9,1,MATCH(A986,Inputs!$B$6:$D$6,0)))</x:f>
        <x:v>94</x:v>
      </x:c>
      <x:c r="K986" s="20" t="n">
        <x:f>IF(=INDEX(Roster!$F$6:$F$108,MATCH(D986,Roster!$A$6:$A$108,0))="Yes",0,=INDEX(Inputs!$B$8:$D$8,1,MATCH(A986,Inputs!$B$6:$D$6,0))*IF(=INDEX(Roster!$B$6:$B$108,MATCH(D986,Roster!$A$6:$A$108,0))="Principal",INDEX(Inputs!$B$10:$D$10,1,MATCH(A986,Inputs!$B$6:$D$6,0)),IF(=INDEX(Roster!$B$6:$B$108,MATCH(D986,Roster!$A$6:$A$108,0))="Associate Principal",INDEX(Inputs!$B$11:$D$11,1,MATCH(A986,Inputs!$B$6:$D$6,0)),IF(=INDEX(Roster!$B$6:$B$108,MATCH(D986,Roster!$A$6:$A$108,0))="Assistant Principal",INDEX(Inputs!$B$12:$D$12,1,MATCH(A986,Inputs!$B$6:$D$6,0)),0))))</x:f>
        <x:v>0</x:v>
      </x:c>
      <x:c r="L986" s="20" t="n">
        <x:f>IF(INDEX(Roster!$D$6:$D$108,MATCH(D986,Roster!$A$6:$A$108,0))&gt;=25,INDEX(Inputs!$B$19:$D$19,1,MATCH(A986,Inputs!$B$6:$D$6,0)),IF(INDEX(Roster!$D$6:$D$108,MATCH(D986,Roster!$A$6:$A$108,0))&gt;=20,INDEX(Inputs!$B$18:$D$18,1,MATCH(A986,Inputs!$B$6:$D$6,0)),IF(INDEX(Roster!$D$6:$D$108,MATCH(D986,Roster!$A$6:$A$108,0))&gt;=15,INDEX(Inputs!$B$17:$D$17,1,MATCH(A986,Inputs!$B$6:$D$6,0)),IF(INDEX(Roster!$D$6:$D$108,MATCH(D986,Roster!$A$6:$A$108,0))&gt;=10,INDEX(Inputs!$B$16:$D$16,1,MATCH(A986,Inputs!$B$6:$D$6,0)),IF(INDEX(Roster!$D$6:$D$108,MATCH(D986,Roster!$A$6:$A$108,0))&gt;=5,INDEX(Inputs!$B$15:$D$15,1,MATCH(A986,Inputs!$B$6:$D$6,0)),0)))))</x:f>
        <x:v>90</x:v>
      </x:c>
      <x:c r="M986" s="20" t="n">
        <x:f>G986*I986</x:f>
        <x:v>31135</x:v>
      </x:c>
      <x:c r="N986" s="20" t="n">
        <x:f>G986*J986</x:f>
        <x:v>1222</x:v>
      </x:c>
      <x:c r="O986" s="20" t="n">
        <x:f>G986*K986</x:f>
        <x:v>0</x:v>
      </x:c>
      <x:c r="P986" s="20" t="n">
        <x:f>G986*L986</x:f>
        <x:v>1170</x:v>
      </x:c>
      <x:c r="Q986" s="20" t="n">
        <x:f>H986*INDEX(Inputs!$B$13:$D$13,1,MATCH(A986,Inputs!$B$6:$D$6,0))</x:f>
        <x:v>390</x:v>
      </x:c>
      <x:c r="R986" s="20" t="n">
        <x:f>SUM(M986:Q986)</x:f>
        <x:v>33917</x:v>
      </x:c>
      <x:c r="S986" s="20" t="n">
        <x:f>IF(AND(A985=A986,D985=D986),S985+R986,R986)</x:f>
        <x:v>33917</x:v>
      </x:c>
      <x:c r="T986" s="20" t="n">
        <x:f>MIN(S986,INDEX(Inputs!$B$20:$D$20,1,MATCH(A986,Inputs!$B$6:$D$6,0)))*INDEX(Inputs!$B$22:$D$22,1,MATCH(A986,Inputs!$B$6:$D$6,0))+MAX(MIN(S986,INDEX(Inputs!$B$21:$D$21,1,MATCH(A986,Inputs!$B$6:$D$6,0)))-INDEX(Inputs!$B$20:$D$20,1,MATCH(A986,Inputs!$B$6:$D$6,0)),0)*INDEX(Inputs!$B$23:$D$23,1,MATCH(A986,Inputs!$B$6:$D$6,0))+MAX(S986-INDEX(Inputs!$B$21:$D$21,1,MATCH(A986,Inputs!$B$6:$D$6,0)),0)*INDEX(Inputs!$B$24:$D$24,1,MATCH(A986,Inputs!$B$6:$D$6,0))</x:f>
        <x:v>3084.6504999999997</x:v>
      </x:c>
      <x:c r="U986" s="20" t="n">
        <x:f>IF(AND(A985=A986,D985=D986),T985,0)</x:f>
        <x:v>0</x:v>
      </x:c>
      <x:c r="V986" s="20" t="n">
        <x:f>T986-U986</x:f>
        <x:v>3084.6504999999997</x:v>
      </x:c>
      <x:c r="W986" s="20" t="n">
        <x:f>R986+V986</x:f>
        <x:v>37001.6505</x:v>
      </x:c>
      <x:c r="X986" s="14" t="str">
        <x:f>IF(ABS(W986-SUM(M986:Q986)-V986)&lt;0.01,"OK","Check")</x:f>
        <x:v>OK</x:v>
      </x:c>
    </x:row>
    <x:row r="987">
      <x:c r="A987" s="14" t="n">
        <x:v>2028</x:v>
      </x:c>
      <x:c r="B987" s="14" t="str">
        <x:v>Q2</x:v>
      </x:c>
      <x:c r="C987" s="14" t="n">
        <x:v>2</x:v>
      </x:c>
      <x:c r="D987" s="14" t="n">
        <x:v>40</x:v>
      </x:c>
      <x:c r="E987" s="14" t="str">
        <x:f>INDEX(Roster!$B$6:$B$108,MATCH(D987,Roster!$A$6:$A$108,0))</x:f>
      </x:c>
      <x:c r="F987" s="14" t="str">
        <x:f>INDEX(Roster!$F$6:$F$108,MATCH(D987,Roster!$A$6:$A$108,0))</x:f>
        <x:v>No</x:v>
      </x:c>
      <x:c r="G987" s="14" t="n">
        <x:f>INDEX(Inputs!$B$7:$D$7,1,MATCH(A987,Inputs!$B$6:$D$6,0))</x:f>
        <x:v>13</x:v>
      </x:c>
      <x:c r="H987" s="14" t="n">
        <x:f>MIN(=INDEX(Inputs!$B$7:$D$7,1,MATCH(A987,Inputs!$B$6:$D$6,0)),MAX(0,INDEX(Inputs!$B$14:$D$14,1,MATCH(A987,Inputs!$B$6:$D$6,0))-(C987-1)*=INDEX(Inputs!$B$7:$D$7,1,MATCH(A987,Inputs!$B$6:$D$6,0))))</x:f>
        <x:v>13</x:v>
      </x:c>
      <x:c r="I987" s="20" t="n">
        <x:f>INDEX(Inputs!$B$8:$D$8,1,MATCH(A987,Inputs!$B$6:$D$6,0))</x:f>
        <x:v>2395</x:v>
      </x:c>
      <x:c r="J987" s="20" t="n">
        <x:f>INDEX(Roster!$C$6:$C$108,MATCH(D987,Roster!$A$6:$A$108,0))*(1+INDEX(Inputs!$B$9:$D$9,1,MATCH(A987,Inputs!$B$6:$D$6,0)))</x:f>
        <x:v>94</x:v>
      </x:c>
      <x:c r="K987" s="20" t="n">
        <x:f>IF(=INDEX(Roster!$F$6:$F$108,MATCH(D987,Roster!$A$6:$A$108,0))="Yes",0,=INDEX(Inputs!$B$8:$D$8,1,MATCH(A987,Inputs!$B$6:$D$6,0))*IF(=INDEX(Roster!$B$6:$B$108,MATCH(D987,Roster!$A$6:$A$108,0))="Principal",INDEX(Inputs!$B$10:$D$10,1,MATCH(A987,Inputs!$B$6:$D$6,0)),IF(=INDEX(Roster!$B$6:$B$108,MATCH(D987,Roster!$A$6:$A$108,0))="Associate Principal",INDEX(Inputs!$B$11:$D$11,1,MATCH(A987,Inputs!$B$6:$D$6,0)),IF(=INDEX(Roster!$B$6:$B$108,MATCH(D987,Roster!$A$6:$A$108,0))="Assistant Principal",INDEX(Inputs!$B$12:$D$12,1,MATCH(A987,Inputs!$B$6:$D$6,0)),0))))</x:f>
        <x:v>0</x:v>
      </x:c>
      <x:c r="L987" s="20" t="n">
        <x:f>IF(INDEX(Roster!$D$6:$D$108,MATCH(D987,Roster!$A$6:$A$108,0))&gt;=25,INDEX(Inputs!$B$19:$D$19,1,MATCH(A987,Inputs!$B$6:$D$6,0)),IF(INDEX(Roster!$D$6:$D$108,MATCH(D987,Roster!$A$6:$A$108,0))&gt;=20,INDEX(Inputs!$B$18:$D$18,1,MATCH(A987,Inputs!$B$6:$D$6,0)),IF(INDEX(Roster!$D$6:$D$108,MATCH(D987,Roster!$A$6:$A$108,0))&gt;=15,INDEX(Inputs!$B$17:$D$17,1,MATCH(A987,Inputs!$B$6:$D$6,0)),IF(INDEX(Roster!$D$6:$D$108,MATCH(D987,Roster!$A$6:$A$108,0))&gt;=10,INDEX(Inputs!$B$16:$D$16,1,MATCH(A987,Inputs!$B$6:$D$6,0)),IF(INDEX(Roster!$D$6:$D$108,MATCH(D987,Roster!$A$6:$A$108,0))&gt;=5,INDEX(Inputs!$B$15:$D$15,1,MATCH(A987,Inputs!$B$6:$D$6,0)),0)))))</x:f>
        <x:v>90</x:v>
      </x:c>
      <x:c r="M987" s="20" t="n">
        <x:f>G987*I987</x:f>
        <x:v>31135</x:v>
      </x:c>
      <x:c r="N987" s="20" t="n">
        <x:f>G987*J987</x:f>
        <x:v>1222</x:v>
      </x:c>
      <x:c r="O987" s="20" t="n">
        <x:f>G987*K987</x:f>
        <x:v>0</x:v>
      </x:c>
      <x:c r="P987" s="20" t="n">
        <x:f>G987*L987</x:f>
        <x:v>1170</x:v>
      </x:c>
      <x:c r="Q987" s="20" t="n">
        <x:f>H987*INDEX(Inputs!$B$13:$D$13,1,MATCH(A987,Inputs!$B$6:$D$6,0))</x:f>
        <x:v>390</x:v>
      </x:c>
      <x:c r="R987" s="20" t="n">
        <x:f>SUM(M987:Q987)</x:f>
        <x:v>33917</x:v>
      </x:c>
      <x:c r="S987" s="20" t="n">
        <x:f>IF(AND(A986=A987,D986=D987),S986+R987,R987)</x:f>
        <x:v>67834</x:v>
      </x:c>
      <x:c r="T987" s="20" t="n">
        <x:f>MIN(S987,INDEX(Inputs!$B$20:$D$20,1,MATCH(A987,Inputs!$B$6:$D$6,0)))*INDEX(Inputs!$B$22:$D$22,1,MATCH(A987,Inputs!$B$6:$D$6,0))+MAX(MIN(S987,INDEX(Inputs!$B$21:$D$21,1,MATCH(A987,Inputs!$B$6:$D$6,0)))-INDEX(Inputs!$B$20:$D$20,1,MATCH(A987,Inputs!$B$6:$D$6,0)),0)*INDEX(Inputs!$B$23:$D$23,1,MATCH(A987,Inputs!$B$6:$D$6,0))+MAX(S987-INDEX(Inputs!$B$21:$D$21,1,MATCH(A987,Inputs!$B$6:$D$6,0)),0)*INDEX(Inputs!$B$24:$D$24,1,MATCH(A987,Inputs!$B$6:$D$6,0))</x:f>
        <x:v>5679.3009999999995</x:v>
      </x:c>
      <x:c r="U987" s="20" t="n">
        <x:f>IF(AND(A986=A987,D986=D987),T986,0)</x:f>
        <x:v>3084.6504999999997</x:v>
      </x:c>
      <x:c r="V987" s="20" t="n">
        <x:f>T987-U987</x:f>
        <x:v>2594.6504999999997</x:v>
      </x:c>
      <x:c r="W987" s="20" t="n">
        <x:f>R987+V987</x:f>
        <x:v>36511.6505</x:v>
      </x:c>
      <x:c r="X987" s="14" t="str">
        <x:f>IF(ABS(W987-SUM(M987:Q987)-V987)&lt;0.01,"OK","Check")</x:f>
        <x:v>OK</x:v>
      </x:c>
    </x:row>
    <x:row r="988">
      <x:c r="A988" s="14" t="n">
        <x:v>2028</x:v>
      </x:c>
      <x:c r="B988" s="14" t="str">
        <x:v>Q3</x:v>
      </x:c>
      <x:c r="C988" s="14" t="n">
        <x:v>3</x:v>
      </x:c>
      <x:c r="D988" s="14" t="n">
        <x:v>40</x:v>
      </x:c>
      <x:c r="E988" s="14" t="str">
        <x:f>INDEX(Roster!$B$6:$B$108,MATCH(D988,Roster!$A$6:$A$108,0))</x:f>
      </x:c>
      <x:c r="F988" s="14" t="str">
        <x:f>INDEX(Roster!$F$6:$F$108,MATCH(D988,Roster!$A$6:$A$108,0))</x:f>
        <x:v>No</x:v>
      </x:c>
      <x:c r="G988" s="14" t="n">
        <x:f>INDEX(Inputs!$B$7:$D$7,1,MATCH(A988,Inputs!$B$6:$D$6,0))</x:f>
        <x:v>13</x:v>
      </x:c>
      <x:c r="H988" s="14" t="n">
        <x:f>MIN(=INDEX(Inputs!$B$7:$D$7,1,MATCH(A988,Inputs!$B$6:$D$6,0)),MAX(0,INDEX(Inputs!$B$14:$D$14,1,MATCH(A988,Inputs!$B$6:$D$6,0))-(C988-1)*=INDEX(Inputs!$B$7:$D$7,1,MATCH(A988,Inputs!$B$6:$D$6,0))))</x:f>
        <x:v>13</x:v>
      </x:c>
      <x:c r="I988" s="20" t="n">
        <x:f>INDEX(Inputs!$B$8:$D$8,1,MATCH(A988,Inputs!$B$6:$D$6,0))</x:f>
        <x:v>2395</x:v>
      </x:c>
      <x:c r="J988" s="20" t="n">
        <x:f>INDEX(Roster!$C$6:$C$108,MATCH(D988,Roster!$A$6:$A$108,0))*(1+INDEX(Inputs!$B$9:$D$9,1,MATCH(A988,Inputs!$B$6:$D$6,0)))</x:f>
        <x:v>94</x:v>
      </x:c>
      <x:c r="K988" s="20" t="n">
        <x:f>IF(=INDEX(Roster!$F$6:$F$108,MATCH(D988,Roster!$A$6:$A$108,0))="Yes",0,=INDEX(Inputs!$B$8:$D$8,1,MATCH(A988,Inputs!$B$6:$D$6,0))*IF(=INDEX(Roster!$B$6:$B$108,MATCH(D988,Roster!$A$6:$A$108,0))="Principal",INDEX(Inputs!$B$10:$D$10,1,MATCH(A988,Inputs!$B$6:$D$6,0)),IF(=INDEX(Roster!$B$6:$B$108,MATCH(D988,Roster!$A$6:$A$108,0))="Associate Principal",INDEX(Inputs!$B$11:$D$11,1,MATCH(A988,Inputs!$B$6:$D$6,0)),IF(=INDEX(Roster!$B$6:$B$108,MATCH(D988,Roster!$A$6:$A$108,0))="Assistant Principal",INDEX(Inputs!$B$12:$D$12,1,MATCH(A988,Inputs!$B$6:$D$6,0)),0))))</x:f>
        <x:v>0</x:v>
      </x:c>
      <x:c r="L988" s="20" t="n">
        <x:f>IF(INDEX(Roster!$D$6:$D$108,MATCH(D988,Roster!$A$6:$A$108,0))&gt;=25,INDEX(Inputs!$B$19:$D$19,1,MATCH(A988,Inputs!$B$6:$D$6,0)),IF(INDEX(Roster!$D$6:$D$108,MATCH(D988,Roster!$A$6:$A$108,0))&gt;=20,INDEX(Inputs!$B$18:$D$18,1,MATCH(A988,Inputs!$B$6:$D$6,0)),IF(INDEX(Roster!$D$6:$D$108,MATCH(D988,Roster!$A$6:$A$108,0))&gt;=15,INDEX(Inputs!$B$17:$D$17,1,MATCH(A988,Inputs!$B$6:$D$6,0)),IF(INDEX(Roster!$D$6:$D$108,MATCH(D988,Roster!$A$6:$A$108,0))&gt;=10,INDEX(Inputs!$B$16:$D$16,1,MATCH(A988,Inputs!$B$6:$D$6,0)),IF(INDEX(Roster!$D$6:$D$108,MATCH(D988,Roster!$A$6:$A$108,0))&gt;=5,INDEX(Inputs!$B$15:$D$15,1,MATCH(A988,Inputs!$B$6:$D$6,0)),0)))))</x:f>
        <x:v>90</x:v>
      </x:c>
      <x:c r="M988" s="20" t="n">
        <x:f>G988*I988</x:f>
        <x:v>31135</x:v>
      </x:c>
      <x:c r="N988" s="20" t="n">
        <x:f>G988*J988</x:f>
        <x:v>1222</x:v>
      </x:c>
      <x:c r="O988" s="20" t="n">
        <x:f>G988*K988</x:f>
        <x:v>0</x:v>
      </x:c>
      <x:c r="P988" s="20" t="n">
        <x:f>G988*L988</x:f>
        <x:v>1170</x:v>
      </x:c>
      <x:c r="Q988" s="20" t="n">
        <x:f>H988*INDEX(Inputs!$B$13:$D$13,1,MATCH(A988,Inputs!$B$6:$D$6,0))</x:f>
        <x:v>390</x:v>
      </x:c>
      <x:c r="R988" s="20" t="n">
        <x:f>SUM(M988:Q988)</x:f>
        <x:v>33917</x:v>
      </x:c>
      <x:c r="S988" s="20" t="n">
        <x:f>IF(AND(A987=A988,D987=D988),S987+R988,R988)</x:f>
        <x:v>101751</x:v>
      </x:c>
      <x:c r="T988" s="20" t="n">
        <x:f>MIN(S988,INDEX(Inputs!$B$20:$D$20,1,MATCH(A988,Inputs!$B$6:$D$6,0)))*INDEX(Inputs!$B$22:$D$22,1,MATCH(A988,Inputs!$B$6:$D$6,0))+MAX(MIN(S988,INDEX(Inputs!$B$21:$D$21,1,MATCH(A988,Inputs!$B$6:$D$6,0)))-INDEX(Inputs!$B$20:$D$20,1,MATCH(A988,Inputs!$B$6:$D$6,0)),0)*INDEX(Inputs!$B$23:$D$23,1,MATCH(A988,Inputs!$B$6:$D$6,0))+MAX(S988-INDEX(Inputs!$B$21:$D$21,1,MATCH(A988,Inputs!$B$6:$D$6,0)),0)*INDEX(Inputs!$B$24:$D$24,1,MATCH(A988,Inputs!$B$6:$D$6,0))</x:f>
        <x:v>8273.9515</x:v>
      </x:c>
      <x:c r="U988" s="20" t="n">
        <x:f>IF(AND(A987=A988,D987=D988),T987,0)</x:f>
        <x:v>5679.3009999999995</x:v>
      </x:c>
      <x:c r="V988" s="20" t="n">
        <x:f>T988-U988</x:f>
        <x:v>2594.6504999999997</x:v>
      </x:c>
      <x:c r="W988" s="20" t="n">
        <x:f>R988+V988</x:f>
        <x:v>36511.6505</x:v>
      </x:c>
      <x:c r="X988" s="14" t="str">
        <x:f>IF(ABS(W988-SUM(M988:Q988)-V988)&lt;0.01,"OK","Check")</x:f>
        <x:v>OK</x:v>
      </x:c>
    </x:row>
    <x:row r="989">
      <x:c r="A989" s="14" t="n">
        <x:v>2028</x:v>
      </x:c>
      <x:c r="B989" s="14" t="str">
        <x:v>Q4</x:v>
      </x:c>
      <x:c r="C989" s="14" t="n">
        <x:v>4</x:v>
      </x:c>
      <x:c r="D989" s="14" t="n">
        <x:v>40</x:v>
      </x:c>
      <x:c r="E989" s="14" t="str">
        <x:f>INDEX(Roster!$B$6:$B$108,MATCH(D989,Roster!$A$6:$A$108,0))</x:f>
      </x:c>
      <x:c r="F989" s="14" t="str">
        <x:f>INDEX(Roster!$F$6:$F$108,MATCH(D989,Roster!$A$6:$A$108,0))</x:f>
        <x:v>No</x:v>
      </x:c>
      <x:c r="G989" s="14" t="n">
        <x:f>INDEX(Inputs!$B$7:$D$7,1,MATCH(A989,Inputs!$B$6:$D$6,0))</x:f>
        <x:v>13</x:v>
      </x:c>
      <x:c r="H989" s="14" t="n">
        <x:f>MIN(=INDEX(Inputs!$B$7:$D$7,1,MATCH(A989,Inputs!$B$6:$D$6,0)),MAX(0,INDEX(Inputs!$B$14:$D$14,1,MATCH(A989,Inputs!$B$6:$D$6,0))-(C989-1)*=INDEX(Inputs!$B$7:$D$7,1,MATCH(A989,Inputs!$B$6:$D$6,0))))</x:f>
        <x:v>0</x:v>
      </x:c>
      <x:c r="I989" s="20" t="n">
        <x:f>INDEX(Inputs!$B$8:$D$8,1,MATCH(A989,Inputs!$B$6:$D$6,0))</x:f>
        <x:v>2395</x:v>
      </x:c>
      <x:c r="J989" s="20" t="n">
        <x:f>INDEX(Roster!$C$6:$C$108,MATCH(D989,Roster!$A$6:$A$108,0))*(1+INDEX(Inputs!$B$9:$D$9,1,MATCH(A989,Inputs!$B$6:$D$6,0)))</x:f>
        <x:v>94</x:v>
      </x:c>
      <x:c r="K989" s="20" t="n">
        <x:f>IF(=INDEX(Roster!$F$6:$F$108,MATCH(D989,Roster!$A$6:$A$108,0))="Yes",0,=INDEX(Inputs!$B$8:$D$8,1,MATCH(A989,Inputs!$B$6:$D$6,0))*IF(=INDEX(Roster!$B$6:$B$108,MATCH(D989,Roster!$A$6:$A$108,0))="Principal",INDEX(Inputs!$B$10:$D$10,1,MATCH(A989,Inputs!$B$6:$D$6,0)),IF(=INDEX(Roster!$B$6:$B$108,MATCH(D989,Roster!$A$6:$A$108,0))="Associate Principal",INDEX(Inputs!$B$11:$D$11,1,MATCH(A989,Inputs!$B$6:$D$6,0)),IF(=INDEX(Roster!$B$6:$B$108,MATCH(D989,Roster!$A$6:$A$108,0))="Assistant Principal",INDEX(Inputs!$B$12:$D$12,1,MATCH(A989,Inputs!$B$6:$D$6,0)),0))))</x:f>
        <x:v>0</x:v>
      </x:c>
      <x:c r="L989" s="20" t="n">
        <x:f>IF(INDEX(Roster!$D$6:$D$108,MATCH(D989,Roster!$A$6:$A$108,0))&gt;=25,INDEX(Inputs!$B$19:$D$19,1,MATCH(A989,Inputs!$B$6:$D$6,0)),IF(INDEX(Roster!$D$6:$D$108,MATCH(D989,Roster!$A$6:$A$108,0))&gt;=20,INDEX(Inputs!$B$18:$D$18,1,MATCH(A989,Inputs!$B$6:$D$6,0)),IF(INDEX(Roster!$D$6:$D$108,MATCH(D989,Roster!$A$6:$A$108,0))&gt;=15,INDEX(Inputs!$B$17:$D$17,1,MATCH(A989,Inputs!$B$6:$D$6,0)),IF(INDEX(Roster!$D$6:$D$108,MATCH(D989,Roster!$A$6:$A$108,0))&gt;=10,INDEX(Inputs!$B$16:$D$16,1,MATCH(A989,Inputs!$B$6:$D$6,0)),IF(INDEX(Roster!$D$6:$D$108,MATCH(D989,Roster!$A$6:$A$108,0))&gt;=5,INDEX(Inputs!$B$15:$D$15,1,MATCH(A989,Inputs!$B$6:$D$6,0)),0)))))</x:f>
        <x:v>90</x:v>
      </x:c>
      <x:c r="M989" s="20" t="n">
        <x:f>G989*I989</x:f>
        <x:v>31135</x:v>
      </x:c>
      <x:c r="N989" s="20" t="n">
        <x:f>G989*J989</x:f>
        <x:v>1222</x:v>
      </x:c>
      <x:c r="O989" s="20" t="n">
        <x:f>G989*K989</x:f>
        <x:v>0</x:v>
      </x:c>
      <x:c r="P989" s="20" t="n">
        <x:f>G989*L989</x:f>
        <x:v>1170</x:v>
      </x:c>
      <x:c r="Q989" s="20" t="n">
        <x:f>H989*INDEX(Inputs!$B$13:$D$13,1,MATCH(A989,Inputs!$B$6:$D$6,0))</x:f>
        <x:v>0</x:v>
      </x:c>
      <x:c r="R989" s="20" t="n">
        <x:f>SUM(M989:Q989)</x:f>
        <x:v>33527</x:v>
      </x:c>
      <x:c r="S989" s="20" t="n">
        <x:f>IF(AND(A988=A989,D988=D989),S988+R989,R989)</x:f>
        <x:v>135278</x:v>
      </x:c>
      <x:c r="T989" s="20" t="n">
        <x:f>MIN(S989,INDEX(Inputs!$B$20:$D$20,1,MATCH(A989,Inputs!$B$6:$D$6,0)))*INDEX(Inputs!$B$22:$D$22,1,MATCH(A989,Inputs!$B$6:$D$6,0))+MAX(MIN(S989,INDEX(Inputs!$B$21:$D$21,1,MATCH(A989,Inputs!$B$6:$D$6,0)))-INDEX(Inputs!$B$20:$D$20,1,MATCH(A989,Inputs!$B$6:$D$6,0)),0)*INDEX(Inputs!$B$23:$D$23,1,MATCH(A989,Inputs!$B$6:$D$6,0))+MAX(S989-INDEX(Inputs!$B$21:$D$21,1,MATCH(A989,Inputs!$B$6:$D$6,0)),0)*INDEX(Inputs!$B$24:$D$24,1,MATCH(A989,Inputs!$B$6:$D$6,0))</x:f>
        <x:v>9875.473</x:v>
      </x:c>
      <x:c r="U989" s="20" t="n">
        <x:f>IF(AND(A988=A989,D988=D989),T988,0)</x:f>
        <x:v>8273.9515</x:v>
      </x:c>
      <x:c r="V989" s="20" t="n">
        <x:f>T989-U989</x:f>
        <x:v>1601.5215000000007</x:v>
      </x:c>
      <x:c r="W989" s="20" t="n">
        <x:f>R989+V989</x:f>
        <x:v>35128.5215</x:v>
      </x:c>
      <x:c r="X989" s="14" t="str">
        <x:f>IF(ABS(W989-SUM(M989:Q989)-V989)&lt;0.01,"OK","Check")</x:f>
        <x:v>OK</x:v>
      </x:c>
    </x:row>
    <x:row r="990">
      <x:c r="A990" s="14" t="n">
        <x:v>2028</x:v>
      </x:c>
      <x:c r="B990" s="14" t="str">
        <x:v>Q1</x:v>
      </x:c>
      <x:c r="C990" s="14" t="n">
        <x:v>1</x:v>
      </x:c>
      <x:c r="D990" s="14" t="n">
        <x:v>41</x:v>
      </x:c>
      <x:c r="E990" s="14" t="str">
        <x:f>INDEX(Roster!$B$6:$B$108,MATCH(D990,Roster!$A$6:$A$108,0))</x:f>
        <x:v>Principal</x:v>
      </x:c>
      <x:c r="F990" s="14" t="str">
        <x:f>INDEX(Roster!$F$6:$F$108,MATCH(D990,Roster!$A$6:$A$108,0))</x:f>
        <x:v>Yes</x:v>
      </x:c>
      <x:c r="G990" s="14" t="n">
        <x:f>INDEX(Inputs!$B$7:$D$7,1,MATCH(A990,Inputs!$B$6:$D$6,0))</x:f>
        <x:v>13</x:v>
      </x:c>
      <x:c r="H990" s="14" t="n">
        <x:f>MIN(=INDEX(Inputs!$B$7:$D$7,1,MATCH(A990,Inputs!$B$6:$D$6,0)),MAX(0,INDEX(Inputs!$B$14:$D$14,1,MATCH(A990,Inputs!$B$6:$D$6,0))-(C990-1)*=INDEX(Inputs!$B$7:$D$7,1,MATCH(A990,Inputs!$B$6:$D$6,0))))</x:f>
        <x:v>13</x:v>
      </x:c>
      <x:c r="I990" s="20" t="n">
        <x:f>INDEX(Inputs!$B$8:$D$8,1,MATCH(A990,Inputs!$B$6:$D$6,0))</x:f>
        <x:v>2395</x:v>
      </x:c>
      <x:c r="J990" s="20" t="n">
        <x:f>INDEX(Roster!$C$6:$C$108,MATCH(D990,Roster!$A$6:$A$108,0))*(1+INDEX(Inputs!$B$9:$D$9,1,MATCH(A990,Inputs!$B$6:$D$6,0)))</x:f>
        <x:v>600</x:v>
      </x:c>
      <x:c r="K990" s="20" t="n">
        <x:f>IF(=INDEX(Roster!$F$6:$F$108,MATCH(D990,Roster!$A$6:$A$108,0))="Yes",0,=INDEX(Inputs!$B$8:$D$8,1,MATCH(A990,Inputs!$B$6:$D$6,0))*IF(=INDEX(Roster!$B$6:$B$108,MATCH(D990,Roster!$A$6:$A$108,0))="Principal",INDEX(Inputs!$B$10:$D$10,1,MATCH(A990,Inputs!$B$6:$D$6,0)),IF(=INDEX(Roster!$B$6:$B$108,MATCH(D990,Roster!$A$6:$A$108,0))="Associate Principal",INDEX(Inputs!$B$11:$D$11,1,MATCH(A990,Inputs!$B$6:$D$6,0)),IF(=INDEX(Roster!$B$6:$B$108,MATCH(D990,Roster!$A$6:$A$108,0))="Assistant Principal",INDEX(Inputs!$B$12:$D$12,1,MATCH(A990,Inputs!$B$6:$D$6,0)),0))))</x:f>
        <x:v>0</x:v>
      </x:c>
      <x:c r="L990" s="20" t="n">
        <x:f>IF(INDEX(Roster!$D$6:$D$108,MATCH(D990,Roster!$A$6:$A$108,0))&gt;=25,INDEX(Inputs!$B$19:$D$19,1,MATCH(A990,Inputs!$B$6:$D$6,0)),IF(INDEX(Roster!$D$6:$D$108,MATCH(D990,Roster!$A$6:$A$108,0))&gt;=20,INDEX(Inputs!$B$18:$D$18,1,MATCH(A990,Inputs!$B$6:$D$6,0)),IF(INDEX(Roster!$D$6:$D$108,MATCH(D990,Roster!$A$6:$A$108,0))&gt;=15,INDEX(Inputs!$B$17:$D$17,1,MATCH(A990,Inputs!$B$6:$D$6,0)),IF(INDEX(Roster!$D$6:$D$108,MATCH(D990,Roster!$A$6:$A$108,0))&gt;=10,INDEX(Inputs!$B$16:$D$16,1,MATCH(A990,Inputs!$B$6:$D$6,0)),IF(INDEX(Roster!$D$6:$D$108,MATCH(D990,Roster!$A$6:$A$108,0))&gt;=5,INDEX(Inputs!$B$15:$D$15,1,MATCH(A990,Inputs!$B$6:$D$6,0)),0)))))</x:f>
        <x:v>0</x:v>
      </x:c>
      <x:c r="M990" s="20" t="n">
        <x:f>G990*I990</x:f>
        <x:v>31135</x:v>
      </x:c>
      <x:c r="N990" s="20" t="n">
        <x:f>G990*J990</x:f>
        <x:v>7800</x:v>
      </x:c>
      <x:c r="O990" s="20" t="n">
        <x:f>G990*K990</x:f>
        <x:v>0</x:v>
      </x:c>
      <x:c r="P990" s="20" t="n">
        <x:f>G990*L990</x:f>
        <x:v>0</x:v>
      </x:c>
      <x:c r="Q990" s="20" t="n">
        <x:f>H990*INDEX(Inputs!$B$13:$D$13,1,MATCH(A990,Inputs!$B$6:$D$6,0))</x:f>
        <x:v>390</x:v>
      </x:c>
      <x:c r="R990" s="20" t="n">
        <x:f>SUM(M990:Q990)</x:f>
        <x:v>39325</x:v>
      </x:c>
      <x:c r="S990" s="20" t="n">
        <x:f>IF(AND(A989=A990,D989=D990),S989+R990,R990)</x:f>
        <x:v>39325</x:v>
      </x:c>
      <x:c r="T990" s="20" t="n">
        <x:f>MIN(S990,INDEX(Inputs!$B$20:$D$20,1,MATCH(A990,Inputs!$B$6:$D$6,0)))*INDEX(Inputs!$B$22:$D$22,1,MATCH(A990,Inputs!$B$6:$D$6,0))+MAX(MIN(S990,INDEX(Inputs!$B$21:$D$21,1,MATCH(A990,Inputs!$B$6:$D$6,0)))-INDEX(Inputs!$B$20:$D$20,1,MATCH(A990,Inputs!$B$6:$D$6,0)),0)*INDEX(Inputs!$B$23:$D$23,1,MATCH(A990,Inputs!$B$6:$D$6,0))+MAX(S990-INDEX(Inputs!$B$21:$D$21,1,MATCH(A990,Inputs!$B$6:$D$6,0)),0)*INDEX(Inputs!$B$24:$D$24,1,MATCH(A990,Inputs!$B$6:$D$6,0))</x:f>
        <x:v>3498.3624999999997</x:v>
      </x:c>
      <x:c r="U990" s="20" t="n">
        <x:f>IF(AND(A989=A990,D989=D990),T989,0)</x:f>
        <x:v>0</x:v>
      </x:c>
      <x:c r="V990" s="20" t="n">
        <x:f>T990-U990</x:f>
        <x:v>3498.3624999999997</x:v>
      </x:c>
      <x:c r="W990" s="20" t="n">
        <x:f>R990+V990</x:f>
        <x:v>42823.3625</x:v>
      </x:c>
      <x:c r="X990" s="14" t="str">
        <x:f>IF(ABS(W990-SUM(M990:Q990)-V990)&lt;0.01,"OK","Check")</x:f>
        <x:v>OK</x:v>
      </x:c>
    </x:row>
    <x:row r="991">
      <x:c r="A991" s="14" t="n">
        <x:v>2028</x:v>
      </x:c>
      <x:c r="B991" s="14" t="str">
        <x:v>Q2</x:v>
      </x:c>
      <x:c r="C991" s="14" t="n">
        <x:v>2</x:v>
      </x:c>
      <x:c r="D991" s="14" t="n">
        <x:v>41</x:v>
      </x:c>
      <x:c r="E991" s="14" t="str">
        <x:f>INDEX(Roster!$B$6:$B$108,MATCH(D991,Roster!$A$6:$A$108,0))</x:f>
        <x:v>Principal</x:v>
      </x:c>
      <x:c r="F991" s="14" t="str">
        <x:f>INDEX(Roster!$F$6:$F$108,MATCH(D991,Roster!$A$6:$A$108,0))</x:f>
        <x:v>Yes</x:v>
      </x:c>
      <x:c r="G991" s="14" t="n">
        <x:f>INDEX(Inputs!$B$7:$D$7,1,MATCH(A991,Inputs!$B$6:$D$6,0))</x:f>
        <x:v>13</x:v>
      </x:c>
      <x:c r="H991" s="14" t="n">
        <x:f>MIN(=INDEX(Inputs!$B$7:$D$7,1,MATCH(A991,Inputs!$B$6:$D$6,0)),MAX(0,INDEX(Inputs!$B$14:$D$14,1,MATCH(A991,Inputs!$B$6:$D$6,0))-(C991-1)*=INDEX(Inputs!$B$7:$D$7,1,MATCH(A991,Inputs!$B$6:$D$6,0))))</x:f>
        <x:v>13</x:v>
      </x:c>
      <x:c r="I991" s="20" t="n">
        <x:f>INDEX(Inputs!$B$8:$D$8,1,MATCH(A991,Inputs!$B$6:$D$6,0))</x:f>
        <x:v>2395</x:v>
      </x:c>
      <x:c r="J991" s="20" t="n">
        <x:f>INDEX(Roster!$C$6:$C$108,MATCH(D991,Roster!$A$6:$A$108,0))*(1+INDEX(Inputs!$B$9:$D$9,1,MATCH(A991,Inputs!$B$6:$D$6,0)))</x:f>
        <x:v>600</x:v>
      </x:c>
      <x:c r="K991" s="20" t="n">
        <x:f>IF(=INDEX(Roster!$F$6:$F$108,MATCH(D991,Roster!$A$6:$A$108,0))="Yes",0,=INDEX(Inputs!$B$8:$D$8,1,MATCH(A991,Inputs!$B$6:$D$6,0))*IF(=INDEX(Roster!$B$6:$B$108,MATCH(D991,Roster!$A$6:$A$108,0))="Principal",INDEX(Inputs!$B$10:$D$10,1,MATCH(A991,Inputs!$B$6:$D$6,0)),IF(=INDEX(Roster!$B$6:$B$108,MATCH(D991,Roster!$A$6:$A$108,0))="Associate Principal",INDEX(Inputs!$B$11:$D$11,1,MATCH(A991,Inputs!$B$6:$D$6,0)),IF(=INDEX(Roster!$B$6:$B$108,MATCH(D991,Roster!$A$6:$A$108,0))="Assistant Principal",INDEX(Inputs!$B$12:$D$12,1,MATCH(A991,Inputs!$B$6:$D$6,0)),0))))</x:f>
        <x:v>0</x:v>
      </x:c>
      <x:c r="L991" s="20" t="n">
        <x:f>IF(INDEX(Roster!$D$6:$D$108,MATCH(D991,Roster!$A$6:$A$108,0))&gt;=25,INDEX(Inputs!$B$19:$D$19,1,MATCH(A991,Inputs!$B$6:$D$6,0)),IF(INDEX(Roster!$D$6:$D$108,MATCH(D991,Roster!$A$6:$A$108,0))&gt;=20,INDEX(Inputs!$B$18:$D$18,1,MATCH(A991,Inputs!$B$6:$D$6,0)),IF(INDEX(Roster!$D$6:$D$108,MATCH(D991,Roster!$A$6:$A$108,0))&gt;=15,INDEX(Inputs!$B$17:$D$17,1,MATCH(A991,Inputs!$B$6:$D$6,0)),IF(INDEX(Roster!$D$6:$D$108,MATCH(D991,Roster!$A$6:$A$108,0))&gt;=10,INDEX(Inputs!$B$16:$D$16,1,MATCH(A991,Inputs!$B$6:$D$6,0)),IF(INDEX(Roster!$D$6:$D$108,MATCH(D991,Roster!$A$6:$A$108,0))&gt;=5,INDEX(Inputs!$B$15:$D$15,1,MATCH(A991,Inputs!$B$6:$D$6,0)),0)))))</x:f>
        <x:v>0</x:v>
      </x:c>
      <x:c r="M991" s="20" t="n">
        <x:f>G991*I991</x:f>
        <x:v>31135</x:v>
      </x:c>
      <x:c r="N991" s="20" t="n">
        <x:f>G991*J991</x:f>
        <x:v>7800</x:v>
      </x:c>
      <x:c r="O991" s="20" t="n">
        <x:f>G991*K991</x:f>
        <x:v>0</x:v>
      </x:c>
      <x:c r="P991" s="20" t="n">
        <x:f>G991*L991</x:f>
        <x:v>0</x:v>
      </x:c>
      <x:c r="Q991" s="20" t="n">
        <x:f>H991*INDEX(Inputs!$B$13:$D$13,1,MATCH(A991,Inputs!$B$6:$D$6,0))</x:f>
        <x:v>390</x:v>
      </x:c>
      <x:c r="R991" s="20" t="n">
        <x:f>SUM(M991:Q991)</x:f>
        <x:v>39325</x:v>
      </x:c>
      <x:c r="S991" s="20" t="n">
        <x:f>IF(AND(A990=A991,D990=D991),S990+R991,R991)</x:f>
        <x:v>78650</x:v>
      </x:c>
      <x:c r="T991" s="20" t="n">
        <x:f>MIN(S991,INDEX(Inputs!$B$20:$D$20,1,MATCH(A991,Inputs!$B$6:$D$6,0)))*INDEX(Inputs!$B$22:$D$22,1,MATCH(A991,Inputs!$B$6:$D$6,0))+MAX(MIN(S991,INDEX(Inputs!$B$21:$D$21,1,MATCH(A991,Inputs!$B$6:$D$6,0)))-INDEX(Inputs!$B$20:$D$20,1,MATCH(A991,Inputs!$B$6:$D$6,0)),0)*INDEX(Inputs!$B$23:$D$23,1,MATCH(A991,Inputs!$B$6:$D$6,0))+MAX(S991-INDEX(Inputs!$B$21:$D$21,1,MATCH(A991,Inputs!$B$6:$D$6,0)),0)*INDEX(Inputs!$B$24:$D$24,1,MATCH(A991,Inputs!$B$6:$D$6,0))</x:f>
        <x:v>6506.724999999999</x:v>
      </x:c>
      <x:c r="U991" s="20" t="n">
        <x:f>IF(AND(A990=A991,D990=D991),T990,0)</x:f>
        <x:v>3498.3624999999997</x:v>
      </x:c>
      <x:c r="V991" s="20" t="n">
        <x:f>T991-U991</x:f>
        <x:v>3008.3624999999997</x:v>
      </x:c>
      <x:c r="W991" s="20" t="n">
        <x:f>R991+V991</x:f>
        <x:v>42333.3625</x:v>
      </x:c>
      <x:c r="X991" s="14" t="str">
        <x:f>IF(ABS(W991-SUM(M991:Q991)-V991)&lt;0.01,"OK","Check")</x:f>
        <x:v>OK</x:v>
      </x:c>
    </x:row>
    <x:row r="992">
      <x:c r="A992" s="14" t="n">
        <x:v>2028</x:v>
      </x:c>
      <x:c r="B992" s="14" t="str">
        <x:v>Q3</x:v>
      </x:c>
      <x:c r="C992" s="14" t="n">
        <x:v>3</x:v>
      </x:c>
      <x:c r="D992" s="14" t="n">
        <x:v>41</x:v>
      </x:c>
      <x:c r="E992" s="14" t="str">
        <x:f>INDEX(Roster!$B$6:$B$108,MATCH(D992,Roster!$A$6:$A$108,0))</x:f>
        <x:v>Principal</x:v>
      </x:c>
      <x:c r="F992" s="14" t="str">
        <x:f>INDEX(Roster!$F$6:$F$108,MATCH(D992,Roster!$A$6:$A$108,0))</x:f>
        <x:v>Yes</x:v>
      </x:c>
      <x:c r="G992" s="14" t="n">
        <x:f>INDEX(Inputs!$B$7:$D$7,1,MATCH(A992,Inputs!$B$6:$D$6,0))</x:f>
        <x:v>13</x:v>
      </x:c>
      <x:c r="H992" s="14" t="n">
        <x:f>MIN(=INDEX(Inputs!$B$7:$D$7,1,MATCH(A992,Inputs!$B$6:$D$6,0)),MAX(0,INDEX(Inputs!$B$14:$D$14,1,MATCH(A992,Inputs!$B$6:$D$6,0))-(C992-1)*=INDEX(Inputs!$B$7:$D$7,1,MATCH(A992,Inputs!$B$6:$D$6,0))))</x:f>
        <x:v>13</x:v>
      </x:c>
      <x:c r="I992" s="20" t="n">
        <x:f>INDEX(Inputs!$B$8:$D$8,1,MATCH(A992,Inputs!$B$6:$D$6,0))</x:f>
        <x:v>2395</x:v>
      </x:c>
      <x:c r="J992" s="20" t="n">
        <x:f>INDEX(Roster!$C$6:$C$108,MATCH(D992,Roster!$A$6:$A$108,0))*(1+INDEX(Inputs!$B$9:$D$9,1,MATCH(A992,Inputs!$B$6:$D$6,0)))</x:f>
        <x:v>600</x:v>
      </x:c>
      <x:c r="K992" s="20" t="n">
        <x:f>IF(=INDEX(Roster!$F$6:$F$108,MATCH(D992,Roster!$A$6:$A$108,0))="Yes",0,=INDEX(Inputs!$B$8:$D$8,1,MATCH(A992,Inputs!$B$6:$D$6,0))*IF(=INDEX(Roster!$B$6:$B$108,MATCH(D992,Roster!$A$6:$A$108,0))="Principal",INDEX(Inputs!$B$10:$D$10,1,MATCH(A992,Inputs!$B$6:$D$6,0)),IF(=INDEX(Roster!$B$6:$B$108,MATCH(D992,Roster!$A$6:$A$108,0))="Associate Principal",INDEX(Inputs!$B$11:$D$11,1,MATCH(A992,Inputs!$B$6:$D$6,0)),IF(=INDEX(Roster!$B$6:$B$108,MATCH(D992,Roster!$A$6:$A$108,0))="Assistant Principal",INDEX(Inputs!$B$12:$D$12,1,MATCH(A992,Inputs!$B$6:$D$6,0)),0))))</x:f>
        <x:v>0</x:v>
      </x:c>
      <x:c r="L992" s="20" t="n">
        <x:f>IF(INDEX(Roster!$D$6:$D$108,MATCH(D992,Roster!$A$6:$A$108,0))&gt;=25,INDEX(Inputs!$B$19:$D$19,1,MATCH(A992,Inputs!$B$6:$D$6,0)),IF(INDEX(Roster!$D$6:$D$108,MATCH(D992,Roster!$A$6:$A$108,0))&gt;=20,INDEX(Inputs!$B$18:$D$18,1,MATCH(A992,Inputs!$B$6:$D$6,0)),IF(INDEX(Roster!$D$6:$D$108,MATCH(D992,Roster!$A$6:$A$108,0))&gt;=15,INDEX(Inputs!$B$17:$D$17,1,MATCH(A992,Inputs!$B$6:$D$6,0)),IF(INDEX(Roster!$D$6:$D$108,MATCH(D992,Roster!$A$6:$A$108,0))&gt;=10,INDEX(Inputs!$B$16:$D$16,1,MATCH(A992,Inputs!$B$6:$D$6,0)),IF(INDEX(Roster!$D$6:$D$108,MATCH(D992,Roster!$A$6:$A$108,0))&gt;=5,INDEX(Inputs!$B$15:$D$15,1,MATCH(A992,Inputs!$B$6:$D$6,0)),0)))))</x:f>
        <x:v>0</x:v>
      </x:c>
      <x:c r="M992" s="20" t="n">
        <x:f>G992*I992</x:f>
        <x:v>31135</x:v>
      </x:c>
      <x:c r="N992" s="20" t="n">
        <x:f>G992*J992</x:f>
        <x:v>7800</x:v>
      </x:c>
      <x:c r="O992" s="20" t="n">
        <x:f>G992*K992</x:f>
        <x:v>0</x:v>
      </x:c>
      <x:c r="P992" s="20" t="n">
        <x:f>G992*L992</x:f>
        <x:v>0</x:v>
      </x:c>
      <x:c r="Q992" s="20" t="n">
        <x:f>H992*INDEX(Inputs!$B$13:$D$13,1,MATCH(A992,Inputs!$B$6:$D$6,0))</x:f>
        <x:v>390</x:v>
      </x:c>
      <x:c r="R992" s="20" t="n">
        <x:f>SUM(M992:Q992)</x:f>
        <x:v>39325</x:v>
      </x:c>
      <x:c r="S992" s="20" t="n">
        <x:f>IF(AND(A991=A992,D991=D992),S991+R992,R992)</x:f>
        <x:v>117975</x:v>
      </x:c>
      <x:c r="T992" s="20" t="n">
        <x:f>MIN(S992,INDEX(Inputs!$B$20:$D$20,1,MATCH(A992,Inputs!$B$6:$D$6,0)))*INDEX(Inputs!$B$22:$D$22,1,MATCH(A992,Inputs!$B$6:$D$6,0))+MAX(MIN(S992,INDEX(Inputs!$B$21:$D$21,1,MATCH(A992,Inputs!$B$6:$D$6,0)))-INDEX(Inputs!$B$20:$D$20,1,MATCH(A992,Inputs!$B$6:$D$6,0)),0)*INDEX(Inputs!$B$23:$D$23,1,MATCH(A992,Inputs!$B$6:$D$6,0))+MAX(S992-INDEX(Inputs!$B$21:$D$21,1,MATCH(A992,Inputs!$B$6:$D$6,0)),0)*INDEX(Inputs!$B$24:$D$24,1,MATCH(A992,Inputs!$B$6:$D$6,0))</x:f>
        <x:v>9515.0875</x:v>
      </x:c>
      <x:c r="U992" s="20" t="n">
        <x:f>IF(AND(A991=A992,D991=D992),T991,0)</x:f>
        <x:v>6506.724999999999</x:v>
      </x:c>
      <x:c r="V992" s="20" t="n">
        <x:f>T992-U992</x:f>
        <x:v>3008.3625</x:v>
      </x:c>
      <x:c r="W992" s="20" t="n">
        <x:f>R992+V992</x:f>
        <x:v>42333.3625</x:v>
      </x:c>
      <x:c r="X992" s="14" t="str">
        <x:f>IF(ABS(W992-SUM(M992:Q992)-V992)&lt;0.01,"OK","Check")</x:f>
        <x:v>OK</x:v>
      </x:c>
    </x:row>
    <x:row r="993">
      <x:c r="A993" s="14" t="n">
        <x:v>2028</x:v>
      </x:c>
      <x:c r="B993" s="14" t="str">
        <x:v>Q4</x:v>
      </x:c>
      <x:c r="C993" s="14" t="n">
        <x:v>4</x:v>
      </x:c>
      <x:c r="D993" s="14" t="n">
        <x:v>41</x:v>
      </x:c>
      <x:c r="E993" s="14" t="str">
        <x:f>INDEX(Roster!$B$6:$B$108,MATCH(D993,Roster!$A$6:$A$108,0))</x:f>
        <x:v>Principal</x:v>
      </x:c>
      <x:c r="F993" s="14" t="str">
        <x:f>INDEX(Roster!$F$6:$F$108,MATCH(D993,Roster!$A$6:$A$108,0))</x:f>
        <x:v>Yes</x:v>
      </x:c>
      <x:c r="G993" s="14" t="n">
        <x:f>INDEX(Inputs!$B$7:$D$7,1,MATCH(A993,Inputs!$B$6:$D$6,0))</x:f>
        <x:v>13</x:v>
      </x:c>
      <x:c r="H993" s="14" t="n">
        <x:f>MIN(=INDEX(Inputs!$B$7:$D$7,1,MATCH(A993,Inputs!$B$6:$D$6,0)),MAX(0,INDEX(Inputs!$B$14:$D$14,1,MATCH(A993,Inputs!$B$6:$D$6,0))-(C993-1)*=INDEX(Inputs!$B$7:$D$7,1,MATCH(A993,Inputs!$B$6:$D$6,0))))</x:f>
        <x:v>0</x:v>
      </x:c>
      <x:c r="I993" s="20" t="n">
        <x:f>INDEX(Inputs!$B$8:$D$8,1,MATCH(A993,Inputs!$B$6:$D$6,0))</x:f>
        <x:v>2395</x:v>
      </x:c>
      <x:c r="J993" s="20" t="n">
        <x:f>INDEX(Roster!$C$6:$C$108,MATCH(D993,Roster!$A$6:$A$108,0))*(1+INDEX(Inputs!$B$9:$D$9,1,MATCH(A993,Inputs!$B$6:$D$6,0)))</x:f>
        <x:v>600</x:v>
      </x:c>
      <x:c r="K993" s="20" t="n">
        <x:f>IF(=INDEX(Roster!$F$6:$F$108,MATCH(D993,Roster!$A$6:$A$108,0))="Yes",0,=INDEX(Inputs!$B$8:$D$8,1,MATCH(A993,Inputs!$B$6:$D$6,0))*IF(=INDEX(Roster!$B$6:$B$108,MATCH(D993,Roster!$A$6:$A$108,0))="Principal",INDEX(Inputs!$B$10:$D$10,1,MATCH(A993,Inputs!$B$6:$D$6,0)),IF(=INDEX(Roster!$B$6:$B$108,MATCH(D993,Roster!$A$6:$A$108,0))="Associate Principal",INDEX(Inputs!$B$11:$D$11,1,MATCH(A993,Inputs!$B$6:$D$6,0)),IF(=INDEX(Roster!$B$6:$B$108,MATCH(D993,Roster!$A$6:$A$108,0))="Assistant Principal",INDEX(Inputs!$B$12:$D$12,1,MATCH(A993,Inputs!$B$6:$D$6,0)),0))))</x:f>
        <x:v>0</x:v>
      </x:c>
      <x:c r="L993" s="20" t="n">
        <x:f>IF(INDEX(Roster!$D$6:$D$108,MATCH(D993,Roster!$A$6:$A$108,0))&gt;=25,INDEX(Inputs!$B$19:$D$19,1,MATCH(A993,Inputs!$B$6:$D$6,0)),IF(INDEX(Roster!$D$6:$D$108,MATCH(D993,Roster!$A$6:$A$108,0))&gt;=20,INDEX(Inputs!$B$18:$D$18,1,MATCH(A993,Inputs!$B$6:$D$6,0)),IF(INDEX(Roster!$D$6:$D$108,MATCH(D993,Roster!$A$6:$A$108,0))&gt;=15,INDEX(Inputs!$B$17:$D$17,1,MATCH(A993,Inputs!$B$6:$D$6,0)),IF(INDEX(Roster!$D$6:$D$108,MATCH(D993,Roster!$A$6:$A$108,0))&gt;=10,INDEX(Inputs!$B$16:$D$16,1,MATCH(A993,Inputs!$B$6:$D$6,0)),IF(INDEX(Roster!$D$6:$D$108,MATCH(D993,Roster!$A$6:$A$108,0))&gt;=5,INDEX(Inputs!$B$15:$D$15,1,MATCH(A993,Inputs!$B$6:$D$6,0)),0)))))</x:f>
        <x:v>0</x:v>
      </x:c>
      <x:c r="M993" s="20" t="n">
        <x:f>G993*I993</x:f>
        <x:v>31135</x:v>
      </x:c>
      <x:c r="N993" s="20" t="n">
        <x:f>G993*J993</x:f>
        <x:v>7800</x:v>
      </x:c>
      <x:c r="O993" s="20" t="n">
        <x:f>G993*K993</x:f>
        <x:v>0</x:v>
      </x:c>
      <x:c r="P993" s="20" t="n">
        <x:f>G993*L993</x:f>
        <x:v>0</x:v>
      </x:c>
      <x:c r="Q993" s="20" t="n">
        <x:f>H993*INDEX(Inputs!$B$13:$D$13,1,MATCH(A993,Inputs!$B$6:$D$6,0))</x:f>
        <x:v>0</x:v>
      </x:c>
      <x:c r="R993" s="20" t="n">
        <x:f>SUM(M993:Q993)</x:f>
        <x:v>38935</x:v>
      </x:c>
      <x:c r="S993" s="20" t="n">
        <x:f>IF(AND(A992=A993,D992=D993),S992+R993,R993)</x:f>
        <x:v>156910</x:v>
      </x:c>
      <x:c r="T993" s="20" t="n">
        <x:f>MIN(S993,INDEX(Inputs!$B$20:$D$20,1,MATCH(A993,Inputs!$B$6:$D$6,0)))*INDEX(Inputs!$B$22:$D$22,1,MATCH(A993,Inputs!$B$6:$D$6,0))+MAX(MIN(S993,INDEX(Inputs!$B$21:$D$21,1,MATCH(A993,Inputs!$B$6:$D$6,0)))-INDEX(Inputs!$B$20:$D$20,1,MATCH(A993,Inputs!$B$6:$D$6,0)),0)*INDEX(Inputs!$B$23:$D$23,1,MATCH(A993,Inputs!$B$6:$D$6,0))+MAX(S993-INDEX(Inputs!$B$21:$D$21,1,MATCH(A993,Inputs!$B$6:$D$6,0)),0)*INDEX(Inputs!$B$24:$D$24,1,MATCH(A993,Inputs!$B$6:$D$6,0))</x:f>
        <x:v>10189.137</x:v>
      </x:c>
      <x:c r="U993" s="20" t="n">
        <x:f>IF(AND(A992=A993,D992=D993),T992,0)</x:f>
        <x:v>9515.0875</x:v>
      </x:c>
      <x:c r="V993" s="20" t="n">
        <x:f>T993-U993</x:f>
        <x:v>674.049500000001</x:v>
      </x:c>
      <x:c r="W993" s="20" t="n">
        <x:f>R993+V993</x:f>
        <x:v>39609.0495</x:v>
      </x:c>
      <x:c r="X993" s="14" t="str">
        <x:f>IF(ABS(W993-SUM(M993:Q993)-V993)&lt;0.01,"OK","Check")</x:f>
        <x:v>OK</x:v>
      </x:c>
    </x:row>
    <x:row r="994">
      <x:c r="A994" s="14" t="n">
        <x:v>2028</x:v>
      </x:c>
      <x:c r="B994" s="14" t="str">
        <x:v>Q1</x:v>
      </x:c>
      <x:c r="C994" s="14" t="n">
        <x:v>1</x:v>
      </x:c>
      <x:c r="D994" s="14" t="n">
        <x:v>42</x:v>
      </x:c>
      <x:c r="E994" s="14" t="str">
        <x:f>INDEX(Roster!$B$6:$B$108,MATCH(D994,Roster!$A$6:$A$108,0))</x:f>
        <x:v>Principal</x:v>
      </x:c>
      <x:c r="F994" s="14" t="str">
        <x:f>INDEX(Roster!$F$6:$F$108,MATCH(D994,Roster!$A$6:$A$108,0))</x:f>
        <x:v>Yes</x:v>
      </x:c>
      <x:c r="G994" s="14" t="n">
        <x:f>INDEX(Inputs!$B$7:$D$7,1,MATCH(A994,Inputs!$B$6:$D$6,0))</x:f>
        <x:v>13</x:v>
      </x:c>
      <x:c r="H994" s="14" t="n">
        <x:f>MIN(=INDEX(Inputs!$B$7:$D$7,1,MATCH(A994,Inputs!$B$6:$D$6,0)),MAX(0,INDEX(Inputs!$B$14:$D$14,1,MATCH(A994,Inputs!$B$6:$D$6,0))-(C994-1)*=INDEX(Inputs!$B$7:$D$7,1,MATCH(A994,Inputs!$B$6:$D$6,0))))</x:f>
        <x:v>13</x:v>
      </x:c>
      <x:c r="I994" s="20" t="n">
        <x:f>INDEX(Inputs!$B$8:$D$8,1,MATCH(A994,Inputs!$B$6:$D$6,0))</x:f>
        <x:v>2395</x:v>
      </x:c>
      <x:c r="J994" s="20" t="n">
        <x:f>INDEX(Roster!$C$6:$C$108,MATCH(D994,Roster!$A$6:$A$108,0))*(1+INDEX(Inputs!$B$9:$D$9,1,MATCH(A994,Inputs!$B$6:$D$6,0)))</x:f>
        <x:v>1500</x:v>
      </x:c>
      <x:c r="K994" s="20" t="n">
        <x:f>IF(=INDEX(Roster!$F$6:$F$108,MATCH(D994,Roster!$A$6:$A$108,0))="Yes",0,=INDEX(Inputs!$B$8:$D$8,1,MATCH(A994,Inputs!$B$6:$D$6,0))*IF(=INDEX(Roster!$B$6:$B$108,MATCH(D994,Roster!$A$6:$A$108,0))="Principal",INDEX(Inputs!$B$10:$D$10,1,MATCH(A994,Inputs!$B$6:$D$6,0)),IF(=INDEX(Roster!$B$6:$B$108,MATCH(D994,Roster!$A$6:$A$108,0))="Associate Principal",INDEX(Inputs!$B$11:$D$11,1,MATCH(A994,Inputs!$B$6:$D$6,0)),IF(=INDEX(Roster!$B$6:$B$108,MATCH(D994,Roster!$A$6:$A$108,0))="Assistant Principal",INDEX(Inputs!$B$12:$D$12,1,MATCH(A994,Inputs!$B$6:$D$6,0)),0))))</x:f>
        <x:v>0</x:v>
      </x:c>
      <x:c r="L994" s="20" t="n">
        <x:f>IF(INDEX(Roster!$D$6:$D$108,MATCH(D994,Roster!$A$6:$A$108,0))&gt;=25,INDEX(Inputs!$B$19:$D$19,1,MATCH(A994,Inputs!$B$6:$D$6,0)),IF(INDEX(Roster!$D$6:$D$108,MATCH(D994,Roster!$A$6:$A$108,0))&gt;=20,INDEX(Inputs!$B$18:$D$18,1,MATCH(A994,Inputs!$B$6:$D$6,0)),IF(INDEX(Roster!$D$6:$D$108,MATCH(D994,Roster!$A$6:$A$108,0))&gt;=15,INDEX(Inputs!$B$17:$D$17,1,MATCH(A994,Inputs!$B$6:$D$6,0)),IF(INDEX(Roster!$D$6:$D$108,MATCH(D994,Roster!$A$6:$A$108,0))&gt;=10,INDEX(Inputs!$B$16:$D$16,1,MATCH(A994,Inputs!$B$6:$D$6,0)),IF(INDEX(Roster!$D$6:$D$108,MATCH(D994,Roster!$A$6:$A$108,0))&gt;=5,INDEX(Inputs!$B$15:$D$15,1,MATCH(A994,Inputs!$B$6:$D$6,0)),0)))))</x:f>
        <x:v>50</x:v>
      </x:c>
      <x:c r="M994" s="20" t="n">
        <x:f>G994*I994</x:f>
        <x:v>31135</x:v>
      </x:c>
      <x:c r="N994" s="20" t="n">
        <x:f>G994*J994</x:f>
        <x:v>19500</x:v>
      </x:c>
      <x:c r="O994" s="20" t="n">
        <x:f>G994*K994</x:f>
        <x:v>0</x:v>
      </x:c>
      <x:c r="P994" s="20" t="n">
        <x:f>G994*L994</x:f>
        <x:v>650</x:v>
      </x:c>
      <x:c r="Q994" s="20" t="n">
        <x:f>H994*INDEX(Inputs!$B$13:$D$13,1,MATCH(A994,Inputs!$B$6:$D$6,0))</x:f>
        <x:v>390</x:v>
      </x:c>
      <x:c r="R994" s="20" t="n">
        <x:f>SUM(M994:Q994)</x:f>
        <x:v>51675</x:v>
      </x:c>
      <x:c r="S994" s="20" t="n">
        <x:f>IF(AND(A993=A994,D993=D994),S993+R994,R994)</x:f>
        <x:v>51675</x:v>
      </x:c>
      <x:c r="T994" s="20" t="n">
        <x:f>MIN(S994,INDEX(Inputs!$B$20:$D$20,1,MATCH(A994,Inputs!$B$6:$D$6,0)))*INDEX(Inputs!$B$22:$D$22,1,MATCH(A994,Inputs!$B$6:$D$6,0))+MAX(MIN(S994,INDEX(Inputs!$B$21:$D$21,1,MATCH(A994,Inputs!$B$6:$D$6,0)))-INDEX(Inputs!$B$20:$D$20,1,MATCH(A994,Inputs!$B$6:$D$6,0)),0)*INDEX(Inputs!$B$23:$D$23,1,MATCH(A994,Inputs!$B$6:$D$6,0))+MAX(S994-INDEX(Inputs!$B$21:$D$21,1,MATCH(A994,Inputs!$B$6:$D$6,0)),0)*INDEX(Inputs!$B$24:$D$24,1,MATCH(A994,Inputs!$B$6:$D$6,0))</x:f>
        <x:v>4443.1375</x:v>
      </x:c>
      <x:c r="U994" s="20" t="n">
        <x:f>IF(AND(A993=A994,D993=D994),T993,0)</x:f>
        <x:v>0</x:v>
      </x:c>
      <x:c r="V994" s="20" t="n">
        <x:f>T994-U994</x:f>
        <x:v>4443.1375</x:v>
      </x:c>
      <x:c r="W994" s="20" t="n">
        <x:f>R994+V994</x:f>
        <x:v>56118.1375</x:v>
      </x:c>
      <x:c r="X994" s="14" t="str">
        <x:f>IF(ABS(W994-SUM(M994:Q994)-V994)&lt;0.01,"OK","Check")</x:f>
        <x:v>OK</x:v>
      </x:c>
    </x:row>
    <x:row r="995">
      <x:c r="A995" s="14" t="n">
        <x:v>2028</x:v>
      </x:c>
      <x:c r="B995" s="14" t="str">
        <x:v>Q2</x:v>
      </x:c>
      <x:c r="C995" s="14" t="n">
        <x:v>2</x:v>
      </x:c>
      <x:c r="D995" s="14" t="n">
        <x:v>42</x:v>
      </x:c>
      <x:c r="E995" s="14" t="str">
        <x:f>INDEX(Roster!$B$6:$B$108,MATCH(D995,Roster!$A$6:$A$108,0))</x:f>
        <x:v>Principal</x:v>
      </x:c>
      <x:c r="F995" s="14" t="str">
        <x:f>INDEX(Roster!$F$6:$F$108,MATCH(D995,Roster!$A$6:$A$108,0))</x:f>
        <x:v>Yes</x:v>
      </x:c>
      <x:c r="G995" s="14" t="n">
        <x:f>INDEX(Inputs!$B$7:$D$7,1,MATCH(A995,Inputs!$B$6:$D$6,0))</x:f>
        <x:v>13</x:v>
      </x:c>
      <x:c r="H995" s="14" t="n">
        <x:f>MIN(=INDEX(Inputs!$B$7:$D$7,1,MATCH(A995,Inputs!$B$6:$D$6,0)),MAX(0,INDEX(Inputs!$B$14:$D$14,1,MATCH(A995,Inputs!$B$6:$D$6,0))-(C995-1)*=INDEX(Inputs!$B$7:$D$7,1,MATCH(A995,Inputs!$B$6:$D$6,0))))</x:f>
        <x:v>13</x:v>
      </x:c>
      <x:c r="I995" s="20" t="n">
        <x:f>INDEX(Inputs!$B$8:$D$8,1,MATCH(A995,Inputs!$B$6:$D$6,0))</x:f>
        <x:v>2395</x:v>
      </x:c>
      <x:c r="J995" s="20" t="n">
        <x:f>INDEX(Roster!$C$6:$C$108,MATCH(D995,Roster!$A$6:$A$108,0))*(1+INDEX(Inputs!$B$9:$D$9,1,MATCH(A995,Inputs!$B$6:$D$6,0)))</x:f>
        <x:v>1500</x:v>
      </x:c>
      <x:c r="K995" s="20" t="n">
        <x:f>IF(=INDEX(Roster!$F$6:$F$108,MATCH(D995,Roster!$A$6:$A$108,0))="Yes",0,=INDEX(Inputs!$B$8:$D$8,1,MATCH(A995,Inputs!$B$6:$D$6,0))*IF(=INDEX(Roster!$B$6:$B$108,MATCH(D995,Roster!$A$6:$A$108,0))="Principal",INDEX(Inputs!$B$10:$D$10,1,MATCH(A995,Inputs!$B$6:$D$6,0)),IF(=INDEX(Roster!$B$6:$B$108,MATCH(D995,Roster!$A$6:$A$108,0))="Associate Principal",INDEX(Inputs!$B$11:$D$11,1,MATCH(A995,Inputs!$B$6:$D$6,0)),IF(=INDEX(Roster!$B$6:$B$108,MATCH(D995,Roster!$A$6:$A$108,0))="Assistant Principal",INDEX(Inputs!$B$12:$D$12,1,MATCH(A995,Inputs!$B$6:$D$6,0)),0))))</x:f>
        <x:v>0</x:v>
      </x:c>
      <x:c r="L995" s="20" t="n">
        <x:f>IF(INDEX(Roster!$D$6:$D$108,MATCH(D995,Roster!$A$6:$A$108,0))&gt;=25,INDEX(Inputs!$B$19:$D$19,1,MATCH(A995,Inputs!$B$6:$D$6,0)),IF(INDEX(Roster!$D$6:$D$108,MATCH(D995,Roster!$A$6:$A$108,0))&gt;=20,INDEX(Inputs!$B$18:$D$18,1,MATCH(A995,Inputs!$B$6:$D$6,0)),IF(INDEX(Roster!$D$6:$D$108,MATCH(D995,Roster!$A$6:$A$108,0))&gt;=15,INDEX(Inputs!$B$17:$D$17,1,MATCH(A995,Inputs!$B$6:$D$6,0)),IF(INDEX(Roster!$D$6:$D$108,MATCH(D995,Roster!$A$6:$A$108,0))&gt;=10,INDEX(Inputs!$B$16:$D$16,1,MATCH(A995,Inputs!$B$6:$D$6,0)),IF(INDEX(Roster!$D$6:$D$108,MATCH(D995,Roster!$A$6:$A$108,0))&gt;=5,INDEX(Inputs!$B$15:$D$15,1,MATCH(A995,Inputs!$B$6:$D$6,0)),0)))))</x:f>
        <x:v>50</x:v>
      </x:c>
      <x:c r="M995" s="20" t="n">
        <x:f>G995*I995</x:f>
        <x:v>31135</x:v>
      </x:c>
      <x:c r="N995" s="20" t="n">
        <x:f>G995*J995</x:f>
        <x:v>19500</x:v>
      </x:c>
      <x:c r="O995" s="20" t="n">
        <x:f>G995*K995</x:f>
        <x:v>0</x:v>
      </x:c>
      <x:c r="P995" s="20" t="n">
        <x:f>G995*L995</x:f>
        <x:v>650</x:v>
      </x:c>
      <x:c r="Q995" s="20" t="n">
        <x:f>H995*INDEX(Inputs!$B$13:$D$13,1,MATCH(A995,Inputs!$B$6:$D$6,0))</x:f>
        <x:v>390</x:v>
      </x:c>
      <x:c r="R995" s="20" t="n">
        <x:f>SUM(M995:Q995)</x:f>
        <x:v>51675</x:v>
      </x:c>
      <x:c r="S995" s="20" t="n">
        <x:f>IF(AND(A994=A995,D994=D995),S994+R995,R995)</x:f>
        <x:v>103350</x:v>
      </x:c>
      <x:c r="T995" s="20" t="n">
        <x:f>MIN(S995,INDEX(Inputs!$B$20:$D$20,1,MATCH(A995,Inputs!$B$6:$D$6,0)))*INDEX(Inputs!$B$22:$D$22,1,MATCH(A995,Inputs!$B$6:$D$6,0))+MAX(MIN(S995,INDEX(Inputs!$B$21:$D$21,1,MATCH(A995,Inputs!$B$6:$D$6,0)))-INDEX(Inputs!$B$20:$D$20,1,MATCH(A995,Inputs!$B$6:$D$6,0)),0)*INDEX(Inputs!$B$23:$D$23,1,MATCH(A995,Inputs!$B$6:$D$6,0))+MAX(S995-INDEX(Inputs!$B$21:$D$21,1,MATCH(A995,Inputs!$B$6:$D$6,0)),0)*INDEX(Inputs!$B$24:$D$24,1,MATCH(A995,Inputs!$B$6:$D$6,0))</x:f>
        <x:v>8396.275</x:v>
      </x:c>
      <x:c r="U995" s="20" t="n">
        <x:f>IF(AND(A994=A995,D994=D995),T994,0)</x:f>
        <x:v>4443.1375</x:v>
      </x:c>
      <x:c r="V995" s="20" t="n">
        <x:f>T995-U995</x:f>
        <x:v>3953.1375</x:v>
      </x:c>
      <x:c r="W995" s="20" t="n">
        <x:f>R995+V995</x:f>
        <x:v>55628.1375</x:v>
      </x:c>
      <x:c r="X995" s="14" t="str">
        <x:f>IF(ABS(W995-SUM(M995:Q995)-V995)&lt;0.01,"OK","Check")</x:f>
        <x:v>OK</x:v>
      </x:c>
    </x:row>
    <x:row r="996">
      <x:c r="A996" s="14" t="n">
        <x:v>2028</x:v>
      </x:c>
      <x:c r="B996" s="14" t="str">
        <x:v>Q3</x:v>
      </x:c>
      <x:c r="C996" s="14" t="n">
        <x:v>3</x:v>
      </x:c>
      <x:c r="D996" s="14" t="n">
        <x:v>42</x:v>
      </x:c>
      <x:c r="E996" s="14" t="str">
        <x:f>INDEX(Roster!$B$6:$B$108,MATCH(D996,Roster!$A$6:$A$108,0))</x:f>
        <x:v>Principal</x:v>
      </x:c>
      <x:c r="F996" s="14" t="str">
        <x:f>INDEX(Roster!$F$6:$F$108,MATCH(D996,Roster!$A$6:$A$108,0))</x:f>
        <x:v>Yes</x:v>
      </x:c>
      <x:c r="G996" s="14" t="n">
        <x:f>INDEX(Inputs!$B$7:$D$7,1,MATCH(A996,Inputs!$B$6:$D$6,0))</x:f>
        <x:v>13</x:v>
      </x:c>
      <x:c r="H996" s="14" t="n">
        <x:f>MIN(=INDEX(Inputs!$B$7:$D$7,1,MATCH(A996,Inputs!$B$6:$D$6,0)),MAX(0,INDEX(Inputs!$B$14:$D$14,1,MATCH(A996,Inputs!$B$6:$D$6,0))-(C996-1)*=INDEX(Inputs!$B$7:$D$7,1,MATCH(A996,Inputs!$B$6:$D$6,0))))</x:f>
        <x:v>13</x:v>
      </x:c>
      <x:c r="I996" s="20" t="n">
        <x:f>INDEX(Inputs!$B$8:$D$8,1,MATCH(A996,Inputs!$B$6:$D$6,0))</x:f>
        <x:v>2395</x:v>
      </x:c>
      <x:c r="J996" s="20" t="n">
        <x:f>INDEX(Roster!$C$6:$C$108,MATCH(D996,Roster!$A$6:$A$108,0))*(1+INDEX(Inputs!$B$9:$D$9,1,MATCH(A996,Inputs!$B$6:$D$6,0)))</x:f>
        <x:v>1500</x:v>
      </x:c>
      <x:c r="K996" s="20" t="n">
        <x:f>IF(=INDEX(Roster!$F$6:$F$108,MATCH(D996,Roster!$A$6:$A$108,0))="Yes",0,=INDEX(Inputs!$B$8:$D$8,1,MATCH(A996,Inputs!$B$6:$D$6,0))*IF(=INDEX(Roster!$B$6:$B$108,MATCH(D996,Roster!$A$6:$A$108,0))="Principal",INDEX(Inputs!$B$10:$D$10,1,MATCH(A996,Inputs!$B$6:$D$6,0)),IF(=INDEX(Roster!$B$6:$B$108,MATCH(D996,Roster!$A$6:$A$108,0))="Associate Principal",INDEX(Inputs!$B$11:$D$11,1,MATCH(A996,Inputs!$B$6:$D$6,0)),IF(=INDEX(Roster!$B$6:$B$108,MATCH(D996,Roster!$A$6:$A$108,0))="Assistant Principal",INDEX(Inputs!$B$12:$D$12,1,MATCH(A996,Inputs!$B$6:$D$6,0)),0))))</x:f>
        <x:v>0</x:v>
      </x:c>
      <x:c r="L996" s="20" t="n">
        <x:f>IF(INDEX(Roster!$D$6:$D$108,MATCH(D996,Roster!$A$6:$A$108,0))&gt;=25,INDEX(Inputs!$B$19:$D$19,1,MATCH(A996,Inputs!$B$6:$D$6,0)),IF(INDEX(Roster!$D$6:$D$108,MATCH(D996,Roster!$A$6:$A$108,0))&gt;=20,INDEX(Inputs!$B$18:$D$18,1,MATCH(A996,Inputs!$B$6:$D$6,0)),IF(INDEX(Roster!$D$6:$D$108,MATCH(D996,Roster!$A$6:$A$108,0))&gt;=15,INDEX(Inputs!$B$17:$D$17,1,MATCH(A996,Inputs!$B$6:$D$6,0)),IF(INDEX(Roster!$D$6:$D$108,MATCH(D996,Roster!$A$6:$A$108,0))&gt;=10,INDEX(Inputs!$B$16:$D$16,1,MATCH(A996,Inputs!$B$6:$D$6,0)),IF(INDEX(Roster!$D$6:$D$108,MATCH(D996,Roster!$A$6:$A$108,0))&gt;=5,INDEX(Inputs!$B$15:$D$15,1,MATCH(A996,Inputs!$B$6:$D$6,0)),0)))))</x:f>
        <x:v>50</x:v>
      </x:c>
      <x:c r="M996" s="20" t="n">
        <x:f>G996*I996</x:f>
        <x:v>31135</x:v>
      </x:c>
      <x:c r="N996" s="20" t="n">
        <x:f>G996*J996</x:f>
        <x:v>19500</x:v>
      </x:c>
      <x:c r="O996" s="20" t="n">
        <x:f>G996*K996</x:f>
        <x:v>0</x:v>
      </x:c>
      <x:c r="P996" s="20" t="n">
        <x:f>G996*L996</x:f>
        <x:v>650</x:v>
      </x:c>
      <x:c r="Q996" s="20" t="n">
        <x:f>H996*INDEX(Inputs!$B$13:$D$13,1,MATCH(A996,Inputs!$B$6:$D$6,0))</x:f>
        <x:v>390</x:v>
      </x:c>
      <x:c r="R996" s="20" t="n">
        <x:f>SUM(M996:Q996)</x:f>
        <x:v>51675</x:v>
      </x:c>
      <x:c r="S996" s="20" t="n">
        <x:f>IF(AND(A995=A996,D995=D996),S995+R996,R996)</x:f>
        <x:v>155025</x:v>
      </x:c>
      <x:c r="T996" s="20" t="n">
        <x:f>MIN(S996,INDEX(Inputs!$B$20:$D$20,1,MATCH(A996,Inputs!$B$6:$D$6,0)))*INDEX(Inputs!$B$22:$D$22,1,MATCH(A996,Inputs!$B$6:$D$6,0))+MAX(MIN(S996,INDEX(Inputs!$B$21:$D$21,1,MATCH(A996,Inputs!$B$6:$D$6,0)))-INDEX(Inputs!$B$20:$D$20,1,MATCH(A996,Inputs!$B$6:$D$6,0)),0)*INDEX(Inputs!$B$23:$D$23,1,MATCH(A996,Inputs!$B$6:$D$6,0))+MAX(S996-INDEX(Inputs!$B$21:$D$21,1,MATCH(A996,Inputs!$B$6:$D$6,0)),0)*INDEX(Inputs!$B$24:$D$24,1,MATCH(A996,Inputs!$B$6:$D$6,0))</x:f>
        <x:v>10161.8045</x:v>
      </x:c>
      <x:c r="U996" s="20" t="n">
        <x:f>IF(AND(A995=A996,D995=D996),T995,0)</x:f>
        <x:v>8396.275</x:v>
      </x:c>
      <x:c r="V996" s="20" t="n">
        <x:f>T996-U996</x:f>
        <x:v>1765.5295000000006</x:v>
      </x:c>
      <x:c r="W996" s="20" t="n">
        <x:f>R996+V996</x:f>
        <x:v>53440.529500000004</x:v>
      </x:c>
      <x:c r="X996" s="14" t="str">
        <x:f>IF(ABS(W996-SUM(M996:Q996)-V996)&lt;0.01,"OK","Check")</x:f>
        <x:v>OK</x:v>
      </x:c>
    </x:row>
    <x:row r="997">
      <x:c r="A997" s="14" t="n">
        <x:v>2028</x:v>
      </x:c>
      <x:c r="B997" s="14" t="str">
        <x:v>Q4</x:v>
      </x:c>
      <x:c r="C997" s="14" t="n">
        <x:v>4</x:v>
      </x:c>
      <x:c r="D997" s="14" t="n">
        <x:v>42</x:v>
      </x:c>
      <x:c r="E997" s="14" t="str">
        <x:f>INDEX(Roster!$B$6:$B$108,MATCH(D997,Roster!$A$6:$A$108,0))</x:f>
        <x:v>Principal</x:v>
      </x:c>
      <x:c r="F997" s="14" t="str">
        <x:f>INDEX(Roster!$F$6:$F$108,MATCH(D997,Roster!$A$6:$A$108,0))</x:f>
        <x:v>Yes</x:v>
      </x:c>
      <x:c r="G997" s="14" t="n">
        <x:f>INDEX(Inputs!$B$7:$D$7,1,MATCH(A997,Inputs!$B$6:$D$6,0))</x:f>
        <x:v>13</x:v>
      </x:c>
      <x:c r="H997" s="14" t="n">
        <x:f>MIN(=INDEX(Inputs!$B$7:$D$7,1,MATCH(A997,Inputs!$B$6:$D$6,0)),MAX(0,INDEX(Inputs!$B$14:$D$14,1,MATCH(A997,Inputs!$B$6:$D$6,0))-(C997-1)*=INDEX(Inputs!$B$7:$D$7,1,MATCH(A997,Inputs!$B$6:$D$6,0))))</x:f>
        <x:v>0</x:v>
      </x:c>
      <x:c r="I997" s="20" t="n">
        <x:f>INDEX(Inputs!$B$8:$D$8,1,MATCH(A997,Inputs!$B$6:$D$6,0))</x:f>
        <x:v>2395</x:v>
      </x:c>
      <x:c r="J997" s="20" t="n">
        <x:f>INDEX(Roster!$C$6:$C$108,MATCH(D997,Roster!$A$6:$A$108,0))*(1+INDEX(Inputs!$B$9:$D$9,1,MATCH(A997,Inputs!$B$6:$D$6,0)))</x:f>
        <x:v>1500</x:v>
      </x:c>
      <x:c r="K997" s="20" t="n">
        <x:f>IF(=INDEX(Roster!$F$6:$F$108,MATCH(D997,Roster!$A$6:$A$108,0))="Yes",0,=INDEX(Inputs!$B$8:$D$8,1,MATCH(A997,Inputs!$B$6:$D$6,0))*IF(=INDEX(Roster!$B$6:$B$108,MATCH(D997,Roster!$A$6:$A$108,0))="Principal",INDEX(Inputs!$B$10:$D$10,1,MATCH(A997,Inputs!$B$6:$D$6,0)),IF(=INDEX(Roster!$B$6:$B$108,MATCH(D997,Roster!$A$6:$A$108,0))="Associate Principal",INDEX(Inputs!$B$11:$D$11,1,MATCH(A997,Inputs!$B$6:$D$6,0)),IF(=INDEX(Roster!$B$6:$B$108,MATCH(D997,Roster!$A$6:$A$108,0))="Assistant Principal",INDEX(Inputs!$B$12:$D$12,1,MATCH(A997,Inputs!$B$6:$D$6,0)),0))))</x:f>
        <x:v>0</x:v>
      </x:c>
      <x:c r="L997" s="20" t="n">
        <x:f>IF(INDEX(Roster!$D$6:$D$108,MATCH(D997,Roster!$A$6:$A$108,0))&gt;=25,INDEX(Inputs!$B$19:$D$19,1,MATCH(A997,Inputs!$B$6:$D$6,0)),IF(INDEX(Roster!$D$6:$D$108,MATCH(D997,Roster!$A$6:$A$108,0))&gt;=20,INDEX(Inputs!$B$18:$D$18,1,MATCH(A997,Inputs!$B$6:$D$6,0)),IF(INDEX(Roster!$D$6:$D$108,MATCH(D997,Roster!$A$6:$A$108,0))&gt;=15,INDEX(Inputs!$B$17:$D$17,1,MATCH(A997,Inputs!$B$6:$D$6,0)),IF(INDEX(Roster!$D$6:$D$108,MATCH(D997,Roster!$A$6:$A$108,0))&gt;=10,INDEX(Inputs!$B$16:$D$16,1,MATCH(A997,Inputs!$B$6:$D$6,0)),IF(INDEX(Roster!$D$6:$D$108,MATCH(D997,Roster!$A$6:$A$108,0))&gt;=5,INDEX(Inputs!$B$15:$D$15,1,MATCH(A997,Inputs!$B$6:$D$6,0)),0)))))</x:f>
        <x:v>50</x:v>
      </x:c>
      <x:c r="M997" s="20" t="n">
        <x:f>G997*I997</x:f>
        <x:v>31135</x:v>
      </x:c>
      <x:c r="N997" s="20" t="n">
        <x:f>G997*J997</x:f>
        <x:v>19500</x:v>
      </x:c>
      <x:c r="O997" s="20" t="n">
        <x:f>G997*K997</x:f>
        <x:v>0</x:v>
      </x:c>
      <x:c r="P997" s="20" t="n">
        <x:f>G997*L997</x:f>
        <x:v>650</x:v>
      </x:c>
      <x:c r="Q997" s="20" t="n">
        <x:f>H997*INDEX(Inputs!$B$13:$D$13,1,MATCH(A997,Inputs!$B$6:$D$6,0))</x:f>
        <x:v>0</x:v>
      </x:c>
      <x:c r="R997" s="20" t="n">
        <x:f>SUM(M997:Q997)</x:f>
        <x:v>51285</x:v>
      </x:c>
      <x:c r="S997" s="20" t="n">
        <x:f>IF(AND(A996=A997,D996=D997),S996+R997,R997)</x:f>
        <x:v>206310</x:v>
      </x:c>
      <x:c r="T997" s="20" t="n">
        <x:f>MIN(S997,INDEX(Inputs!$B$20:$D$20,1,MATCH(A997,Inputs!$B$6:$D$6,0)))*INDEX(Inputs!$B$22:$D$22,1,MATCH(A997,Inputs!$B$6:$D$6,0))+MAX(MIN(S997,INDEX(Inputs!$B$21:$D$21,1,MATCH(A997,Inputs!$B$6:$D$6,0)))-INDEX(Inputs!$B$20:$D$20,1,MATCH(A997,Inputs!$B$6:$D$6,0)),0)*INDEX(Inputs!$B$23:$D$23,1,MATCH(A997,Inputs!$B$6:$D$6,0))+MAX(S997-INDEX(Inputs!$B$21:$D$21,1,MATCH(A997,Inputs!$B$6:$D$6,0)),0)*INDEX(Inputs!$B$24:$D$24,1,MATCH(A997,Inputs!$B$6:$D$6,0))</x:f>
        <x:v>10905.437</x:v>
      </x:c>
      <x:c r="U997" s="20" t="n">
        <x:f>IF(AND(A996=A997,D996=D997),T996,0)</x:f>
        <x:v>10161.8045</x:v>
      </x:c>
      <x:c r="V997" s="20" t="n">
        <x:f>T997-U997</x:f>
        <x:v>743.6324999999997</x:v>
      </x:c>
      <x:c r="W997" s="20" t="n">
        <x:f>R997+V997</x:f>
        <x:v>52028.6325</x:v>
      </x:c>
      <x:c r="X997" s="14" t="str">
        <x:f>IF(ABS(W997-SUM(M997:Q997)-V997)&lt;0.01,"OK","Check")</x:f>
        <x:v>OK</x:v>
      </x:c>
    </x:row>
    <x:row r="998">
      <x:c r="A998" s="14" t="n">
        <x:v>2028</x:v>
      </x:c>
      <x:c r="B998" s="14" t="str">
        <x:v>Q1</x:v>
      </x:c>
      <x:c r="C998" s="14" t="n">
        <x:v>1</x:v>
      </x:c>
      <x:c r="D998" s="14" t="n">
        <x:v>43</x:v>
      </x:c>
      <x:c r="E998" s="14" t="str">
        <x:f>INDEX(Roster!$B$6:$B$108,MATCH(D998,Roster!$A$6:$A$108,0))</x:f>
      </x:c>
      <x:c r="F998" s="14" t="str">
        <x:f>INDEX(Roster!$F$6:$F$108,MATCH(D998,Roster!$A$6:$A$108,0))</x:f>
        <x:v>No</x:v>
      </x:c>
      <x:c r="G998" s="14" t="n">
        <x:f>INDEX(Inputs!$B$7:$D$7,1,MATCH(A998,Inputs!$B$6:$D$6,0))</x:f>
        <x:v>13</x:v>
      </x:c>
      <x:c r="H998" s="14" t="n">
        <x:f>MIN(=INDEX(Inputs!$B$7:$D$7,1,MATCH(A998,Inputs!$B$6:$D$6,0)),MAX(0,INDEX(Inputs!$B$14:$D$14,1,MATCH(A998,Inputs!$B$6:$D$6,0))-(C998-1)*=INDEX(Inputs!$B$7:$D$7,1,MATCH(A998,Inputs!$B$6:$D$6,0))))</x:f>
        <x:v>13</x:v>
      </x:c>
      <x:c r="I998" s="20" t="n">
        <x:f>INDEX(Inputs!$B$8:$D$8,1,MATCH(A998,Inputs!$B$6:$D$6,0))</x:f>
        <x:v>2395</x:v>
      </x:c>
      <x:c r="J998" s="20" t="n">
        <x:f>INDEX(Roster!$C$6:$C$108,MATCH(D998,Roster!$A$6:$A$108,0))*(1+INDEX(Inputs!$B$9:$D$9,1,MATCH(A998,Inputs!$B$6:$D$6,0)))</x:f>
        <x:v>20</x:v>
      </x:c>
      <x:c r="K998" s="20" t="n">
        <x:f>IF(=INDEX(Roster!$F$6:$F$108,MATCH(D998,Roster!$A$6:$A$108,0))="Yes",0,=INDEX(Inputs!$B$8:$D$8,1,MATCH(A998,Inputs!$B$6:$D$6,0))*IF(=INDEX(Roster!$B$6:$B$108,MATCH(D998,Roster!$A$6:$A$108,0))="Principal",INDEX(Inputs!$B$10:$D$10,1,MATCH(A998,Inputs!$B$6:$D$6,0)),IF(=INDEX(Roster!$B$6:$B$108,MATCH(D998,Roster!$A$6:$A$108,0))="Associate Principal",INDEX(Inputs!$B$11:$D$11,1,MATCH(A998,Inputs!$B$6:$D$6,0)),IF(=INDEX(Roster!$B$6:$B$108,MATCH(D998,Roster!$A$6:$A$108,0))="Assistant Principal",INDEX(Inputs!$B$12:$D$12,1,MATCH(A998,Inputs!$B$6:$D$6,0)),0))))</x:f>
        <x:v>0</x:v>
      </x:c>
      <x:c r="L998" s="20" t="n">
        <x:f>IF(INDEX(Roster!$D$6:$D$108,MATCH(D998,Roster!$A$6:$A$108,0))&gt;=25,INDEX(Inputs!$B$19:$D$19,1,MATCH(A998,Inputs!$B$6:$D$6,0)),IF(INDEX(Roster!$D$6:$D$108,MATCH(D998,Roster!$A$6:$A$108,0))&gt;=20,INDEX(Inputs!$B$18:$D$18,1,MATCH(A998,Inputs!$B$6:$D$6,0)),IF(INDEX(Roster!$D$6:$D$108,MATCH(D998,Roster!$A$6:$A$108,0))&gt;=15,INDEX(Inputs!$B$17:$D$17,1,MATCH(A998,Inputs!$B$6:$D$6,0)),IF(INDEX(Roster!$D$6:$D$108,MATCH(D998,Roster!$A$6:$A$108,0))&gt;=10,INDEX(Inputs!$B$16:$D$16,1,MATCH(A998,Inputs!$B$6:$D$6,0)),IF(INDEX(Roster!$D$6:$D$108,MATCH(D998,Roster!$A$6:$A$108,0))&gt;=5,INDEX(Inputs!$B$15:$D$15,1,MATCH(A998,Inputs!$B$6:$D$6,0)),0)))))</x:f>
        <x:v>50</x:v>
      </x:c>
      <x:c r="M998" s="20" t="n">
        <x:f>G998*I998</x:f>
        <x:v>31135</x:v>
      </x:c>
      <x:c r="N998" s="20" t="n">
        <x:f>G998*J998</x:f>
        <x:v>260</x:v>
      </x:c>
      <x:c r="O998" s="20" t="n">
        <x:f>G998*K998</x:f>
        <x:v>0</x:v>
      </x:c>
      <x:c r="P998" s="20" t="n">
        <x:f>G998*L998</x:f>
        <x:v>650</x:v>
      </x:c>
      <x:c r="Q998" s="20" t="n">
        <x:f>H998*INDEX(Inputs!$B$13:$D$13,1,MATCH(A998,Inputs!$B$6:$D$6,0))</x:f>
        <x:v>390</x:v>
      </x:c>
      <x:c r="R998" s="20" t="n">
        <x:f>SUM(M998:Q998)</x:f>
        <x:v>32435</x:v>
      </x:c>
      <x:c r="S998" s="20" t="n">
        <x:f>IF(AND(A997=A998,D997=D998),S997+R998,R998)</x:f>
        <x:v>32435</x:v>
      </x:c>
      <x:c r="T998" s="20" t="n">
        <x:f>MIN(S998,INDEX(Inputs!$B$20:$D$20,1,MATCH(A998,Inputs!$B$6:$D$6,0)))*INDEX(Inputs!$B$22:$D$22,1,MATCH(A998,Inputs!$B$6:$D$6,0))+MAX(MIN(S998,INDEX(Inputs!$B$21:$D$21,1,MATCH(A998,Inputs!$B$6:$D$6,0)))-INDEX(Inputs!$B$20:$D$20,1,MATCH(A998,Inputs!$B$6:$D$6,0)),0)*INDEX(Inputs!$B$23:$D$23,1,MATCH(A998,Inputs!$B$6:$D$6,0))+MAX(S998-INDEX(Inputs!$B$21:$D$21,1,MATCH(A998,Inputs!$B$6:$D$6,0)),0)*INDEX(Inputs!$B$24:$D$24,1,MATCH(A998,Inputs!$B$6:$D$6,0))</x:f>
        <x:v>2971.2775</x:v>
      </x:c>
      <x:c r="U998" s="20" t="n">
        <x:f>IF(AND(A997=A998,D997=D998),T997,0)</x:f>
        <x:v>0</x:v>
      </x:c>
      <x:c r="V998" s="20" t="n">
        <x:f>T998-U998</x:f>
        <x:v>2971.2775</x:v>
      </x:c>
      <x:c r="W998" s="20" t="n">
        <x:f>R998+V998</x:f>
        <x:v>35406.2775</x:v>
      </x:c>
      <x:c r="X998" s="14" t="str">
        <x:f>IF(ABS(W998-SUM(M998:Q998)-V998)&lt;0.01,"OK","Check")</x:f>
        <x:v>OK</x:v>
      </x:c>
    </x:row>
    <x:row r="999">
      <x:c r="A999" s="14" t="n">
        <x:v>2028</x:v>
      </x:c>
      <x:c r="B999" s="14" t="str">
        <x:v>Q2</x:v>
      </x:c>
      <x:c r="C999" s="14" t="n">
        <x:v>2</x:v>
      </x:c>
      <x:c r="D999" s="14" t="n">
        <x:v>43</x:v>
      </x:c>
      <x:c r="E999" s="14" t="str">
        <x:f>INDEX(Roster!$B$6:$B$108,MATCH(D999,Roster!$A$6:$A$108,0))</x:f>
      </x:c>
      <x:c r="F999" s="14" t="str">
        <x:f>INDEX(Roster!$F$6:$F$108,MATCH(D999,Roster!$A$6:$A$108,0))</x:f>
        <x:v>No</x:v>
      </x:c>
      <x:c r="G999" s="14" t="n">
        <x:f>INDEX(Inputs!$B$7:$D$7,1,MATCH(A999,Inputs!$B$6:$D$6,0))</x:f>
        <x:v>13</x:v>
      </x:c>
      <x:c r="H999" s="14" t="n">
        <x:f>MIN(=INDEX(Inputs!$B$7:$D$7,1,MATCH(A999,Inputs!$B$6:$D$6,0)),MAX(0,INDEX(Inputs!$B$14:$D$14,1,MATCH(A999,Inputs!$B$6:$D$6,0))-(C999-1)*=INDEX(Inputs!$B$7:$D$7,1,MATCH(A999,Inputs!$B$6:$D$6,0))))</x:f>
        <x:v>13</x:v>
      </x:c>
      <x:c r="I999" s="20" t="n">
        <x:f>INDEX(Inputs!$B$8:$D$8,1,MATCH(A999,Inputs!$B$6:$D$6,0))</x:f>
        <x:v>2395</x:v>
      </x:c>
      <x:c r="J999" s="20" t="n">
        <x:f>INDEX(Roster!$C$6:$C$108,MATCH(D999,Roster!$A$6:$A$108,0))*(1+INDEX(Inputs!$B$9:$D$9,1,MATCH(A999,Inputs!$B$6:$D$6,0)))</x:f>
        <x:v>20</x:v>
      </x:c>
      <x:c r="K999" s="20" t="n">
        <x:f>IF(=INDEX(Roster!$F$6:$F$108,MATCH(D999,Roster!$A$6:$A$108,0))="Yes",0,=INDEX(Inputs!$B$8:$D$8,1,MATCH(A999,Inputs!$B$6:$D$6,0))*IF(=INDEX(Roster!$B$6:$B$108,MATCH(D999,Roster!$A$6:$A$108,0))="Principal",INDEX(Inputs!$B$10:$D$10,1,MATCH(A999,Inputs!$B$6:$D$6,0)),IF(=INDEX(Roster!$B$6:$B$108,MATCH(D999,Roster!$A$6:$A$108,0))="Associate Principal",INDEX(Inputs!$B$11:$D$11,1,MATCH(A999,Inputs!$B$6:$D$6,0)),IF(=INDEX(Roster!$B$6:$B$108,MATCH(D999,Roster!$A$6:$A$108,0))="Assistant Principal",INDEX(Inputs!$B$12:$D$12,1,MATCH(A999,Inputs!$B$6:$D$6,0)),0))))</x:f>
        <x:v>0</x:v>
      </x:c>
      <x:c r="L999" s="20" t="n">
        <x:f>IF(INDEX(Roster!$D$6:$D$108,MATCH(D999,Roster!$A$6:$A$108,0))&gt;=25,INDEX(Inputs!$B$19:$D$19,1,MATCH(A999,Inputs!$B$6:$D$6,0)),IF(INDEX(Roster!$D$6:$D$108,MATCH(D999,Roster!$A$6:$A$108,0))&gt;=20,INDEX(Inputs!$B$18:$D$18,1,MATCH(A999,Inputs!$B$6:$D$6,0)),IF(INDEX(Roster!$D$6:$D$108,MATCH(D999,Roster!$A$6:$A$108,0))&gt;=15,INDEX(Inputs!$B$17:$D$17,1,MATCH(A999,Inputs!$B$6:$D$6,0)),IF(INDEX(Roster!$D$6:$D$108,MATCH(D999,Roster!$A$6:$A$108,0))&gt;=10,INDEX(Inputs!$B$16:$D$16,1,MATCH(A999,Inputs!$B$6:$D$6,0)),IF(INDEX(Roster!$D$6:$D$108,MATCH(D999,Roster!$A$6:$A$108,0))&gt;=5,INDEX(Inputs!$B$15:$D$15,1,MATCH(A999,Inputs!$B$6:$D$6,0)),0)))))</x:f>
        <x:v>50</x:v>
      </x:c>
      <x:c r="M999" s="20" t="n">
        <x:f>G999*I999</x:f>
        <x:v>31135</x:v>
      </x:c>
      <x:c r="N999" s="20" t="n">
        <x:f>G999*J999</x:f>
        <x:v>260</x:v>
      </x:c>
      <x:c r="O999" s="20" t="n">
        <x:f>G999*K999</x:f>
        <x:v>0</x:v>
      </x:c>
      <x:c r="P999" s="20" t="n">
        <x:f>G999*L999</x:f>
        <x:v>650</x:v>
      </x:c>
      <x:c r="Q999" s="20" t="n">
        <x:f>H999*INDEX(Inputs!$B$13:$D$13,1,MATCH(A999,Inputs!$B$6:$D$6,0))</x:f>
        <x:v>390</x:v>
      </x:c>
      <x:c r="R999" s="20" t="n">
        <x:f>SUM(M999:Q999)</x:f>
        <x:v>32435</x:v>
      </x:c>
      <x:c r="S999" s="20" t="n">
        <x:f>IF(AND(A998=A999,D998=D999),S998+R999,R999)</x:f>
        <x:v>64870</x:v>
      </x:c>
      <x:c r="T999" s="20" t="n">
        <x:f>MIN(S999,INDEX(Inputs!$B$20:$D$20,1,MATCH(A999,Inputs!$B$6:$D$6,0)))*INDEX(Inputs!$B$22:$D$22,1,MATCH(A999,Inputs!$B$6:$D$6,0))+MAX(MIN(S999,INDEX(Inputs!$B$21:$D$21,1,MATCH(A999,Inputs!$B$6:$D$6,0)))-INDEX(Inputs!$B$20:$D$20,1,MATCH(A999,Inputs!$B$6:$D$6,0)),0)*INDEX(Inputs!$B$23:$D$23,1,MATCH(A999,Inputs!$B$6:$D$6,0))+MAX(S999-INDEX(Inputs!$B$21:$D$21,1,MATCH(A999,Inputs!$B$6:$D$6,0)),0)*INDEX(Inputs!$B$24:$D$24,1,MATCH(A999,Inputs!$B$6:$D$6,0))</x:f>
        <x:v>5452.555</x:v>
      </x:c>
      <x:c r="U999" s="20" t="n">
        <x:f>IF(AND(A998=A999,D998=D999),T998,0)</x:f>
        <x:v>2971.2775</x:v>
      </x:c>
      <x:c r="V999" s="20" t="n">
        <x:f>T999-U999</x:f>
        <x:v>2481.2775</x:v>
      </x:c>
      <x:c r="W999" s="20" t="n">
        <x:f>R999+V999</x:f>
        <x:v>34916.2775</x:v>
      </x:c>
      <x:c r="X999" s="14" t="str">
        <x:f>IF(ABS(W999-SUM(M999:Q999)-V999)&lt;0.01,"OK","Check")</x:f>
        <x:v>OK</x:v>
      </x:c>
    </x:row>
    <x:row r="1000">
      <x:c r="A1000" s="14" t="n">
        <x:v>2028</x:v>
      </x:c>
      <x:c r="B1000" s="14" t="str">
        <x:v>Q3</x:v>
      </x:c>
      <x:c r="C1000" s="14" t="n">
        <x:v>3</x:v>
      </x:c>
      <x:c r="D1000" s="14" t="n">
        <x:v>43</x:v>
      </x:c>
      <x:c r="E1000" s="14" t="str">
        <x:f>INDEX(Roster!$B$6:$B$108,MATCH(D1000,Roster!$A$6:$A$108,0))</x:f>
      </x:c>
      <x:c r="F1000" s="14" t="str">
        <x:f>INDEX(Roster!$F$6:$F$108,MATCH(D1000,Roster!$A$6:$A$108,0))</x:f>
        <x:v>No</x:v>
      </x:c>
      <x:c r="G1000" s="14" t="n">
        <x:f>INDEX(Inputs!$B$7:$D$7,1,MATCH(A1000,Inputs!$B$6:$D$6,0))</x:f>
        <x:v>13</x:v>
      </x:c>
      <x:c r="H1000" s="14" t="n">
        <x:f>MIN(=INDEX(Inputs!$B$7:$D$7,1,MATCH(A1000,Inputs!$B$6:$D$6,0)),MAX(0,INDEX(Inputs!$B$14:$D$14,1,MATCH(A1000,Inputs!$B$6:$D$6,0))-(C1000-1)*=INDEX(Inputs!$B$7:$D$7,1,MATCH(A1000,Inputs!$B$6:$D$6,0))))</x:f>
        <x:v>13</x:v>
      </x:c>
      <x:c r="I1000" s="20" t="n">
        <x:f>INDEX(Inputs!$B$8:$D$8,1,MATCH(A1000,Inputs!$B$6:$D$6,0))</x:f>
        <x:v>2395</x:v>
      </x:c>
      <x:c r="J1000" s="20" t="n">
        <x:f>INDEX(Roster!$C$6:$C$108,MATCH(D1000,Roster!$A$6:$A$108,0))*(1+INDEX(Inputs!$B$9:$D$9,1,MATCH(A1000,Inputs!$B$6:$D$6,0)))</x:f>
        <x:v>20</x:v>
      </x:c>
      <x:c r="K1000" s="20" t="n">
        <x:f>IF(=INDEX(Roster!$F$6:$F$108,MATCH(D1000,Roster!$A$6:$A$108,0))="Yes",0,=INDEX(Inputs!$B$8:$D$8,1,MATCH(A1000,Inputs!$B$6:$D$6,0))*IF(=INDEX(Roster!$B$6:$B$108,MATCH(D1000,Roster!$A$6:$A$108,0))="Principal",INDEX(Inputs!$B$10:$D$10,1,MATCH(A1000,Inputs!$B$6:$D$6,0)),IF(=INDEX(Roster!$B$6:$B$108,MATCH(D1000,Roster!$A$6:$A$108,0))="Associate Principal",INDEX(Inputs!$B$11:$D$11,1,MATCH(A1000,Inputs!$B$6:$D$6,0)),IF(=INDEX(Roster!$B$6:$B$108,MATCH(D1000,Roster!$A$6:$A$108,0))="Assistant Principal",INDEX(Inputs!$B$12:$D$12,1,MATCH(A1000,Inputs!$B$6:$D$6,0)),0))))</x:f>
        <x:v>0</x:v>
      </x:c>
      <x:c r="L1000" s="20" t="n">
        <x:f>IF(INDEX(Roster!$D$6:$D$108,MATCH(D1000,Roster!$A$6:$A$108,0))&gt;=25,INDEX(Inputs!$B$19:$D$19,1,MATCH(A1000,Inputs!$B$6:$D$6,0)),IF(INDEX(Roster!$D$6:$D$108,MATCH(D1000,Roster!$A$6:$A$108,0))&gt;=20,INDEX(Inputs!$B$18:$D$18,1,MATCH(A1000,Inputs!$B$6:$D$6,0)),IF(INDEX(Roster!$D$6:$D$108,MATCH(D1000,Roster!$A$6:$A$108,0))&gt;=15,INDEX(Inputs!$B$17:$D$17,1,MATCH(A1000,Inputs!$B$6:$D$6,0)),IF(INDEX(Roster!$D$6:$D$108,MATCH(D1000,Roster!$A$6:$A$108,0))&gt;=10,INDEX(Inputs!$B$16:$D$16,1,MATCH(A1000,Inputs!$B$6:$D$6,0)),IF(INDEX(Roster!$D$6:$D$108,MATCH(D1000,Roster!$A$6:$A$108,0))&gt;=5,INDEX(Inputs!$B$15:$D$15,1,MATCH(A1000,Inputs!$B$6:$D$6,0)),0)))))</x:f>
        <x:v>50</x:v>
      </x:c>
      <x:c r="M1000" s="20" t="n">
        <x:f>G1000*I1000</x:f>
        <x:v>31135</x:v>
      </x:c>
      <x:c r="N1000" s="20" t="n">
        <x:f>G1000*J1000</x:f>
        <x:v>260</x:v>
      </x:c>
      <x:c r="O1000" s="20" t="n">
        <x:f>G1000*K1000</x:f>
        <x:v>0</x:v>
      </x:c>
      <x:c r="P1000" s="20" t="n">
        <x:f>G1000*L1000</x:f>
        <x:v>650</x:v>
      </x:c>
      <x:c r="Q1000" s="20" t="n">
        <x:f>H1000*INDEX(Inputs!$B$13:$D$13,1,MATCH(A1000,Inputs!$B$6:$D$6,0))</x:f>
        <x:v>390</x:v>
      </x:c>
      <x:c r="R1000" s="20" t="n">
        <x:f>SUM(M1000:Q1000)</x:f>
        <x:v>32435</x:v>
      </x:c>
      <x:c r="S1000" s="20" t="n">
        <x:f>IF(AND(A999=A1000,D999=D1000),S999+R1000,R1000)</x:f>
        <x:v>97305</x:v>
      </x:c>
      <x:c r="T1000" s="20" t="n">
        <x:f>MIN(S1000,INDEX(Inputs!$B$20:$D$20,1,MATCH(A1000,Inputs!$B$6:$D$6,0)))*INDEX(Inputs!$B$22:$D$22,1,MATCH(A1000,Inputs!$B$6:$D$6,0))+MAX(MIN(S1000,INDEX(Inputs!$B$21:$D$21,1,MATCH(A1000,Inputs!$B$6:$D$6,0)))-INDEX(Inputs!$B$20:$D$20,1,MATCH(A1000,Inputs!$B$6:$D$6,0)),0)*INDEX(Inputs!$B$23:$D$23,1,MATCH(A1000,Inputs!$B$6:$D$6,0))+MAX(S1000-INDEX(Inputs!$B$21:$D$21,1,MATCH(A1000,Inputs!$B$6:$D$6,0)),0)*INDEX(Inputs!$B$24:$D$24,1,MATCH(A1000,Inputs!$B$6:$D$6,0))</x:f>
        <x:v>7933.8324999999995</x:v>
      </x:c>
      <x:c r="U1000" s="20" t="n">
        <x:f>IF(AND(A999=A1000,D999=D1000),T999,0)</x:f>
        <x:v>5452.555</x:v>
      </x:c>
      <x:c r="V1000" s="20" t="n">
        <x:f>T1000-U1000</x:f>
        <x:v>2481.2774999999992</x:v>
      </x:c>
      <x:c r="W1000" s="20" t="n">
        <x:f>R1000+V1000</x:f>
        <x:v>34916.2775</x:v>
      </x:c>
      <x:c r="X1000" s="14" t="str">
        <x:f>IF(ABS(W1000-SUM(M1000:Q1000)-V1000)&lt;0.01,"OK","Check")</x:f>
        <x:v>OK</x:v>
      </x:c>
    </x:row>
    <x:row r="1001">
      <x:c r="A1001" s="14" t="n">
        <x:v>2028</x:v>
      </x:c>
      <x:c r="B1001" s="14" t="str">
        <x:v>Q4</x:v>
      </x:c>
      <x:c r="C1001" s="14" t="n">
        <x:v>4</x:v>
      </x:c>
      <x:c r="D1001" s="14" t="n">
        <x:v>43</x:v>
      </x:c>
      <x:c r="E1001" s="14" t="str">
        <x:f>INDEX(Roster!$B$6:$B$108,MATCH(D1001,Roster!$A$6:$A$108,0))</x:f>
      </x:c>
      <x:c r="F1001" s="14" t="str">
        <x:f>INDEX(Roster!$F$6:$F$108,MATCH(D1001,Roster!$A$6:$A$108,0))</x:f>
        <x:v>No</x:v>
      </x:c>
      <x:c r="G1001" s="14" t="n">
        <x:f>INDEX(Inputs!$B$7:$D$7,1,MATCH(A1001,Inputs!$B$6:$D$6,0))</x:f>
        <x:v>13</x:v>
      </x:c>
      <x:c r="H1001" s="14" t="n">
        <x:f>MIN(=INDEX(Inputs!$B$7:$D$7,1,MATCH(A1001,Inputs!$B$6:$D$6,0)),MAX(0,INDEX(Inputs!$B$14:$D$14,1,MATCH(A1001,Inputs!$B$6:$D$6,0))-(C1001-1)*=INDEX(Inputs!$B$7:$D$7,1,MATCH(A1001,Inputs!$B$6:$D$6,0))))</x:f>
        <x:v>0</x:v>
      </x:c>
      <x:c r="I1001" s="20" t="n">
        <x:f>INDEX(Inputs!$B$8:$D$8,1,MATCH(A1001,Inputs!$B$6:$D$6,0))</x:f>
        <x:v>2395</x:v>
      </x:c>
      <x:c r="J1001" s="20" t="n">
        <x:f>INDEX(Roster!$C$6:$C$108,MATCH(D1001,Roster!$A$6:$A$108,0))*(1+INDEX(Inputs!$B$9:$D$9,1,MATCH(A1001,Inputs!$B$6:$D$6,0)))</x:f>
        <x:v>20</x:v>
      </x:c>
      <x:c r="K1001" s="20" t="n">
        <x:f>IF(=INDEX(Roster!$F$6:$F$108,MATCH(D1001,Roster!$A$6:$A$108,0))="Yes",0,=INDEX(Inputs!$B$8:$D$8,1,MATCH(A1001,Inputs!$B$6:$D$6,0))*IF(=INDEX(Roster!$B$6:$B$108,MATCH(D1001,Roster!$A$6:$A$108,0))="Principal",INDEX(Inputs!$B$10:$D$10,1,MATCH(A1001,Inputs!$B$6:$D$6,0)),IF(=INDEX(Roster!$B$6:$B$108,MATCH(D1001,Roster!$A$6:$A$108,0))="Associate Principal",INDEX(Inputs!$B$11:$D$11,1,MATCH(A1001,Inputs!$B$6:$D$6,0)),IF(=INDEX(Roster!$B$6:$B$108,MATCH(D1001,Roster!$A$6:$A$108,0))="Assistant Principal",INDEX(Inputs!$B$12:$D$12,1,MATCH(A1001,Inputs!$B$6:$D$6,0)),0))))</x:f>
        <x:v>0</x:v>
      </x:c>
      <x:c r="L1001" s="20" t="n">
        <x:f>IF(INDEX(Roster!$D$6:$D$108,MATCH(D1001,Roster!$A$6:$A$108,0))&gt;=25,INDEX(Inputs!$B$19:$D$19,1,MATCH(A1001,Inputs!$B$6:$D$6,0)),IF(INDEX(Roster!$D$6:$D$108,MATCH(D1001,Roster!$A$6:$A$108,0))&gt;=20,INDEX(Inputs!$B$18:$D$18,1,MATCH(A1001,Inputs!$B$6:$D$6,0)),IF(INDEX(Roster!$D$6:$D$108,MATCH(D1001,Roster!$A$6:$A$108,0))&gt;=15,INDEX(Inputs!$B$17:$D$17,1,MATCH(A1001,Inputs!$B$6:$D$6,0)),IF(INDEX(Roster!$D$6:$D$108,MATCH(D1001,Roster!$A$6:$A$108,0))&gt;=10,INDEX(Inputs!$B$16:$D$16,1,MATCH(A1001,Inputs!$B$6:$D$6,0)),IF(INDEX(Roster!$D$6:$D$108,MATCH(D1001,Roster!$A$6:$A$108,0))&gt;=5,INDEX(Inputs!$B$15:$D$15,1,MATCH(A1001,Inputs!$B$6:$D$6,0)),0)))))</x:f>
        <x:v>50</x:v>
      </x:c>
      <x:c r="M1001" s="20" t="n">
        <x:f>G1001*I1001</x:f>
        <x:v>31135</x:v>
      </x:c>
      <x:c r="N1001" s="20" t="n">
        <x:f>G1001*J1001</x:f>
        <x:v>260</x:v>
      </x:c>
      <x:c r="O1001" s="20" t="n">
        <x:f>G1001*K1001</x:f>
        <x:v>0</x:v>
      </x:c>
      <x:c r="P1001" s="20" t="n">
        <x:f>G1001*L1001</x:f>
        <x:v>650</x:v>
      </x:c>
      <x:c r="Q1001" s="20" t="n">
        <x:f>H1001*INDEX(Inputs!$B$13:$D$13,1,MATCH(A1001,Inputs!$B$6:$D$6,0))</x:f>
        <x:v>0</x:v>
      </x:c>
      <x:c r="R1001" s="20" t="n">
        <x:f>SUM(M1001:Q1001)</x:f>
        <x:v>32045</x:v>
      </x:c>
      <x:c r="S1001" s="20" t="n">
        <x:f>IF(AND(A1000=A1001,D1000=D1001),S1000+R1001,R1001)</x:f>
        <x:v>129350</x:v>
      </x:c>
      <x:c r="T1001" s="20" t="n">
        <x:f>MIN(S1001,INDEX(Inputs!$B$20:$D$20,1,MATCH(A1001,Inputs!$B$6:$D$6,0)))*INDEX(Inputs!$B$22:$D$22,1,MATCH(A1001,Inputs!$B$6:$D$6,0))+MAX(MIN(S1001,INDEX(Inputs!$B$21:$D$21,1,MATCH(A1001,Inputs!$B$6:$D$6,0)))-INDEX(Inputs!$B$20:$D$20,1,MATCH(A1001,Inputs!$B$6:$D$6,0)),0)*INDEX(Inputs!$B$23:$D$23,1,MATCH(A1001,Inputs!$B$6:$D$6,0))+MAX(S1001-INDEX(Inputs!$B$21:$D$21,1,MATCH(A1001,Inputs!$B$6:$D$6,0)),0)*INDEX(Inputs!$B$24:$D$24,1,MATCH(A1001,Inputs!$B$6:$D$6,0))</x:f>
        <x:v>9789.517</x:v>
      </x:c>
      <x:c r="U1001" s="20" t="n">
        <x:f>IF(AND(A1000=A1001,D1000=D1001),T1000,0)</x:f>
        <x:v>7933.8324999999995</x:v>
      </x:c>
      <x:c r="V1001" s="20" t="n">
        <x:f>T1001-U1001</x:f>
        <x:v>1855.6845000000003</x:v>
      </x:c>
      <x:c r="W1001" s="20" t="n">
        <x:f>R1001+V1001</x:f>
        <x:v>33900.6845</x:v>
      </x:c>
      <x:c r="X1001" s="14" t="str">
        <x:f>IF(ABS(W1001-SUM(M1001:Q1001)-V1001)&lt;0.01,"OK","Check")</x:f>
        <x:v>OK</x:v>
      </x:c>
    </x:row>
    <x:row r="1002">
      <x:c r="A1002" s="14" t="n">
        <x:v>2028</x:v>
      </x:c>
      <x:c r="B1002" s="14" t="str">
        <x:v>Q1</x:v>
      </x:c>
      <x:c r="C1002" s="14" t="n">
        <x:v>1</x:v>
      </x:c>
      <x:c r="D1002" s="14" t="n">
        <x:v>44</x:v>
      </x:c>
      <x:c r="E1002" s="14" t="str">
        <x:f>INDEX(Roster!$B$6:$B$108,MATCH(D1002,Roster!$A$6:$A$108,0))</x:f>
      </x:c>
      <x:c r="F1002" s="14" t="str">
        <x:f>INDEX(Roster!$F$6:$F$108,MATCH(D1002,Roster!$A$6:$A$108,0))</x:f>
        <x:v>No</x:v>
      </x:c>
      <x:c r="G1002" s="14" t="n">
        <x:f>INDEX(Inputs!$B$7:$D$7,1,MATCH(A1002,Inputs!$B$6:$D$6,0))</x:f>
        <x:v>13</x:v>
      </x:c>
      <x:c r="H1002" s="14" t="n">
        <x:f>MIN(=INDEX(Inputs!$B$7:$D$7,1,MATCH(A1002,Inputs!$B$6:$D$6,0)),MAX(0,INDEX(Inputs!$B$14:$D$14,1,MATCH(A1002,Inputs!$B$6:$D$6,0))-(C1002-1)*=INDEX(Inputs!$B$7:$D$7,1,MATCH(A1002,Inputs!$B$6:$D$6,0))))</x:f>
        <x:v>13</x:v>
      </x:c>
      <x:c r="I1002" s="20" t="n">
        <x:f>INDEX(Inputs!$B$8:$D$8,1,MATCH(A1002,Inputs!$B$6:$D$6,0))</x:f>
        <x:v>2395</x:v>
      </x:c>
      <x:c r="J1002" s="20" t="n">
        <x:f>INDEX(Roster!$C$6:$C$108,MATCH(D1002,Roster!$A$6:$A$108,0))*(1+INDEX(Inputs!$B$9:$D$9,1,MATCH(A1002,Inputs!$B$6:$D$6,0)))</x:f>
        <x:v>35</x:v>
      </x:c>
      <x:c r="K1002" s="20" t="n">
        <x:f>IF(=INDEX(Roster!$F$6:$F$108,MATCH(D1002,Roster!$A$6:$A$108,0))="Yes",0,=INDEX(Inputs!$B$8:$D$8,1,MATCH(A1002,Inputs!$B$6:$D$6,0))*IF(=INDEX(Roster!$B$6:$B$108,MATCH(D1002,Roster!$A$6:$A$108,0))="Principal",INDEX(Inputs!$B$10:$D$10,1,MATCH(A1002,Inputs!$B$6:$D$6,0)),IF(=INDEX(Roster!$B$6:$B$108,MATCH(D1002,Roster!$A$6:$A$108,0))="Associate Principal",INDEX(Inputs!$B$11:$D$11,1,MATCH(A1002,Inputs!$B$6:$D$6,0)),IF(=INDEX(Roster!$B$6:$B$108,MATCH(D1002,Roster!$A$6:$A$108,0))="Assistant Principal",INDEX(Inputs!$B$12:$D$12,1,MATCH(A1002,Inputs!$B$6:$D$6,0)),0))))</x:f>
        <x:v>0</x:v>
      </x:c>
      <x:c r="L1002" s="20" t="n">
        <x:f>IF(INDEX(Roster!$D$6:$D$108,MATCH(D1002,Roster!$A$6:$A$108,0))&gt;=25,INDEX(Inputs!$B$19:$D$19,1,MATCH(A1002,Inputs!$B$6:$D$6,0)),IF(INDEX(Roster!$D$6:$D$108,MATCH(D1002,Roster!$A$6:$A$108,0))&gt;=20,INDEX(Inputs!$B$18:$D$18,1,MATCH(A1002,Inputs!$B$6:$D$6,0)),IF(INDEX(Roster!$D$6:$D$108,MATCH(D1002,Roster!$A$6:$A$108,0))&gt;=15,INDEX(Inputs!$B$17:$D$17,1,MATCH(A1002,Inputs!$B$6:$D$6,0)),IF(INDEX(Roster!$D$6:$D$108,MATCH(D1002,Roster!$A$6:$A$108,0))&gt;=10,INDEX(Inputs!$B$16:$D$16,1,MATCH(A1002,Inputs!$B$6:$D$6,0)),IF(INDEX(Roster!$D$6:$D$108,MATCH(D1002,Roster!$A$6:$A$108,0))&gt;=5,INDEX(Inputs!$B$15:$D$15,1,MATCH(A1002,Inputs!$B$6:$D$6,0)),0)))))</x:f>
        <x:v>70</x:v>
      </x:c>
      <x:c r="M1002" s="20" t="n">
        <x:f>G1002*I1002</x:f>
        <x:v>31135</x:v>
      </x:c>
      <x:c r="N1002" s="20" t="n">
        <x:f>G1002*J1002</x:f>
        <x:v>455</x:v>
      </x:c>
      <x:c r="O1002" s="20" t="n">
        <x:f>G1002*K1002</x:f>
        <x:v>0</x:v>
      </x:c>
      <x:c r="P1002" s="20" t="n">
        <x:f>G1002*L1002</x:f>
        <x:v>910</x:v>
      </x:c>
      <x:c r="Q1002" s="20" t="n">
        <x:f>H1002*INDEX(Inputs!$B$13:$D$13,1,MATCH(A1002,Inputs!$B$6:$D$6,0))</x:f>
        <x:v>390</x:v>
      </x:c>
      <x:c r="R1002" s="20" t="n">
        <x:f>SUM(M1002:Q1002)</x:f>
        <x:v>32890</x:v>
      </x:c>
      <x:c r="S1002" s="20" t="n">
        <x:f>IF(AND(A1001=A1002,D1001=D1002),S1001+R1002,R1002)</x:f>
        <x:v>32890</x:v>
      </x:c>
      <x:c r="T1002" s="20" t="n">
        <x:f>MIN(S1002,INDEX(Inputs!$B$20:$D$20,1,MATCH(A1002,Inputs!$B$6:$D$6,0)))*INDEX(Inputs!$B$22:$D$22,1,MATCH(A1002,Inputs!$B$6:$D$6,0))+MAX(MIN(S1002,INDEX(Inputs!$B$21:$D$21,1,MATCH(A1002,Inputs!$B$6:$D$6,0)))-INDEX(Inputs!$B$20:$D$20,1,MATCH(A1002,Inputs!$B$6:$D$6,0)),0)*INDEX(Inputs!$B$23:$D$23,1,MATCH(A1002,Inputs!$B$6:$D$6,0))+MAX(S1002-INDEX(Inputs!$B$21:$D$21,1,MATCH(A1002,Inputs!$B$6:$D$6,0)),0)*INDEX(Inputs!$B$24:$D$24,1,MATCH(A1002,Inputs!$B$6:$D$6,0))</x:f>
        <x:v>3006.085</x:v>
      </x:c>
      <x:c r="U1002" s="20" t="n">
        <x:f>IF(AND(A1001=A1002,D1001=D1002),T1001,0)</x:f>
        <x:v>0</x:v>
      </x:c>
      <x:c r="V1002" s="20" t="n">
        <x:f>T1002-U1002</x:f>
        <x:v>3006.085</x:v>
      </x:c>
      <x:c r="W1002" s="20" t="n">
        <x:f>R1002+V1002</x:f>
        <x:v>35896.085</x:v>
      </x:c>
      <x:c r="X1002" s="14" t="str">
        <x:f>IF(ABS(W1002-SUM(M1002:Q1002)-V1002)&lt;0.01,"OK","Check")</x:f>
        <x:v>OK</x:v>
      </x:c>
    </x:row>
    <x:row r="1003">
      <x:c r="A1003" s="14" t="n">
        <x:v>2028</x:v>
      </x:c>
      <x:c r="B1003" s="14" t="str">
        <x:v>Q2</x:v>
      </x:c>
      <x:c r="C1003" s="14" t="n">
        <x:v>2</x:v>
      </x:c>
      <x:c r="D1003" s="14" t="n">
        <x:v>44</x:v>
      </x:c>
      <x:c r="E1003" s="14" t="str">
        <x:f>INDEX(Roster!$B$6:$B$108,MATCH(D1003,Roster!$A$6:$A$108,0))</x:f>
      </x:c>
      <x:c r="F1003" s="14" t="str">
        <x:f>INDEX(Roster!$F$6:$F$108,MATCH(D1003,Roster!$A$6:$A$108,0))</x:f>
        <x:v>No</x:v>
      </x:c>
      <x:c r="G1003" s="14" t="n">
        <x:f>INDEX(Inputs!$B$7:$D$7,1,MATCH(A1003,Inputs!$B$6:$D$6,0))</x:f>
        <x:v>13</x:v>
      </x:c>
      <x:c r="H1003" s="14" t="n">
        <x:f>MIN(=INDEX(Inputs!$B$7:$D$7,1,MATCH(A1003,Inputs!$B$6:$D$6,0)),MAX(0,INDEX(Inputs!$B$14:$D$14,1,MATCH(A1003,Inputs!$B$6:$D$6,0))-(C1003-1)*=INDEX(Inputs!$B$7:$D$7,1,MATCH(A1003,Inputs!$B$6:$D$6,0))))</x:f>
        <x:v>13</x:v>
      </x:c>
      <x:c r="I1003" s="20" t="n">
        <x:f>INDEX(Inputs!$B$8:$D$8,1,MATCH(A1003,Inputs!$B$6:$D$6,0))</x:f>
        <x:v>2395</x:v>
      </x:c>
      <x:c r="J1003" s="20" t="n">
        <x:f>INDEX(Roster!$C$6:$C$108,MATCH(D1003,Roster!$A$6:$A$108,0))*(1+INDEX(Inputs!$B$9:$D$9,1,MATCH(A1003,Inputs!$B$6:$D$6,0)))</x:f>
        <x:v>35</x:v>
      </x:c>
      <x:c r="K1003" s="20" t="n">
        <x:f>IF(=INDEX(Roster!$F$6:$F$108,MATCH(D1003,Roster!$A$6:$A$108,0))="Yes",0,=INDEX(Inputs!$B$8:$D$8,1,MATCH(A1003,Inputs!$B$6:$D$6,0))*IF(=INDEX(Roster!$B$6:$B$108,MATCH(D1003,Roster!$A$6:$A$108,0))="Principal",INDEX(Inputs!$B$10:$D$10,1,MATCH(A1003,Inputs!$B$6:$D$6,0)),IF(=INDEX(Roster!$B$6:$B$108,MATCH(D1003,Roster!$A$6:$A$108,0))="Associate Principal",INDEX(Inputs!$B$11:$D$11,1,MATCH(A1003,Inputs!$B$6:$D$6,0)),IF(=INDEX(Roster!$B$6:$B$108,MATCH(D1003,Roster!$A$6:$A$108,0))="Assistant Principal",INDEX(Inputs!$B$12:$D$12,1,MATCH(A1003,Inputs!$B$6:$D$6,0)),0))))</x:f>
        <x:v>0</x:v>
      </x:c>
      <x:c r="L1003" s="20" t="n">
        <x:f>IF(INDEX(Roster!$D$6:$D$108,MATCH(D1003,Roster!$A$6:$A$108,0))&gt;=25,INDEX(Inputs!$B$19:$D$19,1,MATCH(A1003,Inputs!$B$6:$D$6,0)),IF(INDEX(Roster!$D$6:$D$108,MATCH(D1003,Roster!$A$6:$A$108,0))&gt;=20,INDEX(Inputs!$B$18:$D$18,1,MATCH(A1003,Inputs!$B$6:$D$6,0)),IF(INDEX(Roster!$D$6:$D$108,MATCH(D1003,Roster!$A$6:$A$108,0))&gt;=15,INDEX(Inputs!$B$17:$D$17,1,MATCH(A1003,Inputs!$B$6:$D$6,0)),IF(INDEX(Roster!$D$6:$D$108,MATCH(D1003,Roster!$A$6:$A$108,0))&gt;=10,INDEX(Inputs!$B$16:$D$16,1,MATCH(A1003,Inputs!$B$6:$D$6,0)),IF(INDEX(Roster!$D$6:$D$108,MATCH(D1003,Roster!$A$6:$A$108,0))&gt;=5,INDEX(Inputs!$B$15:$D$15,1,MATCH(A1003,Inputs!$B$6:$D$6,0)),0)))))</x:f>
        <x:v>70</x:v>
      </x:c>
      <x:c r="M1003" s="20" t="n">
        <x:f>G1003*I1003</x:f>
        <x:v>31135</x:v>
      </x:c>
      <x:c r="N1003" s="20" t="n">
        <x:f>G1003*J1003</x:f>
        <x:v>455</x:v>
      </x:c>
      <x:c r="O1003" s="20" t="n">
        <x:f>G1003*K1003</x:f>
        <x:v>0</x:v>
      </x:c>
      <x:c r="P1003" s="20" t="n">
        <x:f>G1003*L1003</x:f>
        <x:v>910</x:v>
      </x:c>
      <x:c r="Q1003" s="20" t="n">
        <x:f>H1003*INDEX(Inputs!$B$13:$D$13,1,MATCH(A1003,Inputs!$B$6:$D$6,0))</x:f>
        <x:v>390</x:v>
      </x:c>
      <x:c r="R1003" s="20" t="n">
        <x:f>SUM(M1003:Q1003)</x:f>
        <x:v>32890</x:v>
      </x:c>
      <x:c r="S1003" s="20" t="n">
        <x:f>IF(AND(A1002=A1003,D1002=D1003),S1002+R1003,R1003)</x:f>
        <x:v>65780</x:v>
      </x:c>
      <x:c r="T1003" s="20" t="n">
        <x:f>MIN(S1003,INDEX(Inputs!$B$20:$D$20,1,MATCH(A1003,Inputs!$B$6:$D$6,0)))*INDEX(Inputs!$B$22:$D$22,1,MATCH(A1003,Inputs!$B$6:$D$6,0))+MAX(MIN(S1003,INDEX(Inputs!$B$21:$D$21,1,MATCH(A1003,Inputs!$B$6:$D$6,0)))-INDEX(Inputs!$B$20:$D$20,1,MATCH(A1003,Inputs!$B$6:$D$6,0)),0)*INDEX(Inputs!$B$23:$D$23,1,MATCH(A1003,Inputs!$B$6:$D$6,0))+MAX(S1003-INDEX(Inputs!$B$21:$D$21,1,MATCH(A1003,Inputs!$B$6:$D$6,0)),0)*INDEX(Inputs!$B$24:$D$24,1,MATCH(A1003,Inputs!$B$6:$D$6,0))</x:f>
        <x:v>5522.17</x:v>
      </x:c>
      <x:c r="U1003" s="20" t="n">
        <x:f>IF(AND(A1002=A1003,D1002=D1003),T1002,0)</x:f>
        <x:v>3006.085</x:v>
      </x:c>
      <x:c r="V1003" s="20" t="n">
        <x:f>T1003-U1003</x:f>
        <x:v>2516.085</x:v>
      </x:c>
      <x:c r="W1003" s="20" t="n">
        <x:f>R1003+V1003</x:f>
        <x:v>35406.085</x:v>
      </x:c>
      <x:c r="X1003" s="14" t="str">
        <x:f>IF(ABS(W1003-SUM(M1003:Q1003)-V1003)&lt;0.01,"OK","Check")</x:f>
        <x:v>OK</x:v>
      </x:c>
    </x:row>
    <x:row r="1004">
      <x:c r="A1004" s="14" t="n">
        <x:v>2028</x:v>
      </x:c>
      <x:c r="B1004" s="14" t="str">
        <x:v>Q3</x:v>
      </x:c>
      <x:c r="C1004" s="14" t="n">
        <x:v>3</x:v>
      </x:c>
      <x:c r="D1004" s="14" t="n">
        <x:v>44</x:v>
      </x:c>
      <x:c r="E1004" s="14" t="str">
        <x:f>INDEX(Roster!$B$6:$B$108,MATCH(D1004,Roster!$A$6:$A$108,0))</x:f>
      </x:c>
      <x:c r="F1004" s="14" t="str">
        <x:f>INDEX(Roster!$F$6:$F$108,MATCH(D1004,Roster!$A$6:$A$108,0))</x:f>
        <x:v>No</x:v>
      </x:c>
      <x:c r="G1004" s="14" t="n">
        <x:f>INDEX(Inputs!$B$7:$D$7,1,MATCH(A1004,Inputs!$B$6:$D$6,0))</x:f>
        <x:v>13</x:v>
      </x:c>
      <x:c r="H1004" s="14" t="n">
        <x:f>MIN(=INDEX(Inputs!$B$7:$D$7,1,MATCH(A1004,Inputs!$B$6:$D$6,0)),MAX(0,INDEX(Inputs!$B$14:$D$14,1,MATCH(A1004,Inputs!$B$6:$D$6,0))-(C1004-1)*=INDEX(Inputs!$B$7:$D$7,1,MATCH(A1004,Inputs!$B$6:$D$6,0))))</x:f>
        <x:v>13</x:v>
      </x:c>
      <x:c r="I1004" s="20" t="n">
        <x:f>INDEX(Inputs!$B$8:$D$8,1,MATCH(A1004,Inputs!$B$6:$D$6,0))</x:f>
        <x:v>2395</x:v>
      </x:c>
      <x:c r="J1004" s="20" t="n">
        <x:f>INDEX(Roster!$C$6:$C$108,MATCH(D1004,Roster!$A$6:$A$108,0))*(1+INDEX(Inputs!$B$9:$D$9,1,MATCH(A1004,Inputs!$B$6:$D$6,0)))</x:f>
        <x:v>35</x:v>
      </x:c>
      <x:c r="K1004" s="20" t="n">
        <x:f>IF(=INDEX(Roster!$F$6:$F$108,MATCH(D1004,Roster!$A$6:$A$108,0))="Yes",0,=INDEX(Inputs!$B$8:$D$8,1,MATCH(A1004,Inputs!$B$6:$D$6,0))*IF(=INDEX(Roster!$B$6:$B$108,MATCH(D1004,Roster!$A$6:$A$108,0))="Principal",INDEX(Inputs!$B$10:$D$10,1,MATCH(A1004,Inputs!$B$6:$D$6,0)),IF(=INDEX(Roster!$B$6:$B$108,MATCH(D1004,Roster!$A$6:$A$108,0))="Associate Principal",INDEX(Inputs!$B$11:$D$11,1,MATCH(A1004,Inputs!$B$6:$D$6,0)),IF(=INDEX(Roster!$B$6:$B$108,MATCH(D1004,Roster!$A$6:$A$108,0))="Assistant Principal",INDEX(Inputs!$B$12:$D$12,1,MATCH(A1004,Inputs!$B$6:$D$6,0)),0))))</x:f>
        <x:v>0</x:v>
      </x:c>
      <x:c r="L1004" s="20" t="n">
        <x:f>IF(INDEX(Roster!$D$6:$D$108,MATCH(D1004,Roster!$A$6:$A$108,0))&gt;=25,INDEX(Inputs!$B$19:$D$19,1,MATCH(A1004,Inputs!$B$6:$D$6,0)),IF(INDEX(Roster!$D$6:$D$108,MATCH(D1004,Roster!$A$6:$A$108,0))&gt;=20,INDEX(Inputs!$B$18:$D$18,1,MATCH(A1004,Inputs!$B$6:$D$6,0)),IF(INDEX(Roster!$D$6:$D$108,MATCH(D1004,Roster!$A$6:$A$108,0))&gt;=15,INDEX(Inputs!$B$17:$D$17,1,MATCH(A1004,Inputs!$B$6:$D$6,0)),IF(INDEX(Roster!$D$6:$D$108,MATCH(D1004,Roster!$A$6:$A$108,0))&gt;=10,INDEX(Inputs!$B$16:$D$16,1,MATCH(A1004,Inputs!$B$6:$D$6,0)),IF(INDEX(Roster!$D$6:$D$108,MATCH(D1004,Roster!$A$6:$A$108,0))&gt;=5,INDEX(Inputs!$B$15:$D$15,1,MATCH(A1004,Inputs!$B$6:$D$6,0)),0)))))</x:f>
        <x:v>70</x:v>
      </x:c>
      <x:c r="M1004" s="20" t="n">
        <x:f>G1004*I1004</x:f>
        <x:v>31135</x:v>
      </x:c>
      <x:c r="N1004" s="20" t="n">
        <x:f>G1004*J1004</x:f>
        <x:v>455</x:v>
      </x:c>
      <x:c r="O1004" s="20" t="n">
        <x:f>G1004*K1004</x:f>
        <x:v>0</x:v>
      </x:c>
      <x:c r="P1004" s="20" t="n">
        <x:f>G1004*L1004</x:f>
        <x:v>910</x:v>
      </x:c>
      <x:c r="Q1004" s="20" t="n">
        <x:f>H1004*INDEX(Inputs!$B$13:$D$13,1,MATCH(A1004,Inputs!$B$6:$D$6,0))</x:f>
        <x:v>390</x:v>
      </x:c>
      <x:c r="R1004" s="20" t="n">
        <x:f>SUM(M1004:Q1004)</x:f>
        <x:v>32890</x:v>
      </x:c>
      <x:c r="S1004" s="20" t="n">
        <x:f>IF(AND(A1003=A1004,D1003=D1004),S1003+R1004,R1004)</x:f>
        <x:v>98670</x:v>
      </x:c>
      <x:c r="T1004" s="20" t="n">
        <x:f>MIN(S1004,INDEX(Inputs!$B$20:$D$20,1,MATCH(A1004,Inputs!$B$6:$D$6,0)))*INDEX(Inputs!$B$22:$D$22,1,MATCH(A1004,Inputs!$B$6:$D$6,0))+MAX(MIN(S1004,INDEX(Inputs!$B$21:$D$21,1,MATCH(A1004,Inputs!$B$6:$D$6,0)))-INDEX(Inputs!$B$20:$D$20,1,MATCH(A1004,Inputs!$B$6:$D$6,0)),0)*INDEX(Inputs!$B$23:$D$23,1,MATCH(A1004,Inputs!$B$6:$D$6,0))+MAX(S1004-INDEX(Inputs!$B$21:$D$21,1,MATCH(A1004,Inputs!$B$6:$D$6,0)),0)*INDEX(Inputs!$B$24:$D$24,1,MATCH(A1004,Inputs!$B$6:$D$6,0))</x:f>
        <x:v>8038.255</x:v>
      </x:c>
      <x:c r="U1004" s="20" t="n">
        <x:f>IF(AND(A1003=A1004,D1003=D1004),T1003,0)</x:f>
        <x:v>5522.17</x:v>
      </x:c>
      <x:c r="V1004" s="20" t="n">
        <x:f>T1004-U1004</x:f>
        <x:v>2516.085</x:v>
      </x:c>
      <x:c r="W1004" s="20" t="n">
        <x:f>R1004+V1004</x:f>
        <x:v>35406.085</x:v>
      </x:c>
      <x:c r="X1004" s="14" t="str">
        <x:f>IF(ABS(W1004-SUM(M1004:Q1004)-V1004)&lt;0.01,"OK","Check")</x:f>
        <x:v>OK</x:v>
      </x:c>
    </x:row>
    <x:row r="1005">
      <x:c r="A1005" s="14" t="n">
        <x:v>2028</x:v>
      </x:c>
      <x:c r="B1005" s="14" t="str">
        <x:v>Q4</x:v>
      </x:c>
      <x:c r="C1005" s="14" t="n">
        <x:v>4</x:v>
      </x:c>
      <x:c r="D1005" s="14" t="n">
        <x:v>44</x:v>
      </x:c>
      <x:c r="E1005" s="14" t="str">
        <x:f>INDEX(Roster!$B$6:$B$108,MATCH(D1005,Roster!$A$6:$A$108,0))</x:f>
      </x:c>
      <x:c r="F1005" s="14" t="str">
        <x:f>INDEX(Roster!$F$6:$F$108,MATCH(D1005,Roster!$A$6:$A$108,0))</x:f>
        <x:v>No</x:v>
      </x:c>
      <x:c r="G1005" s="14" t="n">
        <x:f>INDEX(Inputs!$B$7:$D$7,1,MATCH(A1005,Inputs!$B$6:$D$6,0))</x:f>
        <x:v>13</x:v>
      </x:c>
      <x:c r="H1005" s="14" t="n">
        <x:f>MIN(=INDEX(Inputs!$B$7:$D$7,1,MATCH(A1005,Inputs!$B$6:$D$6,0)),MAX(0,INDEX(Inputs!$B$14:$D$14,1,MATCH(A1005,Inputs!$B$6:$D$6,0))-(C1005-1)*=INDEX(Inputs!$B$7:$D$7,1,MATCH(A1005,Inputs!$B$6:$D$6,0))))</x:f>
        <x:v>0</x:v>
      </x:c>
      <x:c r="I1005" s="20" t="n">
        <x:f>INDEX(Inputs!$B$8:$D$8,1,MATCH(A1005,Inputs!$B$6:$D$6,0))</x:f>
        <x:v>2395</x:v>
      </x:c>
      <x:c r="J1005" s="20" t="n">
        <x:f>INDEX(Roster!$C$6:$C$108,MATCH(D1005,Roster!$A$6:$A$108,0))*(1+INDEX(Inputs!$B$9:$D$9,1,MATCH(A1005,Inputs!$B$6:$D$6,0)))</x:f>
        <x:v>35</x:v>
      </x:c>
      <x:c r="K1005" s="20" t="n">
        <x:f>IF(=INDEX(Roster!$F$6:$F$108,MATCH(D1005,Roster!$A$6:$A$108,0))="Yes",0,=INDEX(Inputs!$B$8:$D$8,1,MATCH(A1005,Inputs!$B$6:$D$6,0))*IF(=INDEX(Roster!$B$6:$B$108,MATCH(D1005,Roster!$A$6:$A$108,0))="Principal",INDEX(Inputs!$B$10:$D$10,1,MATCH(A1005,Inputs!$B$6:$D$6,0)),IF(=INDEX(Roster!$B$6:$B$108,MATCH(D1005,Roster!$A$6:$A$108,0))="Associate Principal",INDEX(Inputs!$B$11:$D$11,1,MATCH(A1005,Inputs!$B$6:$D$6,0)),IF(=INDEX(Roster!$B$6:$B$108,MATCH(D1005,Roster!$A$6:$A$108,0))="Assistant Principal",INDEX(Inputs!$B$12:$D$12,1,MATCH(A1005,Inputs!$B$6:$D$6,0)),0))))</x:f>
        <x:v>0</x:v>
      </x:c>
      <x:c r="L1005" s="20" t="n">
        <x:f>IF(INDEX(Roster!$D$6:$D$108,MATCH(D1005,Roster!$A$6:$A$108,0))&gt;=25,INDEX(Inputs!$B$19:$D$19,1,MATCH(A1005,Inputs!$B$6:$D$6,0)),IF(INDEX(Roster!$D$6:$D$108,MATCH(D1005,Roster!$A$6:$A$108,0))&gt;=20,INDEX(Inputs!$B$18:$D$18,1,MATCH(A1005,Inputs!$B$6:$D$6,0)),IF(INDEX(Roster!$D$6:$D$108,MATCH(D1005,Roster!$A$6:$A$108,0))&gt;=15,INDEX(Inputs!$B$17:$D$17,1,MATCH(A1005,Inputs!$B$6:$D$6,0)),IF(INDEX(Roster!$D$6:$D$108,MATCH(D1005,Roster!$A$6:$A$108,0))&gt;=10,INDEX(Inputs!$B$16:$D$16,1,MATCH(A1005,Inputs!$B$6:$D$6,0)),IF(INDEX(Roster!$D$6:$D$108,MATCH(D1005,Roster!$A$6:$A$108,0))&gt;=5,INDEX(Inputs!$B$15:$D$15,1,MATCH(A1005,Inputs!$B$6:$D$6,0)),0)))))</x:f>
        <x:v>70</x:v>
      </x:c>
      <x:c r="M1005" s="20" t="n">
        <x:f>G1005*I1005</x:f>
        <x:v>31135</x:v>
      </x:c>
      <x:c r="N1005" s="20" t="n">
        <x:f>G1005*J1005</x:f>
        <x:v>455</x:v>
      </x:c>
      <x:c r="O1005" s="20" t="n">
        <x:f>G1005*K1005</x:f>
        <x:v>0</x:v>
      </x:c>
      <x:c r="P1005" s="20" t="n">
        <x:f>G1005*L1005</x:f>
        <x:v>910</x:v>
      </x:c>
      <x:c r="Q1005" s="20" t="n">
        <x:f>H1005*INDEX(Inputs!$B$13:$D$13,1,MATCH(A1005,Inputs!$B$6:$D$6,0))</x:f>
        <x:v>0</x:v>
      </x:c>
      <x:c r="R1005" s="20" t="n">
        <x:f>SUM(M1005:Q1005)</x:f>
        <x:v>32500</x:v>
      </x:c>
      <x:c r="S1005" s="20" t="n">
        <x:f>IF(AND(A1004=A1005,D1004=D1005),S1004+R1005,R1005)</x:f>
        <x:v>131170</x:v>
      </x:c>
      <x:c r="T1005" s="20" t="n">
        <x:f>MIN(S1005,INDEX(Inputs!$B$20:$D$20,1,MATCH(A1005,Inputs!$B$6:$D$6,0)))*INDEX(Inputs!$B$22:$D$22,1,MATCH(A1005,Inputs!$B$6:$D$6,0))+MAX(MIN(S1005,INDEX(Inputs!$B$21:$D$21,1,MATCH(A1005,Inputs!$B$6:$D$6,0)))-INDEX(Inputs!$B$20:$D$20,1,MATCH(A1005,Inputs!$B$6:$D$6,0)),0)*INDEX(Inputs!$B$23:$D$23,1,MATCH(A1005,Inputs!$B$6:$D$6,0))+MAX(S1005-INDEX(Inputs!$B$21:$D$21,1,MATCH(A1005,Inputs!$B$6:$D$6,0)),0)*INDEX(Inputs!$B$24:$D$24,1,MATCH(A1005,Inputs!$B$6:$D$6,0))</x:f>
        <x:v>9815.907</x:v>
      </x:c>
      <x:c r="U1005" s="20" t="n">
        <x:f>IF(AND(A1004=A1005,D1004=D1005),T1004,0)</x:f>
        <x:v>8038.255</x:v>
      </x:c>
      <x:c r="V1005" s="20" t="n">
        <x:f>T1005-U1005</x:f>
        <x:v>1777.6519999999991</x:v>
      </x:c>
      <x:c r="W1005" s="20" t="n">
        <x:f>R1005+V1005</x:f>
        <x:v>34277.652</x:v>
      </x:c>
      <x:c r="X1005" s="14" t="str">
        <x:f>IF(ABS(W1005-SUM(M1005:Q1005)-V1005)&lt;0.01,"OK","Check")</x:f>
        <x:v>OK</x:v>
      </x:c>
    </x:row>
    <x:row r="1006">
      <x:c r="A1006" s="14" t="n">
        <x:v>2028</x:v>
      </x:c>
      <x:c r="B1006" s="14" t="str">
        <x:v>Q1</x:v>
      </x:c>
      <x:c r="C1006" s="14" t="n">
        <x:v>1</x:v>
      </x:c>
      <x:c r="D1006" s="14" t="n">
        <x:v>45</x:v>
      </x:c>
      <x:c r="E1006" s="14" t="str">
        <x:f>INDEX(Roster!$B$6:$B$108,MATCH(D1006,Roster!$A$6:$A$108,0))</x:f>
        <x:v>Principal</x:v>
      </x:c>
      <x:c r="F1006" s="14" t="str">
        <x:f>INDEX(Roster!$F$6:$F$108,MATCH(D1006,Roster!$A$6:$A$108,0))</x:f>
        <x:v>No</x:v>
      </x:c>
      <x:c r="G1006" s="14" t="n">
        <x:f>INDEX(Inputs!$B$7:$D$7,1,MATCH(A1006,Inputs!$B$6:$D$6,0))</x:f>
        <x:v>13</x:v>
      </x:c>
      <x:c r="H1006" s="14" t="n">
        <x:f>MIN(=INDEX(Inputs!$B$7:$D$7,1,MATCH(A1006,Inputs!$B$6:$D$6,0)),MAX(0,INDEX(Inputs!$B$14:$D$14,1,MATCH(A1006,Inputs!$B$6:$D$6,0))-(C1006-1)*=INDEX(Inputs!$B$7:$D$7,1,MATCH(A1006,Inputs!$B$6:$D$6,0))))</x:f>
        <x:v>13</x:v>
      </x:c>
      <x:c r="I1006" s="20" t="n">
        <x:f>INDEX(Inputs!$B$8:$D$8,1,MATCH(A1006,Inputs!$B$6:$D$6,0))</x:f>
        <x:v>2395</x:v>
      </x:c>
      <x:c r="J1006" s="20" t="n">
        <x:f>INDEX(Roster!$C$6:$C$108,MATCH(D1006,Roster!$A$6:$A$108,0))*(1+INDEX(Inputs!$B$9:$D$9,1,MATCH(A1006,Inputs!$B$6:$D$6,0)))</x:f>
        <x:v>1500</x:v>
      </x:c>
      <x:c r="K1006" s="20" t="n">
        <x:f>IF(=INDEX(Roster!$F$6:$F$108,MATCH(D1006,Roster!$A$6:$A$108,0))="Yes",0,=INDEX(Inputs!$B$8:$D$8,1,MATCH(A1006,Inputs!$B$6:$D$6,0))*IF(=INDEX(Roster!$B$6:$B$108,MATCH(D1006,Roster!$A$6:$A$108,0))="Principal",INDEX(Inputs!$B$10:$D$10,1,MATCH(A1006,Inputs!$B$6:$D$6,0)),IF(=INDEX(Roster!$B$6:$B$108,MATCH(D1006,Roster!$A$6:$A$108,0))="Associate Principal",INDEX(Inputs!$B$11:$D$11,1,MATCH(A1006,Inputs!$B$6:$D$6,0)),IF(=INDEX(Roster!$B$6:$B$108,MATCH(D1006,Roster!$A$6:$A$108,0))="Assistant Principal",INDEX(Inputs!$B$12:$D$12,1,MATCH(A1006,Inputs!$B$6:$D$6,0)),0))))</x:f>
        <x:v>479</x:v>
      </x:c>
      <x:c r="L1006" s="20" t="n">
        <x:f>IF(INDEX(Roster!$D$6:$D$108,MATCH(D1006,Roster!$A$6:$A$108,0))&gt;=25,INDEX(Inputs!$B$19:$D$19,1,MATCH(A1006,Inputs!$B$6:$D$6,0)),IF(INDEX(Roster!$D$6:$D$108,MATCH(D1006,Roster!$A$6:$A$108,0))&gt;=20,INDEX(Inputs!$B$18:$D$18,1,MATCH(A1006,Inputs!$B$6:$D$6,0)),IF(INDEX(Roster!$D$6:$D$108,MATCH(D1006,Roster!$A$6:$A$108,0))&gt;=15,INDEX(Inputs!$B$17:$D$17,1,MATCH(A1006,Inputs!$B$6:$D$6,0)),IF(INDEX(Roster!$D$6:$D$108,MATCH(D1006,Roster!$A$6:$A$108,0))&gt;=10,INDEX(Inputs!$B$16:$D$16,1,MATCH(A1006,Inputs!$B$6:$D$6,0)),IF(INDEX(Roster!$D$6:$D$108,MATCH(D1006,Roster!$A$6:$A$108,0))&gt;=5,INDEX(Inputs!$B$15:$D$15,1,MATCH(A1006,Inputs!$B$6:$D$6,0)),0)))))</x:f>
        <x:v>70</x:v>
      </x:c>
      <x:c r="M1006" s="20" t="n">
        <x:f>G1006*I1006</x:f>
        <x:v>31135</x:v>
      </x:c>
      <x:c r="N1006" s="20" t="n">
        <x:f>G1006*J1006</x:f>
        <x:v>19500</x:v>
      </x:c>
      <x:c r="O1006" s="20" t="n">
        <x:f>G1006*K1006</x:f>
        <x:v>6227</x:v>
      </x:c>
      <x:c r="P1006" s="20" t="n">
        <x:f>G1006*L1006</x:f>
        <x:v>910</x:v>
      </x:c>
      <x:c r="Q1006" s="20" t="n">
        <x:f>H1006*INDEX(Inputs!$B$13:$D$13,1,MATCH(A1006,Inputs!$B$6:$D$6,0))</x:f>
        <x:v>390</x:v>
      </x:c>
      <x:c r="R1006" s="20" t="n">
        <x:f>SUM(M1006:Q1006)</x:f>
        <x:v>58162</x:v>
      </x:c>
      <x:c r="S1006" s="20" t="n">
        <x:f>IF(AND(A1005=A1006,D1005=D1006),S1005+R1006,R1006)</x:f>
        <x:v>58162</x:v>
      </x:c>
      <x:c r="T1006" s="20" t="n">
        <x:f>MIN(S1006,INDEX(Inputs!$B$20:$D$20,1,MATCH(A1006,Inputs!$B$6:$D$6,0)))*INDEX(Inputs!$B$22:$D$22,1,MATCH(A1006,Inputs!$B$6:$D$6,0))+MAX(MIN(S1006,INDEX(Inputs!$B$21:$D$21,1,MATCH(A1006,Inputs!$B$6:$D$6,0)))-INDEX(Inputs!$B$20:$D$20,1,MATCH(A1006,Inputs!$B$6:$D$6,0)),0)*INDEX(Inputs!$B$23:$D$23,1,MATCH(A1006,Inputs!$B$6:$D$6,0))+MAX(S1006-INDEX(Inputs!$B$21:$D$21,1,MATCH(A1006,Inputs!$B$6:$D$6,0)),0)*INDEX(Inputs!$B$24:$D$24,1,MATCH(A1006,Inputs!$B$6:$D$6,0))</x:f>
        <x:v>4939.393</x:v>
      </x:c>
      <x:c r="U1006" s="20" t="n">
        <x:f>IF(AND(A1005=A1006,D1005=D1006),T1005,0)</x:f>
        <x:v>0</x:v>
      </x:c>
      <x:c r="V1006" s="20" t="n">
        <x:f>T1006-U1006</x:f>
        <x:v>4939.393</x:v>
      </x:c>
      <x:c r="W1006" s="20" t="n">
        <x:f>R1006+V1006</x:f>
        <x:v>63101.393</x:v>
      </x:c>
      <x:c r="X1006" s="14" t="str">
        <x:f>IF(ABS(W1006-SUM(M1006:Q1006)-V1006)&lt;0.01,"OK","Check")</x:f>
        <x:v>OK</x:v>
      </x:c>
    </x:row>
    <x:row r="1007">
      <x:c r="A1007" s="14" t="n">
        <x:v>2028</x:v>
      </x:c>
      <x:c r="B1007" s="14" t="str">
        <x:v>Q2</x:v>
      </x:c>
      <x:c r="C1007" s="14" t="n">
        <x:v>2</x:v>
      </x:c>
      <x:c r="D1007" s="14" t="n">
        <x:v>45</x:v>
      </x:c>
      <x:c r="E1007" s="14" t="str">
        <x:f>INDEX(Roster!$B$6:$B$108,MATCH(D1007,Roster!$A$6:$A$108,0))</x:f>
        <x:v>Principal</x:v>
      </x:c>
      <x:c r="F1007" s="14" t="str">
        <x:f>INDEX(Roster!$F$6:$F$108,MATCH(D1007,Roster!$A$6:$A$108,0))</x:f>
        <x:v>No</x:v>
      </x:c>
      <x:c r="G1007" s="14" t="n">
        <x:f>INDEX(Inputs!$B$7:$D$7,1,MATCH(A1007,Inputs!$B$6:$D$6,0))</x:f>
        <x:v>13</x:v>
      </x:c>
      <x:c r="H1007" s="14" t="n">
        <x:f>MIN(=INDEX(Inputs!$B$7:$D$7,1,MATCH(A1007,Inputs!$B$6:$D$6,0)),MAX(0,INDEX(Inputs!$B$14:$D$14,1,MATCH(A1007,Inputs!$B$6:$D$6,0))-(C1007-1)*=INDEX(Inputs!$B$7:$D$7,1,MATCH(A1007,Inputs!$B$6:$D$6,0))))</x:f>
        <x:v>13</x:v>
      </x:c>
      <x:c r="I1007" s="20" t="n">
        <x:f>INDEX(Inputs!$B$8:$D$8,1,MATCH(A1007,Inputs!$B$6:$D$6,0))</x:f>
        <x:v>2395</x:v>
      </x:c>
      <x:c r="J1007" s="20" t="n">
        <x:f>INDEX(Roster!$C$6:$C$108,MATCH(D1007,Roster!$A$6:$A$108,0))*(1+INDEX(Inputs!$B$9:$D$9,1,MATCH(A1007,Inputs!$B$6:$D$6,0)))</x:f>
        <x:v>1500</x:v>
      </x:c>
      <x:c r="K1007" s="20" t="n">
        <x:f>IF(=INDEX(Roster!$F$6:$F$108,MATCH(D1007,Roster!$A$6:$A$108,0))="Yes",0,=INDEX(Inputs!$B$8:$D$8,1,MATCH(A1007,Inputs!$B$6:$D$6,0))*IF(=INDEX(Roster!$B$6:$B$108,MATCH(D1007,Roster!$A$6:$A$108,0))="Principal",INDEX(Inputs!$B$10:$D$10,1,MATCH(A1007,Inputs!$B$6:$D$6,0)),IF(=INDEX(Roster!$B$6:$B$108,MATCH(D1007,Roster!$A$6:$A$108,0))="Associate Principal",INDEX(Inputs!$B$11:$D$11,1,MATCH(A1007,Inputs!$B$6:$D$6,0)),IF(=INDEX(Roster!$B$6:$B$108,MATCH(D1007,Roster!$A$6:$A$108,0))="Assistant Principal",INDEX(Inputs!$B$12:$D$12,1,MATCH(A1007,Inputs!$B$6:$D$6,0)),0))))</x:f>
        <x:v>479</x:v>
      </x:c>
      <x:c r="L1007" s="20" t="n">
        <x:f>IF(INDEX(Roster!$D$6:$D$108,MATCH(D1007,Roster!$A$6:$A$108,0))&gt;=25,INDEX(Inputs!$B$19:$D$19,1,MATCH(A1007,Inputs!$B$6:$D$6,0)),IF(INDEX(Roster!$D$6:$D$108,MATCH(D1007,Roster!$A$6:$A$108,0))&gt;=20,INDEX(Inputs!$B$18:$D$18,1,MATCH(A1007,Inputs!$B$6:$D$6,0)),IF(INDEX(Roster!$D$6:$D$108,MATCH(D1007,Roster!$A$6:$A$108,0))&gt;=15,INDEX(Inputs!$B$17:$D$17,1,MATCH(A1007,Inputs!$B$6:$D$6,0)),IF(INDEX(Roster!$D$6:$D$108,MATCH(D1007,Roster!$A$6:$A$108,0))&gt;=10,INDEX(Inputs!$B$16:$D$16,1,MATCH(A1007,Inputs!$B$6:$D$6,0)),IF(INDEX(Roster!$D$6:$D$108,MATCH(D1007,Roster!$A$6:$A$108,0))&gt;=5,INDEX(Inputs!$B$15:$D$15,1,MATCH(A1007,Inputs!$B$6:$D$6,0)),0)))))</x:f>
        <x:v>70</x:v>
      </x:c>
      <x:c r="M1007" s="20" t="n">
        <x:f>G1007*I1007</x:f>
        <x:v>31135</x:v>
      </x:c>
      <x:c r="N1007" s="20" t="n">
        <x:f>G1007*J1007</x:f>
        <x:v>19500</x:v>
      </x:c>
      <x:c r="O1007" s="20" t="n">
        <x:f>G1007*K1007</x:f>
        <x:v>6227</x:v>
      </x:c>
      <x:c r="P1007" s="20" t="n">
        <x:f>G1007*L1007</x:f>
        <x:v>910</x:v>
      </x:c>
      <x:c r="Q1007" s="20" t="n">
        <x:f>H1007*INDEX(Inputs!$B$13:$D$13,1,MATCH(A1007,Inputs!$B$6:$D$6,0))</x:f>
        <x:v>390</x:v>
      </x:c>
      <x:c r="R1007" s="20" t="n">
        <x:f>SUM(M1007:Q1007)</x:f>
        <x:v>58162</x:v>
      </x:c>
      <x:c r="S1007" s="20" t="n">
        <x:f>IF(AND(A1006=A1007,D1006=D1007),S1006+R1007,R1007)</x:f>
        <x:v>116324</x:v>
      </x:c>
      <x:c r="T1007" s="20" t="n">
        <x:f>MIN(S1007,INDEX(Inputs!$B$20:$D$20,1,MATCH(A1007,Inputs!$B$6:$D$6,0)))*INDEX(Inputs!$B$22:$D$22,1,MATCH(A1007,Inputs!$B$6:$D$6,0))+MAX(MIN(S1007,INDEX(Inputs!$B$21:$D$21,1,MATCH(A1007,Inputs!$B$6:$D$6,0)))-INDEX(Inputs!$B$20:$D$20,1,MATCH(A1007,Inputs!$B$6:$D$6,0)),0)*INDEX(Inputs!$B$23:$D$23,1,MATCH(A1007,Inputs!$B$6:$D$6,0))+MAX(S1007-INDEX(Inputs!$B$21:$D$21,1,MATCH(A1007,Inputs!$B$6:$D$6,0)),0)*INDEX(Inputs!$B$24:$D$24,1,MATCH(A1007,Inputs!$B$6:$D$6,0))</x:f>
        <x:v>9388.786</x:v>
      </x:c>
      <x:c r="U1007" s="20" t="n">
        <x:f>IF(AND(A1006=A1007,D1006=D1007),T1006,0)</x:f>
        <x:v>4939.393</x:v>
      </x:c>
      <x:c r="V1007" s="20" t="n">
        <x:f>T1007-U1007</x:f>
        <x:v>4449.393</x:v>
      </x:c>
      <x:c r="W1007" s="20" t="n">
        <x:f>R1007+V1007</x:f>
        <x:v>62611.393</x:v>
      </x:c>
      <x:c r="X1007" s="14" t="str">
        <x:f>IF(ABS(W1007-SUM(M1007:Q1007)-V1007)&lt;0.01,"OK","Check")</x:f>
        <x:v>OK</x:v>
      </x:c>
    </x:row>
    <x:row r="1008">
      <x:c r="A1008" s="14" t="n">
        <x:v>2028</x:v>
      </x:c>
      <x:c r="B1008" s="14" t="str">
        <x:v>Q3</x:v>
      </x:c>
      <x:c r="C1008" s="14" t="n">
        <x:v>3</x:v>
      </x:c>
      <x:c r="D1008" s="14" t="n">
        <x:v>45</x:v>
      </x:c>
      <x:c r="E1008" s="14" t="str">
        <x:f>INDEX(Roster!$B$6:$B$108,MATCH(D1008,Roster!$A$6:$A$108,0))</x:f>
        <x:v>Principal</x:v>
      </x:c>
      <x:c r="F1008" s="14" t="str">
        <x:f>INDEX(Roster!$F$6:$F$108,MATCH(D1008,Roster!$A$6:$A$108,0))</x:f>
        <x:v>No</x:v>
      </x:c>
      <x:c r="G1008" s="14" t="n">
        <x:f>INDEX(Inputs!$B$7:$D$7,1,MATCH(A1008,Inputs!$B$6:$D$6,0))</x:f>
        <x:v>13</x:v>
      </x:c>
      <x:c r="H1008" s="14" t="n">
        <x:f>MIN(=INDEX(Inputs!$B$7:$D$7,1,MATCH(A1008,Inputs!$B$6:$D$6,0)),MAX(0,INDEX(Inputs!$B$14:$D$14,1,MATCH(A1008,Inputs!$B$6:$D$6,0))-(C1008-1)*=INDEX(Inputs!$B$7:$D$7,1,MATCH(A1008,Inputs!$B$6:$D$6,0))))</x:f>
        <x:v>13</x:v>
      </x:c>
      <x:c r="I1008" s="20" t="n">
        <x:f>INDEX(Inputs!$B$8:$D$8,1,MATCH(A1008,Inputs!$B$6:$D$6,0))</x:f>
        <x:v>2395</x:v>
      </x:c>
      <x:c r="J1008" s="20" t="n">
        <x:f>INDEX(Roster!$C$6:$C$108,MATCH(D1008,Roster!$A$6:$A$108,0))*(1+INDEX(Inputs!$B$9:$D$9,1,MATCH(A1008,Inputs!$B$6:$D$6,0)))</x:f>
        <x:v>1500</x:v>
      </x:c>
      <x:c r="K1008" s="20" t="n">
        <x:f>IF(=INDEX(Roster!$F$6:$F$108,MATCH(D1008,Roster!$A$6:$A$108,0))="Yes",0,=INDEX(Inputs!$B$8:$D$8,1,MATCH(A1008,Inputs!$B$6:$D$6,0))*IF(=INDEX(Roster!$B$6:$B$108,MATCH(D1008,Roster!$A$6:$A$108,0))="Principal",INDEX(Inputs!$B$10:$D$10,1,MATCH(A1008,Inputs!$B$6:$D$6,0)),IF(=INDEX(Roster!$B$6:$B$108,MATCH(D1008,Roster!$A$6:$A$108,0))="Associate Principal",INDEX(Inputs!$B$11:$D$11,1,MATCH(A1008,Inputs!$B$6:$D$6,0)),IF(=INDEX(Roster!$B$6:$B$108,MATCH(D1008,Roster!$A$6:$A$108,0))="Assistant Principal",INDEX(Inputs!$B$12:$D$12,1,MATCH(A1008,Inputs!$B$6:$D$6,0)),0))))</x:f>
        <x:v>479</x:v>
      </x:c>
      <x:c r="L1008" s="20" t="n">
        <x:f>IF(INDEX(Roster!$D$6:$D$108,MATCH(D1008,Roster!$A$6:$A$108,0))&gt;=25,INDEX(Inputs!$B$19:$D$19,1,MATCH(A1008,Inputs!$B$6:$D$6,0)),IF(INDEX(Roster!$D$6:$D$108,MATCH(D1008,Roster!$A$6:$A$108,0))&gt;=20,INDEX(Inputs!$B$18:$D$18,1,MATCH(A1008,Inputs!$B$6:$D$6,0)),IF(INDEX(Roster!$D$6:$D$108,MATCH(D1008,Roster!$A$6:$A$108,0))&gt;=15,INDEX(Inputs!$B$17:$D$17,1,MATCH(A1008,Inputs!$B$6:$D$6,0)),IF(INDEX(Roster!$D$6:$D$108,MATCH(D1008,Roster!$A$6:$A$108,0))&gt;=10,INDEX(Inputs!$B$16:$D$16,1,MATCH(A1008,Inputs!$B$6:$D$6,0)),IF(INDEX(Roster!$D$6:$D$108,MATCH(D1008,Roster!$A$6:$A$108,0))&gt;=5,INDEX(Inputs!$B$15:$D$15,1,MATCH(A1008,Inputs!$B$6:$D$6,0)),0)))))</x:f>
        <x:v>70</x:v>
      </x:c>
      <x:c r="M1008" s="20" t="n">
        <x:f>G1008*I1008</x:f>
        <x:v>31135</x:v>
      </x:c>
      <x:c r="N1008" s="20" t="n">
        <x:f>G1008*J1008</x:f>
        <x:v>19500</x:v>
      </x:c>
      <x:c r="O1008" s="20" t="n">
        <x:f>G1008*K1008</x:f>
        <x:v>6227</x:v>
      </x:c>
      <x:c r="P1008" s="20" t="n">
        <x:f>G1008*L1008</x:f>
        <x:v>910</x:v>
      </x:c>
      <x:c r="Q1008" s="20" t="n">
        <x:f>H1008*INDEX(Inputs!$B$13:$D$13,1,MATCH(A1008,Inputs!$B$6:$D$6,0))</x:f>
        <x:v>390</x:v>
      </x:c>
      <x:c r="R1008" s="20" t="n">
        <x:f>SUM(M1008:Q1008)</x:f>
        <x:v>58162</x:v>
      </x:c>
      <x:c r="S1008" s="20" t="n">
        <x:f>IF(AND(A1007=A1008,D1007=D1008),S1007+R1008,R1008)</x:f>
        <x:v>174486</x:v>
      </x:c>
      <x:c r="T1008" s="20" t="n">
        <x:f>MIN(S1008,INDEX(Inputs!$B$20:$D$20,1,MATCH(A1008,Inputs!$B$6:$D$6,0)))*INDEX(Inputs!$B$22:$D$22,1,MATCH(A1008,Inputs!$B$6:$D$6,0))+MAX(MIN(S1008,INDEX(Inputs!$B$21:$D$21,1,MATCH(A1008,Inputs!$B$6:$D$6,0)))-INDEX(Inputs!$B$20:$D$20,1,MATCH(A1008,Inputs!$B$6:$D$6,0)),0)*INDEX(Inputs!$B$23:$D$23,1,MATCH(A1008,Inputs!$B$6:$D$6,0))+MAX(S1008-INDEX(Inputs!$B$21:$D$21,1,MATCH(A1008,Inputs!$B$6:$D$6,0)),0)*INDEX(Inputs!$B$24:$D$24,1,MATCH(A1008,Inputs!$B$6:$D$6,0))</x:f>
        <x:v>10443.989</x:v>
      </x:c>
      <x:c r="U1008" s="20" t="n">
        <x:f>IF(AND(A1007=A1008,D1007=D1008),T1007,0)</x:f>
        <x:v>9388.786</x:v>
      </x:c>
      <x:c r="V1008" s="20" t="n">
        <x:f>T1008-U1008</x:f>
        <x:v>1055.2029999999995</x:v>
      </x:c>
      <x:c r="W1008" s="20" t="n">
        <x:f>R1008+V1008</x:f>
        <x:v>59217.203</x:v>
      </x:c>
      <x:c r="X1008" s="14" t="str">
        <x:f>IF(ABS(W1008-SUM(M1008:Q1008)-V1008)&lt;0.01,"OK","Check")</x:f>
        <x:v>OK</x:v>
      </x:c>
    </x:row>
    <x:row r="1009">
      <x:c r="A1009" s="14" t="n">
        <x:v>2028</x:v>
      </x:c>
      <x:c r="B1009" s="14" t="str">
        <x:v>Q4</x:v>
      </x:c>
      <x:c r="C1009" s="14" t="n">
        <x:v>4</x:v>
      </x:c>
      <x:c r="D1009" s="14" t="n">
        <x:v>45</x:v>
      </x:c>
      <x:c r="E1009" s="14" t="str">
        <x:f>INDEX(Roster!$B$6:$B$108,MATCH(D1009,Roster!$A$6:$A$108,0))</x:f>
        <x:v>Principal</x:v>
      </x:c>
      <x:c r="F1009" s="14" t="str">
        <x:f>INDEX(Roster!$F$6:$F$108,MATCH(D1009,Roster!$A$6:$A$108,0))</x:f>
        <x:v>No</x:v>
      </x:c>
      <x:c r="G1009" s="14" t="n">
        <x:f>INDEX(Inputs!$B$7:$D$7,1,MATCH(A1009,Inputs!$B$6:$D$6,0))</x:f>
        <x:v>13</x:v>
      </x:c>
      <x:c r="H1009" s="14" t="n">
        <x:f>MIN(=INDEX(Inputs!$B$7:$D$7,1,MATCH(A1009,Inputs!$B$6:$D$6,0)),MAX(0,INDEX(Inputs!$B$14:$D$14,1,MATCH(A1009,Inputs!$B$6:$D$6,0))-(C1009-1)*=INDEX(Inputs!$B$7:$D$7,1,MATCH(A1009,Inputs!$B$6:$D$6,0))))</x:f>
        <x:v>0</x:v>
      </x:c>
      <x:c r="I1009" s="20" t="n">
        <x:f>INDEX(Inputs!$B$8:$D$8,1,MATCH(A1009,Inputs!$B$6:$D$6,0))</x:f>
        <x:v>2395</x:v>
      </x:c>
      <x:c r="J1009" s="20" t="n">
        <x:f>INDEX(Roster!$C$6:$C$108,MATCH(D1009,Roster!$A$6:$A$108,0))*(1+INDEX(Inputs!$B$9:$D$9,1,MATCH(A1009,Inputs!$B$6:$D$6,0)))</x:f>
        <x:v>1500</x:v>
      </x:c>
      <x:c r="K1009" s="20" t="n">
        <x:f>IF(=INDEX(Roster!$F$6:$F$108,MATCH(D1009,Roster!$A$6:$A$108,0))="Yes",0,=INDEX(Inputs!$B$8:$D$8,1,MATCH(A1009,Inputs!$B$6:$D$6,0))*IF(=INDEX(Roster!$B$6:$B$108,MATCH(D1009,Roster!$A$6:$A$108,0))="Principal",INDEX(Inputs!$B$10:$D$10,1,MATCH(A1009,Inputs!$B$6:$D$6,0)),IF(=INDEX(Roster!$B$6:$B$108,MATCH(D1009,Roster!$A$6:$A$108,0))="Associate Principal",INDEX(Inputs!$B$11:$D$11,1,MATCH(A1009,Inputs!$B$6:$D$6,0)),IF(=INDEX(Roster!$B$6:$B$108,MATCH(D1009,Roster!$A$6:$A$108,0))="Assistant Principal",INDEX(Inputs!$B$12:$D$12,1,MATCH(A1009,Inputs!$B$6:$D$6,0)),0))))</x:f>
        <x:v>479</x:v>
      </x:c>
      <x:c r="L1009" s="20" t="n">
        <x:f>IF(INDEX(Roster!$D$6:$D$108,MATCH(D1009,Roster!$A$6:$A$108,0))&gt;=25,INDEX(Inputs!$B$19:$D$19,1,MATCH(A1009,Inputs!$B$6:$D$6,0)),IF(INDEX(Roster!$D$6:$D$108,MATCH(D1009,Roster!$A$6:$A$108,0))&gt;=20,INDEX(Inputs!$B$18:$D$18,1,MATCH(A1009,Inputs!$B$6:$D$6,0)),IF(INDEX(Roster!$D$6:$D$108,MATCH(D1009,Roster!$A$6:$A$108,0))&gt;=15,INDEX(Inputs!$B$17:$D$17,1,MATCH(A1009,Inputs!$B$6:$D$6,0)),IF(INDEX(Roster!$D$6:$D$108,MATCH(D1009,Roster!$A$6:$A$108,0))&gt;=10,INDEX(Inputs!$B$16:$D$16,1,MATCH(A1009,Inputs!$B$6:$D$6,0)),IF(INDEX(Roster!$D$6:$D$108,MATCH(D1009,Roster!$A$6:$A$108,0))&gt;=5,INDEX(Inputs!$B$15:$D$15,1,MATCH(A1009,Inputs!$B$6:$D$6,0)),0)))))</x:f>
        <x:v>70</x:v>
      </x:c>
      <x:c r="M1009" s="20" t="n">
        <x:f>G1009*I1009</x:f>
        <x:v>31135</x:v>
      </x:c>
      <x:c r="N1009" s="20" t="n">
        <x:f>G1009*J1009</x:f>
        <x:v>19500</x:v>
      </x:c>
      <x:c r="O1009" s="20" t="n">
        <x:f>G1009*K1009</x:f>
        <x:v>6227</x:v>
      </x:c>
      <x:c r="P1009" s="20" t="n">
        <x:f>G1009*L1009</x:f>
        <x:v>910</x:v>
      </x:c>
      <x:c r="Q1009" s="20" t="n">
        <x:f>H1009*INDEX(Inputs!$B$13:$D$13,1,MATCH(A1009,Inputs!$B$6:$D$6,0))</x:f>
        <x:v>0</x:v>
      </x:c>
      <x:c r="R1009" s="20" t="n">
        <x:f>SUM(M1009:Q1009)</x:f>
        <x:v>57772</x:v>
      </x:c>
      <x:c r="S1009" s="20" t="n">
        <x:f>IF(AND(A1008=A1009,D1008=D1009),S1008+R1009,R1009)</x:f>
        <x:v>232258</x:v>
      </x:c>
      <x:c r="T1009" s="20" t="n">
        <x:f>MIN(S1009,INDEX(Inputs!$B$20:$D$20,1,MATCH(A1009,Inputs!$B$6:$D$6,0)))*INDEX(Inputs!$B$22:$D$22,1,MATCH(A1009,Inputs!$B$6:$D$6,0))+MAX(MIN(S1009,INDEX(Inputs!$B$21:$D$21,1,MATCH(A1009,Inputs!$B$6:$D$6,0)))-INDEX(Inputs!$B$20:$D$20,1,MATCH(A1009,Inputs!$B$6:$D$6,0)),0)*INDEX(Inputs!$B$23:$D$23,1,MATCH(A1009,Inputs!$B$6:$D$6,0))+MAX(S1009-INDEX(Inputs!$B$21:$D$21,1,MATCH(A1009,Inputs!$B$6:$D$6,0)),0)*INDEX(Inputs!$B$24:$D$24,1,MATCH(A1009,Inputs!$B$6:$D$6,0))</x:f>
        <x:v>11281.682999999999</x:v>
      </x:c>
      <x:c r="U1009" s="20" t="n">
        <x:f>IF(AND(A1008=A1009,D1008=D1009),T1008,0)</x:f>
        <x:v>10443.989</x:v>
      </x:c>
      <x:c r="V1009" s="20" t="n">
        <x:f>T1009-U1009</x:f>
        <x:v>837.6939999999995</x:v>
      </x:c>
      <x:c r="W1009" s="20" t="n">
        <x:f>R1009+V1009</x:f>
        <x:v>58609.694</x:v>
      </x:c>
      <x:c r="X1009" s="14" t="str">
        <x:f>IF(ABS(W1009-SUM(M1009:Q1009)-V1009)&lt;0.01,"OK","Check")</x:f>
        <x:v>OK</x:v>
      </x:c>
    </x:row>
    <x:row r="1010">
      <x:c r="A1010" s="14" t="n">
        <x:v>2028</x:v>
      </x:c>
      <x:c r="B1010" s="14" t="str">
        <x:v>Q1</x:v>
      </x:c>
      <x:c r="C1010" s="14" t="n">
        <x:v>1</x:v>
      </x:c>
      <x:c r="D1010" s="14" t="n">
        <x:v>46</x:v>
      </x:c>
      <x:c r="E1010" s="14" t="str">
        <x:f>INDEX(Roster!$B$6:$B$108,MATCH(D1010,Roster!$A$6:$A$108,0))</x:f>
      </x:c>
      <x:c r="F1010" s="14" t="str">
        <x:f>INDEX(Roster!$F$6:$F$108,MATCH(D1010,Roster!$A$6:$A$108,0))</x:f>
        <x:v>No</x:v>
      </x:c>
      <x:c r="G1010" s="14" t="n">
        <x:f>INDEX(Inputs!$B$7:$D$7,1,MATCH(A1010,Inputs!$B$6:$D$6,0))</x:f>
        <x:v>13</x:v>
      </x:c>
      <x:c r="H1010" s="14" t="n">
        <x:f>MIN(=INDEX(Inputs!$B$7:$D$7,1,MATCH(A1010,Inputs!$B$6:$D$6,0)),MAX(0,INDEX(Inputs!$B$14:$D$14,1,MATCH(A1010,Inputs!$B$6:$D$6,0))-(C1010-1)*=INDEX(Inputs!$B$7:$D$7,1,MATCH(A1010,Inputs!$B$6:$D$6,0))))</x:f>
        <x:v>13</x:v>
      </x:c>
      <x:c r="I1010" s="20" t="n">
        <x:f>INDEX(Inputs!$B$8:$D$8,1,MATCH(A1010,Inputs!$B$6:$D$6,0))</x:f>
        <x:v>2395</x:v>
      </x:c>
      <x:c r="J1010" s="20" t="n">
        <x:f>INDEX(Roster!$C$6:$C$108,MATCH(D1010,Roster!$A$6:$A$108,0))*(1+INDEX(Inputs!$B$9:$D$9,1,MATCH(A1010,Inputs!$B$6:$D$6,0)))</x:f>
        <x:v>20</x:v>
      </x:c>
      <x:c r="K1010" s="20" t="n">
        <x:f>IF(=INDEX(Roster!$F$6:$F$108,MATCH(D1010,Roster!$A$6:$A$108,0))="Yes",0,=INDEX(Inputs!$B$8:$D$8,1,MATCH(A1010,Inputs!$B$6:$D$6,0))*IF(=INDEX(Roster!$B$6:$B$108,MATCH(D1010,Roster!$A$6:$A$108,0))="Principal",INDEX(Inputs!$B$10:$D$10,1,MATCH(A1010,Inputs!$B$6:$D$6,0)),IF(=INDEX(Roster!$B$6:$B$108,MATCH(D1010,Roster!$A$6:$A$108,0))="Associate Principal",INDEX(Inputs!$B$11:$D$11,1,MATCH(A1010,Inputs!$B$6:$D$6,0)),IF(=INDEX(Roster!$B$6:$B$108,MATCH(D1010,Roster!$A$6:$A$108,0))="Assistant Principal",INDEX(Inputs!$B$12:$D$12,1,MATCH(A1010,Inputs!$B$6:$D$6,0)),0))))</x:f>
        <x:v>0</x:v>
      </x:c>
      <x:c r="L1010" s="20" t="n">
        <x:f>IF(INDEX(Roster!$D$6:$D$108,MATCH(D1010,Roster!$A$6:$A$108,0))&gt;=25,INDEX(Inputs!$B$19:$D$19,1,MATCH(A1010,Inputs!$B$6:$D$6,0)),IF(INDEX(Roster!$D$6:$D$108,MATCH(D1010,Roster!$A$6:$A$108,0))&gt;=20,INDEX(Inputs!$B$18:$D$18,1,MATCH(A1010,Inputs!$B$6:$D$6,0)),IF(INDEX(Roster!$D$6:$D$108,MATCH(D1010,Roster!$A$6:$A$108,0))&gt;=15,INDEX(Inputs!$B$17:$D$17,1,MATCH(A1010,Inputs!$B$6:$D$6,0)),IF(INDEX(Roster!$D$6:$D$108,MATCH(D1010,Roster!$A$6:$A$108,0))&gt;=10,INDEX(Inputs!$B$16:$D$16,1,MATCH(A1010,Inputs!$B$6:$D$6,0)),IF(INDEX(Roster!$D$6:$D$108,MATCH(D1010,Roster!$A$6:$A$108,0))&gt;=5,INDEX(Inputs!$B$15:$D$15,1,MATCH(A1010,Inputs!$B$6:$D$6,0)),0)))))</x:f>
        <x:v>0</x:v>
      </x:c>
      <x:c r="M1010" s="20" t="n">
        <x:f>G1010*I1010</x:f>
        <x:v>31135</x:v>
      </x:c>
      <x:c r="N1010" s="20" t="n">
        <x:f>G1010*J1010</x:f>
        <x:v>260</x:v>
      </x:c>
      <x:c r="O1010" s="20" t="n">
        <x:f>G1010*K1010</x:f>
        <x:v>0</x:v>
      </x:c>
      <x:c r="P1010" s="20" t="n">
        <x:f>G1010*L1010</x:f>
        <x:v>0</x:v>
      </x:c>
      <x:c r="Q1010" s="20" t="n">
        <x:f>H1010*INDEX(Inputs!$B$13:$D$13,1,MATCH(A1010,Inputs!$B$6:$D$6,0))</x:f>
        <x:v>390</x:v>
      </x:c>
      <x:c r="R1010" s="20" t="n">
        <x:f>SUM(M1010:Q1010)</x:f>
        <x:v>31785</x:v>
      </x:c>
      <x:c r="S1010" s="20" t="n">
        <x:f>IF(AND(A1009=A1010,D1009=D1010),S1009+R1010,R1010)</x:f>
        <x:v>31785</x:v>
      </x:c>
      <x:c r="T1010" s="20" t="n">
        <x:f>MIN(S1010,INDEX(Inputs!$B$20:$D$20,1,MATCH(A1010,Inputs!$B$6:$D$6,0)))*INDEX(Inputs!$B$22:$D$22,1,MATCH(A1010,Inputs!$B$6:$D$6,0))+MAX(MIN(S1010,INDEX(Inputs!$B$21:$D$21,1,MATCH(A1010,Inputs!$B$6:$D$6,0)))-INDEX(Inputs!$B$20:$D$20,1,MATCH(A1010,Inputs!$B$6:$D$6,0)),0)*INDEX(Inputs!$B$23:$D$23,1,MATCH(A1010,Inputs!$B$6:$D$6,0))+MAX(S1010-INDEX(Inputs!$B$21:$D$21,1,MATCH(A1010,Inputs!$B$6:$D$6,0)),0)*INDEX(Inputs!$B$24:$D$24,1,MATCH(A1010,Inputs!$B$6:$D$6,0))</x:f>
        <x:v>2921.5525</x:v>
      </x:c>
      <x:c r="U1010" s="20" t="n">
        <x:f>IF(AND(A1009=A1010,D1009=D1010),T1009,0)</x:f>
        <x:v>0</x:v>
      </x:c>
      <x:c r="V1010" s="20" t="n">
        <x:f>T1010-U1010</x:f>
        <x:v>2921.5525</x:v>
      </x:c>
      <x:c r="W1010" s="20" t="n">
        <x:f>R1010+V1010</x:f>
        <x:v>34706.5525</x:v>
      </x:c>
      <x:c r="X1010" s="14" t="str">
        <x:f>IF(ABS(W1010-SUM(M1010:Q1010)-V1010)&lt;0.01,"OK","Check")</x:f>
        <x:v>OK</x:v>
      </x:c>
    </x:row>
    <x:row r="1011">
      <x:c r="A1011" s="14" t="n">
        <x:v>2028</x:v>
      </x:c>
      <x:c r="B1011" s="14" t="str">
        <x:v>Q2</x:v>
      </x:c>
      <x:c r="C1011" s="14" t="n">
        <x:v>2</x:v>
      </x:c>
      <x:c r="D1011" s="14" t="n">
        <x:v>46</x:v>
      </x:c>
      <x:c r="E1011" s="14" t="str">
        <x:f>INDEX(Roster!$B$6:$B$108,MATCH(D1011,Roster!$A$6:$A$108,0))</x:f>
      </x:c>
      <x:c r="F1011" s="14" t="str">
        <x:f>INDEX(Roster!$F$6:$F$108,MATCH(D1011,Roster!$A$6:$A$108,0))</x:f>
        <x:v>No</x:v>
      </x:c>
      <x:c r="G1011" s="14" t="n">
        <x:f>INDEX(Inputs!$B$7:$D$7,1,MATCH(A1011,Inputs!$B$6:$D$6,0))</x:f>
        <x:v>13</x:v>
      </x:c>
      <x:c r="H1011" s="14" t="n">
        <x:f>MIN(=INDEX(Inputs!$B$7:$D$7,1,MATCH(A1011,Inputs!$B$6:$D$6,0)),MAX(0,INDEX(Inputs!$B$14:$D$14,1,MATCH(A1011,Inputs!$B$6:$D$6,0))-(C1011-1)*=INDEX(Inputs!$B$7:$D$7,1,MATCH(A1011,Inputs!$B$6:$D$6,0))))</x:f>
        <x:v>13</x:v>
      </x:c>
      <x:c r="I1011" s="20" t="n">
        <x:f>INDEX(Inputs!$B$8:$D$8,1,MATCH(A1011,Inputs!$B$6:$D$6,0))</x:f>
        <x:v>2395</x:v>
      </x:c>
      <x:c r="J1011" s="20" t="n">
        <x:f>INDEX(Roster!$C$6:$C$108,MATCH(D1011,Roster!$A$6:$A$108,0))*(1+INDEX(Inputs!$B$9:$D$9,1,MATCH(A1011,Inputs!$B$6:$D$6,0)))</x:f>
        <x:v>20</x:v>
      </x:c>
      <x:c r="K1011" s="20" t="n">
        <x:f>IF(=INDEX(Roster!$F$6:$F$108,MATCH(D1011,Roster!$A$6:$A$108,0))="Yes",0,=INDEX(Inputs!$B$8:$D$8,1,MATCH(A1011,Inputs!$B$6:$D$6,0))*IF(=INDEX(Roster!$B$6:$B$108,MATCH(D1011,Roster!$A$6:$A$108,0))="Principal",INDEX(Inputs!$B$10:$D$10,1,MATCH(A1011,Inputs!$B$6:$D$6,0)),IF(=INDEX(Roster!$B$6:$B$108,MATCH(D1011,Roster!$A$6:$A$108,0))="Associate Principal",INDEX(Inputs!$B$11:$D$11,1,MATCH(A1011,Inputs!$B$6:$D$6,0)),IF(=INDEX(Roster!$B$6:$B$108,MATCH(D1011,Roster!$A$6:$A$108,0))="Assistant Principal",INDEX(Inputs!$B$12:$D$12,1,MATCH(A1011,Inputs!$B$6:$D$6,0)),0))))</x:f>
        <x:v>0</x:v>
      </x:c>
      <x:c r="L1011" s="20" t="n">
        <x:f>IF(INDEX(Roster!$D$6:$D$108,MATCH(D1011,Roster!$A$6:$A$108,0))&gt;=25,INDEX(Inputs!$B$19:$D$19,1,MATCH(A1011,Inputs!$B$6:$D$6,0)),IF(INDEX(Roster!$D$6:$D$108,MATCH(D1011,Roster!$A$6:$A$108,0))&gt;=20,INDEX(Inputs!$B$18:$D$18,1,MATCH(A1011,Inputs!$B$6:$D$6,0)),IF(INDEX(Roster!$D$6:$D$108,MATCH(D1011,Roster!$A$6:$A$108,0))&gt;=15,INDEX(Inputs!$B$17:$D$17,1,MATCH(A1011,Inputs!$B$6:$D$6,0)),IF(INDEX(Roster!$D$6:$D$108,MATCH(D1011,Roster!$A$6:$A$108,0))&gt;=10,INDEX(Inputs!$B$16:$D$16,1,MATCH(A1011,Inputs!$B$6:$D$6,0)),IF(INDEX(Roster!$D$6:$D$108,MATCH(D1011,Roster!$A$6:$A$108,0))&gt;=5,INDEX(Inputs!$B$15:$D$15,1,MATCH(A1011,Inputs!$B$6:$D$6,0)),0)))))</x:f>
        <x:v>0</x:v>
      </x:c>
      <x:c r="M1011" s="20" t="n">
        <x:f>G1011*I1011</x:f>
        <x:v>31135</x:v>
      </x:c>
      <x:c r="N1011" s="20" t="n">
        <x:f>G1011*J1011</x:f>
        <x:v>260</x:v>
      </x:c>
      <x:c r="O1011" s="20" t="n">
        <x:f>G1011*K1011</x:f>
        <x:v>0</x:v>
      </x:c>
      <x:c r="P1011" s="20" t="n">
        <x:f>G1011*L1011</x:f>
        <x:v>0</x:v>
      </x:c>
      <x:c r="Q1011" s="20" t="n">
        <x:f>H1011*INDEX(Inputs!$B$13:$D$13,1,MATCH(A1011,Inputs!$B$6:$D$6,0))</x:f>
        <x:v>390</x:v>
      </x:c>
      <x:c r="R1011" s="20" t="n">
        <x:f>SUM(M1011:Q1011)</x:f>
        <x:v>31785</x:v>
      </x:c>
      <x:c r="S1011" s="20" t="n">
        <x:f>IF(AND(A1010=A1011,D1010=D1011),S1010+R1011,R1011)</x:f>
        <x:v>63570</x:v>
      </x:c>
      <x:c r="T1011" s="20" t="n">
        <x:f>MIN(S1011,INDEX(Inputs!$B$20:$D$20,1,MATCH(A1011,Inputs!$B$6:$D$6,0)))*INDEX(Inputs!$B$22:$D$22,1,MATCH(A1011,Inputs!$B$6:$D$6,0))+MAX(MIN(S1011,INDEX(Inputs!$B$21:$D$21,1,MATCH(A1011,Inputs!$B$6:$D$6,0)))-INDEX(Inputs!$B$20:$D$20,1,MATCH(A1011,Inputs!$B$6:$D$6,0)),0)*INDEX(Inputs!$B$23:$D$23,1,MATCH(A1011,Inputs!$B$6:$D$6,0))+MAX(S1011-INDEX(Inputs!$B$21:$D$21,1,MATCH(A1011,Inputs!$B$6:$D$6,0)),0)*INDEX(Inputs!$B$24:$D$24,1,MATCH(A1011,Inputs!$B$6:$D$6,0))</x:f>
        <x:v>5353.105</x:v>
      </x:c>
      <x:c r="U1011" s="20" t="n">
        <x:f>IF(AND(A1010=A1011,D1010=D1011),T1010,0)</x:f>
        <x:v>2921.5525</x:v>
      </x:c>
      <x:c r="V1011" s="20" t="n">
        <x:f>T1011-U1011</x:f>
        <x:v>2431.5525</x:v>
      </x:c>
      <x:c r="W1011" s="20" t="n">
        <x:f>R1011+V1011</x:f>
        <x:v>34216.5525</x:v>
      </x:c>
      <x:c r="X1011" s="14" t="str">
        <x:f>IF(ABS(W1011-SUM(M1011:Q1011)-V1011)&lt;0.01,"OK","Check")</x:f>
        <x:v>OK</x:v>
      </x:c>
    </x:row>
    <x:row r="1012">
      <x:c r="A1012" s="14" t="n">
        <x:v>2028</x:v>
      </x:c>
      <x:c r="B1012" s="14" t="str">
        <x:v>Q3</x:v>
      </x:c>
      <x:c r="C1012" s="14" t="n">
        <x:v>3</x:v>
      </x:c>
      <x:c r="D1012" s="14" t="n">
        <x:v>46</x:v>
      </x:c>
      <x:c r="E1012" s="14" t="str">
        <x:f>INDEX(Roster!$B$6:$B$108,MATCH(D1012,Roster!$A$6:$A$108,0))</x:f>
      </x:c>
      <x:c r="F1012" s="14" t="str">
        <x:f>INDEX(Roster!$F$6:$F$108,MATCH(D1012,Roster!$A$6:$A$108,0))</x:f>
        <x:v>No</x:v>
      </x:c>
      <x:c r="G1012" s="14" t="n">
        <x:f>INDEX(Inputs!$B$7:$D$7,1,MATCH(A1012,Inputs!$B$6:$D$6,0))</x:f>
        <x:v>13</x:v>
      </x:c>
      <x:c r="H1012" s="14" t="n">
        <x:f>MIN(=INDEX(Inputs!$B$7:$D$7,1,MATCH(A1012,Inputs!$B$6:$D$6,0)),MAX(0,INDEX(Inputs!$B$14:$D$14,1,MATCH(A1012,Inputs!$B$6:$D$6,0))-(C1012-1)*=INDEX(Inputs!$B$7:$D$7,1,MATCH(A1012,Inputs!$B$6:$D$6,0))))</x:f>
        <x:v>13</x:v>
      </x:c>
      <x:c r="I1012" s="20" t="n">
        <x:f>INDEX(Inputs!$B$8:$D$8,1,MATCH(A1012,Inputs!$B$6:$D$6,0))</x:f>
        <x:v>2395</x:v>
      </x:c>
      <x:c r="J1012" s="20" t="n">
        <x:f>INDEX(Roster!$C$6:$C$108,MATCH(D1012,Roster!$A$6:$A$108,0))*(1+INDEX(Inputs!$B$9:$D$9,1,MATCH(A1012,Inputs!$B$6:$D$6,0)))</x:f>
        <x:v>20</x:v>
      </x:c>
      <x:c r="K1012" s="20" t="n">
        <x:f>IF(=INDEX(Roster!$F$6:$F$108,MATCH(D1012,Roster!$A$6:$A$108,0))="Yes",0,=INDEX(Inputs!$B$8:$D$8,1,MATCH(A1012,Inputs!$B$6:$D$6,0))*IF(=INDEX(Roster!$B$6:$B$108,MATCH(D1012,Roster!$A$6:$A$108,0))="Principal",INDEX(Inputs!$B$10:$D$10,1,MATCH(A1012,Inputs!$B$6:$D$6,0)),IF(=INDEX(Roster!$B$6:$B$108,MATCH(D1012,Roster!$A$6:$A$108,0))="Associate Principal",INDEX(Inputs!$B$11:$D$11,1,MATCH(A1012,Inputs!$B$6:$D$6,0)),IF(=INDEX(Roster!$B$6:$B$108,MATCH(D1012,Roster!$A$6:$A$108,0))="Assistant Principal",INDEX(Inputs!$B$12:$D$12,1,MATCH(A1012,Inputs!$B$6:$D$6,0)),0))))</x:f>
        <x:v>0</x:v>
      </x:c>
      <x:c r="L1012" s="20" t="n">
        <x:f>IF(INDEX(Roster!$D$6:$D$108,MATCH(D1012,Roster!$A$6:$A$108,0))&gt;=25,INDEX(Inputs!$B$19:$D$19,1,MATCH(A1012,Inputs!$B$6:$D$6,0)),IF(INDEX(Roster!$D$6:$D$108,MATCH(D1012,Roster!$A$6:$A$108,0))&gt;=20,INDEX(Inputs!$B$18:$D$18,1,MATCH(A1012,Inputs!$B$6:$D$6,0)),IF(INDEX(Roster!$D$6:$D$108,MATCH(D1012,Roster!$A$6:$A$108,0))&gt;=15,INDEX(Inputs!$B$17:$D$17,1,MATCH(A1012,Inputs!$B$6:$D$6,0)),IF(INDEX(Roster!$D$6:$D$108,MATCH(D1012,Roster!$A$6:$A$108,0))&gt;=10,INDEX(Inputs!$B$16:$D$16,1,MATCH(A1012,Inputs!$B$6:$D$6,0)),IF(INDEX(Roster!$D$6:$D$108,MATCH(D1012,Roster!$A$6:$A$108,0))&gt;=5,INDEX(Inputs!$B$15:$D$15,1,MATCH(A1012,Inputs!$B$6:$D$6,0)),0)))))</x:f>
        <x:v>0</x:v>
      </x:c>
      <x:c r="M1012" s="20" t="n">
        <x:f>G1012*I1012</x:f>
        <x:v>31135</x:v>
      </x:c>
      <x:c r="N1012" s="20" t="n">
        <x:f>G1012*J1012</x:f>
        <x:v>260</x:v>
      </x:c>
      <x:c r="O1012" s="20" t="n">
        <x:f>G1012*K1012</x:f>
        <x:v>0</x:v>
      </x:c>
      <x:c r="P1012" s="20" t="n">
        <x:f>G1012*L1012</x:f>
        <x:v>0</x:v>
      </x:c>
      <x:c r="Q1012" s="20" t="n">
        <x:f>H1012*INDEX(Inputs!$B$13:$D$13,1,MATCH(A1012,Inputs!$B$6:$D$6,0))</x:f>
        <x:v>390</x:v>
      </x:c>
      <x:c r="R1012" s="20" t="n">
        <x:f>SUM(M1012:Q1012)</x:f>
        <x:v>31785</x:v>
      </x:c>
      <x:c r="S1012" s="20" t="n">
        <x:f>IF(AND(A1011=A1012,D1011=D1012),S1011+R1012,R1012)</x:f>
        <x:v>95355</x:v>
      </x:c>
      <x:c r="T1012" s="20" t="n">
        <x:f>MIN(S1012,INDEX(Inputs!$B$20:$D$20,1,MATCH(A1012,Inputs!$B$6:$D$6,0)))*INDEX(Inputs!$B$22:$D$22,1,MATCH(A1012,Inputs!$B$6:$D$6,0))+MAX(MIN(S1012,INDEX(Inputs!$B$21:$D$21,1,MATCH(A1012,Inputs!$B$6:$D$6,0)))-INDEX(Inputs!$B$20:$D$20,1,MATCH(A1012,Inputs!$B$6:$D$6,0)),0)*INDEX(Inputs!$B$23:$D$23,1,MATCH(A1012,Inputs!$B$6:$D$6,0))+MAX(S1012-INDEX(Inputs!$B$21:$D$21,1,MATCH(A1012,Inputs!$B$6:$D$6,0)),0)*INDEX(Inputs!$B$24:$D$24,1,MATCH(A1012,Inputs!$B$6:$D$6,0))</x:f>
        <x:v>7784.6575</x:v>
      </x:c>
      <x:c r="U1012" s="20" t="n">
        <x:f>IF(AND(A1011=A1012,D1011=D1012),T1011,0)</x:f>
        <x:v>5353.105</x:v>
      </x:c>
      <x:c r="V1012" s="20" t="n">
        <x:f>T1012-U1012</x:f>
        <x:v>2431.5525000000007</x:v>
      </x:c>
      <x:c r="W1012" s="20" t="n">
        <x:f>R1012+V1012</x:f>
        <x:v>34216.5525</x:v>
      </x:c>
      <x:c r="X1012" s="14" t="str">
        <x:f>IF(ABS(W1012-SUM(M1012:Q1012)-V1012)&lt;0.01,"OK","Check")</x:f>
        <x:v>OK</x:v>
      </x:c>
    </x:row>
    <x:row r="1013">
      <x:c r="A1013" s="14" t="n">
        <x:v>2028</x:v>
      </x:c>
      <x:c r="B1013" s="14" t="str">
        <x:v>Q4</x:v>
      </x:c>
      <x:c r="C1013" s="14" t="n">
        <x:v>4</x:v>
      </x:c>
      <x:c r="D1013" s="14" t="n">
        <x:v>46</x:v>
      </x:c>
      <x:c r="E1013" s="14" t="str">
        <x:f>INDEX(Roster!$B$6:$B$108,MATCH(D1013,Roster!$A$6:$A$108,0))</x:f>
      </x:c>
      <x:c r="F1013" s="14" t="str">
        <x:f>INDEX(Roster!$F$6:$F$108,MATCH(D1013,Roster!$A$6:$A$108,0))</x:f>
        <x:v>No</x:v>
      </x:c>
      <x:c r="G1013" s="14" t="n">
        <x:f>INDEX(Inputs!$B$7:$D$7,1,MATCH(A1013,Inputs!$B$6:$D$6,0))</x:f>
        <x:v>13</x:v>
      </x:c>
      <x:c r="H1013" s="14" t="n">
        <x:f>MIN(=INDEX(Inputs!$B$7:$D$7,1,MATCH(A1013,Inputs!$B$6:$D$6,0)),MAX(0,INDEX(Inputs!$B$14:$D$14,1,MATCH(A1013,Inputs!$B$6:$D$6,0))-(C1013-1)*=INDEX(Inputs!$B$7:$D$7,1,MATCH(A1013,Inputs!$B$6:$D$6,0))))</x:f>
        <x:v>0</x:v>
      </x:c>
      <x:c r="I1013" s="20" t="n">
        <x:f>INDEX(Inputs!$B$8:$D$8,1,MATCH(A1013,Inputs!$B$6:$D$6,0))</x:f>
        <x:v>2395</x:v>
      </x:c>
      <x:c r="J1013" s="20" t="n">
        <x:f>INDEX(Roster!$C$6:$C$108,MATCH(D1013,Roster!$A$6:$A$108,0))*(1+INDEX(Inputs!$B$9:$D$9,1,MATCH(A1013,Inputs!$B$6:$D$6,0)))</x:f>
        <x:v>20</x:v>
      </x:c>
      <x:c r="K1013" s="20" t="n">
        <x:f>IF(=INDEX(Roster!$F$6:$F$108,MATCH(D1013,Roster!$A$6:$A$108,0))="Yes",0,=INDEX(Inputs!$B$8:$D$8,1,MATCH(A1013,Inputs!$B$6:$D$6,0))*IF(=INDEX(Roster!$B$6:$B$108,MATCH(D1013,Roster!$A$6:$A$108,0))="Principal",INDEX(Inputs!$B$10:$D$10,1,MATCH(A1013,Inputs!$B$6:$D$6,0)),IF(=INDEX(Roster!$B$6:$B$108,MATCH(D1013,Roster!$A$6:$A$108,0))="Associate Principal",INDEX(Inputs!$B$11:$D$11,1,MATCH(A1013,Inputs!$B$6:$D$6,0)),IF(=INDEX(Roster!$B$6:$B$108,MATCH(D1013,Roster!$A$6:$A$108,0))="Assistant Principal",INDEX(Inputs!$B$12:$D$12,1,MATCH(A1013,Inputs!$B$6:$D$6,0)),0))))</x:f>
        <x:v>0</x:v>
      </x:c>
      <x:c r="L1013" s="20" t="n">
        <x:f>IF(INDEX(Roster!$D$6:$D$108,MATCH(D1013,Roster!$A$6:$A$108,0))&gt;=25,INDEX(Inputs!$B$19:$D$19,1,MATCH(A1013,Inputs!$B$6:$D$6,0)),IF(INDEX(Roster!$D$6:$D$108,MATCH(D1013,Roster!$A$6:$A$108,0))&gt;=20,INDEX(Inputs!$B$18:$D$18,1,MATCH(A1013,Inputs!$B$6:$D$6,0)),IF(INDEX(Roster!$D$6:$D$108,MATCH(D1013,Roster!$A$6:$A$108,0))&gt;=15,INDEX(Inputs!$B$17:$D$17,1,MATCH(A1013,Inputs!$B$6:$D$6,0)),IF(INDEX(Roster!$D$6:$D$108,MATCH(D1013,Roster!$A$6:$A$108,0))&gt;=10,INDEX(Inputs!$B$16:$D$16,1,MATCH(A1013,Inputs!$B$6:$D$6,0)),IF(INDEX(Roster!$D$6:$D$108,MATCH(D1013,Roster!$A$6:$A$108,0))&gt;=5,INDEX(Inputs!$B$15:$D$15,1,MATCH(A1013,Inputs!$B$6:$D$6,0)),0)))))</x:f>
        <x:v>0</x:v>
      </x:c>
      <x:c r="M1013" s="20" t="n">
        <x:f>G1013*I1013</x:f>
        <x:v>31135</x:v>
      </x:c>
      <x:c r="N1013" s="20" t="n">
        <x:f>G1013*J1013</x:f>
        <x:v>260</x:v>
      </x:c>
      <x:c r="O1013" s="20" t="n">
        <x:f>G1013*K1013</x:f>
        <x:v>0</x:v>
      </x:c>
      <x:c r="P1013" s="20" t="n">
        <x:f>G1013*L1013</x:f>
        <x:v>0</x:v>
      </x:c>
      <x:c r="Q1013" s="20" t="n">
        <x:f>H1013*INDEX(Inputs!$B$13:$D$13,1,MATCH(A1013,Inputs!$B$6:$D$6,0))</x:f>
        <x:v>0</x:v>
      </x:c>
      <x:c r="R1013" s="20" t="n">
        <x:f>SUM(M1013:Q1013)</x:f>
        <x:v>31395</x:v>
      </x:c>
      <x:c r="S1013" s="20" t="n">
        <x:f>IF(AND(A1012=A1013,D1012=D1013),S1012+R1013,R1013)</x:f>
        <x:v>126750</x:v>
      </x:c>
      <x:c r="T1013" s="20" t="n">
        <x:f>MIN(S1013,INDEX(Inputs!$B$20:$D$20,1,MATCH(A1013,Inputs!$B$6:$D$6,0)))*INDEX(Inputs!$B$22:$D$22,1,MATCH(A1013,Inputs!$B$6:$D$6,0))+MAX(MIN(S1013,INDEX(Inputs!$B$21:$D$21,1,MATCH(A1013,Inputs!$B$6:$D$6,0)))-INDEX(Inputs!$B$20:$D$20,1,MATCH(A1013,Inputs!$B$6:$D$6,0)),0)*INDEX(Inputs!$B$23:$D$23,1,MATCH(A1013,Inputs!$B$6:$D$6,0))+MAX(S1013-INDEX(Inputs!$B$21:$D$21,1,MATCH(A1013,Inputs!$B$6:$D$6,0)),0)*INDEX(Inputs!$B$24:$D$24,1,MATCH(A1013,Inputs!$B$6:$D$6,0))</x:f>
        <x:v>9751.817</x:v>
      </x:c>
      <x:c r="U1013" s="20" t="n">
        <x:f>IF(AND(A1012=A1013,D1012=D1013),T1012,0)</x:f>
        <x:v>7784.6575</x:v>
      </x:c>
      <x:c r="V1013" s="20" t="n">
        <x:f>T1013-U1013</x:f>
        <x:v>1967.1594999999988</x:v>
      </x:c>
      <x:c r="W1013" s="20" t="n">
        <x:f>R1013+V1013</x:f>
        <x:v>33362.1595</x:v>
      </x:c>
      <x:c r="X1013" s="14" t="str">
        <x:f>IF(ABS(W1013-SUM(M1013:Q1013)-V1013)&lt;0.01,"OK","Check")</x:f>
        <x:v>OK</x:v>
      </x:c>
    </x:row>
    <x:row r="1014">
      <x:c r="A1014" s="14" t="n">
        <x:v>2028</x:v>
      </x:c>
      <x:c r="B1014" s="14" t="str">
        <x:v>Q1</x:v>
      </x:c>
      <x:c r="C1014" s="14" t="n">
        <x:v>1</x:v>
      </x:c>
      <x:c r="D1014" s="14" t="n">
        <x:v>47</x:v>
      </x:c>
      <x:c r="E1014" s="14" t="str">
        <x:f>INDEX(Roster!$B$6:$B$108,MATCH(D1014,Roster!$A$6:$A$108,0))</x:f>
        <x:v>Assistant Principal</x:v>
      </x:c>
      <x:c r="F1014" s="14" t="str">
        <x:f>INDEX(Roster!$F$6:$F$108,MATCH(D1014,Roster!$A$6:$A$108,0))</x:f>
        <x:v>No</x:v>
      </x:c>
      <x:c r="G1014" s="14" t="n">
        <x:f>INDEX(Inputs!$B$7:$D$7,1,MATCH(A1014,Inputs!$B$6:$D$6,0))</x:f>
        <x:v>13</x:v>
      </x:c>
      <x:c r="H1014" s="14" t="n">
        <x:f>MIN(=INDEX(Inputs!$B$7:$D$7,1,MATCH(A1014,Inputs!$B$6:$D$6,0)),MAX(0,INDEX(Inputs!$B$14:$D$14,1,MATCH(A1014,Inputs!$B$6:$D$6,0))-(C1014-1)*=INDEX(Inputs!$B$7:$D$7,1,MATCH(A1014,Inputs!$B$6:$D$6,0))))</x:f>
        <x:v>13</x:v>
      </x:c>
      <x:c r="I1014" s="20" t="n">
        <x:f>INDEX(Inputs!$B$8:$D$8,1,MATCH(A1014,Inputs!$B$6:$D$6,0))</x:f>
        <x:v>2395</x:v>
      </x:c>
      <x:c r="J1014" s="20" t="n">
        <x:f>INDEX(Roster!$C$6:$C$108,MATCH(D1014,Roster!$A$6:$A$108,0))*(1+INDEX(Inputs!$B$9:$D$9,1,MATCH(A1014,Inputs!$B$6:$D$6,0)))</x:f>
        <x:v>0</x:v>
      </x:c>
      <x:c r="K1014" s="20" t="n">
        <x:f>IF(=INDEX(Roster!$F$6:$F$108,MATCH(D1014,Roster!$A$6:$A$108,0))="Yes",0,=INDEX(Inputs!$B$8:$D$8,1,MATCH(A1014,Inputs!$B$6:$D$6,0))*IF(=INDEX(Roster!$B$6:$B$108,MATCH(D1014,Roster!$A$6:$A$108,0))="Principal",INDEX(Inputs!$B$10:$D$10,1,MATCH(A1014,Inputs!$B$6:$D$6,0)),IF(=INDEX(Roster!$B$6:$B$108,MATCH(D1014,Roster!$A$6:$A$108,0))="Associate Principal",INDEX(Inputs!$B$11:$D$11,1,MATCH(A1014,Inputs!$B$6:$D$6,0)),IF(=INDEX(Roster!$B$6:$B$108,MATCH(D1014,Roster!$A$6:$A$108,0))="Assistant Principal",INDEX(Inputs!$B$12:$D$12,1,MATCH(A1014,Inputs!$B$6:$D$6,0)),0))))</x:f>
        <x:v>239.5</x:v>
      </x:c>
      <x:c r="L1014" s="20" t="n">
        <x:f>IF(INDEX(Roster!$D$6:$D$108,MATCH(D1014,Roster!$A$6:$A$108,0))&gt;=25,INDEX(Inputs!$B$19:$D$19,1,MATCH(A1014,Inputs!$B$6:$D$6,0)),IF(INDEX(Roster!$D$6:$D$108,MATCH(D1014,Roster!$A$6:$A$108,0))&gt;=20,INDEX(Inputs!$B$18:$D$18,1,MATCH(A1014,Inputs!$B$6:$D$6,0)),IF(INDEX(Roster!$D$6:$D$108,MATCH(D1014,Roster!$A$6:$A$108,0))&gt;=15,INDEX(Inputs!$B$17:$D$17,1,MATCH(A1014,Inputs!$B$6:$D$6,0)),IF(INDEX(Roster!$D$6:$D$108,MATCH(D1014,Roster!$A$6:$A$108,0))&gt;=10,INDEX(Inputs!$B$16:$D$16,1,MATCH(A1014,Inputs!$B$6:$D$6,0)),IF(INDEX(Roster!$D$6:$D$108,MATCH(D1014,Roster!$A$6:$A$108,0))&gt;=5,INDEX(Inputs!$B$15:$D$15,1,MATCH(A1014,Inputs!$B$6:$D$6,0)),0)))))</x:f>
        <x:v>50</x:v>
      </x:c>
      <x:c r="M1014" s="20" t="n">
        <x:f>G1014*I1014</x:f>
        <x:v>31135</x:v>
      </x:c>
      <x:c r="N1014" s="20" t="n">
        <x:f>G1014*J1014</x:f>
        <x:v>0</x:v>
      </x:c>
      <x:c r="O1014" s="20" t="n">
        <x:f>G1014*K1014</x:f>
        <x:v>3113.5</x:v>
      </x:c>
      <x:c r="P1014" s="20" t="n">
        <x:f>G1014*L1014</x:f>
        <x:v>650</x:v>
      </x:c>
      <x:c r="Q1014" s="20" t="n">
        <x:f>H1014*INDEX(Inputs!$B$13:$D$13,1,MATCH(A1014,Inputs!$B$6:$D$6,0))</x:f>
        <x:v>390</x:v>
      </x:c>
      <x:c r="R1014" s="20" t="n">
        <x:f>SUM(M1014:Q1014)</x:f>
        <x:v>35288.5</x:v>
      </x:c>
      <x:c r="S1014" s="20" t="n">
        <x:f>IF(AND(A1013=A1014,D1013=D1014),S1013+R1014,R1014)</x:f>
        <x:v>35288.5</x:v>
      </x:c>
      <x:c r="T1014" s="20" t="n">
        <x:f>MIN(S1014,INDEX(Inputs!$B$20:$D$20,1,MATCH(A1014,Inputs!$B$6:$D$6,0)))*INDEX(Inputs!$B$22:$D$22,1,MATCH(A1014,Inputs!$B$6:$D$6,0))+MAX(MIN(S1014,INDEX(Inputs!$B$21:$D$21,1,MATCH(A1014,Inputs!$B$6:$D$6,0)))-INDEX(Inputs!$B$20:$D$20,1,MATCH(A1014,Inputs!$B$6:$D$6,0)),0)*INDEX(Inputs!$B$23:$D$23,1,MATCH(A1014,Inputs!$B$6:$D$6,0))+MAX(S1014-INDEX(Inputs!$B$21:$D$21,1,MATCH(A1014,Inputs!$B$6:$D$6,0)),0)*INDEX(Inputs!$B$24:$D$24,1,MATCH(A1014,Inputs!$B$6:$D$6,0))</x:f>
        <x:v>3189.5702499999998</x:v>
      </x:c>
      <x:c r="U1014" s="20" t="n">
        <x:f>IF(AND(A1013=A1014,D1013=D1014),T1013,0)</x:f>
        <x:v>0</x:v>
      </x:c>
      <x:c r="V1014" s="20" t="n">
        <x:f>T1014-U1014</x:f>
        <x:v>3189.5702499999998</x:v>
      </x:c>
      <x:c r="W1014" s="20" t="n">
        <x:f>R1014+V1014</x:f>
        <x:v>38478.07025</x:v>
      </x:c>
      <x:c r="X1014" s="14" t="str">
        <x:f>IF(ABS(W1014-SUM(M1014:Q1014)-V1014)&lt;0.01,"OK","Check")</x:f>
        <x:v>OK</x:v>
      </x:c>
    </x:row>
    <x:row r="1015">
      <x:c r="A1015" s="14" t="n">
        <x:v>2028</x:v>
      </x:c>
      <x:c r="B1015" s="14" t="str">
        <x:v>Q2</x:v>
      </x:c>
      <x:c r="C1015" s="14" t="n">
        <x:v>2</x:v>
      </x:c>
      <x:c r="D1015" s="14" t="n">
        <x:v>47</x:v>
      </x:c>
      <x:c r="E1015" s="14" t="str">
        <x:f>INDEX(Roster!$B$6:$B$108,MATCH(D1015,Roster!$A$6:$A$108,0))</x:f>
        <x:v>Assistant Principal</x:v>
      </x:c>
      <x:c r="F1015" s="14" t="str">
        <x:f>INDEX(Roster!$F$6:$F$108,MATCH(D1015,Roster!$A$6:$A$108,0))</x:f>
        <x:v>No</x:v>
      </x:c>
      <x:c r="G1015" s="14" t="n">
        <x:f>INDEX(Inputs!$B$7:$D$7,1,MATCH(A1015,Inputs!$B$6:$D$6,0))</x:f>
        <x:v>13</x:v>
      </x:c>
      <x:c r="H1015" s="14" t="n">
        <x:f>MIN(=INDEX(Inputs!$B$7:$D$7,1,MATCH(A1015,Inputs!$B$6:$D$6,0)),MAX(0,INDEX(Inputs!$B$14:$D$14,1,MATCH(A1015,Inputs!$B$6:$D$6,0))-(C1015-1)*=INDEX(Inputs!$B$7:$D$7,1,MATCH(A1015,Inputs!$B$6:$D$6,0))))</x:f>
        <x:v>13</x:v>
      </x:c>
      <x:c r="I1015" s="20" t="n">
        <x:f>INDEX(Inputs!$B$8:$D$8,1,MATCH(A1015,Inputs!$B$6:$D$6,0))</x:f>
        <x:v>2395</x:v>
      </x:c>
      <x:c r="J1015" s="20" t="n">
        <x:f>INDEX(Roster!$C$6:$C$108,MATCH(D1015,Roster!$A$6:$A$108,0))*(1+INDEX(Inputs!$B$9:$D$9,1,MATCH(A1015,Inputs!$B$6:$D$6,0)))</x:f>
        <x:v>0</x:v>
      </x:c>
      <x:c r="K1015" s="20" t="n">
        <x:f>IF(=INDEX(Roster!$F$6:$F$108,MATCH(D1015,Roster!$A$6:$A$108,0))="Yes",0,=INDEX(Inputs!$B$8:$D$8,1,MATCH(A1015,Inputs!$B$6:$D$6,0))*IF(=INDEX(Roster!$B$6:$B$108,MATCH(D1015,Roster!$A$6:$A$108,0))="Principal",INDEX(Inputs!$B$10:$D$10,1,MATCH(A1015,Inputs!$B$6:$D$6,0)),IF(=INDEX(Roster!$B$6:$B$108,MATCH(D1015,Roster!$A$6:$A$108,0))="Associate Principal",INDEX(Inputs!$B$11:$D$11,1,MATCH(A1015,Inputs!$B$6:$D$6,0)),IF(=INDEX(Roster!$B$6:$B$108,MATCH(D1015,Roster!$A$6:$A$108,0))="Assistant Principal",INDEX(Inputs!$B$12:$D$12,1,MATCH(A1015,Inputs!$B$6:$D$6,0)),0))))</x:f>
        <x:v>239.5</x:v>
      </x:c>
      <x:c r="L1015" s="20" t="n">
        <x:f>IF(INDEX(Roster!$D$6:$D$108,MATCH(D1015,Roster!$A$6:$A$108,0))&gt;=25,INDEX(Inputs!$B$19:$D$19,1,MATCH(A1015,Inputs!$B$6:$D$6,0)),IF(INDEX(Roster!$D$6:$D$108,MATCH(D1015,Roster!$A$6:$A$108,0))&gt;=20,INDEX(Inputs!$B$18:$D$18,1,MATCH(A1015,Inputs!$B$6:$D$6,0)),IF(INDEX(Roster!$D$6:$D$108,MATCH(D1015,Roster!$A$6:$A$108,0))&gt;=15,INDEX(Inputs!$B$17:$D$17,1,MATCH(A1015,Inputs!$B$6:$D$6,0)),IF(INDEX(Roster!$D$6:$D$108,MATCH(D1015,Roster!$A$6:$A$108,0))&gt;=10,INDEX(Inputs!$B$16:$D$16,1,MATCH(A1015,Inputs!$B$6:$D$6,0)),IF(INDEX(Roster!$D$6:$D$108,MATCH(D1015,Roster!$A$6:$A$108,0))&gt;=5,INDEX(Inputs!$B$15:$D$15,1,MATCH(A1015,Inputs!$B$6:$D$6,0)),0)))))</x:f>
        <x:v>50</x:v>
      </x:c>
      <x:c r="M1015" s="20" t="n">
        <x:f>G1015*I1015</x:f>
        <x:v>31135</x:v>
      </x:c>
      <x:c r="N1015" s="20" t="n">
        <x:f>G1015*J1015</x:f>
        <x:v>0</x:v>
      </x:c>
      <x:c r="O1015" s="20" t="n">
        <x:f>G1015*K1015</x:f>
        <x:v>3113.5</x:v>
      </x:c>
      <x:c r="P1015" s="20" t="n">
        <x:f>G1015*L1015</x:f>
        <x:v>650</x:v>
      </x:c>
      <x:c r="Q1015" s="20" t="n">
        <x:f>H1015*INDEX(Inputs!$B$13:$D$13,1,MATCH(A1015,Inputs!$B$6:$D$6,0))</x:f>
        <x:v>390</x:v>
      </x:c>
      <x:c r="R1015" s="20" t="n">
        <x:f>SUM(M1015:Q1015)</x:f>
        <x:v>35288.5</x:v>
      </x:c>
      <x:c r="S1015" s="20" t="n">
        <x:f>IF(AND(A1014=A1015,D1014=D1015),S1014+R1015,R1015)</x:f>
        <x:v>70577</x:v>
      </x:c>
      <x:c r="T1015" s="20" t="n">
        <x:f>MIN(S1015,INDEX(Inputs!$B$20:$D$20,1,MATCH(A1015,Inputs!$B$6:$D$6,0)))*INDEX(Inputs!$B$22:$D$22,1,MATCH(A1015,Inputs!$B$6:$D$6,0))+MAX(MIN(S1015,INDEX(Inputs!$B$21:$D$21,1,MATCH(A1015,Inputs!$B$6:$D$6,0)))-INDEX(Inputs!$B$20:$D$20,1,MATCH(A1015,Inputs!$B$6:$D$6,0)),0)*INDEX(Inputs!$B$23:$D$23,1,MATCH(A1015,Inputs!$B$6:$D$6,0))+MAX(S1015-INDEX(Inputs!$B$21:$D$21,1,MATCH(A1015,Inputs!$B$6:$D$6,0)),0)*INDEX(Inputs!$B$24:$D$24,1,MATCH(A1015,Inputs!$B$6:$D$6,0))</x:f>
        <x:v>5889.1404999999995</x:v>
      </x:c>
      <x:c r="U1015" s="20" t="n">
        <x:f>IF(AND(A1014=A1015,D1014=D1015),T1014,0)</x:f>
        <x:v>3189.5702499999998</x:v>
      </x:c>
      <x:c r="V1015" s="20" t="n">
        <x:f>T1015-U1015</x:f>
        <x:v>2699.5702499999998</x:v>
      </x:c>
      <x:c r="W1015" s="20" t="n">
        <x:f>R1015+V1015</x:f>
        <x:v>37988.07025</x:v>
      </x:c>
      <x:c r="X1015" s="14" t="str">
        <x:f>IF(ABS(W1015-SUM(M1015:Q1015)-V1015)&lt;0.01,"OK","Check")</x:f>
        <x:v>OK</x:v>
      </x:c>
    </x:row>
    <x:row r="1016">
      <x:c r="A1016" s="14" t="n">
        <x:v>2028</x:v>
      </x:c>
      <x:c r="B1016" s="14" t="str">
        <x:v>Q3</x:v>
      </x:c>
      <x:c r="C1016" s="14" t="n">
        <x:v>3</x:v>
      </x:c>
      <x:c r="D1016" s="14" t="n">
        <x:v>47</x:v>
      </x:c>
      <x:c r="E1016" s="14" t="str">
        <x:f>INDEX(Roster!$B$6:$B$108,MATCH(D1016,Roster!$A$6:$A$108,0))</x:f>
        <x:v>Assistant Principal</x:v>
      </x:c>
      <x:c r="F1016" s="14" t="str">
        <x:f>INDEX(Roster!$F$6:$F$108,MATCH(D1016,Roster!$A$6:$A$108,0))</x:f>
        <x:v>No</x:v>
      </x:c>
      <x:c r="G1016" s="14" t="n">
        <x:f>INDEX(Inputs!$B$7:$D$7,1,MATCH(A1016,Inputs!$B$6:$D$6,0))</x:f>
        <x:v>13</x:v>
      </x:c>
      <x:c r="H1016" s="14" t="n">
        <x:f>MIN(=INDEX(Inputs!$B$7:$D$7,1,MATCH(A1016,Inputs!$B$6:$D$6,0)),MAX(0,INDEX(Inputs!$B$14:$D$14,1,MATCH(A1016,Inputs!$B$6:$D$6,0))-(C1016-1)*=INDEX(Inputs!$B$7:$D$7,1,MATCH(A1016,Inputs!$B$6:$D$6,0))))</x:f>
        <x:v>13</x:v>
      </x:c>
      <x:c r="I1016" s="20" t="n">
        <x:f>INDEX(Inputs!$B$8:$D$8,1,MATCH(A1016,Inputs!$B$6:$D$6,0))</x:f>
        <x:v>2395</x:v>
      </x:c>
      <x:c r="J1016" s="20" t="n">
        <x:f>INDEX(Roster!$C$6:$C$108,MATCH(D1016,Roster!$A$6:$A$108,0))*(1+INDEX(Inputs!$B$9:$D$9,1,MATCH(A1016,Inputs!$B$6:$D$6,0)))</x:f>
        <x:v>0</x:v>
      </x:c>
      <x:c r="K1016" s="20" t="n">
        <x:f>IF(=INDEX(Roster!$F$6:$F$108,MATCH(D1016,Roster!$A$6:$A$108,0))="Yes",0,=INDEX(Inputs!$B$8:$D$8,1,MATCH(A1016,Inputs!$B$6:$D$6,0))*IF(=INDEX(Roster!$B$6:$B$108,MATCH(D1016,Roster!$A$6:$A$108,0))="Principal",INDEX(Inputs!$B$10:$D$10,1,MATCH(A1016,Inputs!$B$6:$D$6,0)),IF(=INDEX(Roster!$B$6:$B$108,MATCH(D1016,Roster!$A$6:$A$108,0))="Associate Principal",INDEX(Inputs!$B$11:$D$11,1,MATCH(A1016,Inputs!$B$6:$D$6,0)),IF(=INDEX(Roster!$B$6:$B$108,MATCH(D1016,Roster!$A$6:$A$108,0))="Assistant Principal",INDEX(Inputs!$B$12:$D$12,1,MATCH(A1016,Inputs!$B$6:$D$6,0)),0))))</x:f>
        <x:v>239.5</x:v>
      </x:c>
      <x:c r="L1016" s="20" t="n">
        <x:f>IF(INDEX(Roster!$D$6:$D$108,MATCH(D1016,Roster!$A$6:$A$108,0))&gt;=25,INDEX(Inputs!$B$19:$D$19,1,MATCH(A1016,Inputs!$B$6:$D$6,0)),IF(INDEX(Roster!$D$6:$D$108,MATCH(D1016,Roster!$A$6:$A$108,0))&gt;=20,INDEX(Inputs!$B$18:$D$18,1,MATCH(A1016,Inputs!$B$6:$D$6,0)),IF(INDEX(Roster!$D$6:$D$108,MATCH(D1016,Roster!$A$6:$A$108,0))&gt;=15,INDEX(Inputs!$B$17:$D$17,1,MATCH(A1016,Inputs!$B$6:$D$6,0)),IF(INDEX(Roster!$D$6:$D$108,MATCH(D1016,Roster!$A$6:$A$108,0))&gt;=10,INDEX(Inputs!$B$16:$D$16,1,MATCH(A1016,Inputs!$B$6:$D$6,0)),IF(INDEX(Roster!$D$6:$D$108,MATCH(D1016,Roster!$A$6:$A$108,0))&gt;=5,INDEX(Inputs!$B$15:$D$15,1,MATCH(A1016,Inputs!$B$6:$D$6,0)),0)))))</x:f>
        <x:v>50</x:v>
      </x:c>
      <x:c r="M1016" s="20" t="n">
        <x:f>G1016*I1016</x:f>
        <x:v>31135</x:v>
      </x:c>
      <x:c r="N1016" s="20" t="n">
        <x:f>G1016*J1016</x:f>
        <x:v>0</x:v>
      </x:c>
      <x:c r="O1016" s="20" t="n">
        <x:f>G1016*K1016</x:f>
        <x:v>3113.5</x:v>
      </x:c>
      <x:c r="P1016" s="20" t="n">
        <x:f>G1016*L1016</x:f>
        <x:v>650</x:v>
      </x:c>
      <x:c r="Q1016" s="20" t="n">
        <x:f>H1016*INDEX(Inputs!$B$13:$D$13,1,MATCH(A1016,Inputs!$B$6:$D$6,0))</x:f>
        <x:v>390</x:v>
      </x:c>
      <x:c r="R1016" s="20" t="n">
        <x:f>SUM(M1016:Q1016)</x:f>
        <x:v>35288.5</x:v>
      </x:c>
      <x:c r="S1016" s="20" t="n">
        <x:f>IF(AND(A1015=A1016,D1015=D1016),S1015+R1016,R1016)</x:f>
        <x:v>105865.5</x:v>
      </x:c>
      <x:c r="T1016" s="20" t="n">
        <x:f>MIN(S1016,INDEX(Inputs!$B$20:$D$20,1,MATCH(A1016,Inputs!$B$6:$D$6,0)))*INDEX(Inputs!$B$22:$D$22,1,MATCH(A1016,Inputs!$B$6:$D$6,0))+MAX(MIN(S1016,INDEX(Inputs!$B$21:$D$21,1,MATCH(A1016,Inputs!$B$6:$D$6,0)))-INDEX(Inputs!$B$20:$D$20,1,MATCH(A1016,Inputs!$B$6:$D$6,0)),0)*INDEX(Inputs!$B$23:$D$23,1,MATCH(A1016,Inputs!$B$6:$D$6,0))+MAX(S1016-INDEX(Inputs!$B$21:$D$21,1,MATCH(A1016,Inputs!$B$6:$D$6,0)),0)*INDEX(Inputs!$B$24:$D$24,1,MATCH(A1016,Inputs!$B$6:$D$6,0))</x:f>
        <x:v>8588.71075</x:v>
      </x:c>
      <x:c r="U1016" s="20" t="n">
        <x:f>IF(AND(A1015=A1016,D1015=D1016),T1015,0)</x:f>
        <x:v>5889.1404999999995</x:v>
      </x:c>
      <x:c r="V1016" s="20" t="n">
        <x:f>T1016-U1016</x:f>
        <x:v>2699.5702500000007</x:v>
      </x:c>
      <x:c r="W1016" s="20" t="n">
        <x:f>R1016+V1016</x:f>
        <x:v>37988.070250000004</x:v>
      </x:c>
      <x:c r="X1016" s="14" t="str">
        <x:f>IF(ABS(W1016-SUM(M1016:Q1016)-V1016)&lt;0.01,"OK","Check")</x:f>
        <x:v>OK</x:v>
      </x:c>
    </x:row>
    <x:row r="1017">
      <x:c r="A1017" s="14" t="n">
        <x:v>2028</x:v>
      </x:c>
      <x:c r="B1017" s="14" t="str">
        <x:v>Q4</x:v>
      </x:c>
      <x:c r="C1017" s="14" t="n">
        <x:v>4</x:v>
      </x:c>
      <x:c r="D1017" s="14" t="n">
        <x:v>47</x:v>
      </x:c>
      <x:c r="E1017" s="14" t="str">
        <x:f>INDEX(Roster!$B$6:$B$108,MATCH(D1017,Roster!$A$6:$A$108,0))</x:f>
        <x:v>Assistant Principal</x:v>
      </x:c>
      <x:c r="F1017" s="14" t="str">
        <x:f>INDEX(Roster!$F$6:$F$108,MATCH(D1017,Roster!$A$6:$A$108,0))</x:f>
        <x:v>No</x:v>
      </x:c>
      <x:c r="G1017" s="14" t="n">
        <x:f>INDEX(Inputs!$B$7:$D$7,1,MATCH(A1017,Inputs!$B$6:$D$6,0))</x:f>
        <x:v>13</x:v>
      </x:c>
      <x:c r="H1017" s="14" t="n">
        <x:f>MIN(=INDEX(Inputs!$B$7:$D$7,1,MATCH(A1017,Inputs!$B$6:$D$6,0)),MAX(0,INDEX(Inputs!$B$14:$D$14,1,MATCH(A1017,Inputs!$B$6:$D$6,0))-(C1017-1)*=INDEX(Inputs!$B$7:$D$7,1,MATCH(A1017,Inputs!$B$6:$D$6,0))))</x:f>
        <x:v>0</x:v>
      </x:c>
      <x:c r="I1017" s="20" t="n">
        <x:f>INDEX(Inputs!$B$8:$D$8,1,MATCH(A1017,Inputs!$B$6:$D$6,0))</x:f>
        <x:v>2395</x:v>
      </x:c>
      <x:c r="J1017" s="20" t="n">
        <x:f>INDEX(Roster!$C$6:$C$108,MATCH(D1017,Roster!$A$6:$A$108,0))*(1+INDEX(Inputs!$B$9:$D$9,1,MATCH(A1017,Inputs!$B$6:$D$6,0)))</x:f>
        <x:v>0</x:v>
      </x:c>
      <x:c r="K1017" s="20" t="n">
        <x:f>IF(=INDEX(Roster!$F$6:$F$108,MATCH(D1017,Roster!$A$6:$A$108,0))="Yes",0,=INDEX(Inputs!$B$8:$D$8,1,MATCH(A1017,Inputs!$B$6:$D$6,0))*IF(=INDEX(Roster!$B$6:$B$108,MATCH(D1017,Roster!$A$6:$A$108,0))="Principal",INDEX(Inputs!$B$10:$D$10,1,MATCH(A1017,Inputs!$B$6:$D$6,0)),IF(=INDEX(Roster!$B$6:$B$108,MATCH(D1017,Roster!$A$6:$A$108,0))="Associate Principal",INDEX(Inputs!$B$11:$D$11,1,MATCH(A1017,Inputs!$B$6:$D$6,0)),IF(=INDEX(Roster!$B$6:$B$108,MATCH(D1017,Roster!$A$6:$A$108,0))="Assistant Principal",INDEX(Inputs!$B$12:$D$12,1,MATCH(A1017,Inputs!$B$6:$D$6,0)),0))))</x:f>
        <x:v>239.5</x:v>
      </x:c>
      <x:c r="L1017" s="20" t="n">
        <x:f>IF(INDEX(Roster!$D$6:$D$108,MATCH(D1017,Roster!$A$6:$A$108,0))&gt;=25,INDEX(Inputs!$B$19:$D$19,1,MATCH(A1017,Inputs!$B$6:$D$6,0)),IF(INDEX(Roster!$D$6:$D$108,MATCH(D1017,Roster!$A$6:$A$108,0))&gt;=20,INDEX(Inputs!$B$18:$D$18,1,MATCH(A1017,Inputs!$B$6:$D$6,0)),IF(INDEX(Roster!$D$6:$D$108,MATCH(D1017,Roster!$A$6:$A$108,0))&gt;=15,INDEX(Inputs!$B$17:$D$17,1,MATCH(A1017,Inputs!$B$6:$D$6,0)),IF(INDEX(Roster!$D$6:$D$108,MATCH(D1017,Roster!$A$6:$A$108,0))&gt;=10,INDEX(Inputs!$B$16:$D$16,1,MATCH(A1017,Inputs!$B$6:$D$6,0)),IF(INDEX(Roster!$D$6:$D$108,MATCH(D1017,Roster!$A$6:$A$108,0))&gt;=5,INDEX(Inputs!$B$15:$D$15,1,MATCH(A1017,Inputs!$B$6:$D$6,0)),0)))))</x:f>
        <x:v>50</x:v>
      </x:c>
      <x:c r="M1017" s="20" t="n">
        <x:f>G1017*I1017</x:f>
        <x:v>31135</x:v>
      </x:c>
      <x:c r="N1017" s="20" t="n">
        <x:f>G1017*J1017</x:f>
        <x:v>0</x:v>
      </x:c>
      <x:c r="O1017" s="20" t="n">
        <x:f>G1017*K1017</x:f>
        <x:v>3113.5</x:v>
      </x:c>
      <x:c r="P1017" s="20" t="n">
        <x:f>G1017*L1017</x:f>
        <x:v>650</x:v>
      </x:c>
      <x:c r="Q1017" s="20" t="n">
        <x:f>H1017*INDEX(Inputs!$B$13:$D$13,1,MATCH(A1017,Inputs!$B$6:$D$6,0))</x:f>
        <x:v>0</x:v>
      </x:c>
      <x:c r="R1017" s="20" t="n">
        <x:f>SUM(M1017:Q1017)</x:f>
        <x:v>34898.5</x:v>
      </x:c>
      <x:c r="S1017" s="20" t="n">
        <x:f>IF(AND(A1016=A1017,D1016=D1017),S1016+R1017,R1017)</x:f>
        <x:v>140764</x:v>
      </x:c>
      <x:c r="T1017" s="20" t="n">
        <x:f>MIN(S1017,INDEX(Inputs!$B$20:$D$20,1,MATCH(A1017,Inputs!$B$6:$D$6,0)))*INDEX(Inputs!$B$22:$D$22,1,MATCH(A1017,Inputs!$B$6:$D$6,0))+MAX(MIN(S1017,INDEX(Inputs!$B$21:$D$21,1,MATCH(A1017,Inputs!$B$6:$D$6,0)))-INDEX(Inputs!$B$20:$D$20,1,MATCH(A1017,Inputs!$B$6:$D$6,0)),0)*INDEX(Inputs!$B$23:$D$23,1,MATCH(A1017,Inputs!$B$6:$D$6,0))+MAX(S1017-INDEX(Inputs!$B$21:$D$21,1,MATCH(A1017,Inputs!$B$6:$D$6,0)),0)*INDEX(Inputs!$B$24:$D$24,1,MATCH(A1017,Inputs!$B$6:$D$6,0))</x:f>
        <x:v>9955.02</x:v>
      </x:c>
      <x:c r="U1017" s="20" t="n">
        <x:f>IF(AND(A1016=A1017,D1016=D1017),T1016,0)</x:f>
        <x:v>8588.71075</x:v>
      </x:c>
      <x:c r="V1017" s="20" t="n">
        <x:f>T1017-U1017</x:f>
        <x:v>1366.3092500000002</x:v>
      </x:c>
      <x:c r="W1017" s="20" t="n">
        <x:f>R1017+V1017</x:f>
        <x:v>36264.80925</x:v>
      </x:c>
      <x:c r="X1017" s="14" t="str">
        <x:f>IF(ABS(W1017-SUM(M1017:Q1017)-V1017)&lt;0.01,"OK","Check")</x:f>
        <x:v>OK</x:v>
      </x:c>
    </x:row>
    <x:row r="1018">
      <x:c r="A1018" s="14" t="n">
        <x:v>2028</x:v>
      </x:c>
      <x:c r="B1018" s="14" t="str">
        <x:v>Q1</x:v>
      </x:c>
      <x:c r="C1018" s="14" t="n">
        <x:v>1</x:v>
      </x:c>
      <x:c r="D1018" s="14" t="n">
        <x:v>48</x:v>
      </x:c>
      <x:c r="E1018" s="14" t="str">
        <x:f>INDEX(Roster!$B$6:$B$108,MATCH(D1018,Roster!$A$6:$A$108,0))</x:f>
        <x:v>Principal</x:v>
      </x:c>
      <x:c r="F1018" s="14" t="str">
        <x:f>INDEX(Roster!$F$6:$F$108,MATCH(D1018,Roster!$A$6:$A$108,0))</x:f>
        <x:v>No</x:v>
      </x:c>
      <x:c r="G1018" s="14" t="n">
        <x:f>INDEX(Inputs!$B$7:$D$7,1,MATCH(A1018,Inputs!$B$6:$D$6,0))</x:f>
        <x:v>13</x:v>
      </x:c>
      <x:c r="H1018" s="14" t="n">
        <x:f>MIN(=INDEX(Inputs!$B$7:$D$7,1,MATCH(A1018,Inputs!$B$6:$D$6,0)),MAX(0,INDEX(Inputs!$B$14:$D$14,1,MATCH(A1018,Inputs!$B$6:$D$6,0))-(C1018-1)*=INDEX(Inputs!$B$7:$D$7,1,MATCH(A1018,Inputs!$B$6:$D$6,0))))</x:f>
        <x:v>13</x:v>
      </x:c>
      <x:c r="I1018" s="20" t="n">
        <x:f>INDEX(Inputs!$B$8:$D$8,1,MATCH(A1018,Inputs!$B$6:$D$6,0))</x:f>
        <x:v>2395</x:v>
      </x:c>
      <x:c r="J1018" s="20" t="n">
        <x:f>INDEX(Roster!$C$6:$C$108,MATCH(D1018,Roster!$A$6:$A$108,0))*(1+INDEX(Inputs!$B$9:$D$9,1,MATCH(A1018,Inputs!$B$6:$D$6,0)))</x:f>
        <x:v>0</x:v>
      </x:c>
      <x:c r="K1018" s="20" t="n">
        <x:f>IF(=INDEX(Roster!$F$6:$F$108,MATCH(D1018,Roster!$A$6:$A$108,0))="Yes",0,=INDEX(Inputs!$B$8:$D$8,1,MATCH(A1018,Inputs!$B$6:$D$6,0))*IF(=INDEX(Roster!$B$6:$B$108,MATCH(D1018,Roster!$A$6:$A$108,0))="Principal",INDEX(Inputs!$B$10:$D$10,1,MATCH(A1018,Inputs!$B$6:$D$6,0)),IF(=INDEX(Roster!$B$6:$B$108,MATCH(D1018,Roster!$A$6:$A$108,0))="Associate Principal",INDEX(Inputs!$B$11:$D$11,1,MATCH(A1018,Inputs!$B$6:$D$6,0)),IF(=INDEX(Roster!$B$6:$B$108,MATCH(D1018,Roster!$A$6:$A$108,0))="Assistant Principal",INDEX(Inputs!$B$12:$D$12,1,MATCH(A1018,Inputs!$B$6:$D$6,0)),0))))</x:f>
        <x:v>479</x:v>
      </x:c>
      <x:c r="L1018" s="20" t="n">
        <x:f>IF(INDEX(Roster!$D$6:$D$108,MATCH(D1018,Roster!$A$6:$A$108,0))&gt;=25,INDEX(Inputs!$B$19:$D$19,1,MATCH(A1018,Inputs!$B$6:$D$6,0)),IF(INDEX(Roster!$D$6:$D$108,MATCH(D1018,Roster!$A$6:$A$108,0))&gt;=20,INDEX(Inputs!$B$18:$D$18,1,MATCH(A1018,Inputs!$B$6:$D$6,0)),IF(INDEX(Roster!$D$6:$D$108,MATCH(D1018,Roster!$A$6:$A$108,0))&gt;=15,INDEX(Inputs!$B$17:$D$17,1,MATCH(A1018,Inputs!$B$6:$D$6,0)),IF(INDEX(Roster!$D$6:$D$108,MATCH(D1018,Roster!$A$6:$A$108,0))&gt;=10,INDEX(Inputs!$B$16:$D$16,1,MATCH(A1018,Inputs!$B$6:$D$6,0)),IF(INDEX(Roster!$D$6:$D$108,MATCH(D1018,Roster!$A$6:$A$108,0))&gt;=5,INDEX(Inputs!$B$15:$D$15,1,MATCH(A1018,Inputs!$B$6:$D$6,0)),0)))))</x:f>
        <x:v>90</x:v>
      </x:c>
      <x:c r="M1018" s="20" t="n">
        <x:f>G1018*I1018</x:f>
        <x:v>31135</x:v>
      </x:c>
      <x:c r="N1018" s="20" t="n">
        <x:f>G1018*J1018</x:f>
        <x:v>0</x:v>
      </x:c>
      <x:c r="O1018" s="20" t="n">
        <x:f>G1018*K1018</x:f>
        <x:v>6227</x:v>
      </x:c>
      <x:c r="P1018" s="20" t="n">
        <x:f>G1018*L1018</x:f>
        <x:v>1170</x:v>
      </x:c>
      <x:c r="Q1018" s="20" t="n">
        <x:f>H1018*INDEX(Inputs!$B$13:$D$13,1,MATCH(A1018,Inputs!$B$6:$D$6,0))</x:f>
        <x:v>390</x:v>
      </x:c>
      <x:c r="R1018" s="20" t="n">
        <x:f>SUM(M1018:Q1018)</x:f>
        <x:v>38922</x:v>
      </x:c>
      <x:c r="S1018" s="20" t="n">
        <x:f>IF(AND(A1017=A1018,D1017=D1018),S1017+R1018,R1018)</x:f>
        <x:v>38922</x:v>
      </x:c>
      <x:c r="T1018" s="20" t="n">
        <x:f>MIN(S1018,INDEX(Inputs!$B$20:$D$20,1,MATCH(A1018,Inputs!$B$6:$D$6,0)))*INDEX(Inputs!$B$22:$D$22,1,MATCH(A1018,Inputs!$B$6:$D$6,0))+MAX(MIN(S1018,INDEX(Inputs!$B$21:$D$21,1,MATCH(A1018,Inputs!$B$6:$D$6,0)))-INDEX(Inputs!$B$20:$D$20,1,MATCH(A1018,Inputs!$B$6:$D$6,0)),0)*INDEX(Inputs!$B$23:$D$23,1,MATCH(A1018,Inputs!$B$6:$D$6,0))+MAX(S1018-INDEX(Inputs!$B$21:$D$21,1,MATCH(A1018,Inputs!$B$6:$D$6,0)),0)*INDEX(Inputs!$B$24:$D$24,1,MATCH(A1018,Inputs!$B$6:$D$6,0))</x:f>
        <x:v>3467.533</x:v>
      </x:c>
      <x:c r="U1018" s="20" t="n">
        <x:f>IF(AND(A1017=A1018,D1017=D1018),T1017,0)</x:f>
        <x:v>0</x:v>
      </x:c>
      <x:c r="V1018" s="20" t="n">
        <x:f>T1018-U1018</x:f>
        <x:v>3467.533</x:v>
      </x:c>
      <x:c r="W1018" s="20" t="n">
        <x:f>R1018+V1018</x:f>
        <x:v>42389.533</x:v>
      </x:c>
      <x:c r="X1018" s="14" t="str">
        <x:f>IF(ABS(W1018-SUM(M1018:Q1018)-V1018)&lt;0.01,"OK","Check")</x:f>
        <x:v>OK</x:v>
      </x:c>
    </x:row>
    <x:row r="1019">
      <x:c r="A1019" s="14" t="n">
        <x:v>2028</x:v>
      </x:c>
      <x:c r="B1019" s="14" t="str">
        <x:v>Q2</x:v>
      </x:c>
      <x:c r="C1019" s="14" t="n">
        <x:v>2</x:v>
      </x:c>
      <x:c r="D1019" s="14" t="n">
        <x:v>48</x:v>
      </x:c>
      <x:c r="E1019" s="14" t="str">
        <x:f>INDEX(Roster!$B$6:$B$108,MATCH(D1019,Roster!$A$6:$A$108,0))</x:f>
        <x:v>Principal</x:v>
      </x:c>
      <x:c r="F1019" s="14" t="str">
        <x:f>INDEX(Roster!$F$6:$F$108,MATCH(D1019,Roster!$A$6:$A$108,0))</x:f>
        <x:v>No</x:v>
      </x:c>
      <x:c r="G1019" s="14" t="n">
        <x:f>INDEX(Inputs!$B$7:$D$7,1,MATCH(A1019,Inputs!$B$6:$D$6,0))</x:f>
        <x:v>13</x:v>
      </x:c>
      <x:c r="H1019" s="14" t="n">
        <x:f>MIN(=INDEX(Inputs!$B$7:$D$7,1,MATCH(A1019,Inputs!$B$6:$D$6,0)),MAX(0,INDEX(Inputs!$B$14:$D$14,1,MATCH(A1019,Inputs!$B$6:$D$6,0))-(C1019-1)*=INDEX(Inputs!$B$7:$D$7,1,MATCH(A1019,Inputs!$B$6:$D$6,0))))</x:f>
        <x:v>13</x:v>
      </x:c>
      <x:c r="I1019" s="20" t="n">
        <x:f>INDEX(Inputs!$B$8:$D$8,1,MATCH(A1019,Inputs!$B$6:$D$6,0))</x:f>
        <x:v>2395</x:v>
      </x:c>
      <x:c r="J1019" s="20" t="n">
        <x:f>INDEX(Roster!$C$6:$C$108,MATCH(D1019,Roster!$A$6:$A$108,0))*(1+INDEX(Inputs!$B$9:$D$9,1,MATCH(A1019,Inputs!$B$6:$D$6,0)))</x:f>
        <x:v>0</x:v>
      </x:c>
      <x:c r="K1019" s="20" t="n">
        <x:f>IF(=INDEX(Roster!$F$6:$F$108,MATCH(D1019,Roster!$A$6:$A$108,0))="Yes",0,=INDEX(Inputs!$B$8:$D$8,1,MATCH(A1019,Inputs!$B$6:$D$6,0))*IF(=INDEX(Roster!$B$6:$B$108,MATCH(D1019,Roster!$A$6:$A$108,0))="Principal",INDEX(Inputs!$B$10:$D$10,1,MATCH(A1019,Inputs!$B$6:$D$6,0)),IF(=INDEX(Roster!$B$6:$B$108,MATCH(D1019,Roster!$A$6:$A$108,0))="Associate Principal",INDEX(Inputs!$B$11:$D$11,1,MATCH(A1019,Inputs!$B$6:$D$6,0)),IF(=INDEX(Roster!$B$6:$B$108,MATCH(D1019,Roster!$A$6:$A$108,0))="Assistant Principal",INDEX(Inputs!$B$12:$D$12,1,MATCH(A1019,Inputs!$B$6:$D$6,0)),0))))</x:f>
        <x:v>479</x:v>
      </x:c>
      <x:c r="L1019" s="20" t="n">
        <x:f>IF(INDEX(Roster!$D$6:$D$108,MATCH(D1019,Roster!$A$6:$A$108,0))&gt;=25,INDEX(Inputs!$B$19:$D$19,1,MATCH(A1019,Inputs!$B$6:$D$6,0)),IF(INDEX(Roster!$D$6:$D$108,MATCH(D1019,Roster!$A$6:$A$108,0))&gt;=20,INDEX(Inputs!$B$18:$D$18,1,MATCH(A1019,Inputs!$B$6:$D$6,0)),IF(INDEX(Roster!$D$6:$D$108,MATCH(D1019,Roster!$A$6:$A$108,0))&gt;=15,INDEX(Inputs!$B$17:$D$17,1,MATCH(A1019,Inputs!$B$6:$D$6,0)),IF(INDEX(Roster!$D$6:$D$108,MATCH(D1019,Roster!$A$6:$A$108,0))&gt;=10,INDEX(Inputs!$B$16:$D$16,1,MATCH(A1019,Inputs!$B$6:$D$6,0)),IF(INDEX(Roster!$D$6:$D$108,MATCH(D1019,Roster!$A$6:$A$108,0))&gt;=5,INDEX(Inputs!$B$15:$D$15,1,MATCH(A1019,Inputs!$B$6:$D$6,0)),0)))))</x:f>
        <x:v>90</x:v>
      </x:c>
      <x:c r="M1019" s="20" t="n">
        <x:f>G1019*I1019</x:f>
        <x:v>31135</x:v>
      </x:c>
      <x:c r="N1019" s="20" t="n">
        <x:f>G1019*J1019</x:f>
        <x:v>0</x:v>
      </x:c>
      <x:c r="O1019" s="20" t="n">
        <x:f>G1019*K1019</x:f>
        <x:v>6227</x:v>
      </x:c>
      <x:c r="P1019" s="20" t="n">
        <x:f>G1019*L1019</x:f>
        <x:v>1170</x:v>
      </x:c>
      <x:c r="Q1019" s="20" t="n">
        <x:f>H1019*INDEX(Inputs!$B$13:$D$13,1,MATCH(A1019,Inputs!$B$6:$D$6,0))</x:f>
        <x:v>390</x:v>
      </x:c>
      <x:c r="R1019" s="20" t="n">
        <x:f>SUM(M1019:Q1019)</x:f>
        <x:v>38922</x:v>
      </x:c>
      <x:c r="S1019" s="20" t="n">
        <x:f>IF(AND(A1018=A1019,D1018=D1019),S1018+R1019,R1019)</x:f>
        <x:v>77844</x:v>
      </x:c>
      <x:c r="T1019" s="20" t="n">
        <x:f>MIN(S1019,INDEX(Inputs!$B$20:$D$20,1,MATCH(A1019,Inputs!$B$6:$D$6,0)))*INDEX(Inputs!$B$22:$D$22,1,MATCH(A1019,Inputs!$B$6:$D$6,0))+MAX(MIN(S1019,INDEX(Inputs!$B$21:$D$21,1,MATCH(A1019,Inputs!$B$6:$D$6,0)))-INDEX(Inputs!$B$20:$D$20,1,MATCH(A1019,Inputs!$B$6:$D$6,0)),0)*INDEX(Inputs!$B$23:$D$23,1,MATCH(A1019,Inputs!$B$6:$D$6,0))+MAX(S1019-INDEX(Inputs!$B$21:$D$21,1,MATCH(A1019,Inputs!$B$6:$D$6,0)),0)*INDEX(Inputs!$B$24:$D$24,1,MATCH(A1019,Inputs!$B$6:$D$6,0))</x:f>
        <x:v>6445.066</x:v>
      </x:c>
      <x:c r="U1019" s="20" t="n">
        <x:f>IF(AND(A1018=A1019,D1018=D1019),T1018,0)</x:f>
        <x:v>3467.533</x:v>
      </x:c>
      <x:c r="V1019" s="20" t="n">
        <x:f>T1019-U1019</x:f>
        <x:v>2977.533</x:v>
      </x:c>
      <x:c r="W1019" s="20" t="n">
        <x:f>R1019+V1019</x:f>
        <x:v>41899.533</x:v>
      </x:c>
      <x:c r="X1019" s="14" t="str">
        <x:f>IF(ABS(W1019-SUM(M1019:Q1019)-V1019)&lt;0.01,"OK","Check")</x:f>
        <x:v>OK</x:v>
      </x:c>
    </x:row>
    <x:row r="1020">
      <x:c r="A1020" s="14" t="n">
        <x:v>2028</x:v>
      </x:c>
      <x:c r="B1020" s="14" t="str">
        <x:v>Q3</x:v>
      </x:c>
      <x:c r="C1020" s="14" t="n">
        <x:v>3</x:v>
      </x:c>
      <x:c r="D1020" s="14" t="n">
        <x:v>48</x:v>
      </x:c>
      <x:c r="E1020" s="14" t="str">
        <x:f>INDEX(Roster!$B$6:$B$108,MATCH(D1020,Roster!$A$6:$A$108,0))</x:f>
        <x:v>Principal</x:v>
      </x:c>
      <x:c r="F1020" s="14" t="str">
        <x:f>INDEX(Roster!$F$6:$F$108,MATCH(D1020,Roster!$A$6:$A$108,0))</x:f>
        <x:v>No</x:v>
      </x:c>
      <x:c r="G1020" s="14" t="n">
        <x:f>INDEX(Inputs!$B$7:$D$7,1,MATCH(A1020,Inputs!$B$6:$D$6,0))</x:f>
        <x:v>13</x:v>
      </x:c>
      <x:c r="H1020" s="14" t="n">
        <x:f>MIN(=INDEX(Inputs!$B$7:$D$7,1,MATCH(A1020,Inputs!$B$6:$D$6,0)),MAX(0,INDEX(Inputs!$B$14:$D$14,1,MATCH(A1020,Inputs!$B$6:$D$6,0))-(C1020-1)*=INDEX(Inputs!$B$7:$D$7,1,MATCH(A1020,Inputs!$B$6:$D$6,0))))</x:f>
        <x:v>13</x:v>
      </x:c>
      <x:c r="I1020" s="20" t="n">
        <x:f>INDEX(Inputs!$B$8:$D$8,1,MATCH(A1020,Inputs!$B$6:$D$6,0))</x:f>
        <x:v>2395</x:v>
      </x:c>
      <x:c r="J1020" s="20" t="n">
        <x:f>INDEX(Roster!$C$6:$C$108,MATCH(D1020,Roster!$A$6:$A$108,0))*(1+INDEX(Inputs!$B$9:$D$9,1,MATCH(A1020,Inputs!$B$6:$D$6,0)))</x:f>
        <x:v>0</x:v>
      </x:c>
      <x:c r="K1020" s="20" t="n">
        <x:f>IF(=INDEX(Roster!$F$6:$F$108,MATCH(D1020,Roster!$A$6:$A$108,0))="Yes",0,=INDEX(Inputs!$B$8:$D$8,1,MATCH(A1020,Inputs!$B$6:$D$6,0))*IF(=INDEX(Roster!$B$6:$B$108,MATCH(D1020,Roster!$A$6:$A$108,0))="Principal",INDEX(Inputs!$B$10:$D$10,1,MATCH(A1020,Inputs!$B$6:$D$6,0)),IF(=INDEX(Roster!$B$6:$B$108,MATCH(D1020,Roster!$A$6:$A$108,0))="Associate Principal",INDEX(Inputs!$B$11:$D$11,1,MATCH(A1020,Inputs!$B$6:$D$6,0)),IF(=INDEX(Roster!$B$6:$B$108,MATCH(D1020,Roster!$A$6:$A$108,0))="Assistant Principal",INDEX(Inputs!$B$12:$D$12,1,MATCH(A1020,Inputs!$B$6:$D$6,0)),0))))</x:f>
        <x:v>479</x:v>
      </x:c>
      <x:c r="L1020" s="20" t="n">
        <x:f>IF(INDEX(Roster!$D$6:$D$108,MATCH(D1020,Roster!$A$6:$A$108,0))&gt;=25,INDEX(Inputs!$B$19:$D$19,1,MATCH(A1020,Inputs!$B$6:$D$6,0)),IF(INDEX(Roster!$D$6:$D$108,MATCH(D1020,Roster!$A$6:$A$108,0))&gt;=20,INDEX(Inputs!$B$18:$D$18,1,MATCH(A1020,Inputs!$B$6:$D$6,0)),IF(INDEX(Roster!$D$6:$D$108,MATCH(D1020,Roster!$A$6:$A$108,0))&gt;=15,INDEX(Inputs!$B$17:$D$17,1,MATCH(A1020,Inputs!$B$6:$D$6,0)),IF(INDEX(Roster!$D$6:$D$108,MATCH(D1020,Roster!$A$6:$A$108,0))&gt;=10,INDEX(Inputs!$B$16:$D$16,1,MATCH(A1020,Inputs!$B$6:$D$6,0)),IF(INDEX(Roster!$D$6:$D$108,MATCH(D1020,Roster!$A$6:$A$108,0))&gt;=5,INDEX(Inputs!$B$15:$D$15,1,MATCH(A1020,Inputs!$B$6:$D$6,0)),0)))))</x:f>
        <x:v>90</x:v>
      </x:c>
      <x:c r="M1020" s="20" t="n">
        <x:f>G1020*I1020</x:f>
        <x:v>31135</x:v>
      </x:c>
      <x:c r="N1020" s="20" t="n">
        <x:f>G1020*J1020</x:f>
        <x:v>0</x:v>
      </x:c>
      <x:c r="O1020" s="20" t="n">
        <x:f>G1020*K1020</x:f>
        <x:v>6227</x:v>
      </x:c>
      <x:c r="P1020" s="20" t="n">
        <x:f>G1020*L1020</x:f>
        <x:v>1170</x:v>
      </x:c>
      <x:c r="Q1020" s="20" t="n">
        <x:f>H1020*INDEX(Inputs!$B$13:$D$13,1,MATCH(A1020,Inputs!$B$6:$D$6,0))</x:f>
        <x:v>390</x:v>
      </x:c>
      <x:c r="R1020" s="20" t="n">
        <x:f>SUM(M1020:Q1020)</x:f>
        <x:v>38922</x:v>
      </x:c>
      <x:c r="S1020" s="20" t="n">
        <x:f>IF(AND(A1019=A1020,D1019=D1020),S1019+R1020,R1020)</x:f>
        <x:v>116766</x:v>
      </x:c>
      <x:c r="T1020" s="20" t="n">
        <x:f>MIN(S1020,INDEX(Inputs!$B$20:$D$20,1,MATCH(A1020,Inputs!$B$6:$D$6,0)))*INDEX(Inputs!$B$22:$D$22,1,MATCH(A1020,Inputs!$B$6:$D$6,0))+MAX(MIN(S1020,INDEX(Inputs!$B$21:$D$21,1,MATCH(A1020,Inputs!$B$6:$D$6,0)))-INDEX(Inputs!$B$20:$D$20,1,MATCH(A1020,Inputs!$B$6:$D$6,0)),0)*INDEX(Inputs!$B$23:$D$23,1,MATCH(A1020,Inputs!$B$6:$D$6,0))+MAX(S1020-INDEX(Inputs!$B$21:$D$21,1,MATCH(A1020,Inputs!$B$6:$D$6,0)),0)*INDEX(Inputs!$B$24:$D$24,1,MATCH(A1020,Inputs!$B$6:$D$6,0))</x:f>
        <x:v>9422.599</x:v>
      </x:c>
      <x:c r="U1020" s="20" t="n">
        <x:f>IF(AND(A1019=A1020,D1019=D1020),T1019,0)</x:f>
        <x:v>6445.066</x:v>
      </x:c>
      <x:c r="V1020" s="20" t="n">
        <x:f>T1020-U1020</x:f>
        <x:v>2977.5330000000004</x:v>
      </x:c>
      <x:c r="W1020" s="20" t="n">
        <x:f>R1020+V1020</x:f>
        <x:v>41899.533</x:v>
      </x:c>
      <x:c r="X1020" s="14" t="str">
        <x:f>IF(ABS(W1020-SUM(M1020:Q1020)-V1020)&lt;0.01,"OK","Check")</x:f>
        <x:v>OK</x:v>
      </x:c>
    </x:row>
    <x:row r="1021">
      <x:c r="A1021" s="14" t="n">
        <x:v>2028</x:v>
      </x:c>
      <x:c r="B1021" s="14" t="str">
        <x:v>Q4</x:v>
      </x:c>
      <x:c r="C1021" s="14" t="n">
        <x:v>4</x:v>
      </x:c>
      <x:c r="D1021" s="14" t="n">
        <x:v>48</x:v>
      </x:c>
      <x:c r="E1021" s="14" t="str">
        <x:f>INDEX(Roster!$B$6:$B$108,MATCH(D1021,Roster!$A$6:$A$108,0))</x:f>
        <x:v>Principal</x:v>
      </x:c>
      <x:c r="F1021" s="14" t="str">
        <x:f>INDEX(Roster!$F$6:$F$108,MATCH(D1021,Roster!$A$6:$A$108,0))</x:f>
        <x:v>No</x:v>
      </x:c>
      <x:c r="G1021" s="14" t="n">
        <x:f>INDEX(Inputs!$B$7:$D$7,1,MATCH(A1021,Inputs!$B$6:$D$6,0))</x:f>
        <x:v>13</x:v>
      </x:c>
      <x:c r="H1021" s="14" t="n">
        <x:f>MIN(=INDEX(Inputs!$B$7:$D$7,1,MATCH(A1021,Inputs!$B$6:$D$6,0)),MAX(0,INDEX(Inputs!$B$14:$D$14,1,MATCH(A1021,Inputs!$B$6:$D$6,0))-(C1021-1)*=INDEX(Inputs!$B$7:$D$7,1,MATCH(A1021,Inputs!$B$6:$D$6,0))))</x:f>
        <x:v>0</x:v>
      </x:c>
      <x:c r="I1021" s="20" t="n">
        <x:f>INDEX(Inputs!$B$8:$D$8,1,MATCH(A1021,Inputs!$B$6:$D$6,0))</x:f>
        <x:v>2395</x:v>
      </x:c>
      <x:c r="J1021" s="20" t="n">
        <x:f>INDEX(Roster!$C$6:$C$108,MATCH(D1021,Roster!$A$6:$A$108,0))*(1+INDEX(Inputs!$B$9:$D$9,1,MATCH(A1021,Inputs!$B$6:$D$6,0)))</x:f>
        <x:v>0</x:v>
      </x:c>
      <x:c r="K1021" s="20" t="n">
        <x:f>IF(=INDEX(Roster!$F$6:$F$108,MATCH(D1021,Roster!$A$6:$A$108,0))="Yes",0,=INDEX(Inputs!$B$8:$D$8,1,MATCH(A1021,Inputs!$B$6:$D$6,0))*IF(=INDEX(Roster!$B$6:$B$108,MATCH(D1021,Roster!$A$6:$A$108,0))="Principal",INDEX(Inputs!$B$10:$D$10,1,MATCH(A1021,Inputs!$B$6:$D$6,0)),IF(=INDEX(Roster!$B$6:$B$108,MATCH(D1021,Roster!$A$6:$A$108,0))="Associate Principal",INDEX(Inputs!$B$11:$D$11,1,MATCH(A1021,Inputs!$B$6:$D$6,0)),IF(=INDEX(Roster!$B$6:$B$108,MATCH(D1021,Roster!$A$6:$A$108,0))="Assistant Principal",INDEX(Inputs!$B$12:$D$12,1,MATCH(A1021,Inputs!$B$6:$D$6,0)),0))))</x:f>
        <x:v>479</x:v>
      </x:c>
      <x:c r="L1021" s="20" t="n">
        <x:f>IF(INDEX(Roster!$D$6:$D$108,MATCH(D1021,Roster!$A$6:$A$108,0))&gt;=25,INDEX(Inputs!$B$19:$D$19,1,MATCH(A1021,Inputs!$B$6:$D$6,0)),IF(INDEX(Roster!$D$6:$D$108,MATCH(D1021,Roster!$A$6:$A$108,0))&gt;=20,INDEX(Inputs!$B$18:$D$18,1,MATCH(A1021,Inputs!$B$6:$D$6,0)),IF(INDEX(Roster!$D$6:$D$108,MATCH(D1021,Roster!$A$6:$A$108,0))&gt;=15,INDEX(Inputs!$B$17:$D$17,1,MATCH(A1021,Inputs!$B$6:$D$6,0)),IF(INDEX(Roster!$D$6:$D$108,MATCH(D1021,Roster!$A$6:$A$108,0))&gt;=10,INDEX(Inputs!$B$16:$D$16,1,MATCH(A1021,Inputs!$B$6:$D$6,0)),IF(INDEX(Roster!$D$6:$D$108,MATCH(D1021,Roster!$A$6:$A$108,0))&gt;=5,INDEX(Inputs!$B$15:$D$15,1,MATCH(A1021,Inputs!$B$6:$D$6,0)),0)))))</x:f>
        <x:v>90</x:v>
      </x:c>
      <x:c r="M1021" s="20" t="n">
        <x:f>G1021*I1021</x:f>
        <x:v>31135</x:v>
      </x:c>
      <x:c r="N1021" s="20" t="n">
        <x:f>G1021*J1021</x:f>
        <x:v>0</x:v>
      </x:c>
      <x:c r="O1021" s="20" t="n">
        <x:f>G1021*K1021</x:f>
        <x:v>6227</x:v>
      </x:c>
      <x:c r="P1021" s="20" t="n">
        <x:f>G1021*L1021</x:f>
        <x:v>1170</x:v>
      </x:c>
      <x:c r="Q1021" s="20" t="n">
        <x:f>H1021*INDEX(Inputs!$B$13:$D$13,1,MATCH(A1021,Inputs!$B$6:$D$6,0))</x:f>
        <x:v>0</x:v>
      </x:c>
      <x:c r="R1021" s="20" t="n">
        <x:f>SUM(M1021:Q1021)</x:f>
        <x:v>38532</x:v>
      </x:c>
      <x:c r="S1021" s="20" t="n">
        <x:f>IF(AND(A1020=A1021,D1020=D1021),S1020+R1021,R1021)</x:f>
        <x:v>155298</x:v>
      </x:c>
      <x:c r="T1021" s="20" t="n">
        <x:f>MIN(S1021,INDEX(Inputs!$B$20:$D$20,1,MATCH(A1021,Inputs!$B$6:$D$6,0)))*INDEX(Inputs!$B$22:$D$22,1,MATCH(A1021,Inputs!$B$6:$D$6,0))+MAX(MIN(S1021,INDEX(Inputs!$B$21:$D$21,1,MATCH(A1021,Inputs!$B$6:$D$6,0)))-INDEX(Inputs!$B$20:$D$20,1,MATCH(A1021,Inputs!$B$6:$D$6,0)),0)*INDEX(Inputs!$B$23:$D$23,1,MATCH(A1021,Inputs!$B$6:$D$6,0))+MAX(S1021-INDEX(Inputs!$B$21:$D$21,1,MATCH(A1021,Inputs!$B$6:$D$6,0)),0)*INDEX(Inputs!$B$24:$D$24,1,MATCH(A1021,Inputs!$B$6:$D$6,0))</x:f>
        <x:v>10165.762999999999</x:v>
      </x:c>
      <x:c r="U1021" s="20" t="n">
        <x:f>IF(AND(A1020=A1021,D1020=D1021),T1020,0)</x:f>
        <x:v>9422.599</x:v>
      </x:c>
      <x:c r="V1021" s="20" t="n">
        <x:f>T1021-U1021</x:f>
        <x:v>743.1639999999989</x:v>
      </x:c>
      <x:c r="W1021" s="20" t="n">
        <x:f>R1021+V1021</x:f>
        <x:v>39275.164</x:v>
      </x:c>
      <x:c r="X1021" s="14" t="str">
        <x:f>IF(ABS(W1021-SUM(M1021:Q1021)-V1021)&lt;0.01,"OK","Check")</x:f>
        <x:v>OK</x:v>
      </x:c>
    </x:row>
    <x:row r="1022">
      <x:c r="A1022" s="14" t="n">
        <x:v>2028</x:v>
      </x:c>
      <x:c r="B1022" s="14" t="str">
        <x:v>Q1</x:v>
      </x:c>
      <x:c r="C1022" s="14" t="n">
        <x:v>1</x:v>
      </x:c>
      <x:c r="D1022" s="14" t="n">
        <x:v>49</x:v>
      </x:c>
      <x:c r="E1022" s="14" t="str">
        <x:f>INDEX(Roster!$B$6:$B$108,MATCH(D1022,Roster!$A$6:$A$108,0))</x:f>
      </x:c>
      <x:c r="F1022" s="14" t="str">
        <x:f>INDEX(Roster!$F$6:$F$108,MATCH(D1022,Roster!$A$6:$A$108,0))</x:f>
        <x:v>No</x:v>
      </x:c>
      <x:c r="G1022" s="14" t="n">
        <x:f>INDEX(Inputs!$B$7:$D$7,1,MATCH(A1022,Inputs!$B$6:$D$6,0))</x:f>
        <x:v>13</x:v>
      </x:c>
      <x:c r="H1022" s="14" t="n">
        <x:f>MIN(=INDEX(Inputs!$B$7:$D$7,1,MATCH(A1022,Inputs!$B$6:$D$6,0)),MAX(0,INDEX(Inputs!$B$14:$D$14,1,MATCH(A1022,Inputs!$B$6:$D$6,0))-(C1022-1)*=INDEX(Inputs!$B$7:$D$7,1,MATCH(A1022,Inputs!$B$6:$D$6,0))))</x:f>
        <x:v>13</x:v>
      </x:c>
      <x:c r="I1022" s="20" t="n">
        <x:f>INDEX(Inputs!$B$8:$D$8,1,MATCH(A1022,Inputs!$B$6:$D$6,0))</x:f>
        <x:v>2395</x:v>
      </x:c>
      <x:c r="J1022" s="20" t="n">
        <x:f>INDEX(Roster!$C$6:$C$108,MATCH(D1022,Roster!$A$6:$A$108,0))*(1+INDEX(Inputs!$B$9:$D$9,1,MATCH(A1022,Inputs!$B$6:$D$6,0)))</x:f>
        <x:v>30</x:v>
      </x:c>
      <x:c r="K1022" s="20" t="n">
        <x:f>IF(=INDEX(Roster!$F$6:$F$108,MATCH(D1022,Roster!$A$6:$A$108,0))="Yes",0,=INDEX(Inputs!$B$8:$D$8,1,MATCH(A1022,Inputs!$B$6:$D$6,0))*IF(=INDEX(Roster!$B$6:$B$108,MATCH(D1022,Roster!$A$6:$A$108,0))="Principal",INDEX(Inputs!$B$10:$D$10,1,MATCH(A1022,Inputs!$B$6:$D$6,0)),IF(=INDEX(Roster!$B$6:$B$108,MATCH(D1022,Roster!$A$6:$A$108,0))="Associate Principal",INDEX(Inputs!$B$11:$D$11,1,MATCH(A1022,Inputs!$B$6:$D$6,0)),IF(=INDEX(Roster!$B$6:$B$108,MATCH(D1022,Roster!$A$6:$A$108,0))="Assistant Principal",INDEX(Inputs!$B$12:$D$12,1,MATCH(A1022,Inputs!$B$6:$D$6,0)),0))))</x:f>
        <x:v>0</x:v>
      </x:c>
      <x:c r="L1022" s="20" t="n">
        <x:f>IF(INDEX(Roster!$D$6:$D$108,MATCH(D1022,Roster!$A$6:$A$108,0))&gt;=25,INDEX(Inputs!$B$19:$D$19,1,MATCH(A1022,Inputs!$B$6:$D$6,0)),IF(INDEX(Roster!$D$6:$D$108,MATCH(D1022,Roster!$A$6:$A$108,0))&gt;=20,INDEX(Inputs!$B$18:$D$18,1,MATCH(A1022,Inputs!$B$6:$D$6,0)),IF(INDEX(Roster!$D$6:$D$108,MATCH(D1022,Roster!$A$6:$A$108,0))&gt;=15,INDEX(Inputs!$B$17:$D$17,1,MATCH(A1022,Inputs!$B$6:$D$6,0)),IF(INDEX(Roster!$D$6:$D$108,MATCH(D1022,Roster!$A$6:$A$108,0))&gt;=10,INDEX(Inputs!$B$16:$D$16,1,MATCH(A1022,Inputs!$B$6:$D$6,0)),IF(INDEX(Roster!$D$6:$D$108,MATCH(D1022,Roster!$A$6:$A$108,0))&gt;=5,INDEX(Inputs!$B$15:$D$15,1,MATCH(A1022,Inputs!$B$6:$D$6,0)),0)))))</x:f>
        <x:v>50</x:v>
      </x:c>
      <x:c r="M1022" s="20" t="n">
        <x:f>G1022*I1022</x:f>
        <x:v>31135</x:v>
      </x:c>
      <x:c r="N1022" s="20" t="n">
        <x:f>G1022*J1022</x:f>
        <x:v>390</x:v>
      </x:c>
      <x:c r="O1022" s="20" t="n">
        <x:f>G1022*K1022</x:f>
        <x:v>0</x:v>
      </x:c>
      <x:c r="P1022" s="20" t="n">
        <x:f>G1022*L1022</x:f>
        <x:v>650</x:v>
      </x:c>
      <x:c r="Q1022" s="20" t="n">
        <x:f>H1022*INDEX(Inputs!$B$13:$D$13,1,MATCH(A1022,Inputs!$B$6:$D$6,0))</x:f>
        <x:v>390</x:v>
      </x:c>
      <x:c r="R1022" s="20" t="n">
        <x:f>SUM(M1022:Q1022)</x:f>
        <x:v>32565</x:v>
      </x:c>
      <x:c r="S1022" s="20" t="n">
        <x:f>IF(AND(A1021=A1022,D1021=D1022),S1021+R1022,R1022)</x:f>
        <x:v>32565</x:v>
      </x:c>
      <x:c r="T1022" s="20" t="n">
        <x:f>MIN(S1022,INDEX(Inputs!$B$20:$D$20,1,MATCH(A1022,Inputs!$B$6:$D$6,0)))*INDEX(Inputs!$B$22:$D$22,1,MATCH(A1022,Inputs!$B$6:$D$6,0))+MAX(MIN(S1022,INDEX(Inputs!$B$21:$D$21,1,MATCH(A1022,Inputs!$B$6:$D$6,0)))-INDEX(Inputs!$B$20:$D$20,1,MATCH(A1022,Inputs!$B$6:$D$6,0)),0)*INDEX(Inputs!$B$23:$D$23,1,MATCH(A1022,Inputs!$B$6:$D$6,0))+MAX(S1022-INDEX(Inputs!$B$21:$D$21,1,MATCH(A1022,Inputs!$B$6:$D$6,0)),0)*INDEX(Inputs!$B$24:$D$24,1,MATCH(A1022,Inputs!$B$6:$D$6,0))</x:f>
        <x:v>2981.2225</x:v>
      </x:c>
      <x:c r="U1022" s="20" t="n">
        <x:f>IF(AND(A1021=A1022,D1021=D1022),T1021,0)</x:f>
        <x:v>0</x:v>
      </x:c>
      <x:c r="V1022" s="20" t="n">
        <x:f>T1022-U1022</x:f>
        <x:v>2981.2225</x:v>
      </x:c>
      <x:c r="W1022" s="20" t="n">
        <x:f>R1022+V1022</x:f>
        <x:v>35546.2225</x:v>
      </x:c>
      <x:c r="X1022" s="14" t="str">
        <x:f>IF(ABS(W1022-SUM(M1022:Q1022)-V1022)&lt;0.01,"OK","Check")</x:f>
        <x:v>OK</x:v>
      </x:c>
    </x:row>
    <x:row r="1023">
      <x:c r="A1023" s="14" t="n">
        <x:v>2028</x:v>
      </x:c>
      <x:c r="B1023" s="14" t="str">
        <x:v>Q2</x:v>
      </x:c>
      <x:c r="C1023" s="14" t="n">
        <x:v>2</x:v>
      </x:c>
      <x:c r="D1023" s="14" t="n">
        <x:v>49</x:v>
      </x:c>
      <x:c r="E1023" s="14" t="str">
        <x:f>INDEX(Roster!$B$6:$B$108,MATCH(D1023,Roster!$A$6:$A$108,0))</x:f>
      </x:c>
      <x:c r="F1023" s="14" t="str">
        <x:f>INDEX(Roster!$F$6:$F$108,MATCH(D1023,Roster!$A$6:$A$108,0))</x:f>
        <x:v>No</x:v>
      </x:c>
      <x:c r="G1023" s="14" t="n">
        <x:f>INDEX(Inputs!$B$7:$D$7,1,MATCH(A1023,Inputs!$B$6:$D$6,0))</x:f>
        <x:v>13</x:v>
      </x:c>
      <x:c r="H1023" s="14" t="n">
        <x:f>MIN(=INDEX(Inputs!$B$7:$D$7,1,MATCH(A1023,Inputs!$B$6:$D$6,0)),MAX(0,INDEX(Inputs!$B$14:$D$14,1,MATCH(A1023,Inputs!$B$6:$D$6,0))-(C1023-1)*=INDEX(Inputs!$B$7:$D$7,1,MATCH(A1023,Inputs!$B$6:$D$6,0))))</x:f>
        <x:v>13</x:v>
      </x:c>
      <x:c r="I1023" s="20" t="n">
        <x:f>INDEX(Inputs!$B$8:$D$8,1,MATCH(A1023,Inputs!$B$6:$D$6,0))</x:f>
        <x:v>2395</x:v>
      </x:c>
      <x:c r="J1023" s="20" t="n">
        <x:f>INDEX(Roster!$C$6:$C$108,MATCH(D1023,Roster!$A$6:$A$108,0))*(1+INDEX(Inputs!$B$9:$D$9,1,MATCH(A1023,Inputs!$B$6:$D$6,0)))</x:f>
        <x:v>30</x:v>
      </x:c>
      <x:c r="K1023" s="20" t="n">
        <x:f>IF(=INDEX(Roster!$F$6:$F$108,MATCH(D1023,Roster!$A$6:$A$108,0))="Yes",0,=INDEX(Inputs!$B$8:$D$8,1,MATCH(A1023,Inputs!$B$6:$D$6,0))*IF(=INDEX(Roster!$B$6:$B$108,MATCH(D1023,Roster!$A$6:$A$108,0))="Principal",INDEX(Inputs!$B$10:$D$10,1,MATCH(A1023,Inputs!$B$6:$D$6,0)),IF(=INDEX(Roster!$B$6:$B$108,MATCH(D1023,Roster!$A$6:$A$108,0))="Associate Principal",INDEX(Inputs!$B$11:$D$11,1,MATCH(A1023,Inputs!$B$6:$D$6,0)),IF(=INDEX(Roster!$B$6:$B$108,MATCH(D1023,Roster!$A$6:$A$108,0))="Assistant Principal",INDEX(Inputs!$B$12:$D$12,1,MATCH(A1023,Inputs!$B$6:$D$6,0)),0))))</x:f>
        <x:v>0</x:v>
      </x:c>
      <x:c r="L1023" s="20" t="n">
        <x:f>IF(INDEX(Roster!$D$6:$D$108,MATCH(D1023,Roster!$A$6:$A$108,0))&gt;=25,INDEX(Inputs!$B$19:$D$19,1,MATCH(A1023,Inputs!$B$6:$D$6,0)),IF(INDEX(Roster!$D$6:$D$108,MATCH(D1023,Roster!$A$6:$A$108,0))&gt;=20,INDEX(Inputs!$B$18:$D$18,1,MATCH(A1023,Inputs!$B$6:$D$6,0)),IF(INDEX(Roster!$D$6:$D$108,MATCH(D1023,Roster!$A$6:$A$108,0))&gt;=15,INDEX(Inputs!$B$17:$D$17,1,MATCH(A1023,Inputs!$B$6:$D$6,0)),IF(INDEX(Roster!$D$6:$D$108,MATCH(D1023,Roster!$A$6:$A$108,0))&gt;=10,INDEX(Inputs!$B$16:$D$16,1,MATCH(A1023,Inputs!$B$6:$D$6,0)),IF(INDEX(Roster!$D$6:$D$108,MATCH(D1023,Roster!$A$6:$A$108,0))&gt;=5,INDEX(Inputs!$B$15:$D$15,1,MATCH(A1023,Inputs!$B$6:$D$6,0)),0)))))</x:f>
        <x:v>50</x:v>
      </x:c>
      <x:c r="M1023" s="20" t="n">
        <x:f>G1023*I1023</x:f>
        <x:v>31135</x:v>
      </x:c>
      <x:c r="N1023" s="20" t="n">
        <x:f>G1023*J1023</x:f>
        <x:v>390</x:v>
      </x:c>
      <x:c r="O1023" s="20" t="n">
        <x:f>G1023*K1023</x:f>
        <x:v>0</x:v>
      </x:c>
      <x:c r="P1023" s="20" t="n">
        <x:f>G1023*L1023</x:f>
        <x:v>650</x:v>
      </x:c>
      <x:c r="Q1023" s="20" t="n">
        <x:f>H1023*INDEX(Inputs!$B$13:$D$13,1,MATCH(A1023,Inputs!$B$6:$D$6,0))</x:f>
        <x:v>390</x:v>
      </x:c>
      <x:c r="R1023" s="20" t="n">
        <x:f>SUM(M1023:Q1023)</x:f>
        <x:v>32565</x:v>
      </x:c>
      <x:c r="S1023" s="20" t="n">
        <x:f>IF(AND(A1022=A1023,D1022=D1023),S1022+R1023,R1023)</x:f>
        <x:v>65130</x:v>
      </x:c>
      <x:c r="T1023" s="20" t="n">
        <x:f>MIN(S1023,INDEX(Inputs!$B$20:$D$20,1,MATCH(A1023,Inputs!$B$6:$D$6,0)))*INDEX(Inputs!$B$22:$D$22,1,MATCH(A1023,Inputs!$B$6:$D$6,0))+MAX(MIN(S1023,INDEX(Inputs!$B$21:$D$21,1,MATCH(A1023,Inputs!$B$6:$D$6,0)))-INDEX(Inputs!$B$20:$D$20,1,MATCH(A1023,Inputs!$B$6:$D$6,0)),0)*INDEX(Inputs!$B$23:$D$23,1,MATCH(A1023,Inputs!$B$6:$D$6,0))+MAX(S1023-INDEX(Inputs!$B$21:$D$21,1,MATCH(A1023,Inputs!$B$6:$D$6,0)),0)*INDEX(Inputs!$B$24:$D$24,1,MATCH(A1023,Inputs!$B$6:$D$6,0))</x:f>
        <x:v>5472.445</x:v>
      </x:c>
      <x:c r="U1023" s="20" t="n">
        <x:f>IF(AND(A1022=A1023,D1022=D1023),T1022,0)</x:f>
        <x:v>2981.2225</x:v>
      </x:c>
      <x:c r="V1023" s="20" t="n">
        <x:f>T1023-U1023</x:f>
        <x:v>2491.2225</x:v>
      </x:c>
      <x:c r="W1023" s="20" t="n">
        <x:f>R1023+V1023</x:f>
        <x:v>35056.2225</x:v>
      </x:c>
      <x:c r="X1023" s="14" t="str">
        <x:f>IF(ABS(W1023-SUM(M1023:Q1023)-V1023)&lt;0.01,"OK","Check")</x:f>
        <x:v>OK</x:v>
      </x:c>
    </x:row>
    <x:row r="1024">
      <x:c r="A1024" s="14" t="n">
        <x:v>2028</x:v>
      </x:c>
      <x:c r="B1024" s="14" t="str">
        <x:v>Q3</x:v>
      </x:c>
      <x:c r="C1024" s="14" t="n">
        <x:v>3</x:v>
      </x:c>
      <x:c r="D1024" s="14" t="n">
        <x:v>49</x:v>
      </x:c>
      <x:c r="E1024" s="14" t="str">
        <x:f>INDEX(Roster!$B$6:$B$108,MATCH(D1024,Roster!$A$6:$A$108,0))</x:f>
      </x:c>
      <x:c r="F1024" s="14" t="str">
        <x:f>INDEX(Roster!$F$6:$F$108,MATCH(D1024,Roster!$A$6:$A$108,0))</x:f>
        <x:v>No</x:v>
      </x:c>
      <x:c r="G1024" s="14" t="n">
        <x:f>INDEX(Inputs!$B$7:$D$7,1,MATCH(A1024,Inputs!$B$6:$D$6,0))</x:f>
        <x:v>13</x:v>
      </x:c>
      <x:c r="H1024" s="14" t="n">
        <x:f>MIN(=INDEX(Inputs!$B$7:$D$7,1,MATCH(A1024,Inputs!$B$6:$D$6,0)),MAX(0,INDEX(Inputs!$B$14:$D$14,1,MATCH(A1024,Inputs!$B$6:$D$6,0))-(C1024-1)*=INDEX(Inputs!$B$7:$D$7,1,MATCH(A1024,Inputs!$B$6:$D$6,0))))</x:f>
        <x:v>13</x:v>
      </x:c>
      <x:c r="I1024" s="20" t="n">
        <x:f>INDEX(Inputs!$B$8:$D$8,1,MATCH(A1024,Inputs!$B$6:$D$6,0))</x:f>
        <x:v>2395</x:v>
      </x:c>
      <x:c r="J1024" s="20" t="n">
        <x:f>INDEX(Roster!$C$6:$C$108,MATCH(D1024,Roster!$A$6:$A$108,0))*(1+INDEX(Inputs!$B$9:$D$9,1,MATCH(A1024,Inputs!$B$6:$D$6,0)))</x:f>
        <x:v>30</x:v>
      </x:c>
      <x:c r="K1024" s="20" t="n">
        <x:f>IF(=INDEX(Roster!$F$6:$F$108,MATCH(D1024,Roster!$A$6:$A$108,0))="Yes",0,=INDEX(Inputs!$B$8:$D$8,1,MATCH(A1024,Inputs!$B$6:$D$6,0))*IF(=INDEX(Roster!$B$6:$B$108,MATCH(D1024,Roster!$A$6:$A$108,0))="Principal",INDEX(Inputs!$B$10:$D$10,1,MATCH(A1024,Inputs!$B$6:$D$6,0)),IF(=INDEX(Roster!$B$6:$B$108,MATCH(D1024,Roster!$A$6:$A$108,0))="Associate Principal",INDEX(Inputs!$B$11:$D$11,1,MATCH(A1024,Inputs!$B$6:$D$6,0)),IF(=INDEX(Roster!$B$6:$B$108,MATCH(D1024,Roster!$A$6:$A$108,0))="Assistant Principal",INDEX(Inputs!$B$12:$D$12,1,MATCH(A1024,Inputs!$B$6:$D$6,0)),0))))</x:f>
        <x:v>0</x:v>
      </x:c>
      <x:c r="L1024" s="20" t="n">
        <x:f>IF(INDEX(Roster!$D$6:$D$108,MATCH(D1024,Roster!$A$6:$A$108,0))&gt;=25,INDEX(Inputs!$B$19:$D$19,1,MATCH(A1024,Inputs!$B$6:$D$6,0)),IF(INDEX(Roster!$D$6:$D$108,MATCH(D1024,Roster!$A$6:$A$108,0))&gt;=20,INDEX(Inputs!$B$18:$D$18,1,MATCH(A1024,Inputs!$B$6:$D$6,0)),IF(INDEX(Roster!$D$6:$D$108,MATCH(D1024,Roster!$A$6:$A$108,0))&gt;=15,INDEX(Inputs!$B$17:$D$17,1,MATCH(A1024,Inputs!$B$6:$D$6,0)),IF(INDEX(Roster!$D$6:$D$108,MATCH(D1024,Roster!$A$6:$A$108,0))&gt;=10,INDEX(Inputs!$B$16:$D$16,1,MATCH(A1024,Inputs!$B$6:$D$6,0)),IF(INDEX(Roster!$D$6:$D$108,MATCH(D1024,Roster!$A$6:$A$108,0))&gt;=5,INDEX(Inputs!$B$15:$D$15,1,MATCH(A1024,Inputs!$B$6:$D$6,0)),0)))))</x:f>
        <x:v>50</x:v>
      </x:c>
      <x:c r="M1024" s="20" t="n">
        <x:f>G1024*I1024</x:f>
        <x:v>31135</x:v>
      </x:c>
      <x:c r="N1024" s="20" t="n">
        <x:f>G1024*J1024</x:f>
        <x:v>390</x:v>
      </x:c>
      <x:c r="O1024" s="20" t="n">
        <x:f>G1024*K1024</x:f>
        <x:v>0</x:v>
      </x:c>
      <x:c r="P1024" s="20" t="n">
        <x:f>G1024*L1024</x:f>
        <x:v>650</x:v>
      </x:c>
      <x:c r="Q1024" s="20" t="n">
        <x:f>H1024*INDEX(Inputs!$B$13:$D$13,1,MATCH(A1024,Inputs!$B$6:$D$6,0))</x:f>
        <x:v>390</x:v>
      </x:c>
      <x:c r="R1024" s="20" t="n">
        <x:f>SUM(M1024:Q1024)</x:f>
        <x:v>32565</x:v>
      </x:c>
      <x:c r="S1024" s="20" t="n">
        <x:f>IF(AND(A1023=A1024,D1023=D1024),S1023+R1024,R1024)</x:f>
        <x:v>97695</x:v>
      </x:c>
      <x:c r="T1024" s="20" t="n">
        <x:f>MIN(S1024,INDEX(Inputs!$B$20:$D$20,1,MATCH(A1024,Inputs!$B$6:$D$6,0)))*INDEX(Inputs!$B$22:$D$22,1,MATCH(A1024,Inputs!$B$6:$D$6,0))+MAX(MIN(S1024,INDEX(Inputs!$B$21:$D$21,1,MATCH(A1024,Inputs!$B$6:$D$6,0)))-INDEX(Inputs!$B$20:$D$20,1,MATCH(A1024,Inputs!$B$6:$D$6,0)),0)*INDEX(Inputs!$B$23:$D$23,1,MATCH(A1024,Inputs!$B$6:$D$6,0))+MAX(S1024-INDEX(Inputs!$B$21:$D$21,1,MATCH(A1024,Inputs!$B$6:$D$6,0)),0)*INDEX(Inputs!$B$24:$D$24,1,MATCH(A1024,Inputs!$B$6:$D$6,0))</x:f>
        <x:v>7963.6675</x:v>
      </x:c>
      <x:c r="U1024" s="20" t="n">
        <x:f>IF(AND(A1023=A1024,D1023=D1024),T1023,0)</x:f>
        <x:v>5472.445</x:v>
      </x:c>
      <x:c r="V1024" s="20" t="n">
        <x:f>T1024-U1024</x:f>
        <x:v>2491.2225</x:v>
      </x:c>
      <x:c r="W1024" s="20" t="n">
        <x:f>R1024+V1024</x:f>
        <x:v>35056.2225</x:v>
      </x:c>
      <x:c r="X1024" s="14" t="str">
        <x:f>IF(ABS(W1024-SUM(M1024:Q1024)-V1024)&lt;0.01,"OK","Check")</x:f>
        <x:v>OK</x:v>
      </x:c>
    </x:row>
    <x:row r="1025">
      <x:c r="A1025" s="14" t="n">
        <x:v>2028</x:v>
      </x:c>
      <x:c r="B1025" s="14" t="str">
        <x:v>Q4</x:v>
      </x:c>
      <x:c r="C1025" s="14" t="n">
        <x:v>4</x:v>
      </x:c>
      <x:c r="D1025" s="14" t="n">
        <x:v>49</x:v>
      </x:c>
      <x:c r="E1025" s="14" t="str">
        <x:f>INDEX(Roster!$B$6:$B$108,MATCH(D1025,Roster!$A$6:$A$108,0))</x:f>
      </x:c>
      <x:c r="F1025" s="14" t="str">
        <x:f>INDEX(Roster!$F$6:$F$108,MATCH(D1025,Roster!$A$6:$A$108,0))</x:f>
        <x:v>No</x:v>
      </x:c>
      <x:c r="G1025" s="14" t="n">
        <x:f>INDEX(Inputs!$B$7:$D$7,1,MATCH(A1025,Inputs!$B$6:$D$6,0))</x:f>
        <x:v>13</x:v>
      </x:c>
      <x:c r="H1025" s="14" t="n">
        <x:f>MIN(=INDEX(Inputs!$B$7:$D$7,1,MATCH(A1025,Inputs!$B$6:$D$6,0)),MAX(0,INDEX(Inputs!$B$14:$D$14,1,MATCH(A1025,Inputs!$B$6:$D$6,0))-(C1025-1)*=INDEX(Inputs!$B$7:$D$7,1,MATCH(A1025,Inputs!$B$6:$D$6,0))))</x:f>
        <x:v>0</x:v>
      </x:c>
      <x:c r="I1025" s="20" t="n">
        <x:f>INDEX(Inputs!$B$8:$D$8,1,MATCH(A1025,Inputs!$B$6:$D$6,0))</x:f>
        <x:v>2395</x:v>
      </x:c>
      <x:c r="J1025" s="20" t="n">
        <x:f>INDEX(Roster!$C$6:$C$108,MATCH(D1025,Roster!$A$6:$A$108,0))*(1+INDEX(Inputs!$B$9:$D$9,1,MATCH(A1025,Inputs!$B$6:$D$6,0)))</x:f>
        <x:v>30</x:v>
      </x:c>
      <x:c r="K1025" s="20" t="n">
        <x:f>IF(=INDEX(Roster!$F$6:$F$108,MATCH(D1025,Roster!$A$6:$A$108,0))="Yes",0,=INDEX(Inputs!$B$8:$D$8,1,MATCH(A1025,Inputs!$B$6:$D$6,0))*IF(=INDEX(Roster!$B$6:$B$108,MATCH(D1025,Roster!$A$6:$A$108,0))="Principal",INDEX(Inputs!$B$10:$D$10,1,MATCH(A1025,Inputs!$B$6:$D$6,0)),IF(=INDEX(Roster!$B$6:$B$108,MATCH(D1025,Roster!$A$6:$A$108,0))="Associate Principal",INDEX(Inputs!$B$11:$D$11,1,MATCH(A1025,Inputs!$B$6:$D$6,0)),IF(=INDEX(Roster!$B$6:$B$108,MATCH(D1025,Roster!$A$6:$A$108,0))="Assistant Principal",INDEX(Inputs!$B$12:$D$12,1,MATCH(A1025,Inputs!$B$6:$D$6,0)),0))))</x:f>
        <x:v>0</x:v>
      </x:c>
      <x:c r="L1025" s="20" t="n">
        <x:f>IF(INDEX(Roster!$D$6:$D$108,MATCH(D1025,Roster!$A$6:$A$108,0))&gt;=25,INDEX(Inputs!$B$19:$D$19,1,MATCH(A1025,Inputs!$B$6:$D$6,0)),IF(INDEX(Roster!$D$6:$D$108,MATCH(D1025,Roster!$A$6:$A$108,0))&gt;=20,INDEX(Inputs!$B$18:$D$18,1,MATCH(A1025,Inputs!$B$6:$D$6,0)),IF(INDEX(Roster!$D$6:$D$108,MATCH(D1025,Roster!$A$6:$A$108,0))&gt;=15,INDEX(Inputs!$B$17:$D$17,1,MATCH(A1025,Inputs!$B$6:$D$6,0)),IF(INDEX(Roster!$D$6:$D$108,MATCH(D1025,Roster!$A$6:$A$108,0))&gt;=10,INDEX(Inputs!$B$16:$D$16,1,MATCH(A1025,Inputs!$B$6:$D$6,0)),IF(INDEX(Roster!$D$6:$D$108,MATCH(D1025,Roster!$A$6:$A$108,0))&gt;=5,INDEX(Inputs!$B$15:$D$15,1,MATCH(A1025,Inputs!$B$6:$D$6,0)),0)))))</x:f>
        <x:v>50</x:v>
      </x:c>
      <x:c r="M1025" s="20" t="n">
        <x:f>G1025*I1025</x:f>
        <x:v>31135</x:v>
      </x:c>
      <x:c r="N1025" s="20" t="n">
        <x:f>G1025*J1025</x:f>
        <x:v>390</x:v>
      </x:c>
      <x:c r="O1025" s="20" t="n">
        <x:f>G1025*K1025</x:f>
        <x:v>0</x:v>
      </x:c>
      <x:c r="P1025" s="20" t="n">
        <x:f>G1025*L1025</x:f>
        <x:v>650</x:v>
      </x:c>
      <x:c r="Q1025" s="20" t="n">
        <x:f>H1025*INDEX(Inputs!$B$13:$D$13,1,MATCH(A1025,Inputs!$B$6:$D$6,0))</x:f>
        <x:v>0</x:v>
      </x:c>
      <x:c r="R1025" s="20" t="n">
        <x:f>SUM(M1025:Q1025)</x:f>
        <x:v>32175</x:v>
      </x:c>
      <x:c r="S1025" s="20" t="n">
        <x:f>IF(AND(A1024=A1025,D1024=D1025),S1024+R1025,R1025)</x:f>
        <x:v>129870</x:v>
      </x:c>
      <x:c r="T1025" s="20" t="n">
        <x:f>MIN(S1025,INDEX(Inputs!$B$20:$D$20,1,MATCH(A1025,Inputs!$B$6:$D$6,0)))*INDEX(Inputs!$B$22:$D$22,1,MATCH(A1025,Inputs!$B$6:$D$6,0))+MAX(MIN(S1025,INDEX(Inputs!$B$21:$D$21,1,MATCH(A1025,Inputs!$B$6:$D$6,0)))-INDEX(Inputs!$B$20:$D$20,1,MATCH(A1025,Inputs!$B$6:$D$6,0)),0)*INDEX(Inputs!$B$23:$D$23,1,MATCH(A1025,Inputs!$B$6:$D$6,0))+MAX(S1025-INDEX(Inputs!$B$21:$D$21,1,MATCH(A1025,Inputs!$B$6:$D$6,0)),0)*INDEX(Inputs!$B$24:$D$24,1,MATCH(A1025,Inputs!$B$6:$D$6,0))</x:f>
        <x:v>9797.057</x:v>
      </x:c>
      <x:c r="U1025" s="20" t="n">
        <x:f>IF(AND(A1024=A1025,D1024=D1025),T1024,0)</x:f>
        <x:v>7963.6675</x:v>
      </x:c>
      <x:c r="V1025" s="20" t="n">
        <x:f>T1025-U1025</x:f>
        <x:v>1833.3895000000011</x:v>
      </x:c>
      <x:c r="W1025" s="20" t="n">
        <x:f>R1025+V1025</x:f>
        <x:v>34008.389500000005</x:v>
      </x:c>
      <x:c r="X1025" s="14" t="str">
        <x:f>IF(ABS(W1025-SUM(M1025:Q1025)-V1025)&lt;0.01,"OK","Check")</x:f>
        <x:v>OK</x:v>
      </x:c>
    </x:row>
    <x:row r="1026">
      <x:c r="A1026" s="14" t="n">
        <x:v>2028</x:v>
      </x:c>
      <x:c r="B1026" s="14" t="str">
        <x:v>Q1</x:v>
      </x:c>
      <x:c r="C1026" s="14" t="n">
        <x:v>1</x:v>
      </x:c>
      <x:c r="D1026" s="14" t="n">
        <x:v>50</x:v>
      </x:c>
      <x:c r="E1026" s="14" t="str">
        <x:f>INDEX(Roster!$B$6:$B$108,MATCH(D1026,Roster!$A$6:$A$108,0))</x:f>
      </x:c>
      <x:c r="F1026" s="14" t="str">
        <x:f>INDEX(Roster!$F$6:$F$108,MATCH(D1026,Roster!$A$6:$A$108,0))</x:f>
        <x:v>No</x:v>
      </x:c>
      <x:c r="G1026" s="14" t="n">
        <x:f>INDEX(Inputs!$B$7:$D$7,1,MATCH(A1026,Inputs!$B$6:$D$6,0))</x:f>
        <x:v>13</x:v>
      </x:c>
      <x:c r="H1026" s="14" t="n">
        <x:f>MIN(=INDEX(Inputs!$B$7:$D$7,1,MATCH(A1026,Inputs!$B$6:$D$6,0)),MAX(0,INDEX(Inputs!$B$14:$D$14,1,MATCH(A1026,Inputs!$B$6:$D$6,0))-(C1026-1)*=INDEX(Inputs!$B$7:$D$7,1,MATCH(A1026,Inputs!$B$6:$D$6,0))))</x:f>
        <x:v>13</x:v>
      </x:c>
      <x:c r="I1026" s="20" t="n">
        <x:f>INDEX(Inputs!$B$8:$D$8,1,MATCH(A1026,Inputs!$B$6:$D$6,0))</x:f>
        <x:v>2395</x:v>
      </x:c>
      <x:c r="J1026" s="20" t="n">
        <x:f>INDEX(Roster!$C$6:$C$108,MATCH(D1026,Roster!$A$6:$A$108,0))*(1+INDEX(Inputs!$B$9:$D$9,1,MATCH(A1026,Inputs!$B$6:$D$6,0)))</x:f>
        <x:v>20</x:v>
      </x:c>
      <x:c r="K1026" s="20" t="n">
        <x:f>IF(=INDEX(Roster!$F$6:$F$108,MATCH(D1026,Roster!$A$6:$A$108,0))="Yes",0,=INDEX(Inputs!$B$8:$D$8,1,MATCH(A1026,Inputs!$B$6:$D$6,0))*IF(=INDEX(Roster!$B$6:$B$108,MATCH(D1026,Roster!$A$6:$A$108,0))="Principal",INDEX(Inputs!$B$10:$D$10,1,MATCH(A1026,Inputs!$B$6:$D$6,0)),IF(=INDEX(Roster!$B$6:$B$108,MATCH(D1026,Roster!$A$6:$A$108,0))="Associate Principal",INDEX(Inputs!$B$11:$D$11,1,MATCH(A1026,Inputs!$B$6:$D$6,0)),IF(=INDEX(Roster!$B$6:$B$108,MATCH(D1026,Roster!$A$6:$A$108,0))="Assistant Principal",INDEX(Inputs!$B$12:$D$12,1,MATCH(A1026,Inputs!$B$6:$D$6,0)),0))))</x:f>
        <x:v>0</x:v>
      </x:c>
      <x:c r="L1026" s="20" t="n">
        <x:f>IF(INDEX(Roster!$D$6:$D$108,MATCH(D1026,Roster!$A$6:$A$108,0))&gt;=25,INDEX(Inputs!$B$19:$D$19,1,MATCH(A1026,Inputs!$B$6:$D$6,0)),IF(INDEX(Roster!$D$6:$D$108,MATCH(D1026,Roster!$A$6:$A$108,0))&gt;=20,INDEX(Inputs!$B$18:$D$18,1,MATCH(A1026,Inputs!$B$6:$D$6,0)),IF(INDEX(Roster!$D$6:$D$108,MATCH(D1026,Roster!$A$6:$A$108,0))&gt;=15,INDEX(Inputs!$B$17:$D$17,1,MATCH(A1026,Inputs!$B$6:$D$6,0)),IF(INDEX(Roster!$D$6:$D$108,MATCH(D1026,Roster!$A$6:$A$108,0))&gt;=10,INDEX(Inputs!$B$16:$D$16,1,MATCH(A1026,Inputs!$B$6:$D$6,0)),IF(INDEX(Roster!$D$6:$D$108,MATCH(D1026,Roster!$A$6:$A$108,0))&gt;=5,INDEX(Inputs!$B$15:$D$15,1,MATCH(A1026,Inputs!$B$6:$D$6,0)),0)))))</x:f>
        <x:v>90</x:v>
      </x:c>
      <x:c r="M1026" s="20" t="n">
        <x:f>G1026*I1026</x:f>
        <x:v>31135</x:v>
      </x:c>
      <x:c r="N1026" s="20" t="n">
        <x:f>G1026*J1026</x:f>
        <x:v>260</x:v>
      </x:c>
      <x:c r="O1026" s="20" t="n">
        <x:f>G1026*K1026</x:f>
        <x:v>0</x:v>
      </x:c>
      <x:c r="P1026" s="20" t="n">
        <x:f>G1026*L1026</x:f>
        <x:v>1170</x:v>
      </x:c>
      <x:c r="Q1026" s="20" t="n">
        <x:f>H1026*INDEX(Inputs!$B$13:$D$13,1,MATCH(A1026,Inputs!$B$6:$D$6,0))</x:f>
        <x:v>390</x:v>
      </x:c>
      <x:c r="R1026" s="20" t="n">
        <x:f>SUM(M1026:Q1026)</x:f>
        <x:v>32955</x:v>
      </x:c>
      <x:c r="S1026" s="20" t="n">
        <x:f>IF(AND(A1025=A1026,D1025=D1026),S1025+R1026,R1026)</x:f>
        <x:v>32955</x:v>
      </x:c>
      <x:c r="T1026" s="20" t="n">
        <x:f>MIN(S1026,INDEX(Inputs!$B$20:$D$20,1,MATCH(A1026,Inputs!$B$6:$D$6,0)))*INDEX(Inputs!$B$22:$D$22,1,MATCH(A1026,Inputs!$B$6:$D$6,0))+MAX(MIN(S1026,INDEX(Inputs!$B$21:$D$21,1,MATCH(A1026,Inputs!$B$6:$D$6,0)))-INDEX(Inputs!$B$20:$D$20,1,MATCH(A1026,Inputs!$B$6:$D$6,0)),0)*INDEX(Inputs!$B$23:$D$23,1,MATCH(A1026,Inputs!$B$6:$D$6,0))+MAX(S1026-INDEX(Inputs!$B$21:$D$21,1,MATCH(A1026,Inputs!$B$6:$D$6,0)),0)*INDEX(Inputs!$B$24:$D$24,1,MATCH(A1026,Inputs!$B$6:$D$6,0))</x:f>
        <x:v>3011.0575</x:v>
      </x:c>
      <x:c r="U1026" s="20" t="n">
        <x:f>IF(AND(A1025=A1026,D1025=D1026),T1025,0)</x:f>
        <x:v>0</x:v>
      </x:c>
      <x:c r="V1026" s="20" t="n">
        <x:f>T1026-U1026</x:f>
        <x:v>3011.0575</x:v>
      </x:c>
      <x:c r="W1026" s="20" t="n">
        <x:f>R1026+V1026</x:f>
        <x:v>35966.0575</x:v>
      </x:c>
      <x:c r="X1026" s="14" t="str">
        <x:f>IF(ABS(W1026-SUM(M1026:Q1026)-V1026)&lt;0.01,"OK","Check")</x:f>
        <x:v>OK</x:v>
      </x:c>
    </x:row>
    <x:row r="1027">
      <x:c r="A1027" s="14" t="n">
        <x:v>2028</x:v>
      </x:c>
      <x:c r="B1027" s="14" t="str">
        <x:v>Q2</x:v>
      </x:c>
      <x:c r="C1027" s="14" t="n">
        <x:v>2</x:v>
      </x:c>
      <x:c r="D1027" s="14" t="n">
        <x:v>50</x:v>
      </x:c>
      <x:c r="E1027" s="14" t="str">
        <x:f>INDEX(Roster!$B$6:$B$108,MATCH(D1027,Roster!$A$6:$A$108,0))</x:f>
      </x:c>
      <x:c r="F1027" s="14" t="str">
        <x:f>INDEX(Roster!$F$6:$F$108,MATCH(D1027,Roster!$A$6:$A$108,0))</x:f>
        <x:v>No</x:v>
      </x:c>
      <x:c r="G1027" s="14" t="n">
        <x:f>INDEX(Inputs!$B$7:$D$7,1,MATCH(A1027,Inputs!$B$6:$D$6,0))</x:f>
        <x:v>13</x:v>
      </x:c>
      <x:c r="H1027" s="14" t="n">
        <x:f>MIN(=INDEX(Inputs!$B$7:$D$7,1,MATCH(A1027,Inputs!$B$6:$D$6,0)),MAX(0,INDEX(Inputs!$B$14:$D$14,1,MATCH(A1027,Inputs!$B$6:$D$6,0))-(C1027-1)*=INDEX(Inputs!$B$7:$D$7,1,MATCH(A1027,Inputs!$B$6:$D$6,0))))</x:f>
        <x:v>13</x:v>
      </x:c>
      <x:c r="I1027" s="20" t="n">
        <x:f>INDEX(Inputs!$B$8:$D$8,1,MATCH(A1027,Inputs!$B$6:$D$6,0))</x:f>
        <x:v>2395</x:v>
      </x:c>
      <x:c r="J1027" s="20" t="n">
        <x:f>INDEX(Roster!$C$6:$C$108,MATCH(D1027,Roster!$A$6:$A$108,0))*(1+INDEX(Inputs!$B$9:$D$9,1,MATCH(A1027,Inputs!$B$6:$D$6,0)))</x:f>
        <x:v>20</x:v>
      </x:c>
      <x:c r="K1027" s="20" t="n">
        <x:f>IF(=INDEX(Roster!$F$6:$F$108,MATCH(D1027,Roster!$A$6:$A$108,0))="Yes",0,=INDEX(Inputs!$B$8:$D$8,1,MATCH(A1027,Inputs!$B$6:$D$6,0))*IF(=INDEX(Roster!$B$6:$B$108,MATCH(D1027,Roster!$A$6:$A$108,0))="Principal",INDEX(Inputs!$B$10:$D$10,1,MATCH(A1027,Inputs!$B$6:$D$6,0)),IF(=INDEX(Roster!$B$6:$B$108,MATCH(D1027,Roster!$A$6:$A$108,0))="Associate Principal",INDEX(Inputs!$B$11:$D$11,1,MATCH(A1027,Inputs!$B$6:$D$6,0)),IF(=INDEX(Roster!$B$6:$B$108,MATCH(D1027,Roster!$A$6:$A$108,0))="Assistant Principal",INDEX(Inputs!$B$12:$D$12,1,MATCH(A1027,Inputs!$B$6:$D$6,0)),0))))</x:f>
        <x:v>0</x:v>
      </x:c>
      <x:c r="L1027" s="20" t="n">
        <x:f>IF(INDEX(Roster!$D$6:$D$108,MATCH(D1027,Roster!$A$6:$A$108,0))&gt;=25,INDEX(Inputs!$B$19:$D$19,1,MATCH(A1027,Inputs!$B$6:$D$6,0)),IF(INDEX(Roster!$D$6:$D$108,MATCH(D1027,Roster!$A$6:$A$108,0))&gt;=20,INDEX(Inputs!$B$18:$D$18,1,MATCH(A1027,Inputs!$B$6:$D$6,0)),IF(INDEX(Roster!$D$6:$D$108,MATCH(D1027,Roster!$A$6:$A$108,0))&gt;=15,INDEX(Inputs!$B$17:$D$17,1,MATCH(A1027,Inputs!$B$6:$D$6,0)),IF(INDEX(Roster!$D$6:$D$108,MATCH(D1027,Roster!$A$6:$A$108,0))&gt;=10,INDEX(Inputs!$B$16:$D$16,1,MATCH(A1027,Inputs!$B$6:$D$6,0)),IF(INDEX(Roster!$D$6:$D$108,MATCH(D1027,Roster!$A$6:$A$108,0))&gt;=5,INDEX(Inputs!$B$15:$D$15,1,MATCH(A1027,Inputs!$B$6:$D$6,0)),0)))))</x:f>
        <x:v>90</x:v>
      </x:c>
      <x:c r="M1027" s="20" t="n">
        <x:f>G1027*I1027</x:f>
        <x:v>31135</x:v>
      </x:c>
      <x:c r="N1027" s="20" t="n">
        <x:f>G1027*J1027</x:f>
        <x:v>260</x:v>
      </x:c>
      <x:c r="O1027" s="20" t="n">
        <x:f>G1027*K1027</x:f>
        <x:v>0</x:v>
      </x:c>
      <x:c r="P1027" s="20" t="n">
        <x:f>G1027*L1027</x:f>
        <x:v>1170</x:v>
      </x:c>
      <x:c r="Q1027" s="20" t="n">
        <x:f>H1027*INDEX(Inputs!$B$13:$D$13,1,MATCH(A1027,Inputs!$B$6:$D$6,0))</x:f>
        <x:v>390</x:v>
      </x:c>
      <x:c r="R1027" s="20" t="n">
        <x:f>SUM(M1027:Q1027)</x:f>
        <x:v>32955</x:v>
      </x:c>
      <x:c r="S1027" s="20" t="n">
        <x:f>IF(AND(A1026=A1027,D1026=D1027),S1026+R1027,R1027)</x:f>
        <x:v>65910</x:v>
      </x:c>
      <x:c r="T1027" s="20" t="n">
        <x:f>MIN(S1027,INDEX(Inputs!$B$20:$D$20,1,MATCH(A1027,Inputs!$B$6:$D$6,0)))*INDEX(Inputs!$B$22:$D$22,1,MATCH(A1027,Inputs!$B$6:$D$6,0))+MAX(MIN(S1027,INDEX(Inputs!$B$21:$D$21,1,MATCH(A1027,Inputs!$B$6:$D$6,0)))-INDEX(Inputs!$B$20:$D$20,1,MATCH(A1027,Inputs!$B$6:$D$6,0)),0)*INDEX(Inputs!$B$23:$D$23,1,MATCH(A1027,Inputs!$B$6:$D$6,0))+MAX(S1027-INDEX(Inputs!$B$21:$D$21,1,MATCH(A1027,Inputs!$B$6:$D$6,0)),0)*INDEX(Inputs!$B$24:$D$24,1,MATCH(A1027,Inputs!$B$6:$D$6,0))</x:f>
        <x:v>5532.115</x:v>
      </x:c>
      <x:c r="U1027" s="20" t="n">
        <x:f>IF(AND(A1026=A1027,D1026=D1027),T1026,0)</x:f>
        <x:v>3011.0575</x:v>
      </x:c>
      <x:c r="V1027" s="20" t="n">
        <x:f>T1027-U1027</x:f>
        <x:v>2521.0575</x:v>
      </x:c>
      <x:c r="W1027" s="20" t="n">
        <x:f>R1027+V1027</x:f>
        <x:v>35476.0575</x:v>
      </x:c>
      <x:c r="X1027" s="14" t="str">
        <x:f>IF(ABS(W1027-SUM(M1027:Q1027)-V1027)&lt;0.01,"OK","Check")</x:f>
        <x:v>OK</x:v>
      </x:c>
    </x:row>
    <x:row r="1028">
      <x:c r="A1028" s="14" t="n">
        <x:v>2028</x:v>
      </x:c>
      <x:c r="B1028" s="14" t="str">
        <x:v>Q3</x:v>
      </x:c>
      <x:c r="C1028" s="14" t="n">
        <x:v>3</x:v>
      </x:c>
      <x:c r="D1028" s="14" t="n">
        <x:v>50</x:v>
      </x:c>
      <x:c r="E1028" s="14" t="str">
        <x:f>INDEX(Roster!$B$6:$B$108,MATCH(D1028,Roster!$A$6:$A$108,0))</x:f>
      </x:c>
      <x:c r="F1028" s="14" t="str">
        <x:f>INDEX(Roster!$F$6:$F$108,MATCH(D1028,Roster!$A$6:$A$108,0))</x:f>
        <x:v>No</x:v>
      </x:c>
      <x:c r="G1028" s="14" t="n">
        <x:f>INDEX(Inputs!$B$7:$D$7,1,MATCH(A1028,Inputs!$B$6:$D$6,0))</x:f>
        <x:v>13</x:v>
      </x:c>
      <x:c r="H1028" s="14" t="n">
        <x:f>MIN(=INDEX(Inputs!$B$7:$D$7,1,MATCH(A1028,Inputs!$B$6:$D$6,0)),MAX(0,INDEX(Inputs!$B$14:$D$14,1,MATCH(A1028,Inputs!$B$6:$D$6,0))-(C1028-1)*=INDEX(Inputs!$B$7:$D$7,1,MATCH(A1028,Inputs!$B$6:$D$6,0))))</x:f>
        <x:v>13</x:v>
      </x:c>
      <x:c r="I1028" s="20" t="n">
        <x:f>INDEX(Inputs!$B$8:$D$8,1,MATCH(A1028,Inputs!$B$6:$D$6,0))</x:f>
        <x:v>2395</x:v>
      </x:c>
      <x:c r="J1028" s="20" t="n">
        <x:f>INDEX(Roster!$C$6:$C$108,MATCH(D1028,Roster!$A$6:$A$108,0))*(1+INDEX(Inputs!$B$9:$D$9,1,MATCH(A1028,Inputs!$B$6:$D$6,0)))</x:f>
        <x:v>20</x:v>
      </x:c>
      <x:c r="K1028" s="20" t="n">
        <x:f>IF(=INDEX(Roster!$F$6:$F$108,MATCH(D1028,Roster!$A$6:$A$108,0))="Yes",0,=INDEX(Inputs!$B$8:$D$8,1,MATCH(A1028,Inputs!$B$6:$D$6,0))*IF(=INDEX(Roster!$B$6:$B$108,MATCH(D1028,Roster!$A$6:$A$108,0))="Principal",INDEX(Inputs!$B$10:$D$10,1,MATCH(A1028,Inputs!$B$6:$D$6,0)),IF(=INDEX(Roster!$B$6:$B$108,MATCH(D1028,Roster!$A$6:$A$108,0))="Associate Principal",INDEX(Inputs!$B$11:$D$11,1,MATCH(A1028,Inputs!$B$6:$D$6,0)),IF(=INDEX(Roster!$B$6:$B$108,MATCH(D1028,Roster!$A$6:$A$108,0))="Assistant Principal",INDEX(Inputs!$B$12:$D$12,1,MATCH(A1028,Inputs!$B$6:$D$6,0)),0))))</x:f>
        <x:v>0</x:v>
      </x:c>
      <x:c r="L1028" s="20" t="n">
        <x:f>IF(INDEX(Roster!$D$6:$D$108,MATCH(D1028,Roster!$A$6:$A$108,0))&gt;=25,INDEX(Inputs!$B$19:$D$19,1,MATCH(A1028,Inputs!$B$6:$D$6,0)),IF(INDEX(Roster!$D$6:$D$108,MATCH(D1028,Roster!$A$6:$A$108,0))&gt;=20,INDEX(Inputs!$B$18:$D$18,1,MATCH(A1028,Inputs!$B$6:$D$6,0)),IF(INDEX(Roster!$D$6:$D$108,MATCH(D1028,Roster!$A$6:$A$108,0))&gt;=15,INDEX(Inputs!$B$17:$D$17,1,MATCH(A1028,Inputs!$B$6:$D$6,0)),IF(INDEX(Roster!$D$6:$D$108,MATCH(D1028,Roster!$A$6:$A$108,0))&gt;=10,INDEX(Inputs!$B$16:$D$16,1,MATCH(A1028,Inputs!$B$6:$D$6,0)),IF(INDEX(Roster!$D$6:$D$108,MATCH(D1028,Roster!$A$6:$A$108,0))&gt;=5,INDEX(Inputs!$B$15:$D$15,1,MATCH(A1028,Inputs!$B$6:$D$6,0)),0)))))</x:f>
        <x:v>90</x:v>
      </x:c>
      <x:c r="M1028" s="20" t="n">
        <x:f>G1028*I1028</x:f>
        <x:v>31135</x:v>
      </x:c>
      <x:c r="N1028" s="20" t="n">
        <x:f>G1028*J1028</x:f>
        <x:v>260</x:v>
      </x:c>
      <x:c r="O1028" s="20" t="n">
        <x:f>G1028*K1028</x:f>
        <x:v>0</x:v>
      </x:c>
      <x:c r="P1028" s="20" t="n">
        <x:f>G1028*L1028</x:f>
        <x:v>1170</x:v>
      </x:c>
      <x:c r="Q1028" s="20" t="n">
        <x:f>H1028*INDEX(Inputs!$B$13:$D$13,1,MATCH(A1028,Inputs!$B$6:$D$6,0))</x:f>
        <x:v>390</x:v>
      </x:c>
      <x:c r="R1028" s="20" t="n">
        <x:f>SUM(M1028:Q1028)</x:f>
        <x:v>32955</x:v>
      </x:c>
      <x:c r="S1028" s="20" t="n">
        <x:f>IF(AND(A1027=A1028,D1027=D1028),S1027+R1028,R1028)</x:f>
        <x:v>98865</x:v>
      </x:c>
      <x:c r="T1028" s="20" t="n">
        <x:f>MIN(S1028,INDEX(Inputs!$B$20:$D$20,1,MATCH(A1028,Inputs!$B$6:$D$6,0)))*INDEX(Inputs!$B$22:$D$22,1,MATCH(A1028,Inputs!$B$6:$D$6,0))+MAX(MIN(S1028,INDEX(Inputs!$B$21:$D$21,1,MATCH(A1028,Inputs!$B$6:$D$6,0)))-INDEX(Inputs!$B$20:$D$20,1,MATCH(A1028,Inputs!$B$6:$D$6,0)),0)*INDEX(Inputs!$B$23:$D$23,1,MATCH(A1028,Inputs!$B$6:$D$6,0))+MAX(S1028-INDEX(Inputs!$B$21:$D$21,1,MATCH(A1028,Inputs!$B$6:$D$6,0)),0)*INDEX(Inputs!$B$24:$D$24,1,MATCH(A1028,Inputs!$B$6:$D$6,0))</x:f>
        <x:v>8053.1725</x:v>
      </x:c>
      <x:c r="U1028" s="20" t="n">
        <x:f>IF(AND(A1027=A1028,D1027=D1028),T1027,0)</x:f>
        <x:v>5532.115</x:v>
      </x:c>
      <x:c r="V1028" s="20" t="n">
        <x:f>T1028-U1028</x:f>
        <x:v>2521.0575</x:v>
      </x:c>
      <x:c r="W1028" s="20" t="n">
        <x:f>R1028+V1028</x:f>
        <x:v>35476.0575</x:v>
      </x:c>
      <x:c r="X1028" s="14" t="str">
        <x:f>IF(ABS(W1028-SUM(M1028:Q1028)-V1028)&lt;0.01,"OK","Check")</x:f>
        <x:v>OK</x:v>
      </x:c>
    </x:row>
    <x:row r="1029">
      <x:c r="A1029" s="14" t="n">
        <x:v>2028</x:v>
      </x:c>
      <x:c r="B1029" s="14" t="str">
        <x:v>Q4</x:v>
      </x:c>
      <x:c r="C1029" s="14" t="n">
        <x:v>4</x:v>
      </x:c>
      <x:c r="D1029" s="14" t="n">
        <x:v>50</x:v>
      </x:c>
      <x:c r="E1029" s="14" t="str">
        <x:f>INDEX(Roster!$B$6:$B$108,MATCH(D1029,Roster!$A$6:$A$108,0))</x:f>
      </x:c>
      <x:c r="F1029" s="14" t="str">
        <x:f>INDEX(Roster!$F$6:$F$108,MATCH(D1029,Roster!$A$6:$A$108,0))</x:f>
        <x:v>No</x:v>
      </x:c>
      <x:c r="G1029" s="14" t="n">
        <x:f>INDEX(Inputs!$B$7:$D$7,1,MATCH(A1029,Inputs!$B$6:$D$6,0))</x:f>
        <x:v>13</x:v>
      </x:c>
      <x:c r="H1029" s="14" t="n">
        <x:f>MIN(=INDEX(Inputs!$B$7:$D$7,1,MATCH(A1029,Inputs!$B$6:$D$6,0)),MAX(0,INDEX(Inputs!$B$14:$D$14,1,MATCH(A1029,Inputs!$B$6:$D$6,0))-(C1029-1)*=INDEX(Inputs!$B$7:$D$7,1,MATCH(A1029,Inputs!$B$6:$D$6,0))))</x:f>
        <x:v>0</x:v>
      </x:c>
      <x:c r="I1029" s="20" t="n">
        <x:f>INDEX(Inputs!$B$8:$D$8,1,MATCH(A1029,Inputs!$B$6:$D$6,0))</x:f>
        <x:v>2395</x:v>
      </x:c>
      <x:c r="J1029" s="20" t="n">
        <x:f>INDEX(Roster!$C$6:$C$108,MATCH(D1029,Roster!$A$6:$A$108,0))*(1+INDEX(Inputs!$B$9:$D$9,1,MATCH(A1029,Inputs!$B$6:$D$6,0)))</x:f>
        <x:v>20</x:v>
      </x:c>
      <x:c r="K1029" s="20" t="n">
        <x:f>IF(=INDEX(Roster!$F$6:$F$108,MATCH(D1029,Roster!$A$6:$A$108,0))="Yes",0,=INDEX(Inputs!$B$8:$D$8,1,MATCH(A1029,Inputs!$B$6:$D$6,0))*IF(=INDEX(Roster!$B$6:$B$108,MATCH(D1029,Roster!$A$6:$A$108,0))="Principal",INDEX(Inputs!$B$10:$D$10,1,MATCH(A1029,Inputs!$B$6:$D$6,0)),IF(=INDEX(Roster!$B$6:$B$108,MATCH(D1029,Roster!$A$6:$A$108,0))="Associate Principal",INDEX(Inputs!$B$11:$D$11,1,MATCH(A1029,Inputs!$B$6:$D$6,0)),IF(=INDEX(Roster!$B$6:$B$108,MATCH(D1029,Roster!$A$6:$A$108,0))="Assistant Principal",INDEX(Inputs!$B$12:$D$12,1,MATCH(A1029,Inputs!$B$6:$D$6,0)),0))))</x:f>
        <x:v>0</x:v>
      </x:c>
      <x:c r="L1029" s="20" t="n">
        <x:f>IF(INDEX(Roster!$D$6:$D$108,MATCH(D1029,Roster!$A$6:$A$108,0))&gt;=25,INDEX(Inputs!$B$19:$D$19,1,MATCH(A1029,Inputs!$B$6:$D$6,0)),IF(INDEX(Roster!$D$6:$D$108,MATCH(D1029,Roster!$A$6:$A$108,0))&gt;=20,INDEX(Inputs!$B$18:$D$18,1,MATCH(A1029,Inputs!$B$6:$D$6,0)),IF(INDEX(Roster!$D$6:$D$108,MATCH(D1029,Roster!$A$6:$A$108,0))&gt;=15,INDEX(Inputs!$B$17:$D$17,1,MATCH(A1029,Inputs!$B$6:$D$6,0)),IF(INDEX(Roster!$D$6:$D$108,MATCH(D1029,Roster!$A$6:$A$108,0))&gt;=10,INDEX(Inputs!$B$16:$D$16,1,MATCH(A1029,Inputs!$B$6:$D$6,0)),IF(INDEX(Roster!$D$6:$D$108,MATCH(D1029,Roster!$A$6:$A$108,0))&gt;=5,INDEX(Inputs!$B$15:$D$15,1,MATCH(A1029,Inputs!$B$6:$D$6,0)),0)))))</x:f>
        <x:v>90</x:v>
      </x:c>
      <x:c r="M1029" s="20" t="n">
        <x:f>G1029*I1029</x:f>
        <x:v>31135</x:v>
      </x:c>
      <x:c r="N1029" s="20" t="n">
        <x:f>G1029*J1029</x:f>
        <x:v>260</x:v>
      </x:c>
      <x:c r="O1029" s="20" t="n">
        <x:f>G1029*K1029</x:f>
        <x:v>0</x:v>
      </x:c>
      <x:c r="P1029" s="20" t="n">
        <x:f>G1029*L1029</x:f>
        <x:v>1170</x:v>
      </x:c>
      <x:c r="Q1029" s="20" t="n">
        <x:f>H1029*INDEX(Inputs!$B$13:$D$13,1,MATCH(A1029,Inputs!$B$6:$D$6,0))</x:f>
        <x:v>0</x:v>
      </x:c>
      <x:c r="R1029" s="20" t="n">
        <x:f>SUM(M1029:Q1029)</x:f>
        <x:v>32565</x:v>
      </x:c>
      <x:c r="S1029" s="20" t="n">
        <x:f>IF(AND(A1028=A1029,D1028=D1029),S1028+R1029,R1029)</x:f>
        <x:v>131430</x:v>
      </x:c>
      <x:c r="T1029" s="20" t="n">
        <x:f>MIN(S1029,INDEX(Inputs!$B$20:$D$20,1,MATCH(A1029,Inputs!$B$6:$D$6,0)))*INDEX(Inputs!$B$22:$D$22,1,MATCH(A1029,Inputs!$B$6:$D$6,0))+MAX(MIN(S1029,INDEX(Inputs!$B$21:$D$21,1,MATCH(A1029,Inputs!$B$6:$D$6,0)))-INDEX(Inputs!$B$20:$D$20,1,MATCH(A1029,Inputs!$B$6:$D$6,0)),0)*INDEX(Inputs!$B$23:$D$23,1,MATCH(A1029,Inputs!$B$6:$D$6,0))+MAX(S1029-INDEX(Inputs!$B$21:$D$21,1,MATCH(A1029,Inputs!$B$6:$D$6,0)),0)*INDEX(Inputs!$B$24:$D$24,1,MATCH(A1029,Inputs!$B$6:$D$6,0))</x:f>
        <x:v>9819.677</x:v>
      </x:c>
      <x:c r="U1029" s="20" t="n">
        <x:f>IF(AND(A1028=A1029,D1028=D1029),T1028,0)</x:f>
        <x:v>8053.1725</x:v>
      </x:c>
      <x:c r="V1029" s="20" t="n">
        <x:f>T1029-U1029</x:f>
        <x:v>1766.5045</x:v>
      </x:c>
      <x:c r="W1029" s="20" t="n">
        <x:f>R1029+V1029</x:f>
        <x:v>34331.5045</x:v>
      </x:c>
      <x:c r="X1029" s="14" t="str">
        <x:f>IF(ABS(W1029-SUM(M1029:Q1029)-V1029)&lt;0.01,"OK","Check")</x:f>
        <x:v>OK</x:v>
      </x:c>
    </x:row>
    <x:row r="1030">
      <x:c r="A1030" s="14" t="n">
        <x:v>2028</x:v>
      </x:c>
      <x:c r="B1030" s="14" t="str">
        <x:v>Q1</x:v>
      </x:c>
      <x:c r="C1030" s="14" t="n">
        <x:v>1</x:v>
      </x:c>
      <x:c r="D1030" s="14" t="n">
        <x:v>51</x:v>
      </x:c>
      <x:c r="E1030" s="14" t="str">
        <x:f>INDEX(Roster!$B$6:$B$108,MATCH(D1030,Roster!$A$6:$A$108,0))</x:f>
      </x:c>
      <x:c r="F1030" s="14" t="str">
        <x:f>INDEX(Roster!$F$6:$F$108,MATCH(D1030,Roster!$A$6:$A$108,0))</x:f>
        <x:v>No</x:v>
      </x:c>
      <x:c r="G1030" s="14" t="n">
        <x:f>INDEX(Inputs!$B$7:$D$7,1,MATCH(A1030,Inputs!$B$6:$D$6,0))</x:f>
        <x:v>13</x:v>
      </x:c>
      <x:c r="H1030" s="14" t="n">
        <x:f>MIN(=INDEX(Inputs!$B$7:$D$7,1,MATCH(A1030,Inputs!$B$6:$D$6,0)),MAX(0,INDEX(Inputs!$B$14:$D$14,1,MATCH(A1030,Inputs!$B$6:$D$6,0))-(C1030-1)*=INDEX(Inputs!$B$7:$D$7,1,MATCH(A1030,Inputs!$B$6:$D$6,0))))</x:f>
        <x:v>13</x:v>
      </x:c>
      <x:c r="I1030" s="20" t="n">
        <x:f>INDEX(Inputs!$B$8:$D$8,1,MATCH(A1030,Inputs!$B$6:$D$6,0))</x:f>
        <x:v>2395</x:v>
      </x:c>
      <x:c r="J1030" s="20" t="n">
        <x:f>INDEX(Roster!$C$6:$C$108,MATCH(D1030,Roster!$A$6:$A$108,0))*(1+INDEX(Inputs!$B$9:$D$9,1,MATCH(A1030,Inputs!$B$6:$D$6,0)))</x:f>
        <x:v>40</x:v>
      </x:c>
      <x:c r="K1030" s="20" t="n">
        <x:f>IF(=INDEX(Roster!$F$6:$F$108,MATCH(D1030,Roster!$A$6:$A$108,0))="Yes",0,=INDEX(Inputs!$B$8:$D$8,1,MATCH(A1030,Inputs!$B$6:$D$6,0))*IF(=INDEX(Roster!$B$6:$B$108,MATCH(D1030,Roster!$A$6:$A$108,0))="Principal",INDEX(Inputs!$B$10:$D$10,1,MATCH(A1030,Inputs!$B$6:$D$6,0)),IF(=INDEX(Roster!$B$6:$B$108,MATCH(D1030,Roster!$A$6:$A$108,0))="Associate Principal",INDEX(Inputs!$B$11:$D$11,1,MATCH(A1030,Inputs!$B$6:$D$6,0)),IF(=INDEX(Roster!$B$6:$B$108,MATCH(D1030,Roster!$A$6:$A$108,0))="Assistant Principal",INDEX(Inputs!$B$12:$D$12,1,MATCH(A1030,Inputs!$B$6:$D$6,0)),0))))</x:f>
        <x:v>0</x:v>
      </x:c>
      <x:c r="L1030" s="20" t="n">
        <x:f>IF(INDEX(Roster!$D$6:$D$108,MATCH(D1030,Roster!$A$6:$A$108,0))&gt;=25,INDEX(Inputs!$B$19:$D$19,1,MATCH(A1030,Inputs!$B$6:$D$6,0)),IF(INDEX(Roster!$D$6:$D$108,MATCH(D1030,Roster!$A$6:$A$108,0))&gt;=20,INDEX(Inputs!$B$18:$D$18,1,MATCH(A1030,Inputs!$B$6:$D$6,0)),IF(INDEX(Roster!$D$6:$D$108,MATCH(D1030,Roster!$A$6:$A$108,0))&gt;=15,INDEX(Inputs!$B$17:$D$17,1,MATCH(A1030,Inputs!$B$6:$D$6,0)),IF(INDEX(Roster!$D$6:$D$108,MATCH(D1030,Roster!$A$6:$A$108,0))&gt;=10,INDEX(Inputs!$B$16:$D$16,1,MATCH(A1030,Inputs!$B$6:$D$6,0)),IF(INDEX(Roster!$D$6:$D$108,MATCH(D1030,Roster!$A$6:$A$108,0))&gt;=5,INDEX(Inputs!$B$15:$D$15,1,MATCH(A1030,Inputs!$B$6:$D$6,0)),0)))))</x:f>
        <x:v>70</x:v>
      </x:c>
      <x:c r="M1030" s="20" t="n">
        <x:f>G1030*I1030</x:f>
        <x:v>31135</x:v>
      </x:c>
      <x:c r="N1030" s="20" t="n">
        <x:f>G1030*J1030</x:f>
        <x:v>520</x:v>
      </x:c>
      <x:c r="O1030" s="20" t="n">
        <x:f>G1030*K1030</x:f>
        <x:v>0</x:v>
      </x:c>
      <x:c r="P1030" s="20" t="n">
        <x:f>G1030*L1030</x:f>
        <x:v>910</x:v>
      </x:c>
      <x:c r="Q1030" s="20" t="n">
        <x:f>H1030*INDEX(Inputs!$B$13:$D$13,1,MATCH(A1030,Inputs!$B$6:$D$6,0))</x:f>
        <x:v>390</x:v>
      </x:c>
      <x:c r="R1030" s="20" t="n">
        <x:f>SUM(M1030:Q1030)</x:f>
        <x:v>32955</x:v>
      </x:c>
      <x:c r="S1030" s="20" t="n">
        <x:f>IF(AND(A1029=A1030,D1029=D1030),S1029+R1030,R1030)</x:f>
        <x:v>32955</x:v>
      </x:c>
      <x:c r="T1030" s="20" t="n">
        <x:f>MIN(S1030,INDEX(Inputs!$B$20:$D$20,1,MATCH(A1030,Inputs!$B$6:$D$6,0)))*INDEX(Inputs!$B$22:$D$22,1,MATCH(A1030,Inputs!$B$6:$D$6,0))+MAX(MIN(S1030,INDEX(Inputs!$B$21:$D$21,1,MATCH(A1030,Inputs!$B$6:$D$6,0)))-INDEX(Inputs!$B$20:$D$20,1,MATCH(A1030,Inputs!$B$6:$D$6,0)),0)*INDEX(Inputs!$B$23:$D$23,1,MATCH(A1030,Inputs!$B$6:$D$6,0))+MAX(S1030-INDEX(Inputs!$B$21:$D$21,1,MATCH(A1030,Inputs!$B$6:$D$6,0)),0)*INDEX(Inputs!$B$24:$D$24,1,MATCH(A1030,Inputs!$B$6:$D$6,0))</x:f>
        <x:v>3011.0575</x:v>
      </x:c>
      <x:c r="U1030" s="20" t="n">
        <x:f>IF(AND(A1029=A1030,D1029=D1030),T1029,0)</x:f>
        <x:v>0</x:v>
      </x:c>
      <x:c r="V1030" s="20" t="n">
        <x:f>T1030-U1030</x:f>
        <x:v>3011.0575</x:v>
      </x:c>
      <x:c r="W1030" s="20" t="n">
        <x:f>R1030+V1030</x:f>
        <x:v>35966.0575</x:v>
      </x:c>
      <x:c r="X1030" s="14" t="str">
        <x:f>IF(ABS(W1030-SUM(M1030:Q1030)-V1030)&lt;0.01,"OK","Check")</x:f>
        <x:v>OK</x:v>
      </x:c>
    </x:row>
    <x:row r="1031">
      <x:c r="A1031" s="14" t="n">
        <x:v>2028</x:v>
      </x:c>
      <x:c r="B1031" s="14" t="str">
        <x:v>Q2</x:v>
      </x:c>
      <x:c r="C1031" s="14" t="n">
        <x:v>2</x:v>
      </x:c>
      <x:c r="D1031" s="14" t="n">
        <x:v>51</x:v>
      </x:c>
      <x:c r="E1031" s="14" t="str">
        <x:f>INDEX(Roster!$B$6:$B$108,MATCH(D1031,Roster!$A$6:$A$108,0))</x:f>
      </x:c>
      <x:c r="F1031" s="14" t="str">
        <x:f>INDEX(Roster!$F$6:$F$108,MATCH(D1031,Roster!$A$6:$A$108,0))</x:f>
        <x:v>No</x:v>
      </x:c>
      <x:c r="G1031" s="14" t="n">
        <x:f>INDEX(Inputs!$B$7:$D$7,1,MATCH(A1031,Inputs!$B$6:$D$6,0))</x:f>
        <x:v>13</x:v>
      </x:c>
      <x:c r="H1031" s="14" t="n">
        <x:f>MIN(=INDEX(Inputs!$B$7:$D$7,1,MATCH(A1031,Inputs!$B$6:$D$6,0)),MAX(0,INDEX(Inputs!$B$14:$D$14,1,MATCH(A1031,Inputs!$B$6:$D$6,0))-(C1031-1)*=INDEX(Inputs!$B$7:$D$7,1,MATCH(A1031,Inputs!$B$6:$D$6,0))))</x:f>
        <x:v>13</x:v>
      </x:c>
      <x:c r="I1031" s="20" t="n">
        <x:f>INDEX(Inputs!$B$8:$D$8,1,MATCH(A1031,Inputs!$B$6:$D$6,0))</x:f>
        <x:v>2395</x:v>
      </x:c>
      <x:c r="J1031" s="20" t="n">
        <x:f>INDEX(Roster!$C$6:$C$108,MATCH(D1031,Roster!$A$6:$A$108,0))*(1+INDEX(Inputs!$B$9:$D$9,1,MATCH(A1031,Inputs!$B$6:$D$6,0)))</x:f>
        <x:v>40</x:v>
      </x:c>
      <x:c r="K1031" s="20" t="n">
        <x:f>IF(=INDEX(Roster!$F$6:$F$108,MATCH(D1031,Roster!$A$6:$A$108,0))="Yes",0,=INDEX(Inputs!$B$8:$D$8,1,MATCH(A1031,Inputs!$B$6:$D$6,0))*IF(=INDEX(Roster!$B$6:$B$108,MATCH(D1031,Roster!$A$6:$A$108,0))="Principal",INDEX(Inputs!$B$10:$D$10,1,MATCH(A1031,Inputs!$B$6:$D$6,0)),IF(=INDEX(Roster!$B$6:$B$108,MATCH(D1031,Roster!$A$6:$A$108,0))="Associate Principal",INDEX(Inputs!$B$11:$D$11,1,MATCH(A1031,Inputs!$B$6:$D$6,0)),IF(=INDEX(Roster!$B$6:$B$108,MATCH(D1031,Roster!$A$6:$A$108,0))="Assistant Principal",INDEX(Inputs!$B$12:$D$12,1,MATCH(A1031,Inputs!$B$6:$D$6,0)),0))))</x:f>
        <x:v>0</x:v>
      </x:c>
      <x:c r="L1031" s="20" t="n">
        <x:f>IF(INDEX(Roster!$D$6:$D$108,MATCH(D1031,Roster!$A$6:$A$108,0))&gt;=25,INDEX(Inputs!$B$19:$D$19,1,MATCH(A1031,Inputs!$B$6:$D$6,0)),IF(INDEX(Roster!$D$6:$D$108,MATCH(D1031,Roster!$A$6:$A$108,0))&gt;=20,INDEX(Inputs!$B$18:$D$18,1,MATCH(A1031,Inputs!$B$6:$D$6,0)),IF(INDEX(Roster!$D$6:$D$108,MATCH(D1031,Roster!$A$6:$A$108,0))&gt;=15,INDEX(Inputs!$B$17:$D$17,1,MATCH(A1031,Inputs!$B$6:$D$6,0)),IF(INDEX(Roster!$D$6:$D$108,MATCH(D1031,Roster!$A$6:$A$108,0))&gt;=10,INDEX(Inputs!$B$16:$D$16,1,MATCH(A1031,Inputs!$B$6:$D$6,0)),IF(INDEX(Roster!$D$6:$D$108,MATCH(D1031,Roster!$A$6:$A$108,0))&gt;=5,INDEX(Inputs!$B$15:$D$15,1,MATCH(A1031,Inputs!$B$6:$D$6,0)),0)))))</x:f>
        <x:v>70</x:v>
      </x:c>
      <x:c r="M1031" s="20" t="n">
        <x:f>G1031*I1031</x:f>
        <x:v>31135</x:v>
      </x:c>
      <x:c r="N1031" s="20" t="n">
        <x:f>G1031*J1031</x:f>
        <x:v>520</x:v>
      </x:c>
      <x:c r="O1031" s="20" t="n">
        <x:f>G1031*K1031</x:f>
        <x:v>0</x:v>
      </x:c>
      <x:c r="P1031" s="20" t="n">
        <x:f>G1031*L1031</x:f>
        <x:v>910</x:v>
      </x:c>
      <x:c r="Q1031" s="20" t="n">
        <x:f>H1031*INDEX(Inputs!$B$13:$D$13,1,MATCH(A1031,Inputs!$B$6:$D$6,0))</x:f>
        <x:v>390</x:v>
      </x:c>
      <x:c r="R1031" s="20" t="n">
        <x:f>SUM(M1031:Q1031)</x:f>
        <x:v>32955</x:v>
      </x:c>
      <x:c r="S1031" s="20" t="n">
        <x:f>IF(AND(A1030=A1031,D1030=D1031),S1030+R1031,R1031)</x:f>
        <x:v>65910</x:v>
      </x:c>
      <x:c r="T1031" s="20" t="n">
        <x:f>MIN(S1031,INDEX(Inputs!$B$20:$D$20,1,MATCH(A1031,Inputs!$B$6:$D$6,0)))*INDEX(Inputs!$B$22:$D$22,1,MATCH(A1031,Inputs!$B$6:$D$6,0))+MAX(MIN(S1031,INDEX(Inputs!$B$21:$D$21,1,MATCH(A1031,Inputs!$B$6:$D$6,0)))-INDEX(Inputs!$B$20:$D$20,1,MATCH(A1031,Inputs!$B$6:$D$6,0)),0)*INDEX(Inputs!$B$23:$D$23,1,MATCH(A1031,Inputs!$B$6:$D$6,0))+MAX(S1031-INDEX(Inputs!$B$21:$D$21,1,MATCH(A1031,Inputs!$B$6:$D$6,0)),0)*INDEX(Inputs!$B$24:$D$24,1,MATCH(A1031,Inputs!$B$6:$D$6,0))</x:f>
        <x:v>5532.115</x:v>
      </x:c>
      <x:c r="U1031" s="20" t="n">
        <x:f>IF(AND(A1030=A1031,D1030=D1031),T1030,0)</x:f>
        <x:v>3011.0575</x:v>
      </x:c>
      <x:c r="V1031" s="20" t="n">
        <x:f>T1031-U1031</x:f>
        <x:v>2521.0575</x:v>
      </x:c>
      <x:c r="W1031" s="20" t="n">
        <x:f>R1031+V1031</x:f>
        <x:v>35476.0575</x:v>
      </x:c>
      <x:c r="X1031" s="14" t="str">
        <x:f>IF(ABS(W1031-SUM(M1031:Q1031)-V1031)&lt;0.01,"OK","Check")</x:f>
        <x:v>OK</x:v>
      </x:c>
    </x:row>
    <x:row r="1032">
      <x:c r="A1032" s="14" t="n">
        <x:v>2028</x:v>
      </x:c>
      <x:c r="B1032" s="14" t="str">
        <x:v>Q3</x:v>
      </x:c>
      <x:c r="C1032" s="14" t="n">
        <x:v>3</x:v>
      </x:c>
      <x:c r="D1032" s="14" t="n">
        <x:v>51</x:v>
      </x:c>
      <x:c r="E1032" s="14" t="str">
        <x:f>INDEX(Roster!$B$6:$B$108,MATCH(D1032,Roster!$A$6:$A$108,0))</x:f>
      </x:c>
      <x:c r="F1032" s="14" t="str">
        <x:f>INDEX(Roster!$F$6:$F$108,MATCH(D1032,Roster!$A$6:$A$108,0))</x:f>
        <x:v>No</x:v>
      </x:c>
      <x:c r="G1032" s="14" t="n">
        <x:f>INDEX(Inputs!$B$7:$D$7,1,MATCH(A1032,Inputs!$B$6:$D$6,0))</x:f>
        <x:v>13</x:v>
      </x:c>
      <x:c r="H1032" s="14" t="n">
        <x:f>MIN(=INDEX(Inputs!$B$7:$D$7,1,MATCH(A1032,Inputs!$B$6:$D$6,0)),MAX(0,INDEX(Inputs!$B$14:$D$14,1,MATCH(A1032,Inputs!$B$6:$D$6,0))-(C1032-1)*=INDEX(Inputs!$B$7:$D$7,1,MATCH(A1032,Inputs!$B$6:$D$6,0))))</x:f>
        <x:v>13</x:v>
      </x:c>
      <x:c r="I1032" s="20" t="n">
        <x:f>INDEX(Inputs!$B$8:$D$8,1,MATCH(A1032,Inputs!$B$6:$D$6,0))</x:f>
        <x:v>2395</x:v>
      </x:c>
      <x:c r="J1032" s="20" t="n">
        <x:f>INDEX(Roster!$C$6:$C$108,MATCH(D1032,Roster!$A$6:$A$108,0))*(1+INDEX(Inputs!$B$9:$D$9,1,MATCH(A1032,Inputs!$B$6:$D$6,0)))</x:f>
        <x:v>40</x:v>
      </x:c>
      <x:c r="K1032" s="20" t="n">
        <x:f>IF(=INDEX(Roster!$F$6:$F$108,MATCH(D1032,Roster!$A$6:$A$108,0))="Yes",0,=INDEX(Inputs!$B$8:$D$8,1,MATCH(A1032,Inputs!$B$6:$D$6,0))*IF(=INDEX(Roster!$B$6:$B$108,MATCH(D1032,Roster!$A$6:$A$108,0))="Principal",INDEX(Inputs!$B$10:$D$10,1,MATCH(A1032,Inputs!$B$6:$D$6,0)),IF(=INDEX(Roster!$B$6:$B$108,MATCH(D1032,Roster!$A$6:$A$108,0))="Associate Principal",INDEX(Inputs!$B$11:$D$11,1,MATCH(A1032,Inputs!$B$6:$D$6,0)),IF(=INDEX(Roster!$B$6:$B$108,MATCH(D1032,Roster!$A$6:$A$108,0))="Assistant Principal",INDEX(Inputs!$B$12:$D$12,1,MATCH(A1032,Inputs!$B$6:$D$6,0)),0))))</x:f>
        <x:v>0</x:v>
      </x:c>
      <x:c r="L1032" s="20" t="n">
        <x:f>IF(INDEX(Roster!$D$6:$D$108,MATCH(D1032,Roster!$A$6:$A$108,0))&gt;=25,INDEX(Inputs!$B$19:$D$19,1,MATCH(A1032,Inputs!$B$6:$D$6,0)),IF(INDEX(Roster!$D$6:$D$108,MATCH(D1032,Roster!$A$6:$A$108,0))&gt;=20,INDEX(Inputs!$B$18:$D$18,1,MATCH(A1032,Inputs!$B$6:$D$6,0)),IF(INDEX(Roster!$D$6:$D$108,MATCH(D1032,Roster!$A$6:$A$108,0))&gt;=15,INDEX(Inputs!$B$17:$D$17,1,MATCH(A1032,Inputs!$B$6:$D$6,0)),IF(INDEX(Roster!$D$6:$D$108,MATCH(D1032,Roster!$A$6:$A$108,0))&gt;=10,INDEX(Inputs!$B$16:$D$16,1,MATCH(A1032,Inputs!$B$6:$D$6,0)),IF(INDEX(Roster!$D$6:$D$108,MATCH(D1032,Roster!$A$6:$A$108,0))&gt;=5,INDEX(Inputs!$B$15:$D$15,1,MATCH(A1032,Inputs!$B$6:$D$6,0)),0)))))</x:f>
        <x:v>70</x:v>
      </x:c>
      <x:c r="M1032" s="20" t="n">
        <x:f>G1032*I1032</x:f>
        <x:v>31135</x:v>
      </x:c>
      <x:c r="N1032" s="20" t="n">
        <x:f>G1032*J1032</x:f>
        <x:v>520</x:v>
      </x:c>
      <x:c r="O1032" s="20" t="n">
        <x:f>G1032*K1032</x:f>
        <x:v>0</x:v>
      </x:c>
      <x:c r="P1032" s="20" t="n">
        <x:f>G1032*L1032</x:f>
        <x:v>910</x:v>
      </x:c>
      <x:c r="Q1032" s="20" t="n">
        <x:f>H1032*INDEX(Inputs!$B$13:$D$13,1,MATCH(A1032,Inputs!$B$6:$D$6,0))</x:f>
        <x:v>390</x:v>
      </x:c>
      <x:c r="R1032" s="20" t="n">
        <x:f>SUM(M1032:Q1032)</x:f>
        <x:v>32955</x:v>
      </x:c>
      <x:c r="S1032" s="20" t="n">
        <x:f>IF(AND(A1031=A1032,D1031=D1032),S1031+R1032,R1032)</x:f>
        <x:v>98865</x:v>
      </x:c>
      <x:c r="T1032" s="20" t="n">
        <x:f>MIN(S1032,INDEX(Inputs!$B$20:$D$20,1,MATCH(A1032,Inputs!$B$6:$D$6,0)))*INDEX(Inputs!$B$22:$D$22,1,MATCH(A1032,Inputs!$B$6:$D$6,0))+MAX(MIN(S1032,INDEX(Inputs!$B$21:$D$21,1,MATCH(A1032,Inputs!$B$6:$D$6,0)))-INDEX(Inputs!$B$20:$D$20,1,MATCH(A1032,Inputs!$B$6:$D$6,0)),0)*INDEX(Inputs!$B$23:$D$23,1,MATCH(A1032,Inputs!$B$6:$D$6,0))+MAX(S1032-INDEX(Inputs!$B$21:$D$21,1,MATCH(A1032,Inputs!$B$6:$D$6,0)),0)*INDEX(Inputs!$B$24:$D$24,1,MATCH(A1032,Inputs!$B$6:$D$6,0))</x:f>
        <x:v>8053.1725</x:v>
      </x:c>
      <x:c r="U1032" s="20" t="n">
        <x:f>IF(AND(A1031=A1032,D1031=D1032),T1031,0)</x:f>
        <x:v>5532.115</x:v>
      </x:c>
      <x:c r="V1032" s="20" t="n">
        <x:f>T1032-U1032</x:f>
        <x:v>2521.0575</x:v>
      </x:c>
      <x:c r="W1032" s="20" t="n">
        <x:f>R1032+V1032</x:f>
        <x:v>35476.0575</x:v>
      </x:c>
      <x:c r="X1032" s="14" t="str">
        <x:f>IF(ABS(W1032-SUM(M1032:Q1032)-V1032)&lt;0.01,"OK","Check")</x:f>
        <x:v>OK</x:v>
      </x:c>
    </x:row>
    <x:row r="1033">
      <x:c r="A1033" s="14" t="n">
        <x:v>2028</x:v>
      </x:c>
      <x:c r="B1033" s="14" t="str">
        <x:v>Q4</x:v>
      </x:c>
      <x:c r="C1033" s="14" t="n">
        <x:v>4</x:v>
      </x:c>
      <x:c r="D1033" s="14" t="n">
        <x:v>51</x:v>
      </x:c>
      <x:c r="E1033" s="14" t="str">
        <x:f>INDEX(Roster!$B$6:$B$108,MATCH(D1033,Roster!$A$6:$A$108,0))</x:f>
      </x:c>
      <x:c r="F1033" s="14" t="str">
        <x:f>INDEX(Roster!$F$6:$F$108,MATCH(D1033,Roster!$A$6:$A$108,0))</x:f>
        <x:v>No</x:v>
      </x:c>
      <x:c r="G1033" s="14" t="n">
        <x:f>INDEX(Inputs!$B$7:$D$7,1,MATCH(A1033,Inputs!$B$6:$D$6,0))</x:f>
        <x:v>13</x:v>
      </x:c>
      <x:c r="H1033" s="14" t="n">
        <x:f>MIN(=INDEX(Inputs!$B$7:$D$7,1,MATCH(A1033,Inputs!$B$6:$D$6,0)),MAX(0,INDEX(Inputs!$B$14:$D$14,1,MATCH(A1033,Inputs!$B$6:$D$6,0))-(C1033-1)*=INDEX(Inputs!$B$7:$D$7,1,MATCH(A1033,Inputs!$B$6:$D$6,0))))</x:f>
        <x:v>0</x:v>
      </x:c>
      <x:c r="I1033" s="20" t="n">
        <x:f>INDEX(Inputs!$B$8:$D$8,1,MATCH(A1033,Inputs!$B$6:$D$6,0))</x:f>
        <x:v>2395</x:v>
      </x:c>
      <x:c r="J1033" s="20" t="n">
        <x:f>INDEX(Roster!$C$6:$C$108,MATCH(D1033,Roster!$A$6:$A$108,0))*(1+INDEX(Inputs!$B$9:$D$9,1,MATCH(A1033,Inputs!$B$6:$D$6,0)))</x:f>
        <x:v>40</x:v>
      </x:c>
      <x:c r="K1033" s="20" t="n">
        <x:f>IF(=INDEX(Roster!$F$6:$F$108,MATCH(D1033,Roster!$A$6:$A$108,0))="Yes",0,=INDEX(Inputs!$B$8:$D$8,1,MATCH(A1033,Inputs!$B$6:$D$6,0))*IF(=INDEX(Roster!$B$6:$B$108,MATCH(D1033,Roster!$A$6:$A$108,0))="Principal",INDEX(Inputs!$B$10:$D$10,1,MATCH(A1033,Inputs!$B$6:$D$6,0)),IF(=INDEX(Roster!$B$6:$B$108,MATCH(D1033,Roster!$A$6:$A$108,0))="Associate Principal",INDEX(Inputs!$B$11:$D$11,1,MATCH(A1033,Inputs!$B$6:$D$6,0)),IF(=INDEX(Roster!$B$6:$B$108,MATCH(D1033,Roster!$A$6:$A$108,0))="Assistant Principal",INDEX(Inputs!$B$12:$D$12,1,MATCH(A1033,Inputs!$B$6:$D$6,0)),0))))</x:f>
        <x:v>0</x:v>
      </x:c>
      <x:c r="L1033" s="20" t="n">
        <x:f>IF(INDEX(Roster!$D$6:$D$108,MATCH(D1033,Roster!$A$6:$A$108,0))&gt;=25,INDEX(Inputs!$B$19:$D$19,1,MATCH(A1033,Inputs!$B$6:$D$6,0)),IF(INDEX(Roster!$D$6:$D$108,MATCH(D1033,Roster!$A$6:$A$108,0))&gt;=20,INDEX(Inputs!$B$18:$D$18,1,MATCH(A1033,Inputs!$B$6:$D$6,0)),IF(INDEX(Roster!$D$6:$D$108,MATCH(D1033,Roster!$A$6:$A$108,0))&gt;=15,INDEX(Inputs!$B$17:$D$17,1,MATCH(A1033,Inputs!$B$6:$D$6,0)),IF(INDEX(Roster!$D$6:$D$108,MATCH(D1033,Roster!$A$6:$A$108,0))&gt;=10,INDEX(Inputs!$B$16:$D$16,1,MATCH(A1033,Inputs!$B$6:$D$6,0)),IF(INDEX(Roster!$D$6:$D$108,MATCH(D1033,Roster!$A$6:$A$108,0))&gt;=5,INDEX(Inputs!$B$15:$D$15,1,MATCH(A1033,Inputs!$B$6:$D$6,0)),0)))))</x:f>
        <x:v>70</x:v>
      </x:c>
      <x:c r="M1033" s="20" t="n">
        <x:f>G1033*I1033</x:f>
        <x:v>31135</x:v>
      </x:c>
      <x:c r="N1033" s="20" t="n">
        <x:f>G1033*J1033</x:f>
        <x:v>520</x:v>
      </x:c>
      <x:c r="O1033" s="20" t="n">
        <x:f>G1033*K1033</x:f>
        <x:v>0</x:v>
      </x:c>
      <x:c r="P1033" s="20" t="n">
        <x:f>G1033*L1033</x:f>
        <x:v>910</x:v>
      </x:c>
      <x:c r="Q1033" s="20" t="n">
        <x:f>H1033*INDEX(Inputs!$B$13:$D$13,1,MATCH(A1033,Inputs!$B$6:$D$6,0))</x:f>
        <x:v>0</x:v>
      </x:c>
      <x:c r="R1033" s="20" t="n">
        <x:f>SUM(M1033:Q1033)</x:f>
        <x:v>32565</x:v>
      </x:c>
      <x:c r="S1033" s="20" t="n">
        <x:f>IF(AND(A1032=A1033,D1032=D1033),S1032+R1033,R1033)</x:f>
        <x:v>131430</x:v>
      </x:c>
      <x:c r="T1033" s="20" t="n">
        <x:f>MIN(S1033,INDEX(Inputs!$B$20:$D$20,1,MATCH(A1033,Inputs!$B$6:$D$6,0)))*INDEX(Inputs!$B$22:$D$22,1,MATCH(A1033,Inputs!$B$6:$D$6,0))+MAX(MIN(S1033,INDEX(Inputs!$B$21:$D$21,1,MATCH(A1033,Inputs!$B$6:$D$6,0)))-INDEX(Inputs!$B$20:$D$20,1,MATCH(A1033,Inputs!$B$6:$D$6,0)),0)*INDEX(Inputs!$B$23:$D$23,1,MATCH(A1033,Inputs!$B$6:$D$6,0))+MAX(S1033-INDEX(Inputs!$B$21:$D$21,1,MATCH(A1033,Inputs!$B$6:$D$6,0)),0)*INDEX(Inputs!$B$24:$D$24,1,MATCH(A1033,Inputs!$B$6:$D$6,0))</x:f>
        <x:v>9819.677</x:v>
      </x:c>
      <x:c r="U1033" s="20" t="n">
        <x:f>IF(AND(A1032=A1033,D1032=D1033),T1032,0)</x:f>
        <x:v>8053.1725</x:v>
      </x:c>
      <x:c r="V1033" s="20" t="n">
        <x:f>T1033-U1033</x:f>
        <x:v>1766.5045</x:v>
      </x:c>
      <x:c r="W1033" s="20" t="n">
        <x:f>R1033+V1033</x:f>
        <x:v>34331.5045</x:v>
      </x:c>
      <x:c r="X1033" s="14" t="str">
        <x:f>IF(ABS(W1033-SUM(M1033:Q1033)-V1033)&lt;0.01,"OK","Check")</x:f>
        <x:v>OK</x:v>
      </x:c>
    </x:row>
    <x:row r="1034">
      <x:c r="A1034" s="14" t="n">
        <x:v>2028</x:v>
      </x:c>
      <x:c r="B1034" s="14" t="str">
        <x:v>Q1</x:v>
      </x:c>
      <x:c r="C1034" s="14" t="n">
        <x:v>1</x:v>
      </x:c>
      <x:c r="D1034" s="14" t="n">
        <x:v>52</x:v>
      </x:c>
      <x:c r="E1034" s="14" t="str">
        <x:f>INDEX(Roster!$B$6:$B$108,MATCH(D1034,Roster!$A$6:$A$108,0))</x:f>
      </x:c>
      <x:c r="F1034" s="14" t="str">
        <x:f>INDEX(Roster!$F$6:$F$108,MATCH(D1034,Roster!$A$6:$A$108,0))</x:f>
        <x:v>No</x:v>
      </x:c>
      <x:c r="G1034" s="14" t="n">
        <x:f>INDEX(Inputs!$B$7:$D$7,1,MATCH(A1034,Inputs!$B$6:$D$6,0))</x:f>
        <x:v>13</x:v>
      </x:c>
      <x:c r="H1034" s="14" t="n">
        <x:f>MIN(=INDEX(Inputs!$B$7:$D$7,1,MATCH(A1034,Inputs!$B$6:$D$6,0)),MAX(0,INDEX(Inputs!$B$14:$D$14,1,MATCH(A1034,Inputs!$B$6:$D$6,0))-(C1034-1)*=INDEX(Inputs!$B$7:$D$7,1,MATCH(A1034,Inputs!$B$6:$D$6,0))))</x:f>
        <x:v>13</x:v>
      </x:c>
      <x:c r="I1034" s="20" t="n">
        <x:f>INDEX(Inputs!$B$8:$D$8,1,MATCH(A1034,Inputs!$B$6:$D$6,0))</x:f>
        <x:v>2395</x:v>
      </x:c>
      <x:c r="J1034" s="20" t="n">
        <x:f>INDEX(Roster!$C$6:$C$108,MATCH(D1034,Roster!$A$6:$A$108,0))*(1+INDEX(Inputs!$B$9:$D$9,1,MATCH(A1034,Inputs!$B$6:$D$6,0)))</x:f>
        <x:v>90</x:v>
      </x:c>
      <x:c r="K1034" s="20" t="n">
        <x:f>IF(=INDEX(Roster!$F$6:$F$108,MATCH(D1034,Roster!$A$6:$A$108,0))="Yes",0,=INDEX(Inputs!$B$8:$D$8,1,MATCH(A1034,Inputs!$B$6:$D$6,0))*IF(=INDEX(Roster!$B$6:$B$108,MATCH(D1034,Roster!$A$6:$A$108,0))="Principal",INDEX(Inputs!$B$10:$D$10,1,MATCH(A1034,Inputs!$B$6:$D$6,0)),IF(=INDEX(Roster!$B$6:$B$108,MATCH(D1034,Roster!$A$6:$A$108,0))="Associate Principal",INDEX(Inputs!$B$11:$D$11,1,MATCH(A1034,Inputs!$B$6:$D$6,0)),IF(=INDEX(Roster!$B$6:$B$108,MATCH(D1034,Roster!$A$6:$A$108,0))="Assistant Principal",INDEX(Inputs!$B$12:$D$12,1,MATCH(A1034,Inputs!$B$6:$D$6,0)),0))))</x:f>
        <x:v>0</x:v>
      </x:c>
      <x:c r="L1034" s="20" t="n">
        <x:f>IF(INDEX(Roster!$D$6:$D$108,MATCH(D1034,Roster!$A$6:$A$108,0))&gt;=25,INDEX(Inputs!$B$19:$D$19,1,MATCH(A1034,Inputs!$B$6:$D$6,0)),IF(INDEX(Roster!$D$6:$D$108,MATCH(D1034,Roster!$A$6:$A$108,0))&gt;=20,INDEX(Inputs!$B$18:$D$18,1,MATCH(A1034,Inputs!$B$6:$D$6,0)),IF(INDEX(Roster!$D$6:$D$108,MATCH(D1034,Roster!$A$6:$A$108,0))&gt;=15,INDEX(Inputs!$B$17:$D$17,1,MATCH(A1034,Inputs!$B$6:$D$6,0)),IF(INDEX(Roster!$D$6:$D$108,MATCH(D1034,Roster!$A$6:$A$108,0))&gt;=10,INDEX(Inputs!$B$16:$D$16,1,MATCH(A1034,Inputs!$B$6:$D$6,0)),IF(INDEX(Roster!$D$6:$D$108,MATCH(D1034,Roster!$A$6:$A$108,0))&gt;=5,INDEX(Inputs!$B$15:$D$15,1,MATCH(A1034,Inputs!$B$6:$D$6,0)),0)))))</x:f>
        <x:v>70</x:v>
      </x:c>
      <x:c r="M1034" s="20" t="n">
        <x:f>G1034*I1034</x:f>
        <x:v>31135</x:v>
      </x:c>
      <x:c r="N1034" s="20" t="n">
        <x:f>G1034*J1034</x:f>
        <x:v>1170</x:v>
      </x:c>
      <x:c r="O1034" s="20" t="n">
        <x:f>G1034*K1034</x:f>
        <x:v>0</x:v>
      </x:c>
      <x:c r="P1034" s="20" t="n">
        <x:f>G1034*L1034</x:f>
        <x:v>910</x:v>
      </x:c>
      <x:c r="Q1034" s="20" t="n">
        <x:f>H1034*INDEX(Inputs!$B$13:$D$13,1,MATCH(A1034,Inputs!$B$6:$D$6,0))</x:f>
        <x:v>390</x:v>
      </x:c>
      <x:c r="R1034" s="20" t="n">
        <x:f>SUM(M1034:Q1034)</x:f>
        <x:v>33605</x:v>
      </x:c>
      <x:c r="S1034" s="20" t="n">
        <x:f>IF(AND(A1033=A1034,D1033=D1034),S1033+R1034,R1034)</x:f>
        <x:v>33605</x:v>
      </x:c>
      <x:c r="T1034" s="20" t="n">
        <x:f>MIN(S1034,INDEX(Inputs!$B$20:$D$20,1,MATCH(A1034,Inputs!$B$6:$D$6,0)))*INDEX(Inputs!$B$22:$D$22,1,MATCH(A1034,Inputs!$B$6:$D$6,0))+MAX(MIN(S1034,INDEX(Inputs!$B$21:$D$21,1,MATCH(A1034,Inputs!$B$6:$D$6,0)))-INDEX(Inputs!$B$20:$D$20,1,MATCH(A1034,Inputs!$B$6:$D$6,0)),0)*INDEX(Inputs!$B$23:$D$23,1,MATCH(A1034,Inputs!$B$6:$D$6,0))+MAX(S1034-INDEX(Inputs!$B$21:$D$21,1,MATCH(A1034,Inputs!$B$6:$D$6,0)),0)*INDEX(Inputs!$B$24:$D$24,1,MATCH(A1034,Inputs!$B$6:$D$6,0))</x:f>
        <x:v>3060.7825000000003</x:v>
      </x:c>
      <x:c r="U1034" s="20" t="n">
        <x:f>IF(AND(A1033=A1034,D1033=D1034),T1033,0)</x:f>
        <x:v>0</x:v>
      </x:c>
      <x:c r="V1034" s="20" t="n">
        <x:f>T1034-U1034</x:f>
        <x:v>3060.7825000000003</x:v>
      </x:c>
      <x:c r="W1034" s="20" t="n">
        <x:f>R1034+V1034</x:f>
        <x:v>36665.7825</x:v>
      </x:c>
      <x:c r="X1034" s="14" t="str">
        <x:f>IF(ABS(W1034-SUM(M1034:Q1034)-V1034)&lt;0.01,"OK","Check")</x:f>
        <x:v>OK</x:v>
      </x:c>
    </x:row>
    <x:row r="1035">
      <x:c r="A1035" s="14" t="n">
        <x:v>2028</x:v>
      </x:c>
      <x:c r="B1035" s="14" t="str">
        <x:v>Q2</x:v>
      </x:c>
      <x:c r="C1035" s="14" t="n">
        <x:v>2</x:v>
      </x:c>
      <x:c r="D1035" s="14" t="n">
        <x:v>52</x:v>
      </x:c>
      <x:c r="E1035" s="14" t="str">
        <x:f>INDEX(Roster!$B$6:$B$108,MATCH(D1035,Roster!$A$6:$A$108,0))</x:f>
      </x:c>
      <x:c r="F1035" s="14" t="str">
        <x:f>INDEX(Roster!$F$6:$F$108,MATCH(D1035,Roster!$A$6:$A$108,0))</x:f>
        <x:v>No</x:v>
      </x:c>
      <x:c r="G1035" s="14" t="n">
        <x:f>INDEX(Inputs!$B$7:$D$7,1,MATCH(A1035,Inputs!$B$6:$D$6,0))</x:f>
        <x:v>13</x:v>
      </x:c>
      <x:c r="H1035" s="14" t="n">
        <x:f>MIN(=INDEX(Inputs!$B$7:$D$7,1,MATCH(A1035,Inputs!$B$6:$D$6,0)),MAX(0,INDEX(Inputs!$B$14:$D$14,1,MATCH(A1035,Inputs!$B$6:$D$6,0))-(C1035-1)*=INDEX(Inputs!$B$7:$D$7,1,MATCH(A1035,Inputs!$B$6:$D$6,0))))</x:f>
        <x:v>13</x:v>
      </x:c>
      <x:c r="I1035" s="20" t="n">
        <x:f>INDEX(Inputs!$B$8:$D$8,1,MATCH(A1035,Inputs!$B$6:$D$6,0))</x:f>
        <x:v>2395</x:v>
      </x:c>
      <x:c r="J1035" s="20" t="n">
        <x:f>INDEX(Roster!$C$6:$C$108,MATCH(D1035,Roster!$A$6:$A$108,0))*(1+INDEX(Inputs!$B$9:$D$9,1,MATCH(A1035,Inputs!$B$6:$D$6,0)))</x:f>
        <x:v>90</x:v>
      </x:c>
      <x:c r="K1035" s="20" t="n">
        <x:f>IF(=INDEX(Roster!$F$6:$F$108,MATCH(D1035,Roster!$A$6:$A$108,0))="Yes",0,=INDEX(Inputs!$B$8:$D$8,1,MATCH(A1035,Inputs!$B$6:$D$6,0))*IF(=INDEX(Roster!$B$6:$B$108,MATCH(D1035,Roster!$A$6:$A$108,0))="Principal",INDEX(Inputs!$B$10:$D$10,1,MATCH(A1035,Inputs!$B$6:$D$6,0)),IF(=INDEX(Roster!$B$6:$B$108,MATCH(D1035,Roster!$A$6:$A$108,0))="Associate Principal",INDEX(Inputs!$B$11:$D$11,1,MATCH(A1035,Inputs!$B$6:$D$6,0)),IF(=INDEX(Roster!$B$6:$B$108,MATCH(D1035,Roster!$A$6:$A$108,0))="Assistant Principal",INDEX(Inputs!$B$12:$D$12,1,MATCH(A1035,Inputs!$B$6:$D$6,0)),0))))</x:f>
        <x:v>0</x:v>
      </x:c>
      <x:c r="L1035" s="20" t="n">
        <x:f>IF(INDEX(Roster!$D$6:$D$108,MATCH(D1035,Roster!$A$6:$A$108,0))&gt;=25,INDEX(Inputs!$B$19:$D$19,1,MATCH(A1035,Inputs!$B$6:$D$6,0)),IF(INDEX(Roster!$D$6:$D$108,MATCH(D1035,Roster!$A$6:$A$108,0))&gt;=20,INDEX(Inputs!$B$18:$D$18,1,MATCH(A1035,Inputs!$B$6:$D$6,0)),IF(INDEX(Roster!$D$6:$D$108,MATCH(D1035,Roster!$A$6:$A$108,0))&gt;=15,INDEX(Inputs!$B$17:$D$17,1,MATCH(A1035,Inputs!$B$6:$D$6,0)),IF(INDEX(Roster!$D$6:$D$108,MATCH(D1035,Roster!$A$6:$A$108,0))&gt;=10,INDEX(Inputs!$B$16:$D$16,1,MATCH(A1035,Inputs!$B$6:$D$6,0)),IF(INDEX(Roster!$D$6:$D$108,MATCH(D1035,Roster!$A$6:$A$108,0))&gt;=5,INDEX(Inputs!$B$15:$D$15,1,MATCH(A1035,Inputs!$B$6:$D$6,0)),0)))))</x:f>
        <x:v>70</x:v>
      </x:c>
      <x:c r="M1035" s="20" t="n">
        <x:f>G1035*I1035</x:f>
        <x:v>31135</x:v>
      </x:c>
      <x:c r="N1035" s="20" t="n">
        <x:f>G1035*J1035</x:f>
        <x:v>1170</x:v>
      </x:c>
      <x:c r="O1035" s="20" t="n">
        <x:f>G1035*K1035</x:f>
        <x:v>0</x:v>
      </x:c>
      <x:c r="P1035" s="20" t="n">
        <x:f>G1035*L1035</x:f>
        <x:v>910</x:v>
      </x:c>
      <x:c r="Q1035" s="20" t="n">
        <x:f>H1035*INDEX(Inputs!$B$13:$D$13,1,MATCH(A1035,Inputs!$B$6:$D$6,0))</x:f>
        <x:v>390</x:v>
      </x:c>
      <x:c r="R1035" s="20" t="n">
        <x:f>SUM(M1035:Q1035)</x:f>
        <x:v>33605</x:v>
      </x:c>
      <x:c r="S1035" s="20" t="n">
        <x:f>IF(AND(A1034=A1035,D1034=D1035),S1034+R1035,R1035)</x:f>
        <x:v>67210</x:v>
      </x:c>
      <x:c r="T1035" s="20" t="n">
        <x:f>MIN(S1035,INDEX(Inputs!$B$20:$D$20,1,MATCH(A1035,Inputs!$B$6:$D$6,0)))*INDEX(Inputs!$B$22:$D$22,1,MATCH(A1035,Inputs!$B$6:$D$6,0))+MAX(MIN(S1035,INDEX(Inputs!$B$21:$D$21,1,MATCH(A1035,Inputs!$B$6:$D$6,0)))-INDEX(Inputs!$B$20:$D$20,1,MATCH(A1035,Inputs!$B$6:$D$6,0)),0)*INDEX(Inputs!$B$23:$D$23,1,MATCH(A1035,Inputs!$B$6:$D$6,0))+MAX(S1035-INDEX(Inputs!$B$21:$D$21,1,MATCH(A1035,Inputs!$B$6:$D$6,0)),0)*INDEX(Inputs!$B$24:$D$24,1,MATCH(A1035,Inputs!$B$6:$D$6,0))</x:f>
        <x:v>5631.565</x:v>
      </x:c>
      <x:c r="U1035" s="20" t="n">
        <x:f>IF(AND(A1034=A1035,D1034=D1035),T1034,0)</x:f>
        <x:v>3060.7825000000003</x:v>
      </x:c>
      <x:c r="V1035" s="20" t="n">
        <x:f>T1035-U1035</x:f>
        <x:v>2570.7824999999993</x:v>
      </x:c>
      <x:c r="W1035" s="20" t="n">
        <x:f>R1035+V1035</x:f>
        <x:v>36175.7825</x:v>
      </x:c>
      <x:c r="X1035" s="14" t="str">
        <x:f>IF(ABS(W1035-SUM(M1035:Q1035)-V1035)&lt;0.01,"OK","Check")</x:f>
        <x:v>OK</x:v>
      </x:c>
    </x:row>
    <x:row r="1036">
      <x:c r="A1036" s="14" t="n">
        <x:v>2028</x:v>
      </x:c>
      <x:c r="B1036" s="14" t="str">
        <x:v>Q3</x:v>
      </x:c>
      <x:c r="C1036" s="14" t="n">
        <x:v>3</x:v>
      </x:c>
      <x:c r="D1036" s="14" t="n">
        <x:v>52</x:v>
      </x:c>
      <x:c r="E1036" s="14" t="str">
        <x:f>INDEX(Roster!$B$6:$B$108,MATCH(D1036,Roster!$A$6:$A$108,0))</x:f>
      </x:c>
      <x:c r="F1036" s="14" t="str">
        <x:f>INDEX(Roster!$F$6:$F$108,MATCH(D1036,Roster!$A$6:$A$108,0))</x:f>
        <x:v>No</x:v>
      </x:c>
      <x:c r="G1036" s="14" t="n">
        <x:f>INDEX(Inputs!$B$7:$D$7,1,MATCH(A1036,Inputs!$B$6:$D$6,0))</x:f>
        <x:v>13</x:v>
      </x:c>
      <x:c r="H1036" s="14" t="n">
        <x:f>MIN(=INDEX(Inputs!$B$7:$D$7,1,MATCH(A1036,Inputs!$B$6:$D$6,0)),MAX(0,INDEX(Inputs!$B$14:$D$14,1,MATCH(A1036,Inputs!$B$6:$D$6,0))-(C1036-1)*=INDEX(Inputs!$B$7:$D$7,1,MATCH(A1036,Inputs!$B$6:$D$6,0))))</x:f>
        <x:v>13</x:v>
      </x:c>
      <x:c r="I1036" s="20" t="n">
        <x:f>INDEX(Inputs!$B$8:$D$8,1,MATCH(A1036,Inputs!$B$6:$D$6,0))</x:f>
        <x:v>2395</x:v>
      </x:c>
      <x:c r="J1036" s="20" t="n">
        <x:f>INDEX(Roster!$C$6:$C$108,MATCH(D1036,Roster!$A$6:$A$108,0))*(1+INDEX(Inputs!$B$9:$D$9,1,MATCH(A1036,Inputs!$B$6:$D$6,0)))</x:f>
        <x:v>90</x:v>
      </x:c>
      <x:c r="K1036" s="20" t="n">
        <x:f>IF(=INDEX(Roster!$F$6:$F$108,MATCH(D1036,Roster!$A$6:$A$108,0))="Yes",0,=INDEX(Inputs!$B$8:$D$8,1,MATCH(A1036,Inputs!$B$6:$D$6,0))*IF(=INDEX(Roster!$B$6:$B$108,MATCH(D1036,Roster!$A$6:$A$108,0))="Principal",INDEX(Inputs!$B$10:$D$10,1,MATCH(A1036,Inputs!$B$6:$D$6,0)),IF(=INDEX(Roster!$B$6:$B$108,MATCH(D1036,Roster!$A$6:$A$108,0))="Associate Principal",INDEX(Inputs!$B$11:$D$11,1,MATCH(A1036,Inputs!$B$6:$D$6,0)),IF(=INDEX(Roster!$B$6:$B$108,MATCH(D1036,Roster!$A$6:$A$108,0))="Assistant Principal",INDEX(Inputs!$B$12:$D$12,1,MATCH(A1036,Inputs!$B$6:$D$6,0)),0))))</x:f>
        <x:v>0</x:v>
      </x:c>
      <x:c r="L1036" s="20" t="n">
        <x:f>IF(INDEX(Roster!$D$6:$D$108,MATCH(D1036,Roster!$A$6:$A$108,0))&gt;=25,INDEX(Inputs!$B$19:$D$19,1,MATCH(A1036,Inputs!$B$6:$D$6,0)),IF(INDEX(Roster!$D$6:$D$108,MATCH(D1036,Roster!$A$6:$A$108,0))&gt;=20,INDEX(Inputs!$B$18:$D$18,1,MATCH(A1036,Inputs!$B$6:$D$6,0)),IF(INDEX(Roster!$D$6:$D$108,MATCH(D1036,Roster!$A$6:$A$108,0))&gt;=15,INDEX(Inputs!$B$17:$D$17,1,MATCH(A1036,Inputs!$B$6:$D$6,0)),IF(INDEX(Roster!$D$6:$D$108,MATCH(D1036,Roster!$A$6:$A$108,0))&gt;=10,INDEX(Inputs!$B$16:$D$16,1,MATCH(A1036,Inputs!$B$6:$D$6,0)),IF(INDEX(Roster!$D$6:$D$108,MATCH(D1036,Roster!$A$6:$A$108,0))&gt;=5,INDEX(Inputs!$B$15:$D$15,1,MATCH(A1036,Inputs!$B$6:$D$6,0)),0)))))</x:f>
        <x:v>70</x:v>
      </x:c>
      <x:c r="M1036" s="20" t="n">
        <x:f>G1036*I1036</x:f>
        <x:v>31135</x:v>
      </x:c>
      <x:c r="N1036" s="20" t="n">
        <x:f>G1036*J1036</x:f>
        <x:v>1170</x:v>
      </x:c>
      <x:c r="O1036" s="20" t="n">
        <x:f>G1036*K1036</x:f>
        <x:v>0</x:v>
      </x:c>
      <x:c r="P1036" s="20" t="n">
        <x:f>G1036*L1036</x:f>
        <x:v>910</x:v>
      </x:c>
      <x:c r="Q1036" s="20" t="n">
        <x:f>H1036*INDEX(Inputs!$B$13:$D$13,1,MATCH(A1036,Inputs!$B$6:$D$6,0))</x:f>
        <x:v>390</x:v>
      </x:c>
      <x:c r="R1036" s="20" t="n">
        <x:f>SUM(M1036:Q1036)</x:f>
        <x:v>33605</x:v>
      </x:c>
      <x:c r="S1036" s="20" t="n">
        <x:f>IF(AND(A1035=A1036,D1035=D1036),S1035+R1036,R1036)</x:f>
        <x:v>100815</x:v>
      </x:c>
      <x:c r="T1036" s="20" t="n">
        <x:f>MIN(S1036,INDEX(Inputs!$B$20:$D$20,1,MATCH(A1036,Inputs!$B$6:$D$6,0)))*INDEX(Inputs!$B$22:$D$22,1,MATCH(A1036,Inputs!$B$6:$D$6,0))+MAX(MIN(S1036,INDEX(Inputs!$B$21:$D$21,1,MATCH(A1036,Inputs!$B$6:$D$6,0)))-INDEX(Inputs!$B$20:$D$20,1,MATCH(A1036,Inputs!$B$6:$D$6,0)),0)*INDEX(Inputs!$B$23:$D$23,1,MATCH(A1036,Inputs!$B$6:$D$6,0))+MAX(S1036-INDEX(Inputs!$B$21:$D$21,1,MATCH(A1036,Inputs!$B$6:$D$6,0)),0)*INDEX(Inputs!$B$24:$D$24,1,MATCH(A1036,Inputs!$B$6:$D$6,0))</x:f>
        <x:v>8202.3475</x:v>
      </x:c>
      <x:c r="U1036" s="20" t="n">
        <x:f>IF(AND(A1035=A1036,D1035=D1036),T1035,0)</x:f>
        <x:v>5631.565</x:v>
      </x:c>
      <x:c r="V1036" s="20" t="n">
        <x:f>T1036-U1036</x:f>
        <x:v>2570.7825000000003</x:v>
      </x:c>
      <x:c r="W1036" s="20" t="n">
        <x:f>R1036+V1036</x:f>
        <x:v>36175.7825</x:v>
      </x:c>
      <x:c r="X1036" s="14" t="str">
        <x:f>IF(ABS(W1036-SUM(M1036:Q1036)-V1036)&lt;0.01,"OK","Check")</x:f>
        <x:v>OK</x:v>
      </x:c>
    </x:row>
    <x:row r="1037">
      <x:c r="A1037" s="14" t="n">
        <x:v>2028</x:v>
      </x:c>
      <x:c r="B1037" s="14" t="str">
        <x:v>Q4</x:v>
      </x:c>
      <x:c r="C1037" s="14" t="n">
        <x:v>4</x:v>
      </x:c>
      <x:c r="D1037" s="14" t="n">
        <x:v>52</x:v>
      </x:c>
      <x:c r="E1037" s="14" t="str">
        <x:f>INDEX(Roster!$B$6:$B$108,MATCH(D1037,Roster!$A$6:$A$108,0))</x:f>
      </x:c>
      <x:c r="F1037" s="14" t="str">
        <x:f>INDEX(Roster!$F$6:$F$108,MATCH(D1037,Roster!$A$6:$A$108,0))</x:f>
        <x:v>No</x:v>
      </x:c>
      <x:c r="G1037" s="14" t="n">
        <x:f>INDEX(Inputs!$B$7:$D$7,1,MATCH(A1037,Inputs!$B$6:$D$6,0))</x:f>
        <x:v>13</x:v>
      </x:c>
      <x:c r="H1037" s="14" t="n">
        <x:f>MIN(=INDEX(Inputs!$B$7:$D$7,1,MATCH(A1037,Inputs!$B$6:$D$6,0)),MAX(0,INDEX(Inputs!$B$14:$D$14,1,MATCH(A1037,Inputs!$B$6:$D$6,0))-(C1037-1)*=INDEX(Inputs!$B$7:$D$7,1,MATCH(A1037,Inputs!$B$6:$D$6,0))))</x:f>
        <x:v>0</x:v>
      </x:c>
      <x:c r="I1037" s="20" t="n">
        <x:f>INDEX(Inputs!$B$8:$D$8,1,MATCH(A1037,Inputs!$B$6:$D$6,0))</x:f>
        <x:v>2395</x:v>
      </x:c>
      <x:c r="J1037" s="20" t="n">
        <x:f>INDEX(Roster!$C$6:$C$108,MATCH(D1037,Roster!$A$6:$A$108,0))*(1+INDEX(Inputs!$B$9:$D$9,1,MATCH(A1037,Inputs!$B$6:$D$6,0)))</x:f>
        <x:v>90</x:v>
      </x:c>
      <x:c r="K1037" s="20" t="n">
        <x:f>IF(=INDEX(Roster!$F$6:$F$108,MATCH(D1037,Roster!$A$6:$A$108,0))="Yes",0,=INDEX(Inputs!$B$8:$D$8,1,MATCH(A1037,Inputs!$B$6:$D$6,0))*IF(=INDEX(Roster!$B$6:$B$108,MATCH(D1037,Roster!$A$6:$A$108,0))="Principal",INDEX(Inputs!$B$10:$D$10,1,MATCH(A1037,Inputs!$B$6:$D$6,0)),IF(=INDEX(Roster!$B$6:$B$108,MATCH(D1037,Roster!$A$6:$A$108,0))="Associate Principal",INDEX(Inputs!$B$11:$D$11,1,MATCH(A1037,Inputs!$B$6:$D$6,0)),IF(=INDEX(Roster!$B$6:$B$108,MATCH(D1037,Roster!$A$6:$A$108,0))="Assistant Principal",INDEX(Inputs!$B$12:$D$12,1,MATCH(A1037,Inputs!$B$6:$D$6,0)),0))))</x:f>
        <x:v>0</x:v>
      </x:c>
      <x:c r="L1037" s="20" t="n">
        <x:f>IF(INDEX(Roster!$D$6:$D$108,MATCH(D1037,Roster!$A$6:$A$108,0))&gt;=25,INDEX(Inputs!$B$19:$D$19,1,MATCH(A1037,Inputs!$B$6:$D$6,0)),IF(INDEX(Roster!$D$6:$D$108,MATCH(D1037,Roster!$A$6:$A$108,0))&gt;=20,INDEX(Inputs!$B$18:$D$18,1,MATCH(A1037,Inputs!$B$6:$D$6,0)),IF(INDEX(Roster!$D$6:$D$108,MATCH(D1037,Roster!$A$6:$A$108,0))&gt;=15,INDEX(Inputs!$B$17:$D$17,1,MATCH(A1037,Inputs!$B$6:$D$6,0)),IF(INDEX(Roster!$D$6:$D$108,MATCH(D1037,Roster!$A$6:$A$108,0))&gt;=10,INDEX(Inputs!$B$16:$D$16,1,MATCH(A1037,Inputs!$B$6:$D$6,0)),IF(INDEX(Roster!$D$6:$D$108,MATCH(D1037,Roster!$A$6:$A$108,0))&gt;=5,INDEX(Inputs!$B$15:$D$15,1,MATCH(A1037,Inputs!$B$6:$D$6,0)),0)))))</x:f>
        <x:v>70</x:v>
      </x:c>
      <x:c r="M1037" s="20" t="n">
        <x:f>G1037*I1037</x:f>
        <x:v>31135</x:v>
      </x:c>
      <x:c r="N1037" s="20" t="n">
        <x:f>G1037*J1037</x:f>
        <x:v>1170</x:v>
      </x:c>
      <x:c r="O1037" s="20" t="n">
        <x:f>G1037*K1037</x:f>
        <x:v>0</x:v>
      </x:c>
      <x:c r="P1037" s="20" t="n">
        <x:f>G1037*L1037</x:f>
        <x:v>910</x:v>
      </x:c>
      <x:c r="Q1037" s="20" t="n">
        <x:f>H1037*INDEX(Inputs!$B$13:$D$13,1,MATCH(A1037,Inputs!$B$6:$D$6,0))</x:f>
        <x:v>0</x:v>
      </x:c>
      <x:c r="R1037" s="20" t="n">
        <x:f>SUM(M1037:Q1037)</x:f>
        <x:v>33215</x:v>
      </x:c>
      <x:c r="S1037" s="20" t="n">
        <x:f>IF(AND(A1036=A1037,D1036=D1037),S1036+R1037,R1037)</x:f>
        <x:v>134030</x:v>
      </x:c>
      <x:c r="T1037" s="20" t="n">
        <x:f>MIN(S1037,INDEX(Inputs!$B$20:$D$20,1,MATCH(A1037,Inputs!$B$6:$D$6,0)))*INDEX(Inputs!$B$22:$D$22,1,MATCH(A1037,Inputs!$B$6:$D$6,0))+MAX(MIN(S1037,INDEX(Inputs!$B$21:$D$21,1,MATCH(A1037,Inputs!$B$6:$D$6,0)))-INDEX(Inputs!$B$20:$D$20,1,MATCH(A1037,Inputs!$B$6:$D$6,0)),0)*INDEX(Inputs!$B$23:$D$23,1,MATCH(A1037,Inputs!$B$6:$D$6,0))+MAX(S1037-INDEX(Inputs!$B$21:$D$21,1,MATCH(A1037,Inputs!$B$6:$D$6,0)),0)*INDEX(Inputs!$B$24:$D$24,1,MATCH(A1037,Inputs!$B$6:$D$6,0))</x:f>
        <x:v>9857.377</x:v>
      </x:c>
      <x:c r="U1037" s="20" t="n">
        <x:f>IF(AND(A1036=A1037,D1036=D1037),T1036,0)</x:f>
        <x:v>8202.3475</x:v>
      </x:c>
      <x:c r="V1037" s="20" t="n">
        <x:f>T1037-U1037</x:f>
        <x:v>1655.0295000000006</x:v>
      </x:c>
      <x:c r="W1037" s="20" t="n">
        <x:f>R1037+V1037</x:f>
        <x:v>34870.029500000004</x:v>
      </x:c>
      <x:c r="X1037" s="14" t="str">
        <x:f>IF(ABS(W1037-SUM(M1037:Q1037)-V1037)&lt;0.01,"OK","Check")</x:f>
        <x:v>OK</x:v>
      </x:c>
    </x:row>
    <x:row r="1038">
      <x:c r="A1038" s="14" t="n">
        <x:v>2028</x:v>
      </x:c>
      <x:c r="B1038" s="14" t="str">
        <x:v>Q1</x:v>
      </x:c>
      <x:c r="C1038" s="14" t="n">
        <x:v>1</x:v>
      </x:c>
      <x:c r="D1038" s="14" t="n">
        <x:v>53</x:v>
      </x:c>
      <x:c r="E1038" s="14" t="str">
        <x:f>INDEX(Roster!$B$6:$B$108,MATCH(D1038,Roster!$A$6:$A$108,0))</x:f>
      </x:c>
      <x:c r="F1038" s="14" t="str">
        <x:f>INDEX(Roster!$F$6:$F$108,MATCH(D1038,Roster!$A$6:$A$108,0))</x:f>
        <x:v>No</x:v>
      </x:c>
      <x:c r="G1038" s="14" t="n">
        <x:f>INDEX(Inputs!$B$7:$D$7,1,MATCH(A1038,Inputs!$B$6:$D$6,0))</x:f>
        <x:v>13</x:v>
      </x:c>
      <x:c r="H1038" s="14" t="n">
        <x:f>MIN(=INDEX(Inputs!$B$7:$D$7,1,MATCH(A1038,Inputs!$B$6:$D$6,0)),MAX(0,INDEX(Inputs!$B$14:$D$14,1,MATCH(A1038,Inputs!$B$6:$D$6,0))-(C1038-1)*=INDEX(Inputs!$B$7:$D$7,1,MATCH(A1038,Inputs!$B$6:$D$6,0))))</x:f>
        <x:v>13</x:v>
      </x:c>
      <x:c r="I1038" s="20" t="n">
        <x:f>INDEX(Inputs!$B$8:$D$8,1,MATCH(A1038,Inputs!$B$6:$D$6,0))</x:f>
        <x:v>2395</x:v>
      </x:c>
      <x:c r="J1038" s="20" t="n">
        <x:f>INDEX(Roster!$C$6:$C$108,MATCH(D1038,Roster!$A$6:$A$108,0))*(1+INDEX(Inputs!$B$9:$D$9,1,MATCH(A1038,Inputs!$B$6:$D$6,0)))</x:f>
        <x:v>60</x:v>
      </x:c>
      <x:c r="K1038" s="20" t="n">
        <x:f>IF(=INDEX(Roster!$F$6:$F$108,MATCH(D1038,Roster!$A$6:$A$108,0))="Yes",0,=INDEX(Inputs!$B$8:$D$8,1,MATCH(A1038,Inputs!$B$6:$D$6,0))*IF(=INDEX(Roster!$B$6:$B$108,MATCH(D1038,Roster!$A$6:$A$108,0))="Principal",INDEX(Inputs!$B$10:$D$10,1,MATCH(A1038,Inputs!$B$6:$D$6,0)),IF(=INDEX(Roster!$B$6:$B$108,MATCH(D1038,Roster!$A$6:$A$108,0))="Associate Principal",INDEX(Inputs!$B$11:$D$11,1,MATCH(A1038,Inputs!$B$6:$D$6,0)),IF(=INDEX(Roster!$B$6:$B$108,MATCH(D1038,Roster!$A$6:$A$108,0))="Assistant Principal",INDEX(Inputs!$B$12:$D$12,1,MATCH(A1038,Inputs!$B$6:$D$6,0)),0))))</x:f>
        <x:v>0</x:v>
      </x:c>
      <x:c r="L1038" s="20" t="n">
        <x:f>IF(INDEX(Roster!$D$6:$D$108,MATCH(D1038,Roster!$A$6:$A$108,0))&gt;=25,INDEX(Inputs!$B$19:$D$19,1,MATCH(A1038,Inputs!$B$6:$D$6,0)),IF(INDEX(Roster!$D$6:$D$108,MATCH(D1038,Roster!$A$6:$A$108,0))&gt;=20,INDEX(Inputs!$B$18:$D$18,1,MATCH(A1038,Inputs!$B$6:$D$6,0)),IF(INDEX(Roster!$D$6:$D$108,MATCH(D1038,Roster!$A$6:$A$108,0))&gt;=15,INDEX(Inputs!$B$17:$D$17,1,MATCH(A1038,Inputs!$B$6:$D$6,0)),IF(INDEX(Roster!$D$6:$D$108,MATCH(D1038,Roster!$A$6:$A$108,0))&gt;=10,INDEX(Inputs!$B$16:$D$16,1,MATCH(A1038,Inputs!$B$6:$D$6,0)),IF(INDEX(Roster!$D$6:$D$108,MATCH(D1038,Roster!$A$6:$A$108,0))&gt;=5,INDEX(Inputs!$B$15:$D$15,1,MATCH(A1038,Inputs!$B$6:$D$6,0)),0)))))</x:f>
        <x:v>80</x:v>
      </x:c>
      <x:c r="M1038" s="20" t="n">
        <x:f>G1038*I1038</x:f>
        <x:v>31135</x:v>
      </x:c>
      <x:c r="N1038" s="20" t="n">
        <x:f>G1038*J1038</x:f>
        <x:v>780</x:v>
      </x:c>
      <x:c r="O1038" s="20" t="n">
        <x:f>G1038*K1038</x:f>
        <x:v>0</x:v>
      </x:c>
      <x:c r="P1038" s="20" t="n">
        <x:f>G1038*L1038</x:f>
        <x:v>1040</x:v>
      </x:c>
      <x:c r="Q1038" s="20" t="n">
        <x:f>H1038*INDEX(Inputs!$B$13:$D$13,1,MATCH(A1038,Inputs!$B$6:$D$6,0))</x:f>
        <x:v>390</x:v>
      </x:c>
      <x:c r="R1038" s="20" t="n">
        <x:f>SUM(M1038:Q1038)</x:f>
        <x:v>33345</x:v>
      </x:c>
      <x:c r="S1038" s="20" t="n">
        <x:f>IF(AND(A1037=A1038,D1037=D1038),S1037+R1038,R1038)</x:f>
        <x:v>33345</x:v>
      </x:c>
      <x:c r="T1038" s="20" t="n">
        <x:f>MIN(S1038,INDEX(Inputs!$B$20:$D$20,1,MATCH(A1038,Inputs!$B$6:$D$6,0)))*INDEX(Inputs!$B$22:$D$22,1,MATCH(A1038,Inputs!$B$6:$D$6,0))+MAX(MIN(S1038,INDEX(Inputs!$B$21:$D$21,1,MATCH(A1038,Inputs!$B$6:$D$6,0)))-INDEX(Inputs!$B$20:$D$20,1,MATCH(A1038,Inputs!$B$6:$D$6,0)),0)*INDEX(Inputs!$B$23:$D$23,1,MATCH(A1038,Inputs!$B$6:$D$6,0))+MAX(S1038-INDEX(Inputs!$B$21:$D$21,1,MATCH(A1038,Inputs!$B$6:$D$6,0)),0)*INDEX(Inputs!$B$24:$D$24,1,MATCH(A1038,Inputs!$B$6:$D$6,0))</x:f>
        <x:v>3040.8925</x:v>
      </x:c>
      <x:c r="U1038" s="20" t="n">
        <x:f>IF(AND(A1037=A1038,D1037=D1038),T1037,0)</x:f>
        <x:v>0</x:v>
      </x:c>
      <x:c r="V1038" s="20" t="n">
        <x:f>T1038-U1038</x:f>
        <x:v>3040.8925</x:v>
      </x:c>
      <x:c r="W1038" s="20" t="n">
        <x:f>R1038+V1038</x:f>
        <x:v>36385.8925</x:v>
      </x:c>
      <x:c r="X1038" s="14" t="str">
        <x:f>IF(ABS(W1038-SUM(M1038:Q1038)-V1038)&lt;0.01,"OK","Check")</x:f>
        <x:v>OK</x:v>
      </x:c>
    </x:row>
    <x:row r="1039">
      <x:c r="A1039" s="14" t="n">
        <x:v>2028</x:v>
      </x:c>
      <x:c r="B1039" s="14" t="str">
        <x:v>Q2</x:v>
      </x:c>
      <x:c r="C1039" s="14" t="n">
        <x:v>2</x:v>
      </x:c>
      <x:c r="D1039" s="14" t="n">
        <x:v>53</x:v>
      </x:c>
      <x:c r="E1039" s="14" t="str">
        <x:f>INDEX(Roster!$B$6:$B$108,MATCH(D1039,Roster!$A$6:$A$108,0))</x:f>
      </x:c>
      <x:c r="F1039" s="14" t="str">
        <x:f>INDEX(Roster!$F$6:$F$108,MATCH(D1039,Roster!$A$6:$A$108,0))</x:f>
        <x:v>No</x:v>
      </x:c>
      <x:c r="G1039" s="14" t="n">
        <x:f>INDEX(Inputs!$B$7:$D$7,1,MATCH(A1039,Inputs!$B$6:$D$6,0))</x:f>
        <x:v>13</x:v>
      </x:c>
      <x:c r="H1039" s="14" t="n">
        <x:f>MIN(=INDEX(Inputs!$B$7:$D$7,1,MATCH(A1039,Inputs!$B$6:$D$6,0)),MAX(0,INDEX(Inputs!$B$14:$D$14,1,MATCH(A1039,Inputs!$B$6:$D$6,0))-(C1039-1)*=INDEX(Inputs!$B$7:$D$7,1,MATCH(A1039,Inputs!$B$6:$D$6,0))))</x:f>
        <x:v>13</x:v>
      </x:c>
      <x:c r="I1039" s="20" t="n">
        <x:f>INDEX(Inputs!$B$8:$D$8,1,MATCH(A1039,Inputs!$B$6:$D$6,0))</x:f>
        <x:v>2395</x:v>
      </x:c>
      <x:c r="J1039" s="20" t="n">
        <x:f>INDEX(Roster!$C$6:$C$108,MATCH(D1039,Roster!$A$6:$A$108,0))*(1+INDEX(Inputs!$B$9:$D$9,1,MATCH(A1039,Inputs!$B$6:$D$6,0)))</x:f>
        <x:v>60</x:v>
      </x:c>
      <x:c r="K1039" s="20" t="n">
        <x:f>IF(=INDEX(Roster!$F$6:$F$108,MATCH(D1039,Roster!$A$6:$A$108,0))="Yes",0,=INDEX(Inputs!$B$8:$D$8,1,MATCH(A1039,Inputs!$B$6:$D$6,0))*IF(=INDEX(Roster!$B$6:$B$108,MATCH(D1039,Roster!$A$6:$A$108,0))="Principal",INDEX(Inputs!$B$10:$D$10,1,MATCH(A1039,Inputs!$B$6:$D$6,0)),IF(=INDEX(Roster!$B$6:$B$108,MATCH(D1039,Roster!$A$6:$A$108,0))="Associate Principal",INDEX(Inputs!$B$11:$D$11,1,MATCH(A1039,Inputs!$B$6:$D$6,0)),IF(=INDEX(Roster!$B$6:$B$108,MATCH(D1039,Roster!$A$6:$A$108,0))="Assistant Principal",INDEX(Inputs!$B$12:$D$12,1,MATCH(A1039,Inputs!$B$6:$D$6,0)),0))))</x:f>
        <x:v>0</x:v>
      </x:c>
      <x:c r="L1039" s="20" t="n">
        <x:f>IF(INDEX(Roster!$D$6:$D$108,MATCH(D1039,Roster!$A$6:$A$108,0))&gt;=25,INDEX(Inputs!$B$19:$D$19,1,MATCH(A1039,Inputs!$B$6:$D$6,0)),IF(INDEX(Roster!$D$6:$D$108,MATCH(D1039,Roster!$A$6:$A$108,0))&gt;=20,INDEX(Inputs!$B$18:$D$18,1,MATCH(A1039,Inputs!$B$6:$D$6,0)),IF(INDEX(Roster!$D$6:$D$108,MATCH(D1039,Roster!$A$6:$A$108,0))&gt;=15,INDEX(Inputs!$B$17:$D$17,1,MATCH(A1039,Inputs!$B$6:$D$6,0)),IF(INDEX(Roster!$D$6:$D$108,MATCH(D1039,Roster!$A$6:$A$108,0))&gt;=10,INDEX(Inputs!$B$16:$D$16,1,MATCH(A1039,Inputs!$B$6:$D$6,0)),IF(INDEX(Roster!$D$6:$D$108,MATCH(D1039,Roster!$A$6:$A$108,0))&gt;=5,INDEX(Inputs!$B$15:$D$15,1,MATCH(A1039,Inputs!$B$6:$D$6,0)),0)))))</x:f>
        <x:v>80</x:v>
      </x:c>
      <x:c r="M1039" s="20" t="n">
        <x:f>G1039*I1039</x:f>
        <x:v>31135</x:v>
      </x:c>
      <x:c r="N1039" s="20" t="n">
        <x:f>G1039*J1039</x:f>
        <x:v>780</x:v>
      </x:c>
      <x:c r="O1039" s="20" t="n">
        <x:f>G1039*K1039</x:f>
        <x:v>0</x:v>
      </x:c>
      <x:c r="P1039" s="20" t="n">
        <x:f>G1039*L1039</x:f>
        <x:v>1040</x:v>
      </x:c>
      <x:c r="Q1039" s="20" t="n">
        <x:f>H1039*INDEX(Inputs!$B$13:$D$13,1,MATCH(A1039,Inputs!$B$6:$D$6,0))</x:f>
        <x:v>390</x:v>
      </x:c>
      <x:c r="R1039" s="20" t="n">
        <x:f>SUM(M1039:Q1039)</x:f>
        <x:v>33345</x:v>
      </x:c>
      <x:c r="S1039" s="20" t="n">
        <x:f>IF(AND(A1038=A1039,D1038=D1039),S1038+R1039,R1039)</x:f>
        <x:v>66690</x:v>
      </x:c>
      <x:c r="T1039" s="20" t="n">
        <x:f>MIN(S1039,INDEX(Inputs!$B$20:$D$20,1,MATCH(A1039,Inputs!$B$6:$D$6,0)))*INDEX(Inputs!$B$22:$D$22,1,MATCH(A1039,Inputs!$B$6:$D$6,0))+MAX(MIN(S1039,INDEX(Inputs!$B$21:$D$21,1,MATCH(A1039,Inputs!$B$6:$D$6,0)))-INDEX(Inputs!$B$20:$D$20,1,MATCH(A1039,Inputs!$B$6:$D$6,0)),0)*INDEX(Inputs!$B$23:$D$23,1,MATCH(A1039,Inputs!$B$6:$D$6,0))+MAX(S1039-INDEX(Inputs!$B$21:$D$21,1,MATCH(A1039,Inputs!$B$6:$D$6,0)),0)*INDEX(Inputs!$B$24:$D$24,1,MATCH(A1039,Inputs!$B$6:$D$6,0))</x:f>
        <x:v>5591.785</x:v>
      </x:c>
      <x:c r="U1039" s="20" t="n">
        <x:f>IF(AND(A1038=A1039,D1038=D1039),T1038,0)</x:f>
        <x:v>3040.8925</x:v>
      </x:c>
      <x:c r="V1039" s="20" t="n">
        <x:f>T1039-U1039</x:f>
        <x:v>2550.8925</x:v>
      </x:c>
      <x:c r="W1039" s="20" t="n">
        <x:f>R1039+V1039</x:f>
        <x:v>35895.8925</x:v>
      </x:c>
      <x:c r="X1039" s="14" t="str">
        <x:f>IF(ABS(W1039-SUM(M1039:Q1039)-V1039)&lt;0.01,"OK","Check")</x:f>
        <x:v>OK</x:v>
      </x:c>
    </x:row>
    <x:row r="1040">
      <x:c r="A1040" s="14" t="n">
        <x:v>2028</x:v>
      </x:c>
      <x:c r="B1040" s="14" t="str">
        <x:v>Q3</x:v>
      </x:c>
      <x:c r="C1040" s="14" t="n">
        <x:v>3</x:v>
      </x:c>
      <x:c r="D1040" s="14" t="n">
        <x:v>53</x:v>
      </x:c>
      <x:c r="E1040" s="14" t="str">
        <x:f>INDEX(Roster!$B$6:$B$108,MATCH(D1040,Roster!$A$6:$A$108,0))</x:f>
      </x:c>
      <x:c r="F1040" s="14" t="str">
        <x:f>INDEX(Roster!$F$6:$F$108,MATCH(D1040,Roster!$A$6:$A$108,0))</x:f>
        <x:v>No</x:v>
      </x:c>
      <x:c r="G1040" s="14" t="n">
        <x:f>INDEX(Inputs!$B$7:$D$7,1,MATCH(A1040,Inputs!$B$6:$D$6,0))</x:f>
        <x:v>13</x:v>
      </x:c>
      <x:c r="H1040" s="14" t="n">
        <x:f>MIN(=INDEX(Inputs!$B$7:$D$7,1,MATCH(A1040,Inputs!$B$6:$D$6,0)),MAX(0,INDEX(Inputs!$B$14:$D$14,1,MATCH(A1040,Inputs!$B$6:$D$6,0))-(C1040-1)*=INDEX(Inputs!$B$7:$D$7,1,MATCH(A1040,Inputs!$B$6:$D$6,0))))</x:f>
        <x:v>13</x:v>
      </x:c>
      <x:c r="I1040" s="20" t="n">
        <x:f>INDEX(Inputs!$B$8:$D$8,1,MATCH(A1040,Inputs!$B$6:$D$6,0))</x:f>
        <x:v>2395</x:v>
      </x:c>
      <x:c r="J1040" s="20" t="n">
        <x:f>INDEX(Roster!$C$6:$C$108,MATCH(D1040,Roster!$A$6:$A$108,0))*(1+INDEX(Inputs!$B$9:$D$9,1,MATCH(A1040,Inputs!$B$6:$D$6,0)))</x:f>
        <x:v>60</x:v>
      </x:c>
      <x:c r="K1040" s="20" t="n">
        <x:f>IF(=INDEX(Roster!$F$6:$F$108,MATCH(D1040,Roster!$A$6:$A$108,0))="Yes",0,=INDEX(Inputs!$B$8:$D$8,1,MATCH(A1040,Inputs!$B$6:$D$6,0))*IF(=INDEX(Roster!$B$6:$B$108,MATCH(D1040,Roster!$A$6:$A$108,0))="Principal",INDEX(Inputs!$B$10:$D$10,1,MATCH(A1040,Inputs!$B$6:$D$6,0)),IF(=INDEX(Roster!$B$6:$B$108,MATCH(D1040,Roster!$A$6:$A$108,0))="Associate Principal",INDEX(Inputs!$B$11:$D$11,1,MATCH(A1040,Inputs!$B$6:$D$6,0)),IF(=INDEX(Roster!$B$6:$B$108,MATCH(D1040,Roster!$A$6:$A$108,0))="Assistant Principal",INDEX(Inputs!$B$12:$D$12,1,MATCH(A1040,Inputs!$B$6:$D$6,0)),0))))</x:f>
        <x:v>0</x:v>
      </x:c>
      <x:c r="L1040" s="20" t="n">
        <x:f>IF(INDEX(Roster!$D$6:$D$108,MATCH(D1040,Roster!$A$6:$A$108,0))&gt;=25,INDEX(Inputs!$B$19:$D$19,1,MATCH(A1040,Inputs!$B$6:$D$6,0)),IF(INDEX(Roster!$D$6:$D$108,MATCH(D1040,Roster!$A$6:$A$108,0))&gt;=20,INDEX(Inputs!$B$18:$D$18,1,MATCH(A1040,Inputs!$B$6:$D$6,0)),IF(INDEX(Roster!$D$6:$D$108,MATCH(D1040,Roster!$A$6:$A$108,0))&gt;=15,INDEX(Inputs!$B$17:$D$17,1,MATCH(A1040,Inputs!$B$6:$D$6,0)),IF(INDEX(Roster!$D$6:$D$108,MATCH(D1040,Roster!$A$6:$A$108,0))&gt;=10,INDEX(Inputs!$B$16:$D$16,1,MATCH(A1040,Inputs!$B$6:$D$6,0)),IF(INDEX(Roster!$D$6:$D$108,MATCH(D1040,Roster!$A$6:$A$108,0))&gt;=5,INDEX(Inputs!$B$15:$D$15,1,MATCH(A1040,Inputs!$B$6:$D$6,0)),0)))))</x:f>
        <x:v>80</x:v>
      </x:c>
      <x:c r="M1040" s="20" t="n">
        <x:f>G1040*I1040</x:f>
        <x:v>31135</x:v>
      </x:c>
      <x:c r="N1040" s="20" t="n">
        <x:f>G1040*J1040</x:f>
        <x:v>780</x:v>
      </x:c>
      <x:c r="O1040" s="20" t="n">
        <x:f>G1040*K1040</x:f>
        <x:v>0</x:v>
      </x:c>
      <x:c r="P1040" s="20" t="n">
        <x:f>G1040*L1040</x:f>
        <x:v>1040</x:v>
      </x:c>
      <x:c r="Q1040" s="20" t="n">
        <x:f>H1040*INDEX(Inputs!$B$13:$D$13,1,MATCH(A1040,Inputs!$B$6:$D$6,0))</x:f>
        <x:v>390</x:v>
      </x:c>
      <x:c r="R1040" s="20" t="n">
        <x:f>SUM(M1040:Q1040)</x:f>
        <x:v>33345</x:v>
      </x:c>
      <x:c r="S1040" s="20" t="n">
        <x:f>IF(AND(A1039=A1040,D1039=D1040),S1039+R1040,R1040)</x:f>
        <x:v>100035</x:v>
      </x:c>
      <x:c r="T1040" s="20" t="n">
        <x:f>MIN(S1040,INDEX(Inputs!$B$20:$D$20,1,MATCH(A1040,Inputs!$B$6:$D$6,0)))*INDEX(Inputs!$B$22:$D$22,1,MATCH(A1040,Inputs!$B$6:$D$6,0))+MAX(MIN(S1040,INDEX(Inputs!$B$21:$D$21,1,MATCH(A1040,Inputs!$B$6:$D$6,0)))-INDEX(Inputs!$B$20:$D$20,1,MATCH(A1040,Inputs!$B$6:$D$6,0)),0)*INDEX(Inputs!$B$23:$D$23,1,MATCH(A1040,Inputs!$B$6:$D$6,0))+MAX(S1040-INDEX(Inputs!$B$21:$D$21,1,MATCH(A1040,Inputs!$B$6:$D$6,0)),0)*INDEX(Inputs!$B$24:$D$24,1,MATCH(A1040,Inputs!$B$6:$D$6,0))</x:f>
        <x:v>8142.6775</x:v>
      </x:c>
      <x:c r="U1040" s="20" t="n">
        <x:f>IF(AND(A1039=A1040,D1039=D1040),T1039,0)</x:f>
        <x:v>5591.785</x:v>
      </x:c>
      <x:c r="V1040" s="20" t="n">
        <x:f>T1040-U1040</x:f>
        <x:v>2550.8925</x:v>
      </x:c>
      <x:c r="W1040" s="20" t="n">
        <x:f>R1040+V1040</x:f>
        <x:v>35895.8925</x:v>
      </x:c>
      <x:c r="X1040" s="14" t="str">
        <x:f>IF(ABS(W1040-SUM(M1040:Q1040)-V1040)&lt;0.01,"OK","Check")</x:f>
        <x:v>OK</x:v>
      </x:c>
    </x:row>
    <x:row r="1041">
      <x:c r="A1041" s="14" t="n">
        <x:v>2028</x:v>
      </x:c>
      <x:c r="B1041" s="14" t="str">
        <x:v>Q4</x:v>
      </x:c>
      <x:c r="C1041" s="14" t="n">
        <x:v>4</x:v>
      </x:c>
      <x:c r="D1041" s="14" t="n">
        <x:v>53</x:v>
      </x:c>
      <x:c r="E1041" s="14" t="str">
        <x:f>INDEX(Roster!$B$6:$B$108,MATCH(D1041,Roster!$A$6:$A$108,0))</x:f>
      </x:c>
      <x:c r="F1041" s="14" t="str">
        <x:f>INDEX(Roster!$F$6:$F$108,MATCH(D1041,Roster!$A$6:$A$108,0))</x:f>
        <x:v>No</x:v>
      </x:c>
      <x:c r="G1041" s="14" t="n">
        <x:f>INDEX(Inputs!$B$7:$D$7,1,MATCH(A1041,Inputs!$B$6:$D$6,0))</x:f>
        <x:v>13</x:v>
      </x:c>
      <x:c r="H1041" s="14" t="n">
        <x:f>MIN(=INDEX(Inputs!$B$7:$D$7,1,MATCH(A1041,Inputs!$B$6:$D$6,0)),MAX(0,INDEX(Inputs!$B$14:$D$14,1,MATCH(A1041,Inputs!$B$6:$D$6,0))-(C1041-1)*=INDEX(Inputs!$B$7:$D$7,1,MATCH(A1041,Inputs!$B$6:$D$6,0))))</x:f>
        <x:v>0</x:v>
      </x:c>
      <x:c r="I1041" s="20" t="n">
        <x:f>INDEX(Inputs!$B$8:$D$8,1,MATCH(A1041,Inputs!$B$6:$D$6,0))</x:f>
        <x:v>2395</x:v>
      </x:c>
      <x:c r="J1041" s="20" t="n">
        <x:f>INDEX(Roster!$C$6:$C$108,MATCH(D1041,Roster!$A$6:$A$108,0))*(1+INDEX(Inputs!$B$9:$D$9,1,MATCH(A1041,Inputs!$B$6:$D$6,0)))</x:f>
        <x:v>60</x:v>
      </x:c>
      <x:c r="K1041" s="20" t="n">
        <x:f>IF(=INDEX(Roster!$F$6:$F$108,MATCH(D1041,Roster!$A$6:$A$108,0))="Yes",0,=INDEX(Inputs!$B$8:$D$8,1,MATCH(A1041,Inputs!$B$6:$D$6,0))*IF(=INDEX(Roster!$B$6:$B$108,MATCH(D1041,Roster!$A$6:$A$108,0))="Principal",INDEX(Inputs!$B$10:$D$10,1,MATCH(A1041,Inputs!$B$6:$D$6,0)),IF(=INDEX(Roster!$B$6:$B$108,MATCH(D1041,Roster!$A$6:$A$108,0))="Associate Principal",INDEX(Inputs!$B$11:$D$11,1,MATCH(A1041,Inputs!$B$6:$D$6,0)),IF(=INDEX(Roster!$B$6:$B$108,MATCH(D1041,Roster!$A$6:$A$108,0))="Assistant Principal",INDEX(Inputs!$B$12:$D$12,1,MATCH(A1041,Inputs!$B$6:$D$6,0)),0))))</x:f>
        <x:v>0</x:v>
      </x:c>
      <x:c r="L1041" s="20" t="n">
        <x:f>IF(INDEX(Roster!$D$6:$D$108,MATCH(D1041,Roster!$A$6:$A$108,0))&gt;=25,INDEX(Inputs!$B$19:$D$19,1,MATCH(A1041,Inputs!$B$6:$D$6,0)),IF(INDEX(Roster!$D$6:$D$108,MATCH(D1041,Roster!$A$6:$A$108,0))&gt;=20,INDEX(Inputs!$B$18:$D$18,1,MATCH(A1041,Inputs!$B$6:$D$6,0)),IF(INDEX(Roster!$D$6:$D$108,MATCH(D1041,Roster!$A$6:$A$108,0))&gt;=15,INDEX(Inputs!$B$17:$D$17,1,MATCH(A1041,Inputs!$B$6:$D$6,0)),IF(INDEX(Roster!$D$6:$D$108,MATCH(D1041,Roster!$A$6:$A$108,0))&gt;=10,INDEX(Inputs!$B$16:$D$16,1,MATCH(A1041,Inputs!$B$6:$D$6,0)),IF(INDEX(Roster!$D$6:$D$108,MATCH(D1041,Roster!$A$6:$A$108,0))&gt;=5,INDEX(Inputs!$B$15:$D$15,1,MATCH(A1041,Inputs!$B$6:$D$6,0)),0)))))</x:f>
        <x:v>80</x:v>
      </x:c>
      <x:c r="M1041" s="20" t="n">
        <x:f>G1041*I1041</x:f>
        <x:v>31135</x:v>
      </x:c>
      <x:c r="N1041" s="20" t="n">
        <x:f>G1041*J1041</x:f>
        <x:v>780</x:v>
      </x:c>
      <x:c r="O1041" s="20" t="n">
        <x:f>G1041*K1041</x:f>
        <x:v>0</x:v>
      </x:c>
      <x:c r="P1041" s="20" t="n">
        <x:f>G1041*L1041</x:f>
        <x:v>1040</x:v>
      </x:c>
      <x:c r="Q1041" s="20" t="n">
        <x:f>H1041*INDEX(Inputs!$B$13:$D$13,1,MATCH(A1041,Inputs!$B$6:$D$6,0))</x:f>
        <x:v>0</x:v>
      </x:c>
      <x:c r="R1041" s="20" t="n">
        <x:f>SUM(M1041:Q1041)</x:f>
        <x:v>32955</x:v>
      </x:c>
      <x:c r="S1041" s="20" t="n">
        <x:f>IF(AND(A1040=A1041,D1040=D1041),S1040+R1041,R1041)</x:f>
        <x:v>132990</x:v>
      </x:c>
      <x:c r="T1041" s="20" t="n">
        <x:f>MIN(S1041,INDEX(Inputs!$B$20:$D$20,1,MATCH(A1041,Inputs!$B$6:$D$6,0)))*INDEX(Inputs!$B$22:$D$22,1,MATCH(A1041,Inputs!$B$6:$D$6,0))+MAX(MIN(S1041,INDEX(Inputs!$B$21:$D$21,1,MATCH(A1041,Inputs!$B$6:$D$6,0)))-INDEX(Inputs!$B$20:$D$20,1,MATCH(A1041,Inputs!$B$6:$D$6,0)),0)*INDEX(Inputs!$B$23:$D$23,1,MATCH(A1041,Inputs!$B$6:$D$6,0))+MAX(S1041-INDEX(Inputs!$B$21:$D$21,1,MATCH(A1041,Inputs!$B$6:$D$6,0)),0)*INDEX(Inputs!$B$24:$D$24,1,MATCH(A1041,Inputs!$B$6:$D$6,0))</x:f>
        <x:v>9842.297</x:v>
      </x:c>
      <x:c r="U1041" s="20" t="n">
        <x:f>IF(AND(A1040=A1041,D1040=D1041),T1040,0)</x:f>
        <x:v>8142.6775</x:v>
      </x:c>
      <x:c r="V1041" s="20" t="n">
        <x:f>T1041-U1041</x:f>
        <x:v>1699.6195000000007</x:v>
      </x:c>
      <x:c r="W1041" s="20" t="n">
        <x:f>R1041+V1041</x:f>
        <x:v>34654.6195</x:v>
      </x:c>
      <x:c r="X1041" s="14" t="str">
        <x:f>IF(ABS(W1041-SUM(M1041:Q1041)-V1041)&lt;0.01,"OK","Check")</x:f>
        <x:v>OK</x:v>
      </x:c>
    </x:row>
    <x:row r="1042">
      <x:c r="A1042" s="14" t="n">
        <x:v>2028</x:v>
      </x:c>
      <x:c r="B1042" s="14" t="str">
        <x:v>Q1</x:v>
      </x:c>
      <x:c r="C1042" s="14" t="n">
        <x:v>1</x:v>
      </x:c>
      <x:c r="D1042" s="14" t="n">
        <x:v>54</x:v>
      </x:c>
      <x:c r="E1042" s="14" t="str">
        <x:f>INDEX(Roster!$B$6:$B$108,MATCH(D1042,Roster!$A$6:$A$108,0))</x:f>
      </x:c>
      <x:c r="F1042" s="14" t="str">
        <x:f>INDEX(Roster!$F$6:$F$108,MATCH(D1042,Roster!$A$6:$A$108,0))</x:f>
        <x:v>No</x:v>
      </x:c>
      <x:c r="G1042" s="14" t="n">
        <x:f>INDEX(Inputs!$B$7:$D$7,1,MATCH(A1042,Inputs!$B$6:$D$6,0))</x:f>
        <x:v>13</x:v>
      </x:c>
      <x:c r="H1042" s="14" t="n">
        <x:f>MIN(=INDEX(Inputs!$B$7:$D$7,1,MATCH(A1042,Inputs!$B$6:$D$6,0)),MAX(0,INDEX(Inputs!$B$14:$D$14,1,MATCH(A1042,Inputs!$B$6:$D$6,0))-(C1042-1)*=INDEX(Inputs!$B$7:$D$7,1,MATCH(A1042,Inputs!$B$6:$D$6,0))))</x:f>
        <x:v>13</x:v>
      </x:c>
      <x:c r="I1042" s="20" t="n">
        <x:f>INDEX(Inputs!$B$8:$D$8,1,MATCH(A1042,Inputs!$B$6:$D$6,0))</x:f>
        <x:v>2395</x:v>
      </x:c>
      <x:c r="J1042" s="20" t="n">
        <x:f>INDEX(Roster!$C$6:$C$108,MATCH(D1042,Roster!$A$6:$A$108,0))*(1+INDEX(Inputs!$B$9:$D$9,1,MATCH(A1042,Inputs!$B$6:$D$6,0)))</x:f>
        <x:v>35</x:v>
      </x:c>
      <x:c r="K1042" s="20" t="n">
        <x:f>IF(=INDEX(Roster!$F$6:$F$108,MATCH(D1042,Roster!$A$6:$A$108,0))="Yes",0,=INDEX(Inputs!$B$8:$D$8,1,MATCH(A1042,Inputs!$B$6:$D$6,0))*IF(=INDEX(Roster!$B$6:$B$108,MATCH(D1042,Roster!$A$6:$A$108,0))="Principal",INDEX(Inputs!$B$10:$D$10,1,MATCH(A1042,Inputs!$B$6:$D$6,0)),IF(=INDEX(Roster!$B$6:$B$108,MATCH(D1042,Roster!$A$6:$A$108,0))="Associate Principal",INDEX(Inputs!$B$11:$D$11,1,MATCH(A1042,Inputs!$B$6:$D$6,0)),IF(=INDEX(Roster!$B$6:$B$108,MATCH(D1042,Roster!$A$6:$A$108,0))="Assistant Principal",INDEX(Inputs!$B$12:$D$12,1,MATCH(A1042,Inputs!$B$6:$D$6,0)),0))))</x:f>
        <x:v>0</x:v>
      </x:c>
      <x:c r="L1042" s="20" t="n">
        <x:f>IF(INDEX(Roster!$D$6:$D$108,MATCH(D1042,Roster!$A$6:$A$108,0))&gt;=25,INDEX(Inputs!$B$19:$D$19,1,MATCH(A1042,Inputs!$B$6:$D$6,0)),IF(INDEX(Roster!$D$6:$D$108,MATCH(D1042,Roster!$A$6:$A$108,0))&gt;=20,INDEX(Inputs!$B$18:$D$18,1,MATCH(A1042,Inputs!$B$6:$D$6,0)),IF(INDEX(Roster!$D$6:$D$108,MATCH(D1042,Roster!$A$6:$A$108,0))&gt;=15,INDEX(Inputs!$B$17:$D$17,1,MATCH(A1042,Inputs!$B$6:$D$6,0)),IF(INDEX(Roster!$D$6:$D$108,MATCH(D1042,Roster!$A$6:$A$108,0))&gt;=10,INDEX(Inputs!$B$16:$D$16,1,MATCH(A1042,Inputs!$B$6:$D$6,0)),IF(INDEX(Roster!$D$6:$D$108,MATCH(D1042,Roster!$A$6:$A$108,0))&gt;=5,INDEX(Inputs!$B$15:$D$15,1,MATCH(A1042,Inputs!$B$6:$D$6,0)),0)))))</x:f>
        <x:v>80</x:v>
      </x:c>
      <x:c r="M1042" s="20" t="n">
        <x:f>G1042*I1042</x:f>
        <x:v>31135</x:v>
      </x:c>
      <x:c r="N1042" s="20" t="n">
        <x:f>G1042*J1042</x:f>
        <x:v>455</x:v>
      </x:c>
      <x:c r="O1042" s="20" t="n">
        <x:f>G1042*K1042</x:f>
        <x:v>0</x:v>
      </x:c>
      <x:c r="P1042" s="20" t="n">
        <x:f>G1042*L1042</x:f>
        <x:v>1040</x:v>
      </x:c>
      <x:c r="Q1042" s="20" t="n">
        <x:f>H1042*INDEX(Inputs!$B$13:$D$13,1,MATCH(A1042,Inputs!$B$6:$D$6,0))</x:f>
        <x:v>390</x:v>
      </x:c>
      <x:c r="R1042" s="20" t="n">
        <x:f>SUM(M1042:Q1042)</x:f>
        <x:v>33020</x:v>
      </x:c>
      <x:c r="S1042" s="20" t="n">
        <x:f>IF(AND(A1041=A1042,D1041=D1042),S1041+R1042,R1042)</x:f>
        <x:v>33020</x:v>
      </x:c>
      <x:c r="T1042" s="20" t="n">
        <x:f>MIN(S1042,INDEX(Inputs!$B$20:$D$20,1,MATCH(A1042,Inputs!$B$6:$D$6,0)))*INDEX(Inputs!$B$22:$D$22,1,MATCH(A1042,Inputs!$B$6:$D$6,0))+MAX(MIN(S1042,INDEX(Inputs!$B$21:$D$21,1,MATCH(A1042,Inputs!$B$6:$D$6,0)))-INDEX(Inputs!$B$20:$D$20,1,MATCH(A1042,Inputs!$B$6:$D$6,0)),0)*INDEX(Inputs!$B$23:$D$23,1,MATCH(A1042,Inputs!$B$6:$D$6,0))+MAX(S1042-INDEX(Inputs!$B$21:$D$21,1,MATCH(A1042,Inputs!$B$6:$D$6,0)),0)*INDEX(Inputs!$B$24:$D$24,1,MATCH(A1042,Inputs!$B$6:$D$6,0))</x:f>
        <x:v>3016.0299999999997</x:v>
      </x:c>
      <x:c r="U1042" s="20" t="n">
        <x:f>IF(AND(A1041=A1042,D1041=D1042),T1041,0)</x:f>
        <x:v>0</x:v>
      </x:c>
      <x:c r="V1042" s="20" t="n">
        <x:f>T1042-U1042</x:f>
        <x:v>3016.0299999999997</x:v>
      </x:c>
      <x:c r="W1042" s="20" t="n">
        <x:f>R1042+V1042</x:f>
        <x:v>36036.03</x:v>
      </x:c>
      <x:c r="X1042" s="14" t="str">
        <x:f>IF(ABS(W1042-SUM(M1042:Q1042)-V1042)&lt;0.01,"OK","Check")</x:f>
        <x:v>OK</x:v>
      </x:c>
    </x:row>
    <x:row r="1043">
      <x:c r="A1043" s="14" t="n">
        <x:v>2028</x:v>
      </x:c>
      <x:c r="B1043" s="14" t="str">
        <x:v>Q2</x:v>
      </x:c>
      <x:c r="C1043" s="14" t="n">
        <x:v>2</x:v>
      </x:c>
      <x:c r="D1043" s="14" t="n">
        <x:v>54</x:v>
      </x:c>
      <x:c r="E1043" s="14" t="str">
        <x:f>INDEX(Roster!$B$6:$B$108,MATCH(D1043,Roster!$A$6:$A$108,0))</x:f>
      </x:c>
      <x:c r="F1043" s="14" t="str">
        <x:f>INDEX(Roster!$F$6:$F$108,MATCH(D1043,Roster!$A$6:$A$108,0))</x:f>
        <x:v>No</x:v>
      </x:c>
      <x:c r="G1043" s="14" t="n">
        <x:f>INDEX(Inputs!$B$7:$D$7,1,MATCH(A1043,Inputs!$B$6:$D$6,0))</x:f>
        <x:v>13</x:v>
      </x:c>
      <x:c r="H1043" s="14" t="n">
        <x:f>MIN(=INDEX(Inputs!$B$7:$D$7,1,MATCH(A1043,Inputs!$B$6:$D$6,0)),MAX(0,INDEX(Inputs!$B$14:$D$14,1,MATCH(A1043,Inputs!$B$6:$D$6,0))-(C1043-1)*=INDEX(Inputs!$B$7:$D$7,1,MATCH(A1043,Inputs!$B$6:$D$6,0))))</x:f>
        <x:v>13</x:v>
      </x:c>
      <x:c r="I1043" s="20" t="n">
        <x:f>INDEX(Inputs!$B$8:$D$8,1,MATCH(A1043,Inputs!$B$6:$D$6,0))</x:f>
        <x:v>2395</x:v>
      </x:c>
      <x:c r="J1043" s="20" t="n">
        <x:f>INDEX(Roster!$C$6:$C$108,MATCH(D1043,Roster!$A$6:$A$108,0))*(1+INDEX(Inputs!$B$9:$D$9,1,MATCH(A1043,Inputs!$B$6:$D$6,0)))</x:f>
        <x:v>35</x:v>
      </x:c>
      <x:c r="K1043" s="20" t="n">
        <x:f>IF(=INDEX(Roster!$F$6:$F$108,MATCH(D1043,Roster!$A$6:$A$108,0))="Yes",0,=INDEX(Inputs!$B$8:$D$8,1,MATCH(A1043,Inputs!$B$6:$D$6,0))*IF(=INDEX(Roster!$B$6:$B$108,MATCH(D1043,Roster!$A$6:$A$108,0))="Principal",INDEX(Inputs!$B$10:$D$10,1,MATCH(A1043,Inputs!$B$6:$D$6,0)),IF(=INDEX(Roster!$B$6:$B$108,MATCH(D1043,Roster!$A$6:$A$108,0))="Associate Principal",INDEX(Inputs!$B$11:$D$11,1,MATCH(A1043,Inputs!$B$6:$D$6,0)),IF(=INDEX(Roster!$B$6:$B$108,MATCH(D1043,Roster!$A$6:$A$108,0))="Assistant Principal",INDEX(Inputs!$B$12:$D$12,1,MATCH(A1043,Inputs!$B$6:$D$6,0)),0))))</x:f>
        <x:v>0</x:v>
      </x:c>
      <x:c r="L1043" s="20" t="n">
        <x:f>IF(INDEX(Roster!$D$6:$D$108,MATCH(D1043,Roster!$A$6:$A$108,0))&gt;=25,INDEX(Inputs!$B$19:$D$19,1,MATCH(A1043,Inputs!$B$6:$D$6,0)),IF(INDEX(Roster!$D$6:$D$108,MATCH(D1043,Roster!$A$6:$A$108,0))&gt;=20,INDEX(Inputs!$B$18:$D$18,1,MATCH(A1043,Inputs!$B$6:$D$6,0)),IF(INDEX(Roster!$D$6:$D$108,MATCH(D1043,Roster!$A$6:$A$108,0))&gt;=15,INDEX(Inputs!$B$17:$D$17,1,MATCH(A1043,Inputs!$B$6:$D$6,0)),IF(INDEX(Roster!$D$6:$D$108,MATCH(D1043,Roster!$A$6:$A$108,0))&gt;=10,INDEX(Inputs!$B$16:$D$16,1,MATCH(A1043,Inputs!$B$6:$D$6,0)),IF(INDEX(Roster!$D$6:$D$108,MATCH(D1043,Roster!$A$6:$A$108,0))&gt;=5,INDEX(Inputs!$B$15:$D$15,1,MATCH(A1043,Inputs!$B$6:$D$6,0)),0)))))</x:f>
        <x:v>80</x:v>
      </x:c>
      <x:c r="M1043" s="20" t="n">
        <x:f>G1043*I1043</x:f>
        <x:v>31135</x:v>
      </x:c>
      <x:c r="N1043" s="20" t="n">
        <x:f>G1043*J1043</x:f>
        <x:v>455</x:v>
      </x:c>
      <x:c r="O1043" s="20" t="n">
        <x:f>G1043*K1043</x:f>
        <x:v>0</x:v>
      </x:c>
      <x:c r="P1043" s="20" t="n">
        <x:f>G1043*L1043</x:f>
        <x:v>1040</x:v>
      </x:c>
      <x:c r="Q1043" s="20" t="n">
        <x:f>H1043*INDEX(Inputs!$B$13:$D$13,1,MATCH(A1043,Inputs!$B$6:$D$6,0))</x:f>
        <x:v>390</x:v>
      </x:c>
      <x:c r="R1043" s="20" t="n">
        <x:f>SUM(M1043:Q1043)</x:f>
        <x:v>33020</x:v>
      </x:c>
      <x:c r="S1043" s="20" t="n">
        <x:f>IF(AND(A1042=A1043,D1042=D1043),S1042+R1043,R1043)</x:f>
        <x:v>66040</x:v>
      </x:c>
      <x:c r="T1043" s="20" t="n">
        <x:f>MIN(S1043,INDEX(Inputs!$B$20:$D$20,1,MATCH(A1043,Inputs!$B$6:$D$6,0)))*INDEX(Inputs!$B$22:$D$22,1,MATCH(A1043,Inputs!$B$6:$D$6,0))+MAX(MIN(S1043,INDEX(Inputs!$B$21:$D$21,1,MATCH(A1043,Inputs!$B$6:$D$6,0)))-INDEX(Inputs!$B$20:$D$20,1,MATCH(A1043,Inputs!$B$6:$D$6,0)),0)*INDEX(Inputs!$B$23:$D$23,1,MATCH(A1043,Inputs!$B$6:$D$6,0))+MAX(S1043-INDEX(Inputs!$B$21:$D$21,1,MATCH(A1043,Inputs!$B$6:$D$6,0)),0)*INDEX(Inputs!$B$24:$D$24,1,MATCH(A1043,Inputs!$B$6:$D$6,0))</x:f>
        <x:v>5542.0599999999995</x:v>
      </x:c>
      <x:c r="U1043" s="20" t="n">
        <x:f>IF(AND(A1042=A1043,D1042=D1043),T1042,0)</x:f>
        <x:v>3016.0299999999997</x:v>
      </x:c>
      <x:c r="V1043" s="20" t="n">
        <x:f>T1043-U1043</x:f>
        <x:v>2526.0299999999997</x:v>
      </x:c>
      <x:c r="W1043" s="20" t="n">
        <x:f>R1043+V1043</x:f>
        <x:v>35546.03</x:v>
      </x:c>
      <x:c r="X1043" s="14" t="str">
        <x:f>IF(ABS(W1043-SUM(M1043:Q1043)-V1043)&lt;0.01,"OK","Check")</x:f>
        <x:v>OK</x:v>
      </x:c>
    </x:row>
    <x:row r="1044">
      <x:c r="A1044" s="14" t="n">
        <x:v>2028</x:v>
      </x:c>
      <x:c r="B1044" s="14" t="str">
        <x:v>Q3</x:v>
      </x:c>
      <x:c r="C1044" s="14" t="n">
        <x:v>3</x:v>
      </x:c>
      <x:c r="D1044" s="14" t="n">
        <x:v>54</x:v>
      </x:c>
      <x:c r="E1044" s="14" t="str">
        <x:f>INDEX(Roster!$B$6:$B$108,MATCH(D1044,Roster!$A$6:$A$108,0))</x:f>
      </x:c>
      <x:c r="F1044" s="14" t="str">
        <x:f>INDEX(Roster!$F$6:$F$108,MATCH(D1044,Roster!$A$6:$A$108,0))</x:f>
        <x:v>No</x:v>
      </x:c>
      <x:c r="G1044" s="14" t="n">
        <x:f>INDEX(Inputs!$B$7:$D$7,1,MATCH(A1044,Inputs!$B$6:$D$6,0))</x:f>
        <x:v>13</x:v>
      </x:c>
      <x:c r="H1044" s="14" t="n">
        <x:f>MIN(=INDEX(Inputs!$B$7:$D$7,1,MATCH(A1044,Inputs!$B$6:$D$6,0)),MAX(0,INDEX(Inputs!$B$14:$D$14,1,MATCH(A1044,Inputs!$B$6:$D$6,0))-(C1044-1)*=INDEX(Inputs!$B$7:$D$7,1,MATCH(A1044,Inputs!$B$6:$D$6,0))))</x:f>
        <x:v>13</x:v>
      </x:c>
      <x:c r="I1044" s="20" t="n">
        <x:f>INDEX(Inputs!$B$8:$D$8,1,MATCH(A1044,Inputs!$B$6:$D$6,0))</x:f>
        <x:v>2395</x:v>
      </x:c>
      <x:c r="J1044" s="20" t="n">
        <x:f>INDEX(Roster!$C$6:$C$108,MATCH(D1044,Roster!$A$6:$A$108,0))*(1+INDEX(Inputs!$B$9:$D$9,1,MATCH(A1044,Inputs!$B$6:$D$6,0)))</x:f>
        <x:v>35</x:v>
      </x:c>
      <x:c r="K1044" s="20" t="n">
        <x:f>IF(=INDEX(Roster!$F$6:$F$108,MATCH(D1044,Roster!$A$6:$A$108,0))="Yes",0,=INDEX(Inputs!$B$8:$D$8,1,MATCH(A1044,Inputs!$B$6:$D$6,0))*IF(=INDEX(Roster!$B$6:$B$108,MATCH(D1044,Roster!$A$6:$A$108,0))="Principal",INDEX(Inputs!$B$10:$D$10,1,MATCH(A1044,Inputs!$B$6:$D$6,0)),IF(=INDEX(Roster!$B$6:$B$108,MATCH(D1044,Roster!$A$6:$A$108,0))="Associate Principal",INDEX(Inputs!$B$11:$D$11,1,MATCH(A1044,Inputs!$B$6:$D$6,0)),IF(=INDEX(Roster!$B$6:$B$108,MATCH(D1044,Roster!$A$6:$A$108,0))="Assistant Principal",INDEX(Inputs!$B$12:$D$12,1,MATCH(A1044,Inputs!$B$6:$D$6,0)),0))))</x:f>
        <x:v>0</x:v>
      </x:c>
      <x:c r="L1044" s="20" t="n">
        <x:f>IF(INDEX(Roster!$D$6:$D$108,MATCH(D1044,Roster!$A$6:$A$108,0))&gt;=25,INDEX(Inputs!$B$19:$D$19,1,MATCH(A1044,Inputs!$B$6:$D$6,0)),IF(INDEX(Roster!$D$6:$D$108,MATCH(D1044,Roster!$A$6:$A$108,0))&gt;=20,INDEX(Inputs!$B$18:$D$18,1,MATCH(A1044,Inputs!$B$6:$D$6,0)),IF(INDEX(Roster!$D$6:$D$108,MATCH(D1044,Roster!$A$6:$A$108,0))&gt;=15,INDEX(Inputs!$B$17:$D$17,1,MATCH(A1044,Inputs!$B$6:$D$6,0)),IF(INDEX(Roster!$D$6:$D$108,MATCH(D1044,Roster!$A$6:$A$108,0))&gt;=10,INDEX(Inputs!$B$16:$D$16,1,MATCH(A1044,Inputs!$B$6:$D$6,0)),IF(INDEX(Roster!$D$6:$D$108,MATCH(D1044,Roster!$A$6:$A$108,0))&gt;=5,INDEX(Inputs!$B$15:$D$15,1,MATCH(A1044,Inputs!$B$6:$D$6,0)),0)))))</x:f>
        <x:v>80</x:v>
      </x:c>
      <x:c r="M1044" s="20" t="n">
        <x:f>G1044*I1044</x:f>
        <x:v>31135</x:v>
      </x:c>
      <x:c r="N1044" s="20" t="n">
        <x:f>G1044*J1044</x:f>
        <x:v>455</x:v>
      </x:c>
      <x:c r="O1044" s="20" t="n">
        <x:f>G1044*K1044</x:f>
        <x:v>0</x:v>
      </x:c>
      <x:c r="P1044" s="20" t="n">
        <x:f>G1044*L1044</x:f>
        <x:v>1040</x:v>
      </x:c>
      <x:c r="Q1044" s="20" t="n">
        <x:f>H1044*INDEX(Inputs!$B$13:$D$13,1,MATCH(A1044,Inputs!$B$6:$D$6,0))</x:f>
        <x:v>390</x:v>
      </x:c>
      <x:c r="R1044" s="20" t="n">
        <x:f>SUM(M1044:Q1044)</x:f>
        <x:v>33020</x:v>
      </x:c>
      <x:c r="S1044" s="20" t="n">
        <x:f>IF(AND(A1043=A1044,D1043=D1044),S1043+R1044,R1044)</x:f>
        <x:v>99060</x:v>
      </x:c>
      <x:c r="T1044" s="20" t="n">
        <x:f>MIN(S1044,INDEX(Inputs!$B$20:$D$20,1,MATCH(A1044,Inputs!$B$6:$D$6,0)))*INDEX(Inputs!$B$22:$D$22,1,MATCH(A1044,Inputs!$B$6:$D$6,0))+MAX(MIN(S1044,INDEX(Inputs!$B$21:$D$21,1,MATCH(A1044,Inputs!$B$6:$D$6,0)))-INDEX(Inputs!$B$20:$D$20,1,MATCH(A1044,Inputs!$B$6:$D$6,0)),0)*INDEX(Inputs!$B$23:$D$23,1,MATCH(A1044,Inputs!$B$6:$D$6,0))+MAX(S1044-INDEX(Inputs!$B$21:$D$21,1,MATCH(A1044,Inputs!$B$6:$D$6,0)),0)*INDEX(Inputs!$B$24:$D$24,1,MATCH(A1044,Inputs!$B$6:$D$6,0))</x:f>
        <x:v>8068.09</x:v>
      </x:c>
      <x:c r="U1044" s="20" t="n">
        <x:f>IF(AND(A1043=A1044,D1043=D1044),T1043,0)</x:f>
        <x:v>5542.0599999999995</x:v>
      </x:c>
      <x:c r="V1044" s="20" t="n">
        <x:f>T1044-U1044</x:f>
        <x:v>2526.0300000000007</x:v>
      </x:c>
      <x:c r="W1044" s="20" t="n">
        <x:f>R1044+V1044</x:f>
        <x:v>35546.03</x:v>
      </x:c>
      <x:c r="X1044" s="14" t="str">
        <x:f>IF(ABS(W1044-SUM(M1044:Q1044)-V1044)&lt;0.01,"OK","Check")</x:f>
        <x:v>OK</x:v>
      </x:c>
    </x:row>
    <x:row r="1045">
      <x:c r="A1045" s="14" t="n">
        <x:v>2028</x:v>
      </x:c>
      <x:c r="B1045" s="14" t="str">
        <x:v>Q4</x:v>
      </x:c>
      <x:c r="C1045" s="14" t="n">
        <x:v>4</x:v>
      </x:c>
      <x:c r="D1045" s="14" t="n">
        <x:v>54</x:v>
      </x:c>
      <x:c r="E1045" s="14" t="str">
        <x:f>INDEX(Roster!$B$6:$B$108,MATCH(D1045,Roster!$A$6:$A$108,0))</x:f>
      </x:c>
      <x:c r="F1045" s="14" t="str">
        <x:f>INDEX(Roster!$F$6:$F$108,MATCH(D1045,Roster!$A$6:$A$108,0))</x:f>
        <x:v>No</x:v>
      </x:c>
      <x:c r="G1045" s="14" t="n">
        <x:f>INDEX(Inputs!$B$7:$D$7,1,MATCH(A1045,Inputs!$B$6:$D$6,0))</x:f>
        <x:v>13</x:v>
      </x:c>
      <x:c r="H1045" s="14" t="n">
        <x:f>MIN(=INDEX(Inputs!$B$7:$D$7,1,MATCH(A1045,Inputs!$B$6:$D$6,0)),MAX(0,INDEX(Inputs!$B$14:$D$14,1,MATCH(A1045,Inputs!$B$6:$D$6,0))-(C1045-1)*=INDEX(Inputs!$B$7:$D$7,1,MATCH(A1045,Inputs!$B$6:$D$6,0))))</x:f>
        <x:v>0</x:v>
      </x:c>
      <x:c r="I1045" s="20" t="n">
        <x:f>INDEX(Inputs!$B$8:$D$8,1,MATCH(A1045,Inputs!$B$6:$D$6,0))</x:f>
        <x:v>2395</x:v>
      </x:c>
      <x:c r="J1045" s="20" t="n">
        <x:f>INDEX(Roster!$C$6:$C$108,MATCH(D1045,Roster!$A$6:$A$108,0))*(1+INDEX(Inputs!$B$9:$D$9,1,MATCH(A1045,Inputs!$B$6:$D$6,0)))</x:f>
        <x:v>35</x:v>
      </x:c>
      <x:c r="K1045" s="20" t="n">
        <x:f>IF(=INDEX(Roster!$F$6:$F$108,MATCH(D1045,Roster!$A$6:$A$108,0))="Yes",0,=INDEX(Inputs!$B$8:$D$8,1,MATCH(A1045,Inputs!$B$6:$D$6,0))*IF(=INDEX(Roster!$B$6:$B$108,MATCH(D1045,Roster!$A$6:$A$108,0))="Principal",INDEX(Inputs!$B$10:$D$10,1,MATCH(A1045,Inputs!$B$6:$D$6,0)),IF(=INDEX(Roster!$B$6:$B$108,MATCH(D1045,Roster!$A$6:$A$108,0))="Associate Principal",INDEX(Inputs!$B$11:$D$11,1,MATCH(A1045,Inputs!$B$6:$D$6,0)),IF(=INDEX(Roster!$B$6:$B$108,MATCH(D1045,Roster!$A$6:$A$108,0))="Assistant Principal",INDEX(Inputs!$B$12:$D$12,1,MATCH(A1045,Inputs!$B$6:$D$6,0)),0))))</x:f>
        <x:v>0</x:v>
      </x:c>
      <x:c r="L1045" s="20" t="n">
        <x:f>IF(INDEX(Roster!$D$6:$D$108,MATCH(D1045,Roster!$A$6:$A$108,0))&gt;=25,INDEX(Inputs!$B$19:$D$19,1,MATCH(A1045,Inputs!$B$6:$D$6,0)),IF(INDEX(Roster!$D$6:$D$108,MATCH(D1045,Roster!$A$6:$A$108,0))&gt;=20,INDEX(Inputs!$B$18:$D$18,1,MATCH(A1045,Inputs!$B$6:$D$6,0)),IF(INDEX(Roster!$D$6:$D$108,MATCH(D1045,Roster!$A$6:$A$108,0))&gt;=15,INDEX(Inputs!$B$17:$D$17,1,MATCH(A1045,Inputs!$B$6:$D$6,0)),IF(INDEX(Roster!$D$6:$D$108,MATCH(D1045,Roster!$A$6:$A$108,0))&gt;=10,INDEX(Inputs!$B$16:$D$16,1,MATCH(A1045,Inputs!$B$6:$D$6,0)),IF(INDEX(Roster!$D$6:$D$108,MATCH(D1045,Roster!$A$6:$A$108,0))&gt;=5,INDEX(Inputs!$B$15:$D$15,1,MATCH(A1045,Inputs!$B$6:$D$6,0)),0)))))</x:f>
        <x:v>80</x:v>
      </x:c>
      <x:c r="M1045" s="20" t="n">
        <x:f>G1045*I1045</x:f>
        <x:v>31135</x:v>
      </x:c>
      <x:c r="N1045" s="20" t="n">
        <x:f>G1045*J1045</x:f>
        <x:v>455</x:v>
      </x:c>
      <x:c r="O1045" s="20" t="n">
        <x:f>G1045*K1045</x:f>
        <x:v>0</x:v>
      </x:c>
      <x:c r="P1045" s="20" t="n">
        <x:f>G1045*L1045</x:f>
        <x:v>1040</x:v>
      </x:c>
      <x:c r="Q1045" s="20" t="n">
        <x:f>H1045*INDEX(Inputs!$B$13:$D$13,1,MATCH(A1045,Inputs!$B$6:$D$6,0))</x:f>
        <x:v>0</x:v>
      </x:c>
      <x:c r="R1045" s="20" t="n">
        <x:f>SUM(M1045:Q1045)</x:f>
        <x:v>32630</x:v>
      </x:c>
      <x:c r="S1045" s="20" t="n">
        <x:f>IF(AND(A1044=A1045,D1044=D1045),S1044+R1045,R1045)</x:f>
        <x:v>131690</x:v>
      </x:c>
      <x:c r="T1045" s="20" t="n">
        <x:f>MIN(S1045,INDEX(Inputs!$B$20:$D$20,1,MATCH(A1045,Inputs!$B$6:$D$6,0)))*INDEX(Inputs!$B$22:$D$22,1,MATCH(A1045,Inputs!$B$6:$D$6,0))+MAX(MIN(S1045,INDEX(Inputs!$B$21:$D$21,1,MATCH(A1045,Inputs!$B$6:$D$6,0)))-INDEX(Inputs!$B$20:$D$20,1,MATCH(A1045,Inputs!$B$6:$D$6,0)),0)*INDEX(Inputs!$B$23:$D$23,1,MATCH(A1045,Inputs!$B$6:$D$6,0))+MAX(S1045-INDEX(Inputs!$B$21:$D$21,1,MATCH(A1045,Inputs!$B$6:$D$6,0)),0)*INDEX(Inputs!$B$24:$D$24,1,MATCH(A1045,Inputs!$B$6:$D$6,0))</x:f>
        <x:v>9823.447</x:v>
      </x:c>
      <x:c r="U1045" s="20" t="n">
        <x:f>IF(AND(A1044=A1045,D1044=D1045),T1044,0)</x:f>
        <x:v>8068.09</x:v>
      </x:c>
      <x:c r="V1045" s="20" t="n">
        <x:f>T1045-U1045</x:f>
        <x:v>1755.357</x:v>
      </x:c>
      <x:c r="W1045" s="20" t="n">
        <x:f>R1045+V1045</x:f>
        <x:v>34385.357</x:v>
      </x:c>
      <x:c r="X1045" s="14" t="str">
        <x:f>IF(ABS(W1045-SUM(M1045:Q1045)-V1045)&lt;0.01,"OK","Check")</x:f>
        <x:v>OK</x:v>
      </x:c>
    </x:row>
    <x:row r="1046">
      <x:c r="A1046" s="14" t="n">
        <x:v>2028</x:v>
      </x:c>
      <x:c r="B1046" s="14" t="str">
        <x:v>Q1</x:v>
      </x:c>
      <x:c r="C1046" s="14" t="n">
        <x:v>1</x:v>
      </x:c>
      <x:c r="D1046" s="14" t="n">
        <x:v>55</x:v>
      </x:c>
      <x:c r="E1046" s="14" t="str">
        <x:f>INDEX(Roster!$B$6:$B$108,MATCH(D1046,Roster!$A$6:$A$108,0))</x:f>
      </x:c>
      <x:c r="F1046" s="14" t="str">
        <x:f>INDEX(Roster!$F$6:$F$108,MATCH(D1046,Roster!$A$6:$A$108,0))</x:f>
        <x:v>No</x:v>
      </x:c>
      <x:c r="G1046" s="14" t="n">
        <x:f>INDEX(Inputs!$B$7:$D$7,1,MATCH(A1046,Inputs!$B$6:$D$6,0))</x:f>
        <x:v>13</x:v>
      </x:c>
      <x:c r="H1046" s="14" t="n">
        <x:f>MIN(=INDEX(Inputs!$B$7:$D$7,1,MATCH(A1046,Inputs!$B$6:$D$6,0)),MAX(0,INDEX(Inputs!$B$14:$D$14,1,MATCH(A1046,Inputs!$B$6:$D$6,0))-(C1046-1)*=INDEX(Inputs!$B$7:$D$7,1,MATCH(A1046,Inputs!$B$6:$D$6,0))))</x:f>
        <x:v>13</x:v>
      </x:c>
      <x:c r="I1046" s="20" t="n">
        <x:f>INDEX(Inputs!$B$8:$D$8,1,MATCH(A1046,Inputs!$B$6:$D$6,0))</x:f>
        <x:v>2395</x:v>
      </x:c>
      <x:c r="J1046" s="20" t="n">
        <x:f>INDEX(Roster!$C$6:$C$108,MATCH(D1046,Roster!$A$6:$A$108,0))*(1+INDEX(Inputs!$B$9:$D$9,1,MATCH(A1046,Inputs!$B$6:$D$6,0)))</x:f>
        <x:v>40</x:v>
      </x:c>
      <x:c r="K1046" s="20" t="n">
        <x:f>IF(=INDEX(Roster!$F$6:$F$108,MATCH(D1046,Roster!$A$6:$A$108,0))="Yes",0,=INDEX(Inputs!$B$8:$D$8,1,MATCH(A1046,Inputs!$B$6:$D$6,0))*IF(=INDEX(Roster!$B$6:$B$108,MATCH(D1046,Roster!$A$6:$A$108,0))="Principal",INDEX(Inputs!$B$10:$D$10,1,MATCH(A1046,Inputs!$B$6:$D$6,0)),IF(=INDEX(Roster!$B$6:$B$108,MATCH(D1046,Roster!$A$6:$A$108,0))="Associate Principal",INDEX(Inputs!$B$11:$D$11,1,MATCH(A1046,Inputs!$B$6:$D$6,0)),IF(=INDEX(Roster!$B$6:$B$108,MATCH(D1046,Roster!$A$6:$A$108,0))="Assistant Principal",INDEX(Inputs!$B$12:$D$12,1,MATCH(A1046,Inputs!$B$6:$D$6,0)),0))))</x:f>
        <x:v>0</x:v>
      </x:c>
      <x:c r="L1046" s="20" t="n">
        <x:f>IF(INDEX(Roster!$D$6:$D$108,MATCH(D1046,Roster!$A$6:$A$108,0))&gt;=25,INDEX(Inputs!$B$19:$D$19,1,MATCH(A1046,Inputs!$B$6:$D$6,0)),IF(INDEX(Roster!$D$6:$D$108,MATCH(D1046,Roster!$A$6:$A$108,0))&gt;=20,INDEX(Inputs!$B$18:$D$18,1,MATCH(A1046,Inputs!$B$6:$D$6,0)),IF(INDEX(Roster!$D$6:$D$108,MATCH(D1046,Roster!$A$6:$A$108,0))&gt;=15,INDEX(Inputs!$B$17:$D$17,1,MATCH(A1046,Inputs!$B$6:$D$6,0)),IF(INDEX(Roster!$D$6:$D$108,MATCH(D1046,Roster!$A$6:$A$108,0))&gt;=10,INDEX(Inputs!$B$16:$D$16,1,MATCH(A1046,Inputs!$B$6:$D$6,0)),IF(INDEX(Roster!$D$6:$D$108,MATCH(D1046,Roster!$A$6:$A$108,0))&gt;=5,INDEX(Inputs!$B$15:$D$15,1,MATCH(A1046,Inputs!$B$6:$D$6,0)),0)))))</x:f>
        <x:v>90</x:v>
      </x:c>
      <x:c r="M1046" s="20" t="n">
        <x:f>G1046*I1046</x:f>
        <x:v>31135</x:v>
      </x:c>
      <x:c r="N1046" s="20" t="n">
        <x:f>G1046*J1046</x:f>
        <x:v>520</x:v>
      </x:c>
      <x:c r="O1046" s="20" t="n">
        <x:f>G1046*K1046</x:f>
        <x:v>0</x:v>
      </x:c>
      <x:c r="P1046" s="20" t="n">
        <x:f>G1046*L1046</x:f>
        <x:v>1170</x:v>
      </x:c>
      <x:c r="Q1046" s="20" t="n">
        <x:f>H1046*INDEX(Inputs!$B$13:$D$13,1,MATCH(A1046,Inputs!$B$6:$D$6,0))</x:f>
        <x:v>390</x:v>
      </x:c>
      <x:c r="R1046" s="20" t="n">
        <x:f>SUM(M1046:Q1046)</x:f>
        <x:v>33215</x:v>
      </x:c>
      <x:c r="S1046" s="20" t="n">
        <x:f>IF(AND(A1045=A1046,D1045=D1046),S1045+R1046,R1046)</x:f>
        <x:v>33215</x:v>
      </x:c>
      <x:c r="T1046" s="20" t="n">
        <x:f>MIN(S1046,INDEX(Inputs!$B$20:$D$20,1,MATCH(A1046,Inputs!$B$6:$D$6,0)))*INDEX(Inputs!$B$22:$D$22,1,MATCH(A1046,Inputs!$B$6:$D$6,0))+MAX(MIN(S1046,INDEX(Inputs!$B$21:$D$21,1,MATCH(A1046,Inputs!$B$6:$D$6,0)))-INDEX(Inputs!$B$20:$D$20,1,MATCH(A1046,Inputs!$B$6:$D$6,0)),0)*INDEX(Inputs!$B$23:$D$23,1,MATCH(A1046,Inputs!$B$6:$D$6,0))+MAX(S1046-INDEX(Inputs!$B$21:$D$21,1,MATCH(A1046,Inputs!$B$6:$D$6,0)),0)*INDEX(Inputs!$B$24:$D$24,1,MATCH(A1046,Inputs!$B$6:$D$6,0))</x:f>
        <x:v>3030.9475</x:v>
      </x:c>
      <x:c r="U1046" s="20" t="n">
        <x:f>IF(AND(A1045=A1046,D1045=D1046),T1045,0)</x:f>
        <x:v>0</x:v>
      </x:c>
      <x:c r="V1046" s="20" t="n">
        <x:f>T1046-U1046</x:f>
        <x:v>3030.9475</x:v>
      </x:c>
      <x:c r="W1046" s="20" t="n">
        <x:f>R1046+V1046</x:f>
        <x:v>36245.9475</x:v>
      </x:c>
      <x:c r="X1046" s="14" t="str">
        <x:f>IF(ABS(W1046-SUM(M1046:Q1046)-V1046)&lt;0.01,"OK","Check")</x:f>
        <x:v>OK</x:v>
      </x:c>
    </x:row>
    <x:row r="1047">
      <x:c r="A1047" s="14" t="n">
        <x:v>2028</x:v>
      </x:c>
      <x:c r="B1047" s="14" t="str">
        <x:v>Q2</x:v>
      </x:c>
      <x:c r="C1047" s="14" t="n">
        <x:v>2</x:v>
      </x:c>
      <x:c r="D1047" s="14" t="n">
        <x:v>55</x:v>
      </x:c>
      <x:c r="E1047" s="14" t="str">
        <x:f>INDEX(Roster!$B$6:$B$108,MATCH(D1047,Roster!$A$6:$A$108,0))</x:f>
      </x:c>
      <x:c r="F1047" s="14" t="str">
        <x:f>INDEX(Roster!$F$6:$F$108,MATCH(D1047,Roster!$A$6:$A$108,0))</x:f>
        <x:v>No</x:v>
      </x:c>
      <x:c r="G1047" s="14" t="n">
        <x:f>INDEX(Inputs!$B$7:$D$7,1,MATCH(A1047,Inputs!$B$6:$D$6,0))</x:f>
        <x:v>13</x:v>
      </x:c>
      <x:c r="H1047" s="14" t="n">
        <x:f>MIN(=INDEX(Inputs!$B$7:$D$7,1,MATCH(A1047,Inputs!$B$6:$D$6,0)),MAX(0,INDEX(Inputs!$B$14:$D$14,1,MATCH(A1047,Inputs!$B$6:$D$6,0))-(C1047-1)*=INDEX(Inputs!$B$7:$D$7,1,MATCH(A1047,Inputs!$B$6:$D$6,0))))</x:f>
        <x:v>13</x:v>
      </x:c>
      <x:c r="I1047" s="20" t="n">
        <x:f>INDEX(Inputs!$B$8:$D$8,1,MATCH(A1047,Inputs!$B$6:$D$6,0))</x:f>
        <x:v>2395</x:v>
      </x:c>
      <x:c r="J1047" s="20" t="n">
        <x:f>INDEX(Roster!$C$6:$C$108,MATCH(D1047,Roster!$A$6:$A$108,0))*(1+INDEX(Inputs!$B$9:$D$9,1,MATCH(A1047,Inputs!$B$6:$D$6,0)))</x:f>
        <x:v>40</x:v>
      </x:c>
      <x:c r="K1047" s="20" t="n">
        <x:f>IF(=INDEX(Roster!$F$6:$F$108,MATCH(D1047,Roster!$A$6:$A$108,0))="Yes",0,=INDEX(Inputs!$B$8:$D$8,1,MATCH(A1047,Inputs!$B$6:$D$6,0))*IF(=INDEX(Roster!$B$6:$B$108,MATCH(D1047,Roster!$A$6:$A$108,0))="Principal",INDEX(Inputs!$B$10:$D$10,1,MATCH(A1047,Inputs!$B$6:$D$6,0)),IF(=INDEX(Roster!$B$6:$B$108,MATCH(D1047,Roster!$A$6:$A$108,0))="Associate Principal",INDEX(Inputs!$B$11:$D$11,1,MATCH(A1047,Inputs!$B$6:$D$6,0)),IF(=INDEX(Roster!$B$6:$B$108,MATCH(D1047,Roster!$A$6:$A$108,0))="Assistant Principal",INDEX(Inputs!$B$12:$D$12,1,MATCH(A1047,Inputs!$B$6:$D$6,0)),0))))</x:f>
        <x:v>0</x:v>
      </x:c>
      <x:c r="L1047" s="20" t="n">
        <x:f>IF(INDEX(Roster!$D$6:$D$108,MATCH(D1047,Roster!$A$6:$A$108,0))&gt;=25,INDEX(Inputs!$B$19:$D$19,1,MATCH(A1047,Inputs!$B$6:$D$6,0)),IF(INDEX(Roster!$D$6:$D$108,MATCH(D1047,Roster!$A$6:$A$108,0))&gt;=20,INDEX(Inputs!$B$18:$D$18,1,MATCH(A1047,Inputs!$B$6:$D$6,0)),IF(INDEX(Roster!$D$6:$D$108,MATCH(D1047,Roster!$A$6:$A$108,0))&gt;=15,INDEX(Inputs!$B$17:$D$17,1,MATCH(A1047,Inputs!$B$6:$D$6,0)),IF(INDEX(Roster!$D$6:$D$108,MATCH(D1047,Roster!$A$6:$A$108,0))&gt;=10,INDEX(Inputs!$B$16:$D$16,1,MATCH(A1047,Inputs!$B$6:$D$6,0)),IF(INDEX(Roster!$D$6:$D$108,MATCH(D1047,Roster!$A$6:$A$108,0))&gt;=5,INDEX(Inputs!$B$15:$D$15,1,MATCH(A1047,Inputs!$B$6:$D$6,0)),0)))))</x:f>
        <x:v>90</x:v>
      </x:c>
      <x:c r="M1047" s="20" t="n">
        <x:f>G1047*I1047</x:f>
        <x:v>31135</x:v>
      </x:c>
      <x:c r="N1047" s="20" t="n">
        <x:f>G1047*J1047</x:f>
        <x:v>520</x:v>
      </x:c>
      <x:c r="O1047" s="20" t="n">
        <x:f>G1047*K1047</x:f>
        <x:v>0</x:v>
      </x:c>
      <x:c r="P1047" s="20" t="n">
        <x:f>G1047*L1047</x:f>
        <x:v>1170</x:v>
      </x:c>
      <x:c r="Q1047" s="20" t="n">
        <x:f>H1047*INDEX(Inputs!$B$13:$D$13,1,MATCH(A1047,Inputs!$B$6:$D$6,0))</x:f>
        <x:v>390</x:v>
      </x:c>
      <x:c r="R1047" s="20" t="n">
        <x:f>SUM(M1047:Q1047)</x:f>
        <x:v>33215</x:v>
      </x:c>
      <x:c r="S1047" s="20" t="n">
        <x:f>IF(AND(A1046=A1047,D1046=D1047),S1046+R1047,R1047)</x:f>
        <x:v>66430</x:v>
      </x:c>
      <x:c r="T1047" s="20" t="n">
        <x:f>MIN(S1047,INDEX(Inputs!$B$20:$D$20,1,MATCH(A1047,Inputs!$B$6:$D$6,0)))*INDEX(Inputs!$B$22:$D$22,1,MATCH(A1047,Inputs!$B$6:$D$6,0))+MAX(MIN(S1047,INDEX(Inputs!$B$21:$D$21,1,MATCH(A1047,Inputs!$B$6:$D$6,0)))-INDEX(Inputs!$B$20:$D$20,1,MATCH(A1047,Inputs!$B$6:$D$6,0)),0)*INDEX(Inputs!$B$23:$D$23,1,MATCH(A1047,Inputs!$B$6:$D$6,0))+MAX(S1047-INDEX(Inputs!$B$21:$D$21,1,MATCH(A1047,Inputs!$B$6:$D$6,0)),0)*INDEX(Inputs!$B$24:$D$24,1,MATCH(A1047,Inputs!$B$6:$D$6,0))</x:f>
        <x:v>5571.8949999999995</x:v>
      </x:c>
      <x:c r="U1047" s="20" t="n">
        <x:f>IF(AND(A1046=A1047,D1046=D1047),T1046,0)</x:f>
        <x:v>3030.9475</x:v>
      </x:c>
      <x:c r="V1047" s="20" t="n">
        <x:f>T1047-U1047</x:f>
        <x:v>2540.9474999999993</x:v>
      </x:c>
      <x:c r="W1047" s="20" t="n">
        <x:f>R1047+V1047</x:f>
        <x:v>35755.9475</x:v>
      </x:c>
      <x:c r="X1047" s="14" t="str">
        <x:f>IF(ABS(W1047-SUM(M1047:Q1047)-V1047)&lt;0.01,"OK","Check")</x:f>
        <x:v>OK</x:v>
      </x:c>
    </x:row>
    <x:row r="1048">
      <x:c r="A1048" s="14" t="n">
        <x:v>2028</x:v>
      </x:c>
      <x:c r="B1048" s="14" t="str">
        <x:v>Q3</x:v>
      </x:c>
      <x:c r="C1048" s="14" t="n">
        <x:v>3</x:v>
      </x:c>
      <x:c r="D1048" s="14" t="n">
        <x:v>55</x:v>
      </x:c>
      <x:c r="E1048" s="14" t="str">
        <x:f>INDEX(Roster!$B$6:$B$108,MATCH(D1048,Roster!$A$6:$A$108,0))</x:f>
      </x:c>
      <x:c r="F1048" s="14" t="str">
        <x:f>INDEX(Roster!$F$6:$F$108,MATCH(D1048,Roster!$A$6:$A$108,0))</x:f>
        <x:v>No</x:v>
      </x:c>
      <x:c r="G1048" s="14" t="n">
        <x:f>INDEX(Inputs!$B$7:$D$7,1,MATCH(A1048,Inputs!$B$6:$D$6,0))</x:f>
        <x:v>13</x:v>
      </x:c>
      <x:c r="H1048" s="14" t="n">
        <x:f>MIN(=INDEX(Inputs!$B$7:$D$7,1,MATCH(A1048,Inputs!$B$6:$D$6,0)),MAX(0,INDEX(Inputs!$B$14:$D$14,1,MATCH(A1048,Inputs!$B$6:$D$6,0))-(C1048-1)*=INDEX(Inputs!$B$7:$D$7,1,MATCH(A1048,Inputs!$B$6:$D$6,0))))</x:f>
        <x:v>13</x:v>
      </x:c>
      <x:c r="I1048" s="20" t="n">
        <x:f>INDEX(Inputs!$B$8:$D$8,1,MATCH(A1048,Inputs!$B$6:$D$6,0))</x:f>
        <x:v>2395</x:v>
      </x:c>
      <x:c r="J1048" s="20" t="n">
        <x:f>INDEX(Roster!$C$6:$C$108,MATCH(D1048,Roster!$A$6:$A$108,0))*(1+INDEX(Inputs!$B$9:$D$9,1,MATCH(A1048,Inputs!$B$6:$D$6,0)))</x:f>
        <x:v>40</x:v>
      </x:c>
      <x:c r="K1048" s="20" t="n">
        <x:f>IF(=INDEX(Roster!$F$6:$F$108,MATCH(D1048,Roster!$A$6:$A$108,0))="Yes",0,=INDEX(Inputs!$B$8:$D$8,1,MATCH(A1048,Inputs!$B$6:$D$6,0))*IF(=INDEX(Roster!$B$6:$B$108,MATCH(D1048,Roster!$A$6:$A$108,0))="Principal",INDEX(Inputs!$B$10:$D$10,1,MATCH(A1048,Inputs!$B$6:$D$6,0)),IF(=INDEX(Roster!$B$6:$B$108,MATCH(D1048,Roster!$A$6:$A$108,0))="Associate Principal",INDEX(Inputs!$B$11:$D$11,1,MATCH(A1048,Inputs!$B$6:$D$6,0)),IF(=INDEX(Roster!$B$6:$B$108,MATCH(D1048,Roster!$A$6:$A$108,0))="Assistant Principal",INDEX(Inputs!$B$12:$D$12,1,MATCH(A1048,Inputs!$B$6:$D$6,0)),0))))</x:f>
        <x:v>0</x:v>
      </x:c>
      <x:c r="L1048" s="20" t="n">
        <x:f>IF(INDEX(Roster!$D$6:$D$108,MATCH(D1048,Roster!$A$6:$A$108,0))&gt;=25,INDEX(Inputs!$B$19:$D$19,1,MATCH(A1048,Inputs!$B$6:$D$6,0)),IF(INDEX(Roster!$D$6:$D$108,MATCH(D1048,Roster!$A$6:$A$108,0))&gt;=20,INDEX(Inputs!$B$18:$D$18,1,MATCH(A1048,Inputs!$B$6:$D$6,0)),IF(INDEX(Roster!$D$6:$D$108,MATCH(D1048,Roster!$A$6:$A$108,0))&gt;=15,INDEX(Inputs!$B$17:$D$17,1,MATCH(A1048,Inputs!$B$6:$D$6,0)),IF(INDEX(Roster!$D$6:$D$108,MATCH(D1048,Roster!$A$6:$A$108,0))&gt;=10,INDEX(Inputs!$B$16:$D$16,1,MATCH(A1048,Inputs!$B$6:$D$6,0)),IF(INDEX(Roster!$D$6:$D$108,MATCH(D1048,Roster!$A$6:$A$108,0))&gt;=5,INDEX(Inputs!$B$15:$D$15,1,MATCH(A1048,Inputs!$B$6:$D$6,0)),0)))))</x:f>
        <x:v>90</x:v>
      </x:c>
      <x:c r="M1048" s="20" t="n">
        <x:f>G1048*I1048</x:f>
        <x:v>31135</x:v>
      </x:c>
      <x:c r="N1048" s="20" t="n">
        <x:f>G1048*J1048</x:f>
        <x:v>520</x:v>
      </x:c>
      <x:c r="O1048" s="20" t="n">
        <x:f>G1048*K1048</x:f>
        <x:v>0</x:v>
      </x:c>
      <x:c r="P1048" s="20" t="n">
        <x:f>G1048*L1048</x:f>
        <x:v>1170</x:v>
      </x:c>
      <x:c r="Q1048" s="20" t="n">
        <x:f>H1048*INDEX(Inputs!$B$13:$D$13,1,MATCH(A1048,Inputs!$B$6:$D$6,0))</x:f>
        <x:v>390</x:v>
      </x:c>
      <x:c r="R1048" s="20" t="n">
        <x:f>SUM(M1048:Q1048)</x:f>
        <x:v>33215</x:v>
      </x:c>
      <x:c r="S1048" s="20" t="n">
        <x:f>IF(AND(A1047=A1048,D1047=D1048),S1047+R1048,R1048)</x:f>
        <x:v>99645</x:v>
      </x:c>
      <x:c r="T1048" s="20" t="n">
        <x:f>MIN(S1048,INDEX(Inputs!$B$20:$D$20,1,MATCH(A1048,Inputs!$B$6:$D$6,0)))*INDEX(Inputs!$B$22:$D$22,1,MATCH(A1048,Inputs!$B$6:$D$6,0))+MAX(MIN(S1048,INDEX(Inputs!$B$21:$D$21,1,MATCH(A1048,Inputs!$B$6:$D$6,0)))-INDEX(Inputs!$B$20:$D$20,1,MATCH(A1048,Inputs!$B$6:$D$6,0)),0)*INDEX(Inputs!$B$23:$D$23,1,MATCH(A1048,Inputs!$B$6:$D$6,0))+MAX(S1048-INDEX(Inputs!$B$21:$D$21,1,MATCH(A1048,Inputs!$B$6:$D$6,0)),0)*INDEX(Inputs!$B$24:$D$24,1,MATCH(A1048,Inputs!$B$6:$D$6,0))</x:f>
        <x:v>8112.8425</x:v>
      </x:c>
      <x:c r="U1048" s="20" t="n">
        <x:f>IF(AND(A1047=A1048,D1047=D1048),T1047,0)</x:f>
        <x:v>5571.8949999999995</x:v>
      </x:c>
      <x:c r="V1048" s="20" t="n">
        <x:f>T1048-U1048</x:f>
        <x:v>2540.9475</x:v>
      </x:c>
      <x:c r="W1048" s="20" t="n">
        <x:f>R1048+V1048</x:f>
        <x:v>35755.9475</x:v>
      </x:c>
      <x:c r="X1048" s="14" t="str">
        <x:f>IF(ABS(W1048-SUM(M1048:Q1048)-V1048)&lt;0.01,"OK","Check")</x:f>
        <x:v>OK</x:v>
      </x:c>
    </x:row>
    <x:row r="1049">
      <x:c r="A1049" s="14" t="n">
        <x:v>2028</x:v>
      </x:c>
      <x:c r="B1049" s="14" t="str">
        <x:v>Q4</x:v>
      </x:c>
      <x:c r="C1049" s="14" t="n">
        <x:v>4</x:v>
      </x:c>
      <x:c r="D1049" s="14" t="n">
        <x:v>55</x:v>
      </x:c>
      <x:c r="E1049" s="14" t="str">
        <x:f>INDEX(Roster!$B$6:$B$108,MATCH(D1049,Roster!$A$6:$A$108,0))</x:f>
      </x:c>
      <x:c r="F1049" s="14" t="str">
        <x:f>INDEX(Roster!$F$6:$F$108,MATCH(D1049,Roster!$A$6:$A$108,0))</x:f>
        <x:v>No</x:v>
      </x:c>
      <x:c r="G1049" s="14" t="n">
        <x:f>INDEX(Inputs!$B$7:$D$7,1,MATCH(A1049,Inputs!$B$6:$D$6,0))</x:f>
        <x:v>13</x:v>
      </x:c>
      <x:c r="H1049" s="14" t="n">
        <x:f>MIN(=INDEX(Inputs!$B$7:$D$7,1,MATCH(A1049,Inputs!$B$6:$D$6,0)),MAX(0,INDEX(Inputs!$B$14:$D$14,1,MATCH(A1049,Inputs!$B$6:$D$6,0))-(C1049-1)*=INDEX(Inputs!$B$7:$D$7,1,MATCH(A1049,Inputs!$B$6:$D$6,0))))</x:f>
        <x:v>0</x:v>
      </x:c>
      <x:c r="I1049" s="20" t="n">
        <x:f>INDEX(Inputs!$B$8:$D$8,1,MATCH(A1049,Inputs!$B$6:$D$6,0))</x:f>
        <x:v>2395</x:v>
      </x:c>
      <x:c r="J1049" s="20" t="n">
        <x:f>INDEX(Roster!$C$6:$C$108,MATCH(D1049,Roster!$A$6:$A$108,0))*(1+INDEX(Inputs!$B$9:$D$9,1,MATCH(A1049,Inputs!$B$6:$D$6,0)))</x:f>
        <x:v>40</x:v>
      </x:c>
      <x:c r="K1049" s="20" t="n">
        <x:f>IF(=INDEX(Roster!$F$6:$F$108,MATCH(D1049,Roster!$A$6:$A$108,0))="Yes",0,=INDEX(Inputs!$B$8:$D$8,1,MATCH(A1049,Inputs!$B$6:$D$6,0))*IF(=INDEX(Roster!$B$6:$B$108,MATCH(D1049,Roster!$A$6:$A$108,0))="Principal",INDEX(Inputs!$B$10:$D$10,1,MATCH(A1049,Inputs!$B$6:$D$6,0)),IF(=INDEX(Roster!$B$6:$B$108,MATCH(D1049,Roster!$A$6:$A$108,0))="Associate Principal",INDEX(Inputs!$B$11:$D$11,1,MATCH(A1049,Inputs!$B$6:$D$6,0)),IF(=INDEX(Roster!$B$6:$B$108,MATCH(D1049,Roster!$A$6:$A$108,0))="Assistant Principal",INDEX(Inputs!$B$12:$D$12,1,MATCH(A1049,Inputs!$B$6:$D$6,0)),0))))</x:f>
        <x:v>0</x:v>
      </x:c>
      <x:c r="L1049" s="20" t="n">
        <x:f>IF(INDEX(Roster!$D$6:$D$108,MATCH(D1049,Roster!$A$6:$A$108,0))&gt;=25,INDEX(Inputs!$B$19:$D$19,1,MATCH(A1049,Inputs!$B$6:$D$6,0)),IF(INDEX(Roster!$D$6:$D$108,MATCH(D1049,Roster!$A$6:$A$108,0))&gt;=20,INDEX(Inputs!$B$18:$D$18,1,MATCH(A1049,Inputs!$B$6:$D$6,0)),IF(INDEX(Roster!$D$6:$D$108,MATCH(D1049,Roster!$A$6:$A$108,0))&gt;=15,INDEX(Inputs!$B$17:$D$17,1,MATCH(A1049,Inputs!$B$6:$D$6,0)),IF(INDEX(Roster!$D$6:$D$108,MATCH(D1049,Roster!$A$6:$A$108,0))&gt;=10,INDEX(Inputs!$B$16:$D$16,1,MATCH(A1049,Inputs!$B$6:$D$6,0)),IF(INDEX(Roster!$D$6:$D$108,MATCH(D1049,Roster!$A$6:$A$108,0))&gt;=5,INDEX(Inputs!$B$15:$D$15,1,MATCH(A1049,Inputs!$B$6:$D$6,0)),0)))))</x:f>
        <x:v>90</x:v>
      </x:c>
      <x:c r="M1049" s="20" t="n">
        <x:f>G1049*I1049</x:f>
        <x:v>31135</x:v>
      </x:c>
      <x:c r="N1049" s="20" t="n">
        <x:f>G1049*J1049</x:f>
        <x:v>520</x:v>
      </x:c>
      <x:c r="O1049" s="20" t="n">
        <x:f>G1049*K1049</x:f>
        <x:v>0</x:v>
      </x:c>
      <x:c r="P1049" s="20" t="n">
        <x:f>G1049*L1049</x:f>
        <x:v>1170</x:v>
      </x:c>
      <x:c r="Q1049" s="20" t="n">
        <x:f>H1049*INDEX(Inputs!$B$13:$D$13,1,MATCH(A1049,Inputs!$B$6:$D$6,0))</x:f>
        <x:v>0</x:v>
      </x:c>
      <x:c r="R1049" s="20" t="n">
        <x:f>SUM(M1049:Q1049)</x:f>
        <x:v>32825</x:v>
      </x:c>
      <x:c r="S1049" s="20" t="n">
        <x:f>IF(AND(A1048=A1049,D1048=D1049),S1048+R1049,R1049)</x:f>
        <x:v>132470</x:v>
      </x:c>
      <x:c r="T1049" s="20" t="n">
        <x:f>MIN(S1049,INDEX(Inputs!$B$20:$D$20,1,MATCH(A1049,Inputs!$B$6:$D$6,0)))*INDEX(Inputs!$B$22:$D$22,1,MATCH(A1049,Inputs!$B$6:$D$6,0))+MAX(MIN(S1049,INDEX(Inputs!$B$21:$D$21,1,MATCH(A1049,Inputs!$B$6:$D$6,0)))-INDEX(Inputs!$B$20:$D$20,1,MATCH(A1049,Inputs!$B$6:$D$6,0)),0)*INDEX(Inputs!$B$23:$D$23,1,MATCH(A1049,Inputs!$B$6:$D$6,0))+MAX(S1049-INDEX(Inputs!$B$21:$D$21,1,MATCH(A1049,Inputs!$B$6:$D$6,0)),0)*INDEX(Inputs!$B$24:$D$24,1,MATCH(A1049,Inputs!$B$6:$D$6,0))</x:f>
        <x:v>9834.757</x:v>
      </x:c>
      <x:c r="U1049" s="20" t="n">
        <x:f>IF(AND(A1048=A1049,D1048=D1049),T1048,0)</x:f>
        <x:v>8112.8425</x:v>
      </x:c>
      <x:c r="V1049" s="20" t="n">
        <x:f>T1049-U1049</x:f>
        <x:v>1721.9144999999999</x:v>
      </x:c>
      <x:c r="W1049" s="20" t="n">
        <x:f>R1049+V1049</x:f>
        <x:v>34546.9145</x:v>
      </x:c>
      <x:c r="X1049" s="14" t="str">
        <x:f>IF(ABS(W1049-SUM(M1049:Q1049)-V1049)&lt;0.01,"OK","Check")</x:f>
        <x:v>OK</x:v>
      </x:c>
    </x:row>
    <x:row r="1050">
      <x:c r="A1050" s="14" t="n">
        <x:v>2028</x:v>
      </x:c>
      <x:c r="B1050" s="14" t="str">
        <x:v>Q1</x:v>
      </x:c>
      <x:c r="C1050" s="14" t="n">
        <x:v>1</x:v>
      </x:c>
      <x:c r="D1050" s="14" t="n">
        <x:v>56</x:v>
      </x:c>
      <x:c r="E1050" s="14" t="str">
        <x:f>INDEX(Roster!$B$6:$B$108,MATCH(D1050,Roster!$A$6:$A$108,0))</x:f>
        <x:v>Associate Principal</x:v>
      </x:c>
      <x:c r="F1050" s="14" t="str">
        <x:f>INDEX(Roster!$F$6:$F$108,MATCH(D1050,Roster!$A$6:$A$108,0))</x:f>
        <x:v>No</x:v>
      </x:c>
      <x:c r="G1050" s="14" t="n">
        <x:f>INDEX(Inputs!$B$7:$D$7,1,MATCH(A1050,Inputs!$B$6:$D$6,0))</x:f>
        <x:v>13</x:v>
      </x:c>
      <x:c r="H1050" s="14" t="n">
        <x:f>MIN(=INDEX(Inputs!$B$7:$D$7,1,MATCH(A1050,Inputs!$B$6:$D$6,0)),MAX(0,INDEX(Inputs!$B$14:$D$14,1,MATCH(A1050,Inputs!$B$6:$D$6,0))-(C1050-1)*=INDEX(Inputs!$B$7:$D$7,1,MATCH(A1050,Inputs!$B$6:$D$6,0))))</x:f>
        <x:v>13</x:v>
      </x:c>
      <x:c r="I1050" s="20" t="n">
        <x:f>INDEX(Inputs!$B$8:$D$8,1,MATCH(A1050,Inputs!$B$6:$D$6,0))</x:f>
        <x:v>2395</x:v>
      </x:c>
      <x:c r="J1050" s="20" t="n">
        <x:f>INDEX(Roster!$C$6:$C$108,MATCH(D1050,Roster!$A$6:$A$108,0))*(1+INDEX(Inputs!$B$9:$D$9,1,MATCH(A1050,Inputs!$B$6:$D$6,0)))</x:f>
        <x:v>400</x:v>
      </x:c>
      <x:c r="K1050" s="20" t="n">
        <x:f>IF(=INDEX(Roster!$F$6:$F$108,MATCH(D1050,Roster!$A$6:$A$108,0))="Yes",0,=INDEX(Inputs!$B$8:$D$8,1,MATCH(A1050,Inputs!$B$6:$D$6,0))*IF(=INDEX(Roster!$B$6:$B$108,MATCH(D1050,Roster!$A$6:$A$108,0))="Principal",INDEX(Inputs!$B$10:$D$10,1,MATCH(A1050,Inputs!$B$6:$D$6,0)),IF(=INDEX(Roster!$B$6:$B$108,MATCH(D1050,Roster!$A$6:$A$108,0))="Associate Principal",INDEX(Inputs!$B$11:$D$11,1,MATCH(A1050,Inputs!$B$6:$D$6,0)),IF(=INDEX(Roster!$B$6:$B$108,MATCH(D1050,Roster!$A$6:$A$108,0))="Assistant Principal",INDEX(Inputs!$B$12:$D$12,1,MATCH(A1050,Inputs!$B$6:$D$6,0)),0))))</x:f>
        <x:v>239.5</x:v>
      </x:c>
      <x:c r="L1050" s="20" t="n">
        <x:f>IF(INDEX(Roster!$D$6:$D$108,MATCH(D1050,Roster!$A$6:$A$108,0))&gt;=25,INDEX(Inputs!$B$19:$D$19,1,MATCH(A1050,Inputs!$B$6:$D$6,0)),IF(INDEX(Roster!$D$6:$D$108,MATCH(D1050,Roster!$A$6:$A$108,0))&gt;=20,INDEX(Inputs!$B$18:$D$18,1,MATCH(A1050,Inputs!$B$6:$D$6,0)),IF(INDEX(Roster!$D$6:$D$108,MATCH(D1050,Roster!$A$6:$A$108,0))&gt;=15,INDEX(Inputs!$B$17:$D$17,1,MATCH(A1050,Inputs!$B$6:$D$6,0)),IF(INDEX(Roster!$D$6:$D$108,MATCH(D1050,Roster!$A$6:$A$108,0))&gt;=10,INDEX(Inputs!$B$16:$D$16,1,MATCH(A1050,Inputs!$B$6:$D$6,0)),IF(INDEX(Roster!$D$6:$D$108,MATCH(D1050,Roster!$A$6:$A$108,0))&gt;=5,INDEX(Inputs!$B$15:$D$15,1,MATCH(A1050,Inputs!$B$6:$D$6,0)),0)))))</x:f>
        <x:v>80</x:v>
      </x:c>
      <x:c r="M1050" s="20" t="n">
        <x:f>G1050*I1050</x:f>
        <x:v>31135</x:v>
      </x:c>
      <x:c r="N1050" s="20" t="n">
        <x:f>G1050*J1050</x:f>
        <x:v>5200</x:v>
      </x:c>
      <x:c r="O1050" s="20" t="n">
        <x:f>G1050*K1050</x:f>
        <x:v>3113.5</x:v>
      </x:c>
      <x:c r="P1050" s="20" t="n">
        <x:f>G1050*L1050</x:f>
        <x:v>1040</x:v>
      </x:c>
      <x:c r="Q1050" s="20" t="n">
        <x:f>H1050*INDEX(Inputs!$B$13:$D$13,1,MATCH(A1050,Inputs!$B$6:$D$6,0))</x:f>
        <x:v>390</x:v>
      </x:c>
      <x:c r="R1050" s="20" t="n">
        <x:f>SUM(M1050:Q1050)</x:f>
        <x:v>40878.5</x:v>
      </x:c>
      <x:c r="S1050" s="20" t="n">
        <x:f>IF(AND(A1049=A1050,D1049=D1050),S1049+R1050,R1050)</x:f>
        <x:v>40878.5</x:v>
      </x:c>
      <x:c r="T1050" s="20" t="n">
        <x:f>MIN(S1050,INDEX(Inputs!$B$20:$D$20,1,MATCH(A1050,Inputs!$B$6:$D$6,0)))*INDEX(Inputs!$B$22:$D$22,1,MATCH(A1050,Inputs!$B$6:$D$6,0))+MAX(MIN(S1050,INDEX(Inputs!$B$21:$D$21,1,MATCH(A1050,Inputs!$B$6:$D$6,0)))-INDEX(Inputs!$B$20:$D$20,1,MATCH(A1050,Inputs!$B$6:$D$6,0)),0)*INDEX(Inputs!$B$23:$D$23,1,MATCH(A1050,Inputs!$B$6:$D$6,0))+MAX(S1050-INDEX(Inputs!$B$21:$D$21,1,MATCH(A1050,Inputs!$B$6:$D$6,0)),0)*INDEX(Inputs!$B$24:$D$24,1,MATCH(A1050,Inputs!$B$6:$D$6,0))</x:f>
        <x:v>3617.20525</x:v>
      </x:c>
      <x:c r="U1050" s="20" t="n">
        <x:f>IF(AND(A1049=A1050,D1049=D1050),T1049,0)</x:f>
        <x:v>0</x:v>
      </x:c>
      <x:c r="V1050" s="20" t="n">
        <x:f>T1050-U1050</x:f>
        <x:v>3617.20525</x:v>
      </x:c>
      <x:c r="W1050" s="20" t="n">
        <x:f>R1050+V1050</x:f>
        <x:v>44495.70525</x:v>
      </x:c>
      <x:c r="X1050" s="14" t="str">
        <x:f>IF(ABS(W1050-SUM(M1050:Q1050)-V1050)&lt;0.01,"OK","Check")</x:f>
        <x:v>OK</x:v>
      </x:c>
    </x:row>
    <x:row r="1051">
      <x:c r="A1051" s="14" t="n">
        <x:v>2028</x:v>
      </x:c>
      <x:c r="B1051" s="14" t="str">
        <x:v>Q2</x:v>
      </x:c>
      <x:c r="C1051" s="14" t="n">
        <x:v>2</x:v>
      </x:c>
      <x:c r="D1051" s="14" t="n">
        <x:v>56</x:v>
      </x:c>
      <x:c r="E1051" s="14" t="str">
        <x:f>INDEX(Roster!$B$6:$B$108,MATCH(D1051,Roster!$A$6:$A$108,0))</x:f>
        <x:v>Associate Principal</x:v>
      </x:c>
      <x:c r="F1051" s="14" t="str">
        <x:f>INDEX(Roster!$F$6:$F$108,MATCH(D1051,Roster!$A$6:$A$108,0))</x:f>
        <x:v>No</x:v>
      </x:c>
      <x:c r="G1051" s="14" t="n">
        <x:f>INDEX(Inputs!$B$7:$D$7,1,MATCH(A1051,Inputs!$B$6:$D$6,0))</x:f>
        <x:v>13</x:v>
      </x:c>
      <x:c r="H1051" s="14" t="n">
        <x:f>MIN(=INDEX(Inputs!$B$7:$D$7,1,MATCH(A1051,Inputs!$B$6:$D$6,0)),MAX(0,INDEX(Inputs!$B$14:$D$14,1,MATCH(A1051,Inputs!$B$6:$D$6,0))-(C1051-1)*=INDEX(Inputs!$B$7:$D$7,1,MATCH(A1051,Inputs!$B$6:$D$6,0))))</x:f>
        <x:v>13</x:v>
      </x:c>
      <x:c r="I1051" s="20" t="n">
        <x:f>INDEX(Inputs!$B$8:$D$8,1,MATCH(A1051,Inputs!$B$6:$D$6,0))</x:f>
        <x:v>2395</x:v>
      </x:c>
      <x:c r="J1051" s="20" t="n">
        <x:f>INDEX(Roster!$C$6:$C$108,MATCH(D1051,Roster!$A$6:$A$108,0))*(1+INDEX(Inputs!$B$9:$D$9,1,MATCH(A1051,Inputs!$B$6:$D$6,0)))</x:f>
        <x:v>400</x:v>
      </x:c>
      <x:c r="K1051" s="20" t="n">
        <x:f>IF(=INDEX(Roster!$F$6:$F$108,MATCH(D1051,Roster!$A$6:$A$108,0))="Yes",0,=INDEX(Inputs!$B$8:$D$8,1,MATCH(A1051,Inputs!$B$6:$D$6,0))*IF(=INDEX(Roster!$B$6:$B$108,MATCH(D1051,Roster!$A$6:$A$108,0))="Principal",INDEX(Inputs!$B$10:$D$10,1,MATCH(A1051,Inputs!$B$6:$D$6,0)),IF(=INDEX(Roster!$B$6:$B$108,MATCH(D1051,Roster!$A$6:$A$108,0))="Associate Principal",INDEX(Inputs!$B$11:$D$11,1,MATCH(A1051,Inputs!$B$6:$D$6,0)),IF(=INDEX(Roster!$B$6:$B$108,MATCH(D1051,Roster!$A$6:$A$108,0))="Assistant Principal",INDEX(Inputs!$B$12:$D$12,1,MATCH(A1051,Inputs!$B$6:$D$6,0)),0))))</x:f>
        <x:v>239.5</x:v>
      </x:c>
      <x:c r="L1051" s="20" t="n">
        <x:f>IF(INDEX(Roster!$D$6:$D$108,MATCH(D1051,Roster!$A$6:$A$108,0))&gt;=25,INDEX(Inputs!$B$19:$D$19,1,MATCH(A1051,Inputs!$B$6:$D$6,0)),IF(INDEX(Roster!$D$6:$D$108,MATCH(D1051,Roster!$A$6:$A$108,0))&gt;=20,INDEX(Inputs!$B$18:$D$18,1,MATCH(A1051,Inputs!$B$6:$D$6,0)),IF(INDEX(Roster!$D$6:$D$108,MATCH(D1051,Roster!$A$6:$A$108,0))&gt;=15,INDEX(Inputs!$B$17:$D$17,1,MATCH(A1051,Inputs!$B$6:$D$6,0)),IF(INDEX(Roster!$D$6:$D$108,MATCH(D1051,Roster!$A$6:$A$108,0))&gt;=10,INDEX(Inputs!$B$16:$D$16,1,MATCH(A1051,Inputs!$B$6:$D$6,0)),IF(INDEX(Roster!$D$6:$D$108,MATCH(D1051,Roster!$A$6:$A$108,0))&gt;=5,INDEX(Inputs!$B$15:$D$15,1,MATCH(A1051,Inputs!$B$6:$D$6,0)),0)))))</x:f>
        <x:v>80</x:v>
      </x:c>
      <x:c r="M1051" s="20" t="n">
        <x:f>G1051*I1051</x:f>
        <x:v>31135</x:v>
      </x:c>
      <x:c r="N1051" s="20" t="n">
        <x:f>G1051*J1051</x:f>
        <x:v>5200</x:v>
      </x:c>
      <x:c r="O1051" s="20" t="n">
        <x:f>G1051*K1051</x:f>
        <x:v>3113.5</x:v>
      </x:c>
      <x:c r="P1051" s="20" t="n">
        <x:f>G1051*L1051</x:f>
        <x:v>1040</x:v>
      </x:c>
      <x:c r="Q1051" s="20" t="n">
        <x:f>H1051*INDEX(Inputs!$B$13:$D$13,1,MATCH(A1051,Inputs!$B$6:$D$6,0))</x:f>
        <x:v>390</x:v>
      </x:c>
      <x:c r="R1051" s="20" t="n">
        <x:f>SUM(M1051:Q1051)</x:f>
        <x:v>40878.5</x:v>
      </x:c>
      <x:c r="S1051" s="20" t="n">
        <x:f>IF(AND(A1050=A1051,D1050=D1051),S1050+R1051,R1051)</x:f>
        <x:v>81757</x:v>
      </x:c>
      <x:c r="T1051" s="20" t="n">
        <x:f>MIN(S1051,INDEX(Inputs!$B$20:$D$20,1,MATCH(A1051,Inputs!$B$6:$D$6,0)))*INDEX(Inputs!$B$22:$D$22,1,MATCH(A1051,Inputs!$B$6:$D$6,0))+MAX(MIN(S1051,INDEX(Inputs!$B$21:$D$21,1,MATCH(A1051,Inputs!$B$6:$D$6,0)))-INDEX(Inputs!$B$20:$D$20,1,MATCH(A1051,Inputs!$B$6:$D$6,0)),0)*INDEX(Inputs!$B$23:$D$23,1,MATCH(A1051,Inputs!$B$6:$D$6,0))+MAX(S1051-INDEX(Inputs!$B$21:$D$21,1,MATCH(A1051,Inputs!$B$6:$D$6,0)),0)*INDEX(Inputs!$B$24:$D$24,1,MATCH(A1051,Inputs!$B$6:$D$6,0))</x:f>
        <x:v>6744.4105</x:v>
      </x:c>
      <x:c r="U1051" s="20" t="n">
        <x:f>IF(AND(A1050=A1051,D1050=D1051),T1050,0)</x:f>
        <x:v>3617.20525</x:v>
      </x:c>
      <x:c r="V1051" s="20" t="n">
        <x:f>T1051-U1051</x:f>
        <x:v>3127.20525</x:v>
      </x:c>
      <x:c r="W1051" s="20" t="n">
        <x:f>R1051+V1051</x:f>
        <x:v>44005.70525</x:v>
      </x:c>
      <x:c r="X1051" s="14" t="str">
        <x:f>IF(ABS(W1051-SUM(M1051:Q1051)-V1051)&lt;0.01,"OK","Check")</x:f>
        <x:v>OK</x:v>
      </x:c>
    </x:row>
    <x:row r="1052">
      <x:c r="A1052" s="14" t="n">
        <x:v>2028</x:v>
      </x:c>
      <x:c r="B1052" s="14" t="str">
        <x:v>Q3</x:v>
      </x:c>
      <x:c r="C1052" s="14" t="n">
        <x:v>3</x:v>
      </x:c>
      <x:c r="D1052" s="14" t="n">
        <x:v>56</x:v>
      </x:c>
      <x:c r="E1052" s="14" t="str">
        <x:f>INDEX(Roster!$B$6:$B$108,MATCH(D1052,Roster!$A$6:$A$108,0))</x:f>
        <x:v>Associate Principal</x:v>
      </x:c>
      <x:c r="F1052" s="14" t="str">
        <x:f>INDEX(Roster!$F$6:$F$108,MATCH(D1052,Roster!$A$6:$A$108,0))</x:f>
        <x:v>No</x:v>
      </x:c>
      <x:c r="G1052" s="14" t="n">
        <x:f>INDEX(Inputs!$B$7:$D$7,1,MATCH(A1052,Inputs!$B$6:$D$6,0))</x:f>
        <x:v>13</x:v>
      </x:c>
      <x:c r="H1052" s="14" t="n">
        <x:f>MIN(=INDEX(Inputs!$B$7:$D$7,1,MATCH(A1052,Inputs!$B$6:$D$6,0)),MAX(0,INDEX(Inputs!$B$14:$D$14,1,MATCH(A1052,Inputs!$B$6:$D$6,0))-(C1052-1)*=INDEX(Inputs!$B$7:$D$7,1,MATCH(A1052,Inputs!$B$6:$D$6,0))))</x:f>
        <x:v>13</x:v>
      </x:c>
      <x:c r="I1052" s="20" t="n">
        <x:f>INDEX(Inputs!$B$8:$D$8,1,MATCH(A1052,Inputs!$B$6:$D$6,0))</x:f>
        <x:v>2395</x:v>
      </x:c>
      <x:c r="J1052" s="20" t="n">
        <x:f>INDEX(Roster!$C$6:$C$108,MATCH(D1052,Roster!$A$6:$A$108,0))*(1+INDEX(Inputs!$B$9:$D$9,1,MATCH(A1052,Inputs!$B$6:$D$6,0)))</x:f>
        <x:v>400</x:v>
      </x:c>
      <x:c r="K1052" s="20" t="n">
        <x:f>IF(=INDEX(Roster!$F$6:$F$108,MATCH(D1052,Roster!$A$6:$A$108,0))="Yes",0,=INDEX(Inputs!$B$8:$D$8,1,MATCH(A1052,Inputs!$B$6:$D$6,0))*IF(=INDEX(Roster!$B$6:$B$108,MATCH(D1052,Roster!$A$6:$A$108,0))="Principal",INDEX(Inputs!$B$10:$D$10,1,MATCH(A1052,Inputs!$B$6:$D$6,0)),IF(=INDEX(Roster!$B$6:$B$108,MATCH(D1052,Roster!$A$6:$A$108,0))="Associate Principal",INDEX(Inputs!$B$11:$D$11,1,MATCH(A1052,Inputs!$B$6:$D$6,0)),IF(=INDEX(Roster!$B$6:$B$108,MATCH(D1052,Roster!$A$6:$A$108,0))="Assistant Principal",INDEX(Inputs!$B$12:$D$12,1,MATCH(A1052,Inputs!$B$6:$D$6,0)),0))))</x:f>
        <x:v>239.5</x:v>
      </x:c>
      <x:c r="L1052" s="20" t="n">
        <x:f>IF(INDEX(Roster!$D$6:$D$108,MATCH(D1052,Roster!$A$6:$A$108,0))&gt;=25,INDEX(Inputs!$B$19:$D$19,1,MATCH(A1052,Inputs!$B$6:$D$6,0)),IF(INDEX(Roster!$D$6:$D$108,MATCH(D1052,Roster!$A$6:$A$108,0))&gt;=20,INDEX(Inputs!$B$18:$D$18,1,MATCH(A1052,Inputs!$B$6:$D$6,0)),IF(INDEX(Roster!$D$6:$D$108,MATCH(D1052,Roster!$A$6:$A$108,0))&gt;=15,INDEX(Inputs!$B$17:$D$17,1,MATCH(A1052,Inputs!$B$6:$D$6,0)),IF(INDEX(Roster!$D$6:$D$108,MATCH(D1052,Roster!$A$6:$A$108,0))&gt;=10,INDEX(Inputs!$B$16:$D$16,1,MATCH(A1052,Inputs!$B$6:$D$6,0)),IF(INDEX(Roster!$D$6:$D$108,MATCH(D1052,Roster!$A$6:$A$108,0))&gt;=5,INDEX(Inputs!$B$15:$D$15,1,MATCH(A1052,Inputs!$B$6:$D$6,0)),0)))))</x:f>
        <x:v>80</x:v>
      </x:c>
      <x:c r="M1052" s="20" t="n">
        <x:f>G1052*I1052</x:f>
        <x:v>31135</x:v>
      </x:c>
      <x:c r="N1052" s="20" t="n">
        <x:f>G1052*J1052</x:f>
        <x:v>5200</x:v>
      </x:c>
      <x:c r="O1052" s="20" t="n">
        <x:f>G1052*K1052</x:f>
        <x:v>3113.5</x:v>
      </x:c>
      <x:c r="P1052" s="20" t="n">
        <x:f>G1052*L1052</x:f>
        <x:v>1040</x:v>
      </x:c>
      <x:c r="Q1052" s="20" t="n">
        <x:f>H1052*INDEX(Inputs!$B$13:$D$13,1,MATCH(A1052,Inputs!$B$6:$D$6,0))</x:f>
        <x:v>390</x:v>
      </x:c>
      <x:c r="R1052" s="20" t="n">
        <x:f>SUM(M1052:Q1052)</x:f>
        <x:v>40878.5</x:v>
      </x:c>
      <x:c r="S1052" s="20" t="n">
        <x:f>IF(AND(A1051=A1052,D1051=D1052),S1051+R1052,R1052)</x:f>
        <x:v>122635.5</x:v>
      </x:c>
      <x:c r="T1052" s="20" t="n">
        <x:f>MIN(S1052,INDEX(Inputs!$B$20:$D$20,1,MATCH(A1052,Inputs!$B$6:$D$6,0)))*INDEX(Inputs!$B$22:$D$22,1,MATCH(A1052,Inputs!$B$6:$D$6,0))+MAX(MIN(S1052,INDEX(Inputs!$B$21:$D$21,1,MATCH(A1052,Inputs!$B$6:$D$6,0)))-INDEX(Inputs!$B$20:$D$20,1,MATCH(A1052,Inputs!$B$6:$D$6,0)),0)*INDEX(Inputs!$B$23:$D$23,1,MATCH(A1052,Inputs!$B$6:$D$6,0))+MAX(S1052-INDEX(Inputs!$B$21:$D$21,1,MATCH(A1052,Inputs!$B$6:$D$6,0)),0)*INDEX(Inputs!$B$24:$D$24,1,MATCH(A1052,Inputs!$B$6:$D$6,0))</x:f>
        <x:v>9692.15675</x:v>
      </x:c>
      <x:c r="U1052" s="20" t="n">
        <x:f>IF(AND(A1051=A1052,D1051=D1052),T1051,0)</x:f>
        <x:v>6744.4105</x:v>
      </x:c>
      <x:c r="V1052" s="20" t="n">
        <x:f>T1052-U1052</x:f>
        <x:v>2947.74625</x:v>
      </x:c>
      <x:c r="W1052" s="20" t="n">
        <x:f>R1052+V1052</x:f>
        <x:v>43826.24625</x:v>
      </x:c>
      <x:c r="X1052" s="14" t="str">
        <x:f>IF(ABS(W1052-SUM(M1052:Q1052)-V1052)&lt;0.01,"OK","Check")</x:f>
        <x:v>OK</x:v>
      </x:c>
    </x:row>
    <x:row r="1053">
      <x:c r="A1053" s="14" t="n">
        <x:v>2028</x:v>
      </x:c>
      <x:c r="B1053" s="14" t="str">
        <x:v>Q4</x:v>
      </x:c>
      <x:c r="C1053" s="14" t="n">
        <x:v>4</x:v>
      </x:c>
      <x:c r="D1053" s="14" t="n">
        <x:v>56</x:v>
      </x:c>
      <x:c r="E1053" s="14" t="str">
        <x:f>INDEX(Roster!$B$6:$B$108,MATCH(D1053,Roster!$A$6:$A$108,0))</x:f>
        <x:v>Associate Principal</x:v>
      </x:c>
      <x:c r="F1053" s="14" t="str">
        <x:f>INDEX(Roster!$F$6:$F$108,MATCH(D1053,Roster!$A$6:$A$108,0))</x:f>
        <x:v>No</x:v>
      </x:c>
      <x:c r="G1053" s="14" t="n">
        <x:f>INDEX(Inputs!$B$7:$D$7,1,MATCH(A1053,Inputs!$B$6:$D$6,0))</x:f>
        <x:v>13</x:v>
      </x:c>
      <x:c r="H1053" s="14" t="n">
        <x:f>MIN(=INDEX(Inputs!$B$7:$D$7,1,MATCH(A1053,Inputs!$B$6:$D$6,0)),MAX(0,INDEX(Inputs!$B$14:$D$14,1,MATCH(A1053,Inputs!$B$6:$D$6,0))-(C1053-1)*=INDEX(Inputs!$B$7:$D$7,1,MATCH(A1053,Inputs!$B$6:$D$6,0))))</x:f>
        <x:v>0</x:v>
      </x:c>
      <x:c r="I1053" s="20" t="n">
        <x:f>INDEX(Inputs!$B$8:$D$8,1,MATCH(A1053,Inputs!$B$6:$D$6,0))</x:f>
        <x:v>2395</x:v>
      </x:c>
      <x:c r="J1053" s="20" t="n">
        <x:f>INDEX(Roster!$C$6:$C$108,MATCH(D1053,Roster!$A$6:$A$108,0))*(1+INDEX(Inputs!$B$9:$D$9,1,MATCH(A1053,Inputs!$B$6:$D$6,0)))</x:f>
        <x:v>400</x:v>
      </x:c>
      <x:c r="K1053" s="20" t="n">
        <x:f>IF(=INDEX(Roster!$F$6:$F$108,MATCH(D1053,Roster!$A$6:$A$108,0))="Yes",0,=INDEX(Inputs!$B$8:$D$8,1,MATCH(A1053,Inputs!$B$6:$D$6,0))*IF(=INDEX(Roster!$B$6:$B$108,MATCH(D1053,Roster!$A$6:$A$108,0))="Principal",INDEX(Inputs!$B$10:$D$10,1,MATCH(A1053,Inputs!$B$6:$D$6,0)),IF(=INDEX(Roster!$B$6:$B$108,MATCH(D1053,Roster!$A$6:$A$108,0))="Associate Principal",INDEX(Inputs!$B$11:$D$11,1,MATCH(A1053,Inputs!$B$6:$D$6,0)),IF(=INDEX(Roster!$B$6:$B$108,MATCH(D1053,Roster!$A$6:$A$108,0))="Assistant Principal",INDEX(Inputs!$B$12:$D$12,1,MATCH(A1053,Inputs!$B$6:$D$6,0)),0))))</x:f>
        <x:v>239.5</x:v>
      </x:c>
      <x:c r="L1053" s="20" t="n">
        <x:f>IF(INDEX(Roster!$D$6:$D$108,MATCH(D1053,Roster!$A$6:$A$108,0))&gt;=25,INDEX(Inputs!$B$19:$D$19,1,MATCH(A1053,Inputs!$B$6:$D$6,0)),IF(INDEX(Roster!$D$6:$D$108,MATCH(D1053,Roster!$A$6:$A$108,0))&gt;=20,INDEX(Inputs!$B$18:$D$18,1,MATCH(A1053,Inputs!$B$6:$D$6,0)),IF(INDEX(Roster!$D$6:$D$108,MATCH(D1053,Roster!$A$6:$A$108,0))&gt;=15,INDEX(Inputs!$B$17:$D$17,1,MATCH(A1053,Inputs!$B$6:$D$6,0)),IF(INDEX(Roster!$D$6:$D$108,MATCH(D1053,Roster!$A$6:$A$108,0))&gt;=10,INDEX(Inputs!$B$16:$D$16,1,MATCH(A1053,Inputs!$B$6:$D$6,0)),IF(INDEX(Roster!$D$6:$D$108,MATCH(D1053,Roster!$A$6:$A$108,0))&gt;=5,INDEX(Inputs!$B$15:$D$15,1,MATCH(A1053,Inputs!$B$6:$D$6,0)),0)))))</x:f>
        <x:v>80</x:v>
      </x:c>
      <x:c r="M1053" s="20" t="n">
        <x:f>G1053*I1053</x:f>
        <x:v>31135</x:v>
      </x:c>
      <x:c r="N1053" s="20" t="n">
        <x:f>G1053*J1053</x:f>
        <x:v>5200</x:v>
      </x:c>
      <x:c r="O1053" s="20" t="n">
        <x:f>G1053*K1053</x:f>
        <x:v>3113.5</x:v>
      </x:c>
      <x:c r="P1053" s="20" t="n">
        <x:f>G1053*L1053</x:f>
        <x:v>1040</x:v>
      </x:c>
      <x:c r="Q1053" s="20" t="n">
        <x:f>H1053*INDEX(Inputs!$B$13:$D$13,1,MATCH(A1053,Inputs!$B$6:$D$6,0))</x:f>
        <x:v>0</x:v>
      </x:c>
      <x:c r="R1053" s="20" t="n">
        <x:f>SUM(M1053:Q1053)</x:f>
        <x:v>40488.5</x:v>
      </x:c>
      <x:c r="S1053" s="20" t="n">
        <x:f>IF(AND(A1052=A1053,D1052=D1053),S1052+R1053,R1053)</x:f>
        <x:v>163124</x:v>
      </x:c>
      <x:c r="T1053" s="20" t="n">
        <x:f>MIN(S1053,INDEX(Inputs!$B$20:$D$20,1,MATCH(A1053,Inputs!$B$6:$D$6,0)))*INDEX(Inputs!$B$22:$D$22,1,MATCH(A1053,Inputs!$B$6:$D$6,0))+MAX(MIN(S1053,INDEX(Inputs!$B$21:$D$21,1,MATCH(A1053,Inputs!$B$6:$D$6,0)))-INDEX(Inputs!$B$20:$D$20,1,MATCH(A1053,Inputs!$B$6:$D$6,0)),0)*INDEX(Inputs!$B$23:$D$23,1,MATCH(A1053,Inputs!$B$6:$D$6,0))+MAX(S1053-INDEX(Inputs!$B$21:$D$21,1,MATCH(A1053,Inputs!$B$6:$D$6,0)),0)*INDEX(Inputs!$B$24:$D$24,1,MATCH(A1053,Inputs!$B$6:$D$6,0))</x:f>
        <x:v>10279.24</x:v>
      </x:c>
      <x:c r="U1053" s="20" t="n">
        <x:f>IF(AND(A1052=A1053,D1052=D1053),T1052,0)</x:f>
        <x:v>9692.15675</x:v>
      </x:c>
      <x:c r="V1053" s="20" t="n">
        <x:f>T1053-U1053</x:f>
        <x:v>587.0832499999997</x:v>
      </x:c>
      <x:c r="W1053" s="20" t="n">
        <x:f>R1053+V1053</x:f>
        <x:v>41075.583249999996</x:v>
      </x:c>
      <x:c r="X1053" s="14" t="str">
        <x:f>IF(ABS(W1053-SUM(M1053:Q1053)-V1053)&lt;0.01,"OK","Check")</x:f>
        <x:v>OK</x:v>
      </x:c>
    </x:row>
    <x:row r="1054">
      <x:c r="A1054" s="14" t="n">
        <x:v>2028</x:v>
      </x:c>
      <x:c r="B1054" s="14" t="str">
        <x:v>Q1</x:v>
      </x:c>
      <x:c r="C1054" s="14" t="n">
        <x:v>1</x:v>
      </x:c>
      <x:c r="D1054" s="14" t="n">
        <x:v>57</x:v>
      </x:c>
      <x:c r="E1054" s="14" t="str">
        <x:f>INDEX(Roster!$B$6:$B$108,MATCH(D1054,Roster!$A$6:$A$108,0))</x:f>
      </x:c>
      <x:c r="F1054" s="14" t="str">
        <x:f>INDEX(Roster!$F$6:$F$108,MATCH(D1054,Roster!$A$6:$A$108,0))</x:f>
        <x:v>No</x:v>
      </x:c>
      <x:c r="G1054" s="14" t="n">
        <x:f>INDEX(Inputs!$B$7:$D$7,1,MATCH(A1054,Inputs!$B$6:$D$6,0))</x:f>
        <x:v>13</x:v>
      </x:c>
      <x:c r="H1054" s="14" t="n">
        <x:f>MIN(=INDEX(Inputs!$B$7:$D$7,1,MATCH(A1054,Inputs!$B$6:$D$6,0)),MAX(0,INDEX(Inputs!$B$14:$D$14,1,MATCH(A1054,Inputs!$B$6:$D$6,0))-(C1054-1)*=INDEX(Inputs!$B$7:$D$7,1,MATCH(A1054,Inputs!$B$6:$D$6,0))))</x:f>
        <x:v>13</x:v>
      </x:c>
      <x:c r="I1054" s="20" t="n">
        <x:f>INDEX(Inputs!$B$8:$D$8,1,MATCH(A1054,Inputs!$B$6:$D$6,0))</x:f>
        <x:v>2395</x:v>
      </x:c>
      <x:c r="J1054" s="20" t="n">
        <x:f>INDEX(Roster!$C$6:$C$108,MATCH(D1054,Roster!$A$6:$A$108,0))*(1+INDEX(Inputs!$B$9:$D$9,1,MATCH(A1054,Inputs!$B$6:$D$6,0)))</x:f>
        <x:v>75</x:v>
      </x:c>
      <x:c r="K1054" s="20" t="n">
        <x:f>IF(=INDEX(Roster!$F$6:$F$108,MATCH(D1054,Roster!$A$6:$A$108,0))="Yes",0,=INDEX(Inputs!$B$8:$D$8,1,MATCH(A1054,Inputs!$B$6:$D$6,0))*IF(=INDEX(Roster!$B$6:$B$108,MATCH(D1054,Roster!$A$6:$A$108,0))="Principal",INDEX(Inputs!$B$10:$D$10,1,MATCH(A1054,Inputs!$B$6:$D$6,0)),IF(=INDEX(Roster!$B$6:$B$108,MATCH(D1054,Roster!$A$6:$A$108,0))="Associate Principal",INDEX(Inputs!$B$11:$D$11,1,MATCH(A1054,Inputs!$B$6:$D$6,0)),IF(=INDEX(Roster!$B$6:$B$108,MATCH(D1054,Roster!$A$6:$A$108,0))="Assistant Principal",INDEX(Inputs!$B$12:$D$12,1,MATCH(A1054,Inputs!$B$6:$D$6,0)),0))))</x:f>
        <x:v>0</x:v>
      </x:c>
      <x:c r="L1054" s="20" t="n">
        <x:f>IF(INDEX(Roster!$D$6:$D$108,MATCH(D1054,Roster!$A$6:$A$108,0))&gt;=25,INDEX(Inputs!$B$19:$D$19,1,MATCH(A1054,Inputs!$B$6:$D$6,0)),IF(INDEX(Roster!$D$6:$D$108,MATCH(D1054,Roster!$A$6:$A$108,0))&gt;=20,INDEX(Inputs!$B$18:$D$18,1,MATCH(A1054,Inputs!$B$6:$D$6,0)),IF(INDEX(Roster!$D$6:$D$108,MATCH(D1054,Roster!$A$6:$A$108,0))&gt;=15,INDEX(Inputs!$B$17:$D$17,1,MATCH(A1054,Inputs!$B$6:$D$6,0)),IF(INDEX(Roster!$D$6:$D$108,MATCH(D1054,Roster!$A$6:$A$108,0))&gt;=10,INDEX(Inputs!$B$16:$D$16,1,MATCH(A1054,Inputs!$B$6:$D$6,0)),IF(INDEX(Roster!$D$6:$D$108,MATCH(D1054,Roster!$A$6:$A$108,0))&gt;=5,INDEX(Inputs!$B$15:$D$15,1,MATCH(A1054,Inputs!$B$6:$D$6,0)),0)))))</x:f>
        <x:v>80</x:v>
      </x:c>
      <x:c r="M1054" s="20" t="n">
        <x:f>G1054*I1054</x:f>
        <x:v>31135</x:v>
      </x:c>
      <x:c r="N1054" s="20" t="n">
        <x:f>G1054*J1054</x:f>
        <x:v>975</x:v>
      </x:c>
      <x:c r="O1054" s="20" t="n">
        <x:f>G1054*K1054</x:f>
        <x:v>0</x:v>
      </x:c>
      <x:c r="P1054" s="20" t="n">
        <x:f>G1054*L1054</x:f>
        <x:v>1040</x:v>
      </x:c>
      <x:c r="Q1054" s="20" t="n">
        <x:f>H1054*INDEX(Inputs!$B$13:$D$13,1,MATCH(A1054,Inputs!$B$6:$D$6,0))</x:f>
        <x:v>390</x:v>
      </x:c>
      <x:c r="R1054" s="20" t="n">
        <x:f>SUM(M1054:Q1054)</x:f>
        <x:v>33540</x:v>
      </x:c>
      <x:c r="S1054" s="20" t="n">
        <x:f>IF(AND(A1053=A1054,D1053=D1054),S1053+R1054,R1054)</x:f>
        <x:v>33540</x:v>
      </x:c>
      <x:c r="T1054" s="20" t="n">
        <x:f>MIN(S1054,INDEX(Inputs!$B$20:$D$20,1,MATCH(A1054,Inputs!$B$6:$D$6,0)))*INDEX(Inputs!$B$22:$D$22,1,MATCH(A1054,Inputs!$B$6:$D$6,0))+MAX(MIN(S1054,INDEX(Inputs!$B$21:$D$21,1,MATCH(A1054,Inputs!$B$6:$D$6,0)))-INDEX(Inputs!$B$20:$D$20,1,MATCH(A1054,Inputs!$B$6:$D$6,0)),0)*INDEX(Inputs!$B$23:$D$23,1,MATCH(A1054,Inputs!$B$6:$D$6,0))+MAX(S1054-INDEX(Inputs!$B$21:$D$21,1,MATCH(A1054,Inputs!$B$6:$D$6,0)),0)*INDEX(Inputs!$B$24:$D$24,1,MATCH(A1054,Inputs!$B$6:$D$6,0))</x:f>
        <x:v>3055.81</x:v>
      </x:c>
      <x:c r="U1054" s="20" t="n">
        <x:f>IF(AND(A1053=A1054,D1053=D1054),T1053,0)</x:f>
        <x:v>0</x:v>
      </x:c>
      <x:c r="V1054" s="20" t="n">
        <x:f>T1054-U1054</x:f>
        <x:v>3055.81</x:v>
      </x:c>
      <x:c r="W1054" s="20" t="n">
        <x:f>R1054+V1054</x:f>
        <x:v>36595.81</x:v>
      </x:c>
      <x:c r="X1054" s="14" t="str">
        <x:f>IF(ABS(W1054-SUM(M1054:Q1054)-V1054)&lt;0.01,"OK","Check")</x:f>
        <x:v>OK</x:v>
      </x:c>
    </x:row>
    <x:row r="1055">
      <x:c r="A1055" s="14" t="n">
        <x:v>2028</x:v>
      </x:c>
      <x:c r="B1055" s="14" t="str">
        <x:v>Q2</x:v>
      </x:c>
      <x:c r="C1055" s="14" t="n">
        <x:v>2</x:v>
      </x:c>
      <x:c r="D1055" s="14" t="n">
        <x:v>57</x:v>
      </x:c>
      <x:c r="E1055" s="14" t="str">
        <x:f>INDEX(Roster!$B$6:$B$108,MATCH(D1055,Roster!$A$6:$A$108,0))</x:f>
      </x:c>
      <x:c r="F1055" s="14" t="str">
        <x:f>INDEX(Roster!$F$6:$F$108,MATCH(D1055,Roster!$A$6:$A$108,0))</x:f>
        <x:v>No</x:v>
      </x:c>
      <x:c r="G1055" s="14" t="n">
        <x:f>INDEX(Inputs!$B$7:$D$7,1,MATCH(A1055,Inputs!$B$6:$D$6,0))</x:f>
        <x:v>13</x:v>
      </x:c>
      <x:c r="H1055" s="14" t="n">
        <x:f>MIN(=INDEX(Inputs!$B$7:$D$7,1,MATCH(A1055,Inputs!$B$6:$D$6,0)),MAX(0,INDEX(Inputs!$B$14:$D$14,1,MATCH(A1055,Inputs!$B$6:$D$6,0))-(C1055-1)*=INDEX(Inputs!$B$7:$D$7,1,MATCH(A1055,Inputs!$B$6:$D$6,0))))</x:f>
        <x:v>13</x:v>
      </x:c>
      <x:c r="I1055" s="20" t="n">
        <x:f>INDEX(Inputs!$B$8:$D$8,1,MATCH(A1055,Inputs!$B$6:$D$6,0))</x:f>
        <x:v>2395</x:v>
      </x:c>
      <x:c r="J1055" s="20" t="n">
        <x:f>INDEX(Roster!$C$6:$C$108,MATCH(D1055,Roster!$A$6:$A$108,0))*(1+INDEX(Inputs!$B$9:$D$9,1,MATCH(A1055,Inputs!$B$6:$D$6,0)))</x:f>
        <x:v>75</x:v>
      </x:c>
      <x:c r="K1055" s="20" t="n">
        <x:f>IF(=INDEX(Roster!$F$6:$F$108,MATCH(D1055,Roster!$A$6:$A$108,0))="Yes",0,=INDEX(Inputs!$B$8:$D$8,1,MATCH(A1055,Inputs!$B$6:$D$6,0))*IF(=INDEX(Roster!$B$6:$B$108,MATCH(D1055,Roster!$A$6:$A$108,0))="Principal",INDEX(Inputs!$B$10:$D$10,1,MATCH(A1055,Inputs!$B$6:$D$6,0)),IF(=INDEX(Roster!$B$6:$B$108,MATCH(D1055,Roster!$A$6:$A$108,0))="Associate Principal",INDEX(Inputs!$B$11:$D$11,1,MATCH(A1055,Inputs!$B$6:$D$6,0)),IF(=INDEX(Roster!$B$6:$B$108,MATCH(D1055,Roster!$A$6:$A$108,0))="Assistant Principal",INDEX(Inputs!$B$12:$D$12,1,MATCH(A1055,Inputs!$B$6:$D$6,0)),0))))</x:f>
        <x:v>0</x:v>
      </x:c>
      <x:c r="L1055" s="20" t="n">
        <x:f>IF(INDEX(Roster!$D$6:$D$108,MATCH(D1055,Roster!$A$6:$A$108,0))&gt;=25,INDEX(Inputs!$B$19:$D$19,1,MATCH(A1055,Inputs!$B$6:$D$6,0)),IF(INDEX(Roster!$D$6:$D$108,MATCH(D1055,Roster!$A$6:$A$108,0))&gt;=20,INDEX(Inputs!$B$18:$D$18,1,MATCH(A1055,Inputs!$B$6:$D$6,0)),IF(INDEX(Roster!$D$6:$D$108,MATCH(D1055,Roster!$A$6:$A$108,0))&gt;=15,INDEX(Inputs!$B$17:$D$17,1,MATCH(A1055,Inputs!$B$6:$D$6,0)),IF(INDEX(Roster!$D$6:$D$108,MATCH(D1055,Roster!$A$6:$A$108,0))&gt;=10,INDEX(Inputs!$B$16:$D$16,1,MATCH(A1055,Inputs!$B$6:$D$6,0)),IF(INDEX(Roster!$D$6:$D$108,MATCH(D1055,Roster!$A$6:$A$108,0))&gt;=5,INDEX(Inputs!$B$15:$D$15,1,MATCH(A1055,Inputs!$B$6:$D$6,0)),0)))))</x:f>
        <x:v>80</x:v>
      </x:c>
      <x:c r="M1055" s="20" t="n">
        <x:f>G1055*I1055</x:f>
        <x:v>31135</x:v>
      </x:c>
      <x:c r="N1055" s="20" t="n">
        <x:f>G1055*J1055</x:f>
        <x:v>975</x:v>
      </x:c>
      <x:c r="O1055" s="20" t="n">
        <x:f>G1055*K1055</x:f>
        <x:v>0</x:v>
      </x:c>
      <x:c r="P1055" s="20" t="n">
        <x:f>G1055*L1055</x:f>
        <x:v>1040</x:v>
      </x:c>
      <x:c r="Q1055" s="20" t="n">
        <x:f>H1055*INDEX(Inputs!$B$13:$D$13,1,MATCH(A1055,Inputs!$B$6:$D$6,0))</x:f>
        <x:v>390</x:v>
      </x:c>
      <x:c r="R1055" s="20" t="n">
        <x:f>SUM(M1055:Q1055)</x:f>
        <x:v>33540</x:v>
      </x:c>
      <x:c r="S1055" s="20" t="n">
        <x:f>IF(AND(A1054=A1055,D1054=D1055),S1054+R1055,R1055)</x:f>
        <x:v>67080</x:v>
      </x:c>
      <x:c r="T1055" s="20" t="n">
        <x:f>MIN(S1055,INDEX(Inputs!$B$20:$D$20,1,MATCH(A1055,Inputs!$B$6:$D$6,0)))*INDEX(Inputs!$B$22:$D$22,1,MATCH(A1055,Inputs!$B$6:$D$6,0))+MAX(MIN(S1055,INDEX(Inputs!$B$21:$D$21,1,MATCH(A1055,Inputs!$B$6:$D$6,0)))-INDEX(Inputs!$B$20:$D$20,1,MATCH(A1055,Inputs!$B$6:$D$6,0)),0)*INDEX(Inputs!$B$23:$D$23,1,MATCH(A1055,Inputs!$B$6:$D$6,0))+MAX(S1055-INDEX(Inputs!$B$21:$D$21,1,MATCH(A1055,Inputs!$B$6:$D$6,0)),0)*INDEX(Inputs!$B$24:$D$24,1,MATCH(A1055,Inputs!$B$6:$D$6,0))</x:f>
        <x:v>5621.62</x:v>
      </x:c>
      <x:c r="U1055" s="20" t="n">
        <x:f>IF(AND(A1054=A1055,D1054=D1055),T1054,0)</x:f>
        <x:v>3055.81</x:v>
      </x:c>
      <x:c r="V1055" s="20" t="n">
        <x:f>T1055-U1055</x:f>
        <x:v>2565.81</x:v>
      </x:c>
      <x:c r="W1055" s="20" t="n">
        <x:f>R1055+V1055</x:f>
        <x:v>36105.81</x:v>
      </x:c>
      <x:c r="X1055" s="14" t="str">
        <x:f>IF(ABS(W1055-SUM(M1055:Q1055)-V1055)&lt;0.01,"OK","Check")</x:f>
        <x:v>OK</x:v>
      </x:c>
    </x:row>
    <x:row r="1056">
      <x:c r="A1056" s="14" t="n">
        <x:v>2028</x:v>
      </x:c>
      <x:c r="B1056" s="14" t="str">
        <x:v>Q3</x:v>
      </x:c>
      <x:c r="C1056" s="14" t="n">
        <x:v>3</x:v>
      </x:c>
      <x:c r="D1056" s="14" t="n">
        <x:v>57</x:v>
      </x:c>
      <x:c r="E1056" s="14" t="str">
        <x:f>INDEX(Roster!$B$6:$B$108,MATCH(D1056,Roster!$A$6:$A$108,0))</x:f>
      </x:c>
      <x:c r="F1056" s="14" t="str">
        <x:f>INDEX(Roster!$F$6:$F$108,MATCH(D1056,Roster!$A$6:$A$108,0))</x:f>
        <x:v>No</x:v>
      </x:c>
      <x:c r="G1056" s="14" t="n">
        <x:f>INDEX(Inputs!$B$7:$D$7,1,MATCH(A1056,Inputs!$B$6:$D$6,0))</x:f>
        <x:v>13</x:v>
      </x:c>
      <x:c r="H1056" s="14" t="n">
        <x:f>MIN(=INDEX(Inputs!$B$7:$D$7,1,MATCH(A1056,Inputs!$B$6:$D$6,0)),MAX(0,INDEX(Inputs!$B$14:$D$14,1,MATCH(A1056,Inputs!$B$6:$D$6,0))-(C1056-1)*=INDEX(Inputs!$B$7:$D$7,1,MATCH(A1056,Inputs!$B$6:$D$6,0))))</x:f>
        <x:v>13</x:v>
      </x:c>
      <x:c r="I1056" s="20" t="n">
        <x:f>INDEX(Inputs!$B$8:$D$8,1,MATCH(A1056,Inputs!$B$6:$D$6,0))</x:f>
        <x:v>2395</x:v>
      </x:c>
      <x:c r="J1056" s="20" t="n">
        <x:f>INDEX(Roster!$C$6:$C$108,MATCH(D1056,Roster!$A$6:$A$108,0))*(1+INDEX(Inputs!$B$9:$D$9,1,MATCH(A1056,Inputs!$B$6:$D$6,0)))</x:f>
        <x:v>75</x:v>
      </x:c>
      <x:c r="K1056" s="20" t="n">
        <x:f>IF(=INDEX(Roster!$F$6:$F$108,MATCH(D1056,Roster!$A$6:$A$108,0))="Yes",0,=INDEX(Inputs!$B$8:$D$8,1,MATCH(A1056,Inputs!$B$6:$D$6,0))*IF(=INDEX(Roster!$B$6:$B$108,MATCH(D1056,Roster!$A$6:$A$108,0))="Principal",INDEX(Inputs!$B$10:$D$10,1,MATCH(A1056,Inputs!$B$6:$D$6,0)),IF(=INDEX(Roster!$B$6:$B$108,MATCH(D1056,Roster!$A$6:$A$108,0))="Associate Principal",INDEX(Inputs!$B$11:$D$11,1,MATCH(A1056,Inputs!$B$6:$D$6,0)),IF(=INDEX(Roster!$B$6:$B$108,MATCH(D1056,Roster!$A$6:$A$108,0))="Assistant Principal",INDEX(Inputs!$B$12:$D$12,1,MATCH(A1056,Inputs!$B$6:$D$6,0)),0))))</x:f>
        <x:v>0</x:v>
      </x:c>
      <x:c r="L1056" s="20" t="n">
        <x:f>IF(INDEX(Roster!$D$6:$D$108,MATCH(D1056,Roster!$A$6:$A$108,0))&gt;=25,INDEX(Inputs!$B$19:$D$19,1,MATCH(A1056,Inputs!$B$6:$D$6,0)),IF(INDEX(Roster!$D$6:$D$108,MATCH(D1056,Roster!$A$6:$A$108,0))&gt;=20,INDEX(Inputs!$B$18:$D$18,1,MATCH(A1056,Inputs!$B$6:$D$6,0)),IF(INDEX(Roster!$D$6:$D$108,MATCH(D1056,Roster!$A$6:$A$108,0))&gt;=15,INDEX(Inputs!$B$17:$D$17,1,MATCH(A1056,Inputs!$B$6:$D$6,0)),IF(INDEX(Roster!$D$6:$D$108,MATCH(D1056,Roster!$A$6:$A$108,0))&gt;=10,INDEX(Inputs!$B$16:$D$16,1,MATCH(A1056,Inputs!$B$6:$D$6,0)),IF(INDEX(Roster!$D$6:$D$108,MATCH(D1056,Roster!$A$6:$A$108,0))&gt;=5,INDEX(Inputs!$B$15:$D$15,1,MATCH(A1056,Inputs!$B$6:$D$6,0)),0)))))</x:f>
        <x:v>80</x:v>
      </x:c>
      <x:c r="M1056" s="20" t="n">
        <x:f>G1056*I1056</x:f>
        <x:v>31135</x:v>
      </x:c>
      <x:c r="N1056" s="20" t="n">
        <x:f>G1056*J1056</x:f>
        <x:v>975</x:v>
      </x:c>
      <x:c r="O1056" s="20" t="n">
        <x:f>G1056*K1056</x:f>
        <x:v>0</x:v>
      </x:c>
      <x:c r="P1056" s="20" t="n">
        <x:f>G1056*L1056</x:f>
        <x:v>1040</x:v>
      </x:c>
      <x:c r="Q1056" s="20" t="n">
        <x:f>H1056*INDEX(Inputs!$B$13:$D$13,1,MATCH(A1056,Inputs!$B$6:$D$6,0))</x:f>
        <x:v>390</x:v>
      </x:c>
      <x:c r="R1056" s="20" t="n">
        <x:f>SUM(M1056:Q1056)</x:f>
        <x:v>33540</x:v>
      </x:c>
      <x:c r="S1056" s="20" t="n">
        <x:f>IF(AND(A1055=A1056,D1055=D1056),S1055+R1056,R1056)</x:f>
        <x:v>100620</x:v>
      </x:c>
      <x:c r="T1056" s="20" t="n">
        <x:f>MIN(S1056,INDEX(Inputs!$B$20:$D$20,1,MATCH(A1056,Inputs!$B$6:$D$6,0)))*INDEX(Inputs!$B$22:$D$22,1,MATCH(A1056,Inputs!$B$6:$D$6,0))+MAX(MIN(S1056,INDEX(Inputs!$B$21:$D$21,1,MATCH(A1056,Inputs!$B$6:$D$6,0)))-INDEX(Inputs!$B$20:$D$20,1,MATCH(A1056,Inputs!$B$6:$D$6,0)),0)*INDEX(Inputs!$B$23:$D$23,1,MATCH(A1056,Inputs!$B$6:$D$6,0))+MAX(S1056-INDEX(Inputs!$B$21:$D$21,1,MATCH(A1056,Inputs!$B$6:$D$6,0)),0)*INDEX(Inputs!$B$24:$D$24,1,MATCH(A1056,Inputs!$B$6:$D$6,0))</x:f>
        <x:v>8187.43</x:v>
      </x:c>
      <x:c r="U1056" s="20" t="n">
        <x:f>IF(AND(A1055=A1056,D1055=D1056),T1055,0)</x:f>
        <x:v>5621.62</x:v>
      </x:c>
      <x:c r="V1056" s="20" t="n">
        <x:f>T1056-U1056</x:f>
        <x:v>2565.8100000000004</x:v>
      </x:c>
      <x:c r="W1056" s="20" t="n">
        <x:f>R1056+V1056</x:f>
        <x:v>36105.81</x:v>
      </x:c>
      <x:c r="X1056" s="14" t="str">
        <x:f>IF(ABS(W1056-SUM(M1056:Q1056)-V1056)&lt;0.01,"OK","Check")</x:f>
        <x:v>OK</x:v>
      </x:c>
    </x:row>
    <x:row r="1057">
      <x:c r="A1057" s="14" t="n">
        <x:v>2028</x:v>
      </x:c>
      <x:c r="B1057" s="14" t="str">
        <x:v>Q4</x:v>
      </x:c>
      <x:c r="C1057" s="14" t="n">
        <x:v>4</x:v>
      </x:c>
      <x:c r="D1057" s="14" t="n">
        <x:v>57</x:v>
      </x:c>
      <x:c r="E1057" s="14" t="str">
        <x:f>INDEX(Roster!$B$6:$B$108,MATCH(D1057,Roster!$A$6:$A$108,0))</x:f>
      </x:c>
      <x:c r="F1057" s="14" t="str">
        <x:f>INDEX(Roster!$F$6:$F$108,MATCH(D1057,Roster!$A$6:$A$108,0))</x:f>
        <x:v>No</x:v>
      </x:c>
      <x:c r="G1057" s="14" t="n">
        <x:f>INDEX(Inputs!$B$7:$D$7,1,MATCH(A1057,Inputs!$B$6:$D$6,0))</x:f>
        <x:v>13</x:v>
      </x:c>
      <x:c r="H1057" s="14" t="n">
        <x:f>MIN(=INDEX(Inputs!$B$7:$D$7,1,MATCH(A1057,Inputs!$B$6:$D$6,0)),MAX(0,INDEX(Inputs!$B$14:$D$14,1,MATCH(A1057,Inputs!$B$6:$D$6,0))-(C1057-1)*=INDEX(Inputs!$B$7:$D$7,1,MATCH(A1057,Inputs!$B$6:$D$6,0))))</x:f>
        <x:v>0</x:v>
      </x:c>
      <x:c r="I1057" s="20" t="n">
        <x:f>INDEX(Inputs!$B$8:$D$8,1,MATCH(A1057,Inputs!$B$6:$D$6,0))</x:f>
        <x:v>2395</x:v>
      </x:c>
      <x:c r="J1057" s="20" t="n">
        <x:f>INDEX(Roster!$C$6:$C$108,MATCH(D1057,Roster!$A$6:$A$108,0))*(1+INDEX(Inputs!$B$9:$D$9,1,MATCH(A1057,Inputs!$B$6:$D$6,0)))</x:f>
        <x:v>75</x:v>
      </x:c>
      <x:c r="K1057" s="20" t="n">
        <x:f>IF(=INDEX(Roster!$F$6:$F$108,MATCH(D1057,Roster!$A$6:$A$108,0))="Yes",0,=INDEX(Inputs!$B$8:$D$8,1,MATCH(A1057,Inputs!$B$6:$D$6,0))*IF(=INDEX(Roster!$B$6:$B$108,MATCH(D1057,Roster!$A$6:$A$108,0))="Principal",INDEX(Inputs!$B$10:$D$10,1,MATCH(A1057,Inputs!$B$6:$D$6,0)),IF(=INDEX(Roster!$B$6:$B$108,MATCH(D1057,Roster!$A$6:$A$108,0))="Associate Principal",INDEX(Inputs!$B$11:$D$11,1,MATCH(A1057,Inputs!$B$6:$D$6,0)),IF(=INDEX(Roster!$B$6:$B$108,MATCH(D1057,Roster!$A$6:$A$108,0))="Assistant Principal",INDEX(Inputs!$B$12:$D$12,1,MATCH(A1057,Inputs!$B$6:$D$6,0)),0))))</x:f>
        <x:v>0</x:v>
      </x:c>
      <x:c r="L1057" s="20" t="n">
        <x:f>IF(INDEX(Roster!$D$6:$D$108,MATCH(D1057,Roster!$A$6:$A$108,0))&gt;=25,INDEX(Inputs!$B$19:$D$19,1,MATCH(A1057,Inputs!$B$6:$D$6,0)),IF(INDEX(Roster!$D$6:$D$108,MATCH(D1057,Roster!$A$6:$A$108,0))&gt;=20,INDEX(Inputs!$B$18:$D$18,1,MATCH(A1057,Inputs!$B$6:$D$6,0)),IF(INDEX(Roster!$D$6:$D$108,MATCH(D1057,Roster!$A$6:$A$108,0))&gt;=15,INDEX(Inputs!$B$17:$D$17,1,MATCH(A1057,Inputs!$B$6:$D$6,0)),IF(INDEX(Roster!$D$6:$D$108,MATCH(D1057,Roster!$A$6:$A$108,0))&gt;=10,INDEX(Inputs!$B$16:$D$16,1,MATCH(A1057,Inputs!$B$6:$D$6,0)),IF(INDEX(Roster!$D$6:$D$108,MATCH(D1057,Roster!$A$6:$A$108,0))&gt;=5,INDEX(Inputs!$B$15:$D$15,1,MATCH(A1057,Inputs!$B$6:$D$6,0)),0)))))</x:f>
        <x:v>80</x:v>
      </x:c>
      <x:c r="M1057" s="20" t="n">
        <x:f>G1057*I1057</x:f>
        <x:v>31135</x:v>
      </x:c>
      <x:c r="N1057" s="20" t="n">
        <x:f>G1057*J1057</x:f>
        <x:v>975</x:v>
      </x:c>
      <x:c r="O1057" s="20" t="n">
        <x:f>G1057*K1057</x:f>
        <x:v>0</x:v>
      </x:c>
      <x:c r="P1057" s="20" t="n">
        <x:f>G1057*L1057</x:f>
        <x:v>1040</x:v>
      </x:c>
      <x:c r="Q1057" s="20" t="n">
        <x:f>H1057*INDEX(Inputs!$B$13:$D$13,1,MATCH(A1057,Inputs!$B$6:$D$6,0))</x:f>
        <x:v>0</x:v>
      </x:c>
      <x:c r="R1057" s="20" t="n">
        <x:f>SUM(M1057:Q1057)</x:f>
        <x:v>33150</x:v>
      </x:c>
      <x:c r="S1057" s="20" t="n">
        <x:f>IF(AND(A1056=A1057,D1056=D1057),S1056+R1057,R1057)</x:f>
        <x:v>133770</x:v>
      </x:c>
      <x:c r="T1057" s="20" t="n">
        <x:f>MIN(S1057,INDEX(Inputs!$B$20:$D$20,1,MATCH(A1057,Inputs!$B$6:$D$6,0)))*INDEX(Inputs!$B$22:$D$22,1,MATCH(A1057,Inputs!$B$6:$D$6,0))+MAX(MIN(S1057,INDEX(Inputs!$B$21:$D$21,1,MATCH(A1057,Inputs!$B$6:$D$6,0)))-INDEX(Inputs!$B$20:$D$20,1,MATCH(A1057,Inputs!$B$6:$D$6,0)),0)*INDEX(Inputs!$B$23:$D$23,1,MATCH(A1057,Inputs!$B$6:$D$6,0))+MAX(S1057-INDEX(Inputs!$B$21:$D$21,1,MATCH(A1057,Inputs!$B$6:$D$6,0)),0)*INDEX(Inputs!$B$24:$D$24,1,MATCH(A1057,Inputs!$B$6:$D$6,0))</x:f>
        <x:v>9853.607</x:v>
      </x:c>
      <x:c r="U1057" s="20" t="n">
        <x:f>IF(AND(A1056=A1057,D1056=D1057),T1056,0)</x:f>
        <x:v>8187.43</x:v>
      </x:c>
      <x:c r="V1057" s="20" t="n">
        <x:f>T1057-U1057</x:f>
        <x:v>1666.1769999999997</x:v>
      </x:c>
      <x:c r="W1057" s="20" t="n">
        <x:f>R1057+V1057</x:f>
        <x:v>34816.176999999996</x:v>
      </x:c>
      <x:c r="X1057" s="14" t="str">
        <x:f>IF(ABS(W1057-SUM(M1057:Q1057)-V1057)&lt;0.01,"OK","Check")</x:f>
        <x:v>OK</x:v>
      </x:c>
    </x:row>
    <x:row r="1058">
      <x:c r="A1058" s="14" t="n">
        <x:v>2028</x:v>
      </x:c>
      <x:c r="B1058" s="14" t="str">
        <x:v>Q1</x:v>
      </x:c>
      <x:c r="C1058" s="14" t="n">
        <x:v>1</x:v>
      </x:c>
      <x:c r="D1058" s="14" t="n">
        <x:v>58</x:v>
      </x:c>
      <x:c r="E1058" s="14" t="str">
        <x:f>INDEX(Roster!$B$6:$B$108,MATCH(D1058,Roster!$A$6:$A$108,0))</x:f>
      </x:c>
      <x:c r="F1058" s="14" t="str">
        <x:f>INDEX(Roster!$F$6:$F$108,MATCH(D1058,Roster!$A$6:$A$108,0))</x:f>
        <x:v>No</x:v>
      </x:c>
      <x:c r="G1058" s="14" t="n">
        <x:f>INDEX(Inputs!$B$7:$D$7,1,MATCH(A1058,Inputs!$B$6:$D$6,0))</x:f>
        <x:v>13</x:v>
      </x:c>
      <x:c r="H1058" s="14" t="n">
        <x:f>MIN(=INDEX(Inputs!$B$7:$D$7,1,MATCH(A1058,Inputs!$B$6:$D$6,0)),MAX(0,INDEX(Inputs!$B$14:$D$14,1,MATCH(A1058,Inputs!$B$6:$D$6,0))-(C1058-1)*=INDEX(Inputs!$B$7:$D$7,1,MATCH(A1058,Inputs!$B$6:$D$6,0))))</x:f>
        <x:v>13</x:v>
      </x:c>
      <x:c r="I1058" s="20" t="n">
        <x:f>INDEX(Inputs!$B$8:$D$8,1,MATCH(A1058,Inputs!$B$6:$D$6,0))</x:f>
        <x:v>2395</x:v>
      </x:c>
      <x:c r="J1058" s="20" t="n">
        <x:f>INDEX(Roster!$C$6:$C$108,MATCH(D1058,Roster!$A$6:$A$108,0))*(1+INDEX(Inputs!$B$9:$D$9,1,MATCH(A1058,Inputs!$B$6:$D$6,0)))</x:f>
        <x:v>20</x:v>
      </x:c>
      <x:c r="K1058" s="20" t="n">
        <x:f>IF(=INDEX(Roster!$F$6:$F$108,MATCH(D1058,Roster!$A$6:$A$108,0))="Yes",0,=INDEX(Inputs!$B$8:$D$8,1,MATCH(A1058,Inputs!$B$6:$D$6,0))*IF(=INDEX(Roster!$B$6:$B$108,MATCH(D1058,Roster!$A$6:$A$108,0))="Principal",INDEX(Inputs!$B$10:$D$10,1,MATCH(A1058,Inputs!$B$6:$D$6,0)),IF(=INDEX(Roster!$B$6:$B$108,MATCH(D1058,Roster!$A$6:$A$108,0))="Associate Principal",INDEX(Inputs!$B$11:$D$11,1,MATCH(A1058,Inputs!$B$6:$D$6,0)),IF(=INDEX(Roster!$B$6:$B$108,MATCH(D1058,Roster!$A$6:$A$108,0))="Assistant Principal",INDEX(Inputs!$B$12:$D$12,1,MATCH(A1058,Inputs!$B$6:$D$6,0)),0))))</x:f>
        <x:v>0</x:v>
      </x:c>
      <x:c r="L1058" s="20" t="n">
        <x:f>IF(INDEX(Roster!$D$6:$D$108,MATCH(D1058,Roster!$A$6:$A$108,0))&gt;=25,INDEX(Inputs!$B$19:$D$19,1,MATCH(A1058,Inputs!$B$6:$D$6,0)),IF(INDEX(Roster!$D$6:$D$108,MATCH(D1058,Roster!$A$6:$A$108,0))&gt;=20,INDEX(Inputs!$B$18:$D$18,1,MATCH(A1058,Inputs!$B$6:$D$6,0)),IF(INDEX(Roster!$D$6:$D$108,MATCH(D1058,Roster!$A$6:$A$108,0))&gt;=15,INDEX(Inputs!$B$17:$D$17,1,MATCH(A1058,Inputs!$B$6:$D$6,0)),IF(INDEX(Roster!$D$6:$D$108,MATCH(D1058,Roster!$A$6:$A$108,0))&gt;=10,INDEX(Inputs!$B$16:$D$16,1,MATCH(A1058,Inputs!$B$6:$D$6,0)),IF(INDEX(Roster!$D$6:$D$108,MATCH(D1058,Roster!$A$6:$A$108,0))&gt;=5,INDEX(Inputs!$B$15:$D$15,1,MATCH(A1058,Inputs!$B$6:$D$6,0)),0)))))</x:f>
        <x:v>60</x:v>
      </x:c>
      <x:c r="M1058" s="20" t="n">
        <x:f>G1058*I1058</x:f>
        <x:v>31135</x:v>
      </x:c>
      <x:c r="N1058" s="20" t="n">
        <x:f>G1058*J1058</x:f>
        <x:v>260</x:v>
      </x:c>
      <x:c r="O1058" s="20" t="n">
        <x:f>G1058*K1058</x:f>
        <x:v>0</x:v>
      </x:c>
      <x:c r="P1058" s="20" t="n">
        <x:f>G1058*L1058</x:f>
        <x:v>780</x:v>
      </x:c>
      <x:c r="Q1058" s="20" t="n">
        <x:f>H1058*INDEX(Inputs!$B$13:$D$13,1,MATCH(A1058,Inputs!$B$6:$D$6,0))</x:f>
        <x:v>390</x:v>
      </x:c>
      <x:c r="R1058" s="20" t="n">
        <x:f>SUM(M1058:Q1058)</x:f>
        <x:v>32565</x:v>
      </x:c>
      <x:c r="S1058" s="20" t="n">
        <x:f>IF(AND(A1057=A1058,D1057=D1058),S1057+R1058,R1058)</x:f>
        <x:v>32565</x:v>
      </x:c>
      <x:c r="T1058" s="20" t="n">
        <x:f>MIN(S1058,INDEX(Inputs!$B$20:$D$20,1,MATCH(A1058,Inputs!$B$6:$D$6,0)))*INDEX(Inputs!$B$22:$D$22,1,MATCH(A1058,Inputs!$B$6:$D$6,0))+MAX(MIN(S1058,INDEX(Inputs!$B$21:$D$21,1,MATCH(A1058,Inputs!$B$6:$D$6,0)))-INDEX(Inputs!$B$20:$D$20,1,MATCH(A1058,Inputs!$B$6:$D$6,0)),0)*INDEX(Inputs!$B$23:$D$23,1,MATCH(A1058,Inputs!$B$6:$D$6,0))+MAX(S1058-INDEX(Inputs!$B$21:$D$21,1,MATCH(A1058,Inputs!$B$6:$D$6,0)),0)*INDEX(Inputs!$B$24:$D$24,1,MATCH(A1058,Inputs!$B$6:$D$6,0))</x:f>
        <x:v>2981.2225</x:v>
      </x:c>
      <x:c r="U1058" s="20" t="n">
        <x:f>IF(AND(A1057=A1058,D1057=D1058),T1057,0)</x:f>
        <x:v>0</x:v>
      </x:c>
      <x:c r="V1058" s="20" t="n">
        <x:f>T1058-U1058</x:f>
        <x:v>2981.2225</x:v>
      </x:c>
      <x:c r="W1058" s="20" t="n">
        <x:f>R1058+V1058</x:f>
        <x:v>35546.2225</x:v>
      </x:c>
      <x:c r="X1058" s="14" t="str">
        <x:f>IF(ABS(W1058-SUM(M1058:Q1058)-V1058)&lt;0.01,"OK","Check")</x:f>
        <x:v>OK</x:v>
      </x:c>
    </x:row>
    <x:row r="1059">
      <x:c r="A1059" s="14" t="n">
        <x:v>2028</x:v>
      </x:c>
      <x:c r="B1059" s="14" t="str">
        <x:v>Q2</x:v>
      </x:c>
      <x:c r="C1059" s="14" t="n">
        <x:v>2</x:v>
      </x:c>
      <x:c r="D1059" s="14" t="n">
        <x:v>58</x:v>
      </x:c>
      <x:c r="E1059" s="14" t="str">
        <x:f>INDEX(Roster!$B$6:$B$108,MATCH(D1059,Roster!$A$6:$A$108,0))</x:f>
      </x:c>
      <x:c r="F1059" s="14" t="str">
        <x:f>INDEX(Roster!$F$6:$F$108,MATCH(D1059,Roster!$A$6:$A$108,0))</x:f>
        <x:v>No</x:v>
      </x:c>
      <x:c r="G1059" s="14" t="n">
        <x:f>INDEX(Inputs!$B$7:$D$7,1,MATCH(A1059,Inputs!$B$6:$D$6,0))</x:f>
        <x:v>13</x:v>
      </x:c>
      <x:c r="H1059" s="14" t="n">
        <x:f>MIN(=INDEX(Inputs!$B$7:$D$7,1,MATCH(A1059,Inputs!$B$6:$D$6,0)),MAX(0,INDEX(Inputs!$B$14:$D$14,1,MATCH(A1059,Inputs!$B$6:$D$6,0))-(C1059-1)*=INDEX(Inputs!$B$7:$D$7,1,MATCH(A1059,Inputs!$B$6:$D$6,0))))</x:f>
        <x:v>13</x:v>
      </x:c>
      <x:c r="I1059" s="20" t="n">
        <x:f>INDEX(Inputs!$B$8:$D$8,1,MATCH(A1059,Inputs!$B$6:$D$6,0))</x:f>
        <x:v>2395</x:v>
      </x:c>
      <x:c r="J1059" s="20" t="n">
        <x:f>INDEX(Roster!$C$6:$C$108,MATCH(D1059,Roster!$A$6:$A$108,0))*(1+INDEX(Inputs!$B$9:$D$9,1,MATCH(A1059,Inputs!$B$6:$D$6,0)))</x:f>
        <x:v>20</x:v>
      </x:c>
      <x:c r="K1059" s="20" t="n">
        <x:f>IF(=INDEX(Roster!$F$6:$F$108,MATCH(D1059,Roster!$A$6:$A$108,0))="Yes",0,=INDEX(Inputs!$B$8:$D$8,1,MATCH(A1059,Inputs!$B$6:$D$6,0))*IF(=INDEX(Roster!$B$6:$B$108,MATCH(D1059,Roster!$A$6:$A$108,0))="Principal",INDEX(Inputs!$B$10:$D$10,1,MATCH(A1059,Inputs!$B$6:$D$6,0)),IF(=INDEX(Roster!$B$6:$B$108,MATCH(D1059,Roster!$A$6:$A$108,0))="Associate Principal",INDEX(Inputs!$B$11:$D$11,1,MATCH(A1059,Inputs!$B$6:$D$6,0)),IF(=INDEX(Roster!$B$6:$B$108,MATCH(D1059,Roster!$A$6:$A$108,0))="Assistant Principal",INDEX(Inputs!$B$12:$D$12,1,MATCH(A1059,Inputs!$B$6:$D$6,0)),0))))</x:f>
        <x:v>0</x:v>
      </x:c>
      <x:c r="L1059" s="20" t="n">
        <x:f>IF(INDEX(Roster!$D$6:$D$108,MATCH(D1059,Roster!$A$6:$A$108,0))&gt;=25,INDEX(Inputs!$B$19:$D$19,1,MATCH(A1059,Inputs!$B$6:$D$6,0)),IF(INDEX(Roster!$D$6:$D$108,MATCH(D1059,Roster!$A$6:$A$108,0))&gt;=20,INDEX(Inputs!$B$18:$D$18,1,MATCH(A1059,Inputs!$B$6:$D$6,0)),IF(INDEX(Roster!$D$6:$D$108,MATCH(D1059,Roster!$A$6:$A$108,0))&gt;=15,INDEX(Inputs!$B$17:$D$17,1,MATCH(A1059,Inputs!$B$6:$D$6,0)),IF(INDEX(Roster!$D$6:$D$108,MATCH(D1059,Roster!$A$6:$A$108,0))&gt;=10,INDEX(Inputs!$B$16:$D$16,1,MATCH(A1059,Inputs!$B$6:$D$6,0)),IF(INDEX(Roster!$D$6:$D$108,MATCH(D1059,Roster!$A$6:$A$108,0))&gt;=5,INDEX(Inputs!$B$15:$D$15,1,MATCH(A1059,Inputs!$B$6:$D$6,0)),0)))))</x:f>
        <x:v>60</x:v>
      </x:c>
      <x:c r="M1059" s="20" t="n">
        <x:f>G1059*I1059</x:f>
        <x:v>31135</x:v>
      </x:c>
      <x:c r="N1059" s="20" t="n">
        <x:f>G1059*J1059</x:f>
        <x:v>260</x:v>
      </x:c>
      <x:c r="O1059" s="20" t="n">
        <x:f>G1059*K1059</x:f>
        <x:v>0</x:v>
      </x:c>
      <x:c r="P1059" s="20" t="n">
        <x:f>G1059*L1059</x:f>
        <x:v>780</x:v>
      </x:c>
      <x:c r="Q1059" s="20" t="n">
        <x:f>H1059*INDEX(Inputs!$B$13:$D$13,1,MATCH(A1059,Inputs!$B$6:$D$6,0))</x:f>
        <x:v>390</x:v>
      </x:c>
      <x:c r="R1059" s="20" t="n">
        <x:f>SUM(M1059:Q1059)</x:f>
        <x:v>32565</x:v>
      </x:c>
      <x:c r="S1059" s="20" t="n">
        <x:f>IF(AND(A1058=A1059,D1058=D1059),S1058+R1059,R1059)</x:f>
        <x:v>65130</x:v>
      </x:c>
      <x:c r="T1059" s="20" t="n">
        <x:f>MIN(S1059,INDEX(Inputs!$B$20:$D$20,1,MATCH(A1059,Inputs!$B$6:$D$6,0)))*INDEX(Inputs!$B$22:$D$22,1,MATCH(A1059,Inputs!$B$6:$D$6,0))+MAX(MIN(S1059,INDEX(Inputs!$B$21:$D$21,1,MATCH(A1059,Inputs!$B$6:$D$6,0)))-INDEX(Inputs!$B$20:$D$20,1,MATCH(A1059,Inputs!$B$6:$D$6,0)),0)*INDEX(Inputs!$B$23:$D$23,1,MATCH(A1059,Inputs!$B$6:$D$6,0))+MAX(S1059-INDEX(Inputs!$B$21:$D$21,1,MATCH(A1059,Inputs!$B$6:$D$6,0)),0)*INDEX(Inputs!$B$24:$D$24,1,MATCH(A1059,Inputs!$B$6:$D$6,0))</x:f>
        <x:v>5472.445</x:v>
      </x:c>
      <x:c r="U1059" s="20" t="n">
        <x:f>IF(AND(A1058=A1059,D1058=D1059),T1058,0)</x:f>
        <x:v>2981.2225</x:v>
      </x:c>
      <x:c r="V1059" s="20" t="n">
        <x:f>T1059-U1059</x:f>
        <x:v>2491.2225</x:v>
      </x:c>
      <x:c r="W1059" s="20" t="n">
        <x:f>R1059+V1059</x:f>
        <x:v>35056.2225</x:v>
      </x:c>
      <x:c r="X1059" s="14" t="str">
        <x:f>IF(ABS(W1059-SUM(M1059:Q1059)-V1059)&lt;0.01,"OK","Check")</x:f>
        <x:v>OK</x:v>
      </x:c>
    </x:row>
    <x:row r="1060">
      <x:c r="A1060" s="14" t="n">
        <x:v>2028</x:v>
      </x:c>
      <x:c r="B1060" s="14" t="str">
        <x:v>Q3</x:v>
      </x:c>
      <x:c r="C1060" s="14" t="n">
        <x:v>3</x:v>
      </x:c>
      <x:c r="D1060" s="14" t="n">
        <x:v>58</x:v>
      </x:c>
      <x:c r="E1060" s="14" t="str">
        <x:f>INDEX(Roster!$B$6:$B$108,MATCH(D1060,Roster!$A$6:$A$108,0))</x:f>
      </x:c>
      <x:c r="F1060" s="14" t="str">
        <x:f>INDEX(Roster!$F$6:$F$108,MATCH(D1060,Roster!$A$6:$A$108,0))</x:f>
        <x:v>No</x:v>
      </x:c>
      <x:c r="G1060" s="14" t="n">
        <x:f>INDEX(Inputs!$B$7:$D$7,1,MATCH(A1060,Inputs!$B$6:$D$6,0))</x:f>
        <x:v>13</x:v>
      </x:c>
      <x:c r="H1060" s="14" t="n">
        <x:f>MIN(=INDEX(Inputs!$B$7:$D$7,1,MATCH(A1060,Inputs!$B$6:$D$6,0)),MAX(0,INDEX(Inputs!$B$14:$D$14,1,MATCH(A1060,Inputs!$B$6:$D$6,0))-(C1060-1)*=INDEX(Inputs!$B$7:$D$7,1,MATCH(A1060,Inputs!$B$6:$D$6,0))))</x:f>
        <x:v>13</x:v>
      </x:c>
      <x:c r="I1060" s="20" t="n">
        <x:f>INDEX(Inputs!$B$8:$D$8,1,MATCH(A1060,Inputs!$B$6:$D$6,0))</x:f>
        <x:v>2395</x:v>
      </x:c>
      <x:c r="J1060" s="20" t="n">
        <x:f>INDEX(Roster!$C$6:$C$108,MATCH(D1060,Roster!$A$6:$A$108,0))*(1+INDEX(Inputs!$B$9:$D$9,1,MATCH(A1060,Inputs!$B$6:$D$6,0)))</x:f>
        <x:v>20</x:v>
      </x:c>
      <x:c r="K1060" s="20" t="n">
        <x:f>IF(=INDEX(Roster!$F$6:$F$108,MATCH(D1060,Roster!$A$6:$A$108,0))="Yes",0,=INDEX(Inputs!$B$8:$D$8,1,MATCH(A1060,Inputs!$B$6:$D$6,0))*IF(=INDEX(Roster!$B$6:$B$108,MATCH(D1060,Roster!$A$6:$A$108,0))="Principal",INDEX(Inputs!$B$10:$D$10,1,MATCH(A1060,Inputs!$B$6:$D$6,0)),IF(=INDEX(Roster!$B$6:$B$108,MATCH(D1060,Roster!$A$6:$A$108,0))="Associate Principal",INDEX(Inputs!$B$11:$D$11,1,MATCH(A1060,Inputs!$B$6:$D$6,0)),IF(=INDEX(Roster!$B$6:$B$108,MATCH(D1060,Roster!$A$6:$A$108,0))="Assistant Principal",INDEX(Inputs!$B$12:$D$12,1,MATCH(A1060,Inputs!$B$6:$D$6,0)),0))))</x:f>
        <x:v>0</x:v>
      </x:c>
      <x:c r="L1060" s="20" t="n">
        <x:f>IF(INDEX(Roster!$D$6:$D$108,MATCH(D1060,Roster!$A$6:$A$108,0))&gt;=25,INDEX(Inputs!$B$19:$D$19,1,MATCH(A1060,Inputs!$B$6:$D$6,0)),IF(INDEX(Roster!$D$6:$D$108,MATCH(D1060,Roster!$A$6:$A$108,0))&gt;=20,INDEX(Inputs!$B$18:$D$18,1,MATCH(A1060,Inputs!$B$6:$D$6,0)),IF(INDEX(Roster!$D$6:$D$108,MATCH(D1060,Roster!$A$6:$A$108,0))&gt;=15,INDEX(Inputs!$B$17:$D$17,1,MATCH(A1060,Inputs!$B$6:$D$6,0)),IF(INDEX(Roster!$D$6:$D$108,MATCH(D1060,Roster!$A$6:$A$108,0))&gt;=10,INDEX(Inputs!$B$16:$D$16,1,MATCH(A1060,Inputs!$B$6:$D$6,0)),IF(INDEX(Roster!$D$6:$D$108,MATCH(D1060,Roster!$A$6:$A$108,0))&gt;=5,INDEX(Inputs!$B$15:$D$15,1,MATCH(A1060,Inputs!$B$6:$D$6,0)),0)))))</x:f>
        <x:v>60</x:v>
      </x:c>
      <x:c r="M1060" s="20" t="n">
        <x:f>G1060*I1060</x:f>
        <x:v>31135</x:v>
      </x:c>
      <x:c r="N1060" s="20" t="n">
        <x:f>G1060*J1060</x:f>
        <x:v>260</x:v>
      </x:c>
      <x:c r="O1060" s="20" t="n">
        <x:f>G1060*K1060</x:f>
        <x:v>0</x:v>
      </x:c>
      <x:c r="P1060" s="20" t="n">
        <x:f>G1060*L1060</x:f>
        <x:v>780</x:v>
      </x:c>
      <x:c r="Q1060" s="20" t="n">
        <x:f>H1060*INDEX(Inputs!$B$13:$D$13,1,MATCH(A1060,Inputs!$B$6:$D$6,0))</x:f>
        <x:v>390</x:v>
      </x:c>
      <x:c r="R1060" s="20" t="n">
        <x:f>SUM(M1060:Q1060)</x:f>
        <x:v>32565</x:v>
      </x:c>
      <x:c r="S1060" s="20" t="n">
        <x:f>IF(AND(A1059=A1060,D1059=D1060),S1059+R1060,R1060)</x:f>
        <x:v>97695</x:v>
      </x:c>
      <x:c r="T1060" s="20" t="n">
        <x:f>MIN(S1060,INDEX(Inputs!$B$20:$D$20,1,MATCH(A1060,Inputs!$B$6:$D$6,0)))*INDEX(Inputs!$B$22:$D$22,1,MATCH(A1060,Inputs!$B$6:$D$6,0))+MAX(MIN(S1060,INDEX(Inputs!$B$21:$D$21,1,MATCH(A1060,Inputs!$B$6:$D$6,0)))-INDEX(Inputs!$B$20:$D$20,1,MATCH(A1060,Inputs!$B$6:$D$6,0)),0)*INDEX(Inputs!$B$23:$D$23,1,MATCH(A1060,Inputs!$B$6:$D$6,0))+MAX(S1060-INDEX(Inputs!$B$21:$D$21,1,MATCH(A1060,Inputs!$B$6:$D$6,0)),0)*INDEX(Inputs!$B$24:$D$24,1,MATCH(A1060,Inputs!$B$6:$D$6,0))</x:f>
        <x:v>7963.6675</x:v>
      </x:c>
      <x:c r="U1060" s="20" t="n">
        <x:f>IF(AND(A1059=A1060,D1059=D1060),T1059,0)</x:f>
        <x:v>5472.445</x:v>
      </x:c>
      <x:c r="V1060" s="20" t="n">
        <x:f>T1060-U1060</x:f>
        <x:v>2491.2225</x:v>
      </x:c>
      <x:c r="W1060" s="20" t="n">
        <x:f>R1060+V1060</x:f>
        <x:v>35056.2225</x:v>
      </x:c>
      <x:c r="X1060" s="14" t="str">
        <x:f>IF(ABS(W1060-SUM(M1060:Q1060)-V1060)&lt;0.01,"OK","Check")</x:f>
        <x:v>OK</x:v>
      </x:c>
    </x:row>
    <x:row r="1061">
      <x:c r="A1061" s="14" t="n">
        <x:v>2028</x:v>
      </x:c>
      <x:c r="B1061" s="14" t="str">
        <x:v>Q4</x:v>
      </x:c>
      <x:c r="C1061" s="14" t="n">
        <x:v>4</x:v>
      </x:c>
      <x:c r="D1061" s="14" t="n">
        <x:v>58</x:v>
      </x:c>
      <x:c r="E1061" s="14" t="str">
        <x:f>INDEX(Roster!$B$6:$B$108,MATCH(D1061,Roster!$A$6:$A$108,0))</x:f>
      </x:c>
      <x:c r="F1061" s="14" t="str">
        <x:f>INDEX(Roster!$F$6:$F$108,MATCH(D1061,Roster!$A$6:$A$108,0))</x:f>
        <x:v>No</x:v>
      </x:c>
      <x:c r="G1061" s="14" t="n">
        <x:f>INDEX(Inputs!$B$7:$D$7,1,MATCH(A1061,Inputs!$B$6:$D$6,0))</x:f>
        <x:v>13</x:v>
      </x:c>
      <x:c r="H1061" s="14" t="n">
        <x:f>MIN(=INDEX(Inputs!$B$7:$D$7,1,MATCH(A1061,Inputs!$B$6:$D$6,0)),MAX(0,INDEX(Inputs!$B$14:$D$14,1,MATCH(A1061,Inputs!$B$6:$D$6,0))-(C1061-1)*=INDEX(Inputs!$B$7:$D$7,1,MATCH(A1061,Inputs!$B$6:$D$6,0))))</x:f>
        <x:v>0</x:v>
      </x:c>
      <x:c r="I1061" s="20" t="n">
        <x:f>INDEX(Inputs!$B$8:$D$8,1,MATCH(A1061,Inputs!$B$6:$D$6,0))</x:f>
        <x:v>2395</x:v>
      </x:c>
      <x:c r="J1061" s="20" t="n">
        <x:f>INDEX(Roster!$C$6:$C$108,MATCH(D1061,Roster!$A$6:$A$108,0))*(1+INDEX(Inputs!$B$9:$D$9,1,MATCH(A1061,Inputs!$B$6:$D$6,0)))</x:f>
        <x:v>20</x:v>
      </x:c>
      <x:c r="K1061" s="20" t="n">
        <x:f>IF(=INDEX(Roster!$F$6:$F$108,MATCH(D1061,Roster!$A$6:$A$108,0))="Yes",0,=INDEX(Inputs!$B$8:$D$8,1,MATCH(A1061,Inputs!$B$6:$D$6,0))*IF(=INDEX(Roster!$B$6:$B$108,MATCH(D1061,Roster!$A$6:$A$108,0))="Principal",INDEX(Inputs!$B$10:$D$10,1,MATCH(A1061,Inputs!$B$6:$D$6,0)),IF(=INDEX(Roster!$B$6:$B$108,MATCH(D1061,Roster!$A$6:$A$108,0))="Associate Principal",INDEX(Inputs!$B$11:$D$11,1,MATCH(A1061,Inputs!$B$6:$D$6,0)),IF(=INDEX(Roster!$B$6:$B$108,MATCH(D1061,Roster!$A$6:$A$108,0))="Assistant Principal",INDEX(Inputs!$B$12:$D$12,1,MATCH(A1061,Inputs!$B$6:$D$6,0)),0))))</x:f>
        <x:v>0</x:v>
      </x:c>
      <x:c r="L1061" s="20" t="n">
        <x:f>IF(INDEX(Roster!$D$6:$D$108,MATCH(D1061,Roster!$A$6:$A$108,0))&gt;=25,INDEX(Inputs!$B$19:$D$19,1,MATCH(A1061,Inputs!$B$6:$D$6,0)),IF(INDEX(Roster!$D$6:$D$108,MATCH(D1061,Roster!$A$6:$A$108,0))&gt;=20,INDEX(Inputs!$B$18:$D$18,1,MATCH(A1061,Inputs!$B$6:$D$6,0)),IF(INDEX(Roster!$D$6:$D$108,MATCH(D1061,Roster!$A$6:$A$108,0))&gt;=15,INDEX(Inputs!$B$17:$D$17,1,MATCH(A1061,Inputs!$B$6:$D$6,0)),IF(INDEX(Roster!$D$6:$D$108,MATCH(D1061,Roster!$A$6:$A$108,0))&gt;=10,INDEX(Inputs!$B$16:$D$16,1,MATCH(A1061,Inputs!$B$6:$D$6,0)),IF(INDEX(Roster!$D$6:$D$108,MATCH(D1061,Roster!$A$6:$A$108,0))&gt;=5,INDEX(Inputs!$B$15:$D$15,1,MATCH(A1061,Inputs!$B$6:$D$6,0)),0)))))</x:f>
        <x:v>60</x:v>
      </x:c>
      <x:c r="M1061" s="20" t="n">
        <x:f>G1061*I1061</x:f>
        <x:v>31135</x:v>
      </x:c>
      <x:c r="N1061" s="20" t="n">
        <x:f>G1061*J1061</x:f>
        <x:v>260</x:v>
      </x:c>
      <x:c r="O1061" s="20" t="n">
        <x:f>G1061*K1061</x:f>
        <x:v>0</x:v>
      </x:c>
      <x:c r="P1061" s="20" t="n">
        <x:f>G1061*L1061</x:f>
        <x:v>780</x:v>
      </x:c>
      <x:c r="Q1061" s="20" t="n">
        <x:f>H1061*INDEX(Inputs!$B$13:$D$13,1,MATCH(A1061,Inputs!$B$6:$D$6,0))</x:f>
        <x:v>0</x:v>
      </x:c>
      <x:c r="R1061" s="20" t="n">
        <x:f>SUM(M1061:Q1061)</x:f>
        <x:v>32175</x:v>
      </x:c>
      <x:c r="S1061" s="20" t="n">
        <x:f>IF(AND(A1060=A1061,D1060=D1061),S1060+R1061,R1061)</x:f>
        <x:v>129870</x:v>
      </x:c>
      <x:c r="T1061" s="20" t="n">
        <x:f>MIN(S1061,INDEX(Inputs!$B$20:$D$20,1,MATCH(A1061,Inputs!$B$6:$D$6,0)))*INDEX(Inputs!$B$22:$D$22,1,MATCH(A1061,Inputs!$B$6:$D$6,0))+MAX(MIN(S1061,INDEX(Inputs!$B$21:$D$21,1,MATCH(A1061,Inputs!$B$6:$D$6,0)))-INDEX(Inputs!$B$20:$D$20,1,MATCH(A1061,Inputs!$B$6:$D$6,0)),0)*INDEX(Inputs!$B$23:$D$23,1,MATCH(A1061,Inputs!$B$6:$D$6,0))+MAX(S1061-INDEX(Inputs!$B$21:$D$21,1,MATCH(A1061,Inputs!$B$6:$D$6,0)),0)*INDEX(Inputs!$B$24:$D$24,1,MATCH(A1061,Inputs!$B$6:$D$6,0))</x:f>
        <x:v>9797.057</x:v>
      </x:c>
      <x:c r="U1061" s="20" t="n">
        <x:f>IF(AND(A1060=A1061,D1060=D1061),T1060,0)</x:f>
        <x:v>7963.6675</x:v>
      </x:c>
      <x:c r="V1061" s="20" t="n">
        <x:f>T1061-U1061</x:f>
        <x:v>1833.3895000000011</x:v>
      </x:c>
      <x:c r="W1061" s="20" t="n">
        <x:f>R1061+V1061</x:f>
        <x:v>34008.389500000005</x:v>
      </x:c>
      <x:c r="X1061" s="14" t="str">
        <x:f>IF(ABS(W1061-SUM(M1061:Q1061)-V1061)&lt;0.01,"OK","Check")</x:f>
        <x:v>OK</x:v>
      </x:c>
    </x:row>
    <x:row r="1062">
      <x:c r="A1062" s="14" t="n">
        <x:v>2028</x:v>
      </x:c>
      <x:c r="B1062" s="14" t="str">
        <x:v>Q1</x:v>
      </x:c>
      <x:c r="C1062" s="14" t="n">
        <x:v>1</x:v>
      </x:c>
      <x:c r="D1062" s="14" t="n">
        <x:v>59</x:v>
      </x:c>
      <x:c r="E1062" s="14" t="str">
        <x:f>INDEX(Roster!$B$6:$B$108,MATCH(D1062,Roster!$A$6:$A$108,0))</x:f>
      </x:c>
      <x:c r="F1062" s="14" t="str">
        <x:f>INDEX(Roster!$F$6:$F$108,MATCH(D1062,Roster!$A$6:$A$108,0))</x:f>
        <x:v>No</x:v>
      </x:c>
      <x:c r="G1062" s="14" t="n">
        <x:f>INDEX(Inputs!$B$7:$D$7,1,MATCH(A1062,Inputs!$B$6:$D$6,0))</x:f>
        <x:v>13</x:v>
      </x:c>
      <x:c r="H1062" s="14" t="n">
        <x:f>MIN(=INDEX(Inputs!$B$7:$D$7,1,MATCH(A1062,Inputs!$B$6:$D$6,0)),MAX(0,INDEX(Inputs!$B$14:$D$14,1,MATCH(A1062,Inputs!$B$6:$D$6,0))-(C1062-1)*=INDEX(Inputs!$B$7:$D$7,1,MATCH(A1062,Inputs!$B$6:$D$6,0))))</x:f>
        <x:v>13</x:v>
      </x:c>
      <x:c r="I1062" s="20" t="n">
        <x:f>INDEX(Inputs!$B$8:$D$8,1,MATCH(A1062,Inputs!$B$6:$D$6,0))</x:f>
        <x:v>2395</x:v>
      </x:c>
      <x:c r="J1062" s="20" t="n">
        <x:f>INDEX(Roster!$C$6:$C$108,MATCH(D1062,Roster!$A$6:$A$108,0))*(1+INDEX(Inputs!$B$9:$D$9,1,MATCH(A1062,Inputs!$B$6:$D$6,0)))</x:f>
        <x:v>40</x:v>
      </x:c>
      <x:c r="K1062" s="20" t="n">
        <x:f>IF(=INDEX(Roster!$F$6:$F$108,MATCH(D1062,Roster!$A$6:$A$108,0))="Yes",0,=INDEX(Inputs!$B$8:$D$8,1,MATCH(A1062,Inputs!$B$6:$D$6,0))*IF(=INDEX(Roster!$B$6:$B$108,MATCH(D1062,Roster!$A$6:$A$108,0))="Principal",INDEX(Inputs!$B$10:$D$10,1,MATCH(A1062,Inputs!$B$6:$D$6,0)),IF(=INDEX(Roster!$B$6:$B$108,MATCH(D1062,Roster!$A$6:$A$108,0))="Associate Principal",INDEX(Inputs!$B$11:$D$11,1,MATCH(A1062,Inputs!$B$6:$D$6,0)),IF(=INDEX(Roster!$B$6:$B$108,MATCH(D1062,Roster!$A$6:$A$108,0))="Assistant Principal",INDEX(Inputs!$B$12:$D$12,1,MATCH(A1062,Inputs!$B$6:$D$6,0)),0))))</x:f>
        <x:v>0</x:v>
      </x:c>
      <x:c r="L1062" s="20" t="n">
        <x:f>IF(INDEX(Roster!$D$6:$D$108,MATCH(D1062,Roster!$A$6:$A$108,0))&gt;=25,INDEX(Inputs!$B$19:$D$19,1,MATCH(A1062,Inputs!$B$6:$D$6,0)),IF(INDEX(Roster!$D$6:$D$108,MATCH(D1062,Roster!$A$6:$A$108,0))&gt;=20,INDEX(Inputs!$B$18:$D$18,1,MATCH(A1062,Inputs!$B$6:$D$6,0)),IF(INDEX(Roster!$D$6:$D$108,MATCH(D1062,Roster!$A$6:$A$108,0))&gt;=15,INDEX(Inputs!$B$17:$D$17,1,MATCH(A1062,Inputs!$B$6:$D$6,0)),IF(INDEX(Roster!$D$6:$D$108,MATCH(D1062,Roster!$A$6:$A$108,0))&gt;=10,INDEX(Inputs!$B$16:$D$16,1,MATCH(A1062,Inputs!$B$6:$D$6,0)),IF(INDEX(Roster!$D$6:$D$108,MATCH(D1062,Roster!$A$6:$A$108,0))&gt;=5,INDEX(Inputs!$B$15:$D$15,1,MATCH(A1062,Inputs!$B$6:$D$6,0)),0)))))</x:f>
        <x:v>90</x:v>
      </x:c>
      <x:c r="M1062" s="20" t="n">
        <x:f>G1062*I1062</x:f>
        <x:v>31135</x:v>
      </x:c>
      <x:c r="N1062" s="20" t="n">
        <x:f>G1062*J1062</x:f>
        <x:v>520</x:v>
      </x:c>
      <x:c r="O1062" s="20" t="n">
        <x:f>G1062*K1062</x:f>
        <x:v>0</x:v>
      </x:c>
      <x:c r="P1062" s="20" t="n">
        <x:f>G1062*L1062</x:f>
        <x:v>1170</x:v>
      </x:c>
      <x:c r="Q1062" s="20" t="n">
        <x:f>H1062*INDEX(Inputs!$B$13:$D$13,1,MATCH(A1062,Inputs!$B$6:$D$6,0))</x:f>
        <x:v>390</x:v>
      </x:c>
      <x:c r="R1062" s="20" t="n">
        <x:f>SUM(M1062:Q1062)</x:f>
        <x:v>33215</x:v>
      </x:c>
      <x:c r="S1062" s="20" t="n">
        <x:f>IF(AND(A1061=A1062,D1061=D1062),S1061+R1062,R1062)</x:f>
        <x:v>33215</x:v>
      </x:c>
      <x:c r="T1062" s="20" t="n">
        <x:f>MIN(S1062,INDEX(Inputs!$B$20:$D$20,1,MATCH(A1062,Inputs!$B$6:$D$6,0)))*INDEX(Inputs!$B$22:$D$22,1,MATCH(A1062,Inputs!$B$6:$D$6,0))+MAX(MIN(S1062,INDEX(Inputs!$B$21:$D$21,1,MATCH(A1062,Inputs!$B$6:$D$6,0)))-INDEX(Inputs!$B$20:$D$20,1,MATCH(A1062,Inputs!$B$6:$D$6,0)),0)*INDEX(Inputs!$B$23:$D$23,1,MATCH(A1062,Inputs!$B$6:$D$6,0))+MAX(S1062-INDEX(Inputs!$B$21:$D$21,1,MATCH(A1062,Inputs!$B$6:$D$6,0)),0)*INDEX(Inputs!$B$24:$D$24,1,MATCH(A1062,Inputs!$B$6:$D$6,0))</x:f>
        <x:v>3030.9475</x:v>
      </x:c>
      <x:c r="U1062" s="20" t="n">
        <x:f>IF(AND(A1061=A1062,D1061=D1062),T1061,0)</x:f>
        <x:v>0</x:v>
      </x:c>
      <x:c r="V1062" s="20" t="n">
        <x:f>T1062-U1062</x:f>
        <x:v>3030.9475</x:v>
      </x:c>
      <x:c r="W1062" s="20" t="n">
        <x:f>R1062+V1062</x:f>
        <x:v>36245.9475</x:v>
      </x:c>
      <x:c r="X1062" s="14" t="str">
        <x:f>IF(ABS(W1062-SUM(M1062:Q1062)-V1062)&lt;0.01,"OK","Check")</x:f>
        <x:v>OK</x:v>
      </x:c>
    </x:row>
    <x:row r="1063">
      <x:c r="A1063" s="14" t="n">
        <x:v>2028</x:v>
      </x:c>
      <x:c r="B1063" s="14" t="str">
        <x:v>Q2</x:v>
      </x:c>
      <x:c r="C1063" s="14" t="n">
        <x:v>2</x:v>
      </x:c>
      <x:c r="D1063" s="14" t="n">
        <x:v>59</x:v>
      </x:c>
      <x:c r="E1063" s="14" t="str">
        <x:f>INDEX(Roster!$B$6:$B$108,MATCH(D1063,Roster!$A$6:$A$108,0))</x:f>
      </x:c>
      <x:c r="F1063" s="14" t="str">
        <x:f>INDEX(Roster!$F$6:$F$108,MATCH(D1063,Roster!$A$6:$A$108,0))</x:f>
        <x:v>No</x:v>
      </x:c>
      <x:c r="G1063" s="14" t="n">
        <x:f>INDEX(Inputs!$B$7:$D$7,1,MATCH(A1063,Inputs!$B$6:$D$6,0))</x:f>
        <x:v>13</x:v>
      </x:c>
      <x:c r="H1063" s="14" t="n">
        <x:f>MIN(=INDEX(Inputs!$B$7:$D$7,1,MATCH(A1063,Inputs!$B$6:$D$6,0)),MAX(0,INDEX(Inputs!$B$14:$D$14,1,MATCH(A1063,Inputs!$B$6:$D$6,0))-(C1063-1)*=INDEX(Inputs!$B$7:$D$7,1,MATCH(A1063,Inputs!$B$6:$D$6,0))))</x:f>
        <x:v>13</x:v>
      </x:c>
      <x:c r="I1063" s="20" t="n">
        <x:f>INDEX(Inputs!$B$8:$D$8,1,MATCH(A1063,Inputs!$B$6:$D$6,0))</x:f>
        <x:v>2395</x:v>
      </x:c>
      <x:c r="J1063" s="20" t="n">
        <x:f>INDEX(Roster!$C$6:$C$108,MATCH(D1063,Roster!$A$6:$A$108,0))*(1+INDEX(Inputs!$B$9:$D$9,1,MATCH(A1063,Inputs!$B$6:$D$6,0)))</x:f>
        <x:v>40</x:v>
      </x:c>
      <x:c r="K1063" s="20" t="n">
        <x:f>IF(=INDEX(Roster!$F$6:$F$108,MATCH(D1063,Roster!$A$6:$A$108,0))="Yes",0,=INDEX(Inputs!$B$8:$D$8,1,MATCH(A1063,Inputs!$B$6:$D$6,0))*IF(=INDEX(Roster!$B$6:$B$108,MATCH(D1063,Roster!$A$6:$A$108,0))="Principal",INDEX(Inputs!$B$10:$D$10,1,MATCH(A1063,Inputs!$B$6:$D$6,0)),IF(=INDEX(Roster!$B$6:$B$108,MATCH(D1063,Roster!$A$6:$A$108,0))="Associate Principal",INDEX(Inputs!$B$11:$D$11,1,MATCH(A1063,Inputs!$B$6:$D$6,0)),IF(=INDEX(Roster!$B$6:$B$108,MATCH(D1063,Roster!$A$6:$A$108,0))="Assistant Principal",INDEX(Inputs!$B$12:$D$12,1,MATCH(A1063,Inputs!$B$6:$D$6,0)),0))))</x:f>
        <x:v>0</x:v>
      </x:c>
      <x:c r="L1063" s="20" t="n">
        <x:f>IF(INDEX(Roster!$D$6:$D$108,MATCH(D1063,Roster!$A$6:$A$108,0))&gt;=25,INDEX(Inputs!$B$19:$D$19,1,MATCH(A1063,Inputs!$B$6:$D$6,0)),IF(INDEX(Roster!$D$6:$D$108,MATCH(D1063,Roster!$A$6:$A$108,0))&gt;=20,INDEX(Inputs!$B$18:$D$18,1,MATCH(A1063,Inputs!$B$6:$D$6,0)),IF(INDEX(Roster!$D$6:$D$108,MATCH(D1063,Roster!$A$6:$A$108,0))&gt;=15,INDEX(Inputs!$B$17:$D$17,1,MATCH(A1063,Inputs!$B$6:$D$6,0)),IF(INDEX(Roster!$D$6:$D$108,MATCH(D1063,Roster!$A$6:$A$108,0))&gt;=10,INDEX(Inputs!$B$16:$D$16,1,MATCH(A1063,Inputs!$B$6:$D$6,0)),IF(INDEX(Roster!$D$6:$D$108,MATCH(D1063,Roster!$A$6:$A$108,0))&gt;=5,INDEX(Inputs!$B$15:$D$15,1,MATCH(A1063,Inputs!$B$6:$D$6,0)),0)))))</x:f>
        <x:v>90</x:v>
      </x:c>
      <x:c r="M1063" s="20" t="n">
        <x:f>G1063*I1063</x:f>
        <x:v>31135</x:v>
      </x:c>
      <x:c r="N1063" s="20" t="n">
        <x:f>G1063*J1063</x:f>
        <x:v>520</x:v>
      </x:c>
      <x:c r="O1063" s="20" t="n">
        <x:f>G1063*K1063</x:f>
        <x:v>0</x:v>
      </x:c>
      <x:c r="P1063" s="20" t="n">
        <x:f>G1063*L1063</x:f>
        <x:v>1170</x:v>
      </x:c>
      <x:c r="Q1063" s="20" t="n">
        <x:f>H1063*INDEX(Inputs!$B$13:$D$13,1,MATCH(A1063,Inputs!$B$6:$D$6,0))</x:f>
        <x:v>390</x:v>
      </x:c>
      <x:c r="R1063" s="20" t="n">
        <x:f>SUM(M1063:Q1063)</x:f>
        <x:v>33215</x:v>
      </x:c>
      <x:c r="S1063" s="20" t="n">
        <x:f>IF(AND(A1062=A1063,D1062=D1063),S1062+R1063,R1063)</x:f>
        <x:v>66430</x:v>
      </x:c>
      <x:c r="T1063" s="20" t="n">
        <x:f>MIN(S1063,INDEX(Inputs!$B$20:$D$20,1,MATCH(A1063,Inputs!$B$6:$D$6,0)))*INDEX(Inputs!$B$22:$D$22,1,MATCH(A1063,Inputs!$B$6:$D$6,0))+MAX(MIN(S1063,INDEX(Inputs!$B$21:$D$21,1,MATCH(A1063,Inputs!$B$6:$D$6,0)))-INDEX(Inputs!$B$20:$D$20,1,MATCH(A1063,Inputs!$B$6:$D$6,0)),0)*INDEX(Inputs!$B$23:$D$23,1,MATCH(A1063,Inputs!$B$6:$D$6,0))+MAX(S1063-INDEX(Inputs!$B$21:$D$21,1,MATCH(A1063,Inputs!$B$6:$D$6,0)),0)*INDEX(Inputs!$B$24:$D$24,1,MATCH(A1063,Inputs!$B$6:$D$6,0))</x:f>
        <x:v>5571.8949999999995</x:v>
      </x:c>
      <x:c r="U1063" s="20" t="n">
        <x:f>IF(AND(A1062=A1063,D1062=D1063),T1062,0)</x:f>
        <x:v>3030.9475</x:v>
      </x:c>
      <x:c r="V1063" s="20" t="n">
        <x:f>T1063-U1063</x:f>
        <x:v>2540.9474999999993</x:v>
      </x:c>
      <x:c r="W1063" s="20" t="n">
        <x:f>R1063+V1063</x:f>
        <x:v>35755.9475</x:v>
      </x:c>
      <x:c r="X1063" s="14" t="str">
        <x:f>IF(ABS(W1063-SUM(M1063:Q1063)-V1063)&lt;0.01,"OK","Check")</x:f>
        <x:v>OK</x:v>
      </x:c>
    </x:row>
    <x:row r="1064">
      <x:c r="A1064" s="14" t="n">
        <x:v>2028</x:v>
      </x:c>
      <x:c r="B1064" s="14" t="str">
        <x:v>Q3</x:v>
      </x:c>
      <x:c r="C1064" s="14" t="n">
        <x:v>3</x:v>
      </x:c>
      <x:c r="D1064" s="14" t="n">
        <x:v>59</x:v>
      </x:c>
      <x:c r="E1064" s="14" t="str">
        <x:f>INDEX(Roster!$B$6:$B$108,MATCH(D1064,Roster!$A$6:$A$108,0))</x:f>
      </x:c>
      <x:c r="F1064" s="14" t="str">
        <x:f>INDEX(Roster!$F$6:$F$108,MATCH(D1064,Roster!$A$6:$A$108,0))</x:f>
        <x:v>No</x:v>
      </x:c>
      <x:c r="G1064" s="14" t="n">
        <x:f>INDEX(Inputs!$B$7:$D$7,1,MATCH(A1064,Inputs!$B$6:$D$6,0))</x:f>
        <x:v>13</x:v>
      </x:c>
      <x:c r="H1064" s="14" t="n">
        <x:f>MIN(=INDEX(Inputs!$B$7:$D$7,1,MATCH(A1064,Inputs!$B$6:$D$6,0)),MAX(0,INDEX(Inputs!$B$14:$D$14,1,MATCH(A1064,Inputs!$B$6:$D$6,0))-(C1064-1)*=INDEX(Inputs!$B$7:$D$7,1,MATCH(A1064,Inputs!$B$6:$D$6,0))))</x:f>
        <x:v>13</x:v>
      </x:c>
      <x:c r="I1064" s="20" t="n">
        <x:f>INDEX(Inputs!$B$8:$D$8,1,MATCH(A1064,Inputs!$B$6:$D$6,0))</x:f>
        <x:v>2395</x:v>
      </x:c>
      <x:c r="J1064" s="20" t="n">
        <x:f>INDEX(Roster!$C$6:$C$108,MATCH(D1064,Roster!$A$6:$A$108,0))*(1+INDEX(Inputs!$B$9:$D$9,1,MATCH(A1064,Inputs!$B$6:$D$6,0)))</x:f>
        <x:v>40</x:v>
      </x:c>
      <x:c r="K1064" s="20" t="n">
        <x:f>IF(=INDEX(Roster!$F$6:$F$108,MATCH(D1064,Roster!$A$6:$A$108,0))="Yes",0,=INDEX(Inputs!$B$8:$D$8,1,MATCH(A1064,Inputs!$B$6:$D$6,0))*IF(=INDEX(Roster!$B$6:$B$108,MATCH(D1064,Roster!$A$6:$A$108,0))="Principal",INDEX(Inputs!$B$10:$D$10,1,MATCH(A1064,Inputs!$B$6:$D$6,0)),IF(=INDEX(Roster!$B$6:$B$108,MATCH(D1064,Roster!$A$6:$A$108,0))="Associate Principal",INDEX(Inputs!$B$11:$D$11,1,MATCH(A1064,Inputs!$B$6:$D$6,0)),IF(=INDEX(Roster!$B$6:$B$108,MATCH(D1064,Roster!$A$6:$A$108,0))="Assistant Principal",INDEX(Inputs!$B$12:$D$12,1,MATCH(A1064,Inputs!$B$6:$D$6,0)),0))))</x:f>
        <x:v>0</x:v>
      </x:c>
      <x:c r="L1064" s="20" t="n">
        <x:f>IF(INDEX(Roster!$D$6:$D$108,MATCH(D1064,Roster!$A$6:$A$108,0))&gt;=25,INDEX(Inputs!$B$19:$D$19,1,MATCH(A1064,Inputs!$B$6:$D$6,0)),IF(INDEX(Roster!$D$6:$D$108,MATCH(D1064,Roster!$A$6:$A$108,0))&gt;=20,INDEX(Inputs!$B$18:$D$18,1,MATCH(A1064,Inputs!$B$6:$D$6,0)),IF(INDEX(Roster!$D$6:$D$108,MATCH(D1064,Roster!$A$6:$A$108,0))&gt;=15,INDEX(Inputs!$B$17:$D$17,1,MATCH(A1064,Inputs!$B$6:$D$6,0)),IF(INDEX(Roster!$D$6:$D$108,MATCH(D1064,Roster!$A$6:$A$108,0))&gt;=10,INDEX(Inputs!$B$16:$D$16,1,MATCH(A1064,Inputs!$B$6:$D$6,0)),IF(INDEX(Roster!$D$6:$D$108,MATCH(D1064,Roster!$A$6:$A$108,0))&gt;=5,INDEX(Inputs!$B$15:$D$15,1,MATCH(A1064,Inputs!$B$6:$D$6,0)),0)))))</x:f>
        <x:v>90</x:v>
      </x:c>
      <x:c r="M1064" s="20" t="n">
        <x:f>G1064*I1064</x:f>
        <x:v>31135</x:v>
      </x:c>
      <x:c r="N1064" s="20" t="n">
        <x:f>G1064*J1064</x:f>
        <x:v>520</x:v>
      </x:c>
      <x:c r="O1064" s="20" t="n">
        <x:f>G1064*K1064</x:f>
        <x:v>0</x:v>
      </x:c>
      <x:c r="P1064" s="20" t="n">
        <x:f>G1064*L1064</x:f>
        <x:v>1170</x:v>
      </x:c>
      <x:c r="Q1064" s="20" t="n">
        <x:f>H1064*INDEX(Inputs!$B$13:$D$13,1,MATCH(A1064,Inputs!$B$6:$D$6,0))</x:f>
        <x:v>390</x:v>
      </x:c>
      <x:c r="R1064" s="20" t="n">
        <x:f>SUM(M1064:Q1064)</x:f>
        <x:v>33215</x:v>
      </x:c>
      <x:c r="S1064" s="20" t="n">
        <x:f>IF(AND(A1063=A1064,D1063=D1064),S1063+R1064,R1064)</x:f>
        <x:v>99645</x:v>
      </x:c>
      <x:c r="T1064" s="20" t="n">
        <x:f>MIN(S1064,INDEX(Inputs!$B$20:$D$20,1,MATCH(A1064,Inputs!$B$6:$D$6,0)))*INDEX(Inputs!$B$22:$D$22,1,MATCH(A1064,Inputs!$B$6:$D$6,0))+MAX(MIN(S1064,INDEX(Inputs!$B$21:$D$21,1,MATCH(A1064,Inputs!$B$6:$D$6,0)))-INDEX(Inputs!$B$20:$D$20,1,MATCH(A1064,Inputs!$B$6:$D$6,0)),0)*INDEX(Inputs!$B$23:$D$23,1,MATCH(A1064,Inputs!$B$6:$D$6,0))+MAX(S1064-INDEX(Inputs!$B$21:$D$21,1,MATCH(A1064,Inputs!$B$6:$D$6,0)),0)*INDEX(Inputs!$B$24:$D$24,1,MATCH(A1064,Inputs!$B$6:$D$6,0))</x:f>
        <x:v>8112.8425</x:v>
      </x:c>
      <x:c r="U1064" s="20" t="n">
        <x:f>IF(AND(A1063=A1064,D1063=D1064),T1063,0)</x:f>
        <x:v>5571.8949999999995</x:v>
      </x:c>
      <x:c r="V1064" s="20" t="n">
        <x:f>T1064-U1064</x:f>
        <x:v>2540.9475</x:v>
      </x:c>
      <x:c r="W1064" s="20" t="n">
        <x:f>R1064+V1064</x:f>
        <x:v>35755.9475</x:v>
      </x:c>
      <x:c r="X1064" s="14" t="str">
        <x:f>IF(ABS(W1064-SUM(M1064:Q1064)-V1064)&lt;0.01,"OK","Check")</x:f>
        <x:v>OK</x:v>
      </x:c>
    </x:row>
    <x:row r="1065">
      <x:c r="A1065" s="14" t="n">
        <x:v>2028</x:v>
      </x:c>
      <x:c r="B1065" s="14" t="str">
        <x:v>Q4</x:v>
      </x:c>
      <x:c r="C1065" s="14" t="n">
        <x:v>4</x:v>
      </x:c>
      <x:c r="D1065" s="14" t="n">
        <x:v>59</x:v>
      </x:c>
      <x:c r="E1065" s="14" t="str">
        <x:f>INDEX(Roster!$B$6:$B$108,MATCH(D1065,Roster!$A$6:$A$108,0))</x:f>
      </x:c>
      <x:c r="F1065" s="14" t="str">
        <x:f>INDEX(Roster!$F$6:$F$108,MATCH(D1065,Roster!$A$6:$A$108,0))</x:f>
        <x:v>No</x:v>
      </x:c>
      <x:c r="G1065" s="14" t="n">
        <x:f>INDEX(Inputs!$B$7:$D$7,1,MATCH(A1065,Inputs!$B$6:$D$6,0))</x:f>
        <x:v>13</x:v>
      </x:c>
      <x:c r="H1065" s="14" t="n">
        <x:f>MIN(=INDEX(Inputs!$B$7:$D$7,1,MATCH(A1065,Inputs!$B$6:$D$6,0)),MAX(0,INDEX(Inputs!$B$14:$D$14,1,MATCH(A1065,Inputs!$B$6:$D$6,0))-(C1065-1)*=INDEX(Inputs!$B$7:$D$7,1,MATCH(A1065,Inputs!$B$6:$D$6,0))))</x:f>
        <x:v>0</x:v>
      </x:c>
      <x:c r="I1065" s="20" t="n">
        <x:f>INDEX(Inputs!$B$8:$D$8,1,MATCH(A1065,Inputs!$B$6:$D$6,0))</x:f>
        <x:v>2395</x:v>
      </x:c>
      <x:c r="J1065" s="20" t="n">
        <x:f>INDEX(Roster!$C$6:$C$108,MATCH(D1065,Roster!$A$6:$A$108,0))*(1+INDEX(Inputs!$B$9:$D$9,1,MATCH(A1065,Inputs!$B$6:$D$6,0)))</x:f>
        <x:v>40</x:v>
      </x:c>
      <x:c r="K1065" s="20" t="n">
        <x:f>IF(=INDEX(Roster!$F$6:$F$108,MATCH(D1065,Roster!$A$6:$A$108,0))="Yes",0,=INDEX(Inputs!$B$8:$D$8,1,MATCH(A1065,Inputs!$B$6:$D$6,0))*IF(=INDEX(Roster!$B$6:$B$108,MATCH(D1065,Roster!$A$6:$A$108,0))="Principal",INDEX(Inputs!$B$10:$D$10,1,MATCH(A1065,Inputs!$B$6:$D$6,0)),IF(=INDEX(Roster!$B$6:$B$108,MATCH(D1065,Roster!$A$6:$A$108,0))="Associate Principal",INDEX(Inputs!$B$11:$D$11,1,MATCH(A1065,Inputs!$B$6:$D$6,0)),IF(=INDEX(Roster!$B$6:$B$108,MATCH(D1065,Roster!$A$6:$A$108,0))="Assistant Principal",INDEX(Inputs!$B$12:$D$12,1,MATCH(A1065,Inputs!$B$6:$D$6,0)),0))))</x:f>
        <x:v>0</x:v>
      </x:c>
      <x:c r="L1065" s="20" t="n">
        <x:f>IF(INDEX(Roster!$D$6:$D$108,MATCH(D1065,Roster!$A$6:$A$108,0))&gt;=25,INDEX(Inputs!$B$19:$D$19,1,MATCH(A1065,Inputs!$B$6:$D$6,0)),IF(INDEX(Roster!$D$6:$D$108,MATCH(D1065,Roster!$A$6:$A$108,0))&gt;=20,INDEX(Inputs!$B$18:$D$18,1,MATCH(A1065,Inputs!$B$6:$D$6,0)),IF(INDEX(Roster!$D$6:$D$108,MATCH(D1065,Roster!$A$6:$A$108,0))&gt;=15,INDEX(Inputs!$B$17:$D$17,1,MATCH(A1065,Inputs!$B$6:$D$6,0)),IF(INDEX(Roster!$D$6:$D$108,MATCH(D1065,Roster!$A$6:$A$108,0))&gt;=10,INDEX(Inputs!$B$16:$D$16,1,MATCH(A1065,Inputs!$B$6:$D$6,0)),IF(INDEX(Roster!$D$6:$D$108,MATCH(D1065,Roster!$A$6:$A$108,0))&gt;=5,INDEX(Inputs!$B$15:$D$15,1,MATCH(A1065,Inputs!$B$6:$D$6,0)),0)))))</x:f>
        <x:v>90</x:v>
      </x:c>
      <x:c r="M1065" s="20" t="n">
        <x:f>G1065*I1065</x:f>
        <x:v>31135</x:v>
      </x:c>
      <x:c r="N1065" s="20" t="n">
        <x:f>G1065*J1065</x:f>
        <x:v>520</x:v>
      </x:c>
      <x:c r="O1065" s="20" t="n">
        <x:f>G1065*K1065</x:f>
        <x:v>0</x:v>
      </x:c>
      <x:c r="P1065" s="20" t="n">
        <x:f>G1065*L1065</x:f>
        <x:v>1170</x:v>
      </x:c>
      <x:c r="Q1065" s="20" t="n">
        <x:f>H1065*INDEX(Inputs!$B$13:$D$13,1,MATCH(A1065,Inputs!$B$6:$D$6,0))</x:f>
        <x:v>0</x:v>
      </x:c>
      <x:c r="R1065" s="20" t="n">
        <x:f>SUM(M1065:Q1065)</x:f>
        <x:v>32825</x:v>
      </x:c>
      <x:c r="S1065" s="20" t="n">
        <x:f>IF(AND(A1064=A1065,D1064=D1065),S1064+R1065,R1065)</x:f>
        <x:v>132470</x:v>
      </x:c>
      <x:c r="T1065" s="20" t="n">
        <x:f>MIN(S1065,INDEX(Inputs!$B$20:$D$20,1,MATCH(A1065,Inputs!$B$6:$D$6,0)))*INDEX(Inputs!$B$22:$D$22,1,MATCH(A1065,Inputs!$B$6:$D$6,0))+MAX(MIN(S1065,INDEX(Inputs!$B$21:$D$21,1,MATCH(A1065,Inputs!$B$6:$D$6,0)))-INDEX(Inputs!$B$20:$D$20,1,MATCH(A1065,Inputs!$B$6:$D$6,0)),0)*INDEX(Inputs!$B$23:$D$23,1,MATCH(A1065,Inputs!$B$6:$D$6,0))+MAX(S1065-INDEX(Inputs!$B$21:$D$21,1,MATCH(A1065,Inputs!$B$6:$D$6,0)),0)*INDEX(Inputs!$B$24:$D$24,1,MATCH(A1065,Inputs!$B$6:$D$6,0))</x:f>
        <x:v>9834.757</x:v>
      </x:c>
      <x:c r="U1065" s="20" t="n">
        <x:f>IF(AND(A1064=A1065,D1064=D1065),T1064,0)</x:f>
        <x:v>8112.8425</x:v>
      </x:c>
      <x:c r="V1065" s="20" t="n">
        <x:f>T1065-U1065</x:f>
        <x:v>1721.9144999999999</x:v>
      </x:c>
      <x:c r="W1065" s="20" t="n">
        <x:f>R1065+V1065</x:f>
        <x:v>34546.9145</x:v>
      </x:c>
      <x:c r="X1065" s="14" t="str">
        <x:f>IF(ABS(W1065-SUM(M1065:Q1065)-V1065)&lt;0.01,"OK","Check")</x:f>
        <x:v>OK</x:v>
      </x:c>
    </x:row>
    <x:row r="1066">
      <x:c r="A1066" s="14" t="n">
        <x:v>2028</x:v>
      </x:c>
      <x:c r="B1066" s="14" t="str">
        <x:v>Q1</x:v>
      </x:c>
      <x:c r="C1066" s="14" t="n">
        <x:v>1</x:v>
      </x:c>
      <x:c r="D1066" s="14" t="n">
        <x:v>60</x:v>
      </x:c>
      <x:c r="E1066" s="14" t="str">
        <x:f>INDEX(Roster!$B$6:$B$108,MATCH(D1066,Roster!$A$6:$A$108,0))</x:f>
      </x:c>
      <x:c r="F1066" s="14" t="str">
        <x:f>INDEX(Roster!$F$6:$F$108,MATCH(D1066,Roster!$A$6:$A$108,0))</x:f>
        <x:v>No</x:v>
      </x:c>
      <x:c r="G1066" s="14" t="n">
        <x:f>INDEX(Inputs!$B$7:$D$7,1,MATCH(A1066,Inputs!$B$6:$D$6,0))</x:f>
        <x:v>13</x:v>
      </x:c>
      <x:c r="H1066" s="14" t="n">
        <x:f>MIN(=INDEX(Inputs!$B$7:$D$7,1,MATCH(A1066,Inputs!$B$6:$D$6,0)),MAX(0,INDEX(Inputs!$B$14:$D$14,1,MATCH(A1066,Inputs!$B$6:$D$6,0))-(C1066-1)*=INDEX(Inputs!$B$7:$D$7,1,MATCH(A1066,Inputs!$B$6:$D$6,0))))</x:f>
        <x:v>13</x:v>
      </x:c>
      <x:c r="I1066" s="20" t="n">
        <x:f>INDEX(Inputs!$B$8:$D$8,1,MATCH(A1066,Inputs!$B$6:$D$6,0))</x:f>
        <x:v>2395</x:v>
      </x:c>
      <x:c r="J1066" s="20" t="n">
        <x:f>INDEX(Roster!$C$6:$C$108,MATCH(D1066,Roster!$A$6:$A$108,0))*(1+INDEX(Inputs!$B$9:$D$9,1,MATCH(A1066,Inputs!$B$6:$D$6,0)))</x:f>
        <x:v>50</x:v>
      </x:c>
      <x:c r="K1066" s="20" t="n">
        <x:f>IF(=INDEX(Roster!$F$6:$F$108,MATCH(D1066,Roster!$A$6:$A$108,0))="Yes",0,=INDEX(Inputs!$B$8:$D$8,1,MATCH(A1066,Inputs!$B$6:$D$6,0))*IF(=INDEX(Roster!$B$6:$B$108,MATCH(D1066,Roster!$A$6:$A$108,0))="Principal",INDEX(Inputs!$B$10:$D$10,1,MATCH(A1066,Inputs!$B$6:$D$6,0)),IF(=INDEX(Roster!$B$6:$B$108,MATCH(D1066,Roster!$A$6:$A$108,0))="Associate Principal",INDEX(Inputs!$B$11:$D$11,1,MATCH(A1066,Inputs!$B$6:$D$6,0)),IF(=INDEX(Roster!$B$6:$B$108,MATCH(D1066,Roster!$A$6:$A$108,0))="Assistant Principal",INDEX(Inputs!$B$12:$D$12,1,MATCH(A1066,Inputs!$B$6:$D$6,0)),0))))</x:f>
        <x:v>0</x:v>
      </x:c>
      <x:c r="L1066" s="20" t="n">
        <x:f>IF(INDEX(Roster!$D$6:$D$108,MATCH(D1066,Roster!$A$6:$A$108,0))&gt;=25,INDEX(Inputs!$B$19:$D$19,1,MATCH(A1066,Inputs!$B$6:$D$6,0)),IF(INDEX(Roster!$D$6:$D$108,MATCH(D1066,Roster!$A$6:$A$108,0))&gt;=20,INDEX(Inputs!$B$18:$D$18,1,MATCH(A1066,Inputs!$B$6:$D$6,0)),IF(INDEX(Roster!$D$6:$D$108,MATCH(D1066,Roster!$A$6:$A$108,0))&gt;=15,INDEX(Inputs!$B$17:$D$17,1,MATCH(A1066,Inputs!$B$6:$D$6,0)),IF(INDEX(Roster!$D$6:$D$108,MATCH(D1066,Roster!$A$6:$A$108,0))&gt;=10,INDEX(Inputs!$B$16:$D$16,1,MATCH(A1066,Inputs!$B$6:$D$6,0)),IF(INDEX(Roster!$D$6:$D$108,MATCH(D1066,Roster!$A$6:$A$108,0))&gt;=5,INDEX(Inputs!$B$15:$D$15,1,MATCH(A1066,Inputs!$B$6:$D$6,0)),0)))))</x:f>
        <x:v>90</x:v>
      </x:c>
      <x:c r="M1066" s="20" t="n">
        <x:f>G1066*I1066</x:f>
        <x:v>31135</x:v>
      </x:c>
      <x:c r="N1066" s="20" t="n">
        <x:f>G1066*J1066</x:f>
        <x:v>650</x:v>
      </x:c>
      <x:c r="O1066" s="20" t="n">
        <x:f>G1066*K1066</x:f>
        <x:v>0</x:v>
      </x:c>
      <x:c r="P1066" s="20" t="n">
        <x:f>G1066*L1066</x:f>
        <x:v>1170</x:v>
      </x:c>
      <x:c r="Q1066" s="20" t="n">
        <x:f>H1066*INDEX(Inputs!$B$13:$D$13,1,MATCH(A1066,Inputs!$B$6:$D$6,0))</x:f>
        <x:v>390</x:v>
      </x:c>
      <x:c r="R1066" s="20" t="n">
        <x:f>SUM(M1066:Q1066)</x:f>
        <x:v>33345</x:v>
      </x:c>
      <x:c r="S1066" s="20" t="n">
        <x:f>IF(AND(A1065=A1066,D1065=D1066),S1065+R1066,R1066)</x:f>
        <x:v>33345</x:v>
      </x:c>
      <x:c r="T1066" s="20" t="n">
        <x:f>MIN(S1066,INDEX(Inputs!$B$20:$D$20,1,MATCH(A1066,Inputs!$B$6:$D$6,0)))*INDEX(Inputs!$B$22:$D$22,1,MATCH(A1066,Inputs!$B$6:$D$6,0))+MAX(MIN(S1066,INDEX(Inputs!$B$21:$D$21,1,MATCH(A1066,Inputs!$B$6:$D$6,0)))-INDEX(Inputs!$B$20:$D$20,1,MATCH(A1066,Inputs!$B$6:$D$6,0)),0)*INDEX(Inputs!$B$23:$D$23,1,MATCH(A1066,Inputs!$B$6:$D$6,0))+MAX(S1066-INDEX(Inputs!$B$21:$D$21,1,MATCH(A1066,Inputs!$B$6:$D$6,0)),0)*INDEX(Inputs!$B$24:$D$24,1,MATCH(A1066,Inputs!$B$6:$D$6,0))</x:f>
        <x:v>3040.8925</x:v>
      </x:c>
      <x:c r="U1066" s="20" t="n">
        <x:f>IF(AND(A1065=A1066,D1065=D1066),T1065,0)</x:f>
        <x:v>0</x:v>
      </x:c>
      <x:c r="V1066" s="20" t="n">
        <x:f>T1066-U1066</x:f>
        <x:v>3040.8925</x:v>
      </x:c>
      <x:c r="W1066" s="20" t="n">
        <x:f>R1066+V1066</x:f>
        <x:v>36385.8925</x:v>
      </x:c>
      <x:c r="X1066" s="14" t="str">
        <x:f>IF(ABS(W1066-SUM(M1066:Q1066)-V1066)&lt;0.01,"OK","Check")</x:f>
        <x:v>OK</x:v>
      </x:c>
    </x:row>
    <x:row r="1067">
      <x:c r="A1067" s="14" t="n">
        <x:v>2028</x:v>
      </x:c>
      <x:c r="B1067" s="14" t="str">
        <x:v>Q2</x:v>
      </x:c>
      <x:c r="C1067" s="14" t="n">
        <x:v>2</x:v>
      </x:c>
      <x:c r="D1067" s="14" t="n">
        <x:v>60</x:v>
      </x:c>
      <x:c r="E1067" s="14" t="str">
        <x:f>INDEX(Roster!$B$6:$B$108,MATCH(D1067,Roster!$A$6:$A$108,0))</x:f>
      </x:c>
      <x:c r="F1067" s="14" t="str">
        <x:f>INDEX(Roster!$F$6:$F$108,MATCH(D1067,Roster!$A$6:$A$108,0))</x:f>
        <x:v>No</x:v>
      </x:c>
      <x:c r="G1067" s="14" t="n">
        <x:f>INDEX(Inputs!$B$7:$D$7,1,MATCH(A1067,Inputs!$B$6:$D$6,0))</x:f>
        <x:v>13</x:v>
      </x:c>
      <x:c r="H1067" s="14" t="n">
        <x:f>MIN(=INDEX(Inputs!$B$7:$D$7,1,MATCH(A1067,Inputs!$B$6:$D$6,0)),MAX(0,INDEX(Inputs!$B$14:$D$14,1,MATCH(A1067,Inputs!$B$6:$D$6,0))-(C1067-1)*=INDEX(Inputs!$B$7:$D$7,1,MATCH(A1067,Inputs!$B$6:$D$6,0))))</x:f>
        <x:v>13</x:v>
      </x:c>
      <x:c r="I1067" s="20" t="n">
        <x:f>INDEX(Inputs!$B$8:$D$8,1,MATCH(A1067,Inputs!$B$6:$D$6,0))</x:f>
        <x:v>2395</x:v>
      </x:c>
      <x:c r="J1067" s="20" t="n">
        <x:f>INDEX(Roster!$C$6:$C$108,MATCH(D1067,Roster!$A$6:$A$108,0))*(1+INDEX(Inputs!$B$9:$D$9,1,MATCH(A1067,Inputs!$B$6:$D$6,0)))</x:f>
        <x:v>50</x:v>
      </x:c>
      <x:c r="K1067" s="20" t="n">
        <x:f>IF(=INDEX(Roster!$F$6:$F$108,MATCH(D1067,Roster!$A$6:$A$108,0))="Yes",0,=INDEX(Inputs!$B$8:$D$8,1,MATCH(A1067,Inputs!$B$6:$D$6,0))*IF(=INDEX(Roster!$B$6:$B$108,MATCH(D1067,Roster!$A$6:$A$108,0))="Principal",INDEX(Inputs!$B$10:$D$10,1,MATCH(A1067,Inputs!$B$6:$D$6,0)),IF(=INDEX(Roster!$B$6:$B$108,MATCH(D1067,Roster!$A$6:$A$108,0))="Associate Principal",INDEX(Inputs!$B$11:$D$11,1,MATCH(A1067,Inputs!$B$6:$D$6,0)),IF(=INDEX(Roster!$B$6:$B$108,MATCH(D1067,Roster!$A$6:$A$108,0))="Assistant Principal",INDEX(Inputs!$B$12:$D$12,1,MATCH(A1067,Inputs!$B$6:$D$6,0)),0))))</x:f>
        <x:v>0</x:v>
      </x:c>
      <x:c r="L1067" s="20" t="n">
        <x:f>IF(INDEX(Roster!$D$6:$D$108,MATCH(D1067,Roster!$A$6:$A$108,0))&gt;=25,INDEX(Inputs!$B$19:$D$19,1,MATCH(A1067,Inputs!$B$6:$D$6,0)),IF(INDEX(Roster!$D$6:$D$108,MATCH(D1067,Roster!$A$6:$A$108,0))&gt;=20,INDEX(Inputs!$B$18:$D$18,1,MATCH(A1067,Inputs!$B$6:$D$6,0)),IF(INDEX(Roster!$D$6:$D$108,MATCH(D1067,Roster!$A$6:$A$108,0))&gt;=15,INDEX(Inputs!$B$17:$D$17,1,MATCH(A1067,Inputs!$B$6:$D$6,0)),IF(INDEX(Roster!$D$6:$D$108,MATCH(D1067,Roster!$A$6:$A$108,0))&gt;=10,INDEX(Inputs!$B$16:$D$16,1,MATCH(A1067,Inputs!$B$6:$D$6,0)),IF(INDEX(Roster!$D$6:$D$108,MATCH(D1067,Roster!$A$6:$A$108,0))&gt;=5,INDEX(Inputs!$B$15:$D$15,1,MATCH(A1067,Inputs!$B$6:$D$6,0)),0)))))</x:f>
        <x:v>90</x:v>
      </x:c>
      <x:c r="M1067" s="20" t="n">
        <x:f>G1067*I1067</x:f>
        <x:v>31135</x:v>
      </x:c>
      <x:c r="N1067" s="20" t="n">
        <x:f>G1067*J1067</x:f>
        <x:v>650</x:v>
      </x:c>
      <x:c r="O1067" s="20" t="n">
        <x:f>G1067*K1067</x:f>
        <x:v>0</x:v>
      </x:c>
      <x:c r="P1067" s="20" t="n">
        <x:f>G1067*L1067</x:f>
        <x:v>1170</x:v>
      </x:c>
      <x:c r="Q1067" s="20" t="n">
        <x:f>H1067*INDEX(Inputs!$B$13:$D$13,1,MATCH(A1067,Inputs!$B$6:$D$6,0))</x:f>
        <x:v>390</x:v>
      </x:c>
      <x:c r="R1067" s="20" t="n">
        <x:f>SUM(M1067:Q1067)</x:f>
        <x:v>33345</x:v>
      </x:c>
      <x:c r="S1067" s="20" t="n">
        <x:f>IF(AND(A1066=A1067,D1066=D1067),S1066+R1067,R1067)</x:f>
        <x:v>66690</x:v>
      </x:c>
      <x:c r="T1067" s="20" t="n">
        <x:f>MIN(S1067,INDEX(Inputs!$B$20:$D$20,1,MATCH(A1067,Inputs!$B$6:$D$6,0)))*INDEX(Inputs!$B$22:$D$22,1,MATCH(A1067,Inputs!$B$6:$D$6,0))+MAX(MIN(S1067,INDEX(Inputs!$B$21:$D$21,1,MATCH(A1067,Inputs!$B$6:$D$6,0)))-INDEX(Inputs!$B$20:$D$20,1,MATCH(A1067,Inputs!$B$6:$D$6,0)),0)*INDEX(Inputs!$B$23:$D$23,1,MATCH(A1067,Inputs!$B$6:$D$6,0))+MAX(S1067-INDEX(Inputs!$B$21:$D$21,1,MATCH(A1067,Inputs!$B$6:$D$6,0)),0)*INDEX(Inputs!$B$24:$D$24,1,MATCH(A1067,Inputs!$B$6:$D$6,0))</x:f>
        <x:v>5591.785</x:v>
      </x:c>
      <x:c r="U1067" s="20" t="n">
        <x:f>IF(AND(A1066=A1067,D1066=D1067),T1066,0)</x:f>
        <x:v>3040.8925</x:v>
      </x:c>
      <x:c r="V1067" s="20" t="n">
        <x:f>T1067-U1067</x:f>
        <x:v>2550.8925</x:v>
      </x:c>
      <x:c r="W1067" s="20" t="n">
        <x:f>R1067+V1067</x:f>
        <x:v>35895.8925</x:v>
      </x:c>
      <x:c r="X1067" s="14" t="str">
        <x:f>IF(ABS(W1067-SUM(M1067:Q1067)-V1067)&lt;0.01,"OK","Check")</x:f>
        <x:v>OK</x:v>
      </x:c>
    </x:row>
    <x:row r="1068">
      <x:c r="A1068" s="14" t="n">
        <x:v>2028</x:v>
      </x:c>
      <x:c r="B1068" s="14" t="str">
        <x:v>Q3</x:v>
      </x:c>
      <x:c r="C1068" s="14" t="n">
        <x:v>3</x:v>
      </x:c>
      <x:c r="D1068" s="14" t="n">
        <x:v>60</x:v>
      </x:c>
      <x:c r="E1068" s="14" t="str">
        <x:f>INDEX(Roster!$B$6:$B$108,MATCH(D1068,Roster!$A$6:$A$108,0))</x:f>
      </x:c>
      <x:c r="F1068" s="14" t="str">
        <x:f>INDEX(Roster!$F$6:$F$108,MATCH(D1068,Roster!$A$6:$A$108,0))</x:f>
        <x:v>No</x:v>
      </x:c>
      <x:c r="G1068" s="14" t="n">
        <x:f>INDEX(Inputs!$B$7:$D$7,1,MATCH(A1068,Inputs!$B$6:$D$6,0))</x:f>
        <x:v>13</x:v>
      </x:c>
      <x:c r="H1068" s="14" t="n">
        <x:f>MIN(=INDEX(Inputs!$B$7:$D$7,1,MATCH(A1068,Inputs!$B$6:$D$6,0)),MAX(0,INDEX(Inputs!$B$14:$D$14,1,MATCH(A1068,Inputs!$B$6:$D$6,0))-(C1068-1)*=INDEX(Inputs!$B$7:$D$7,1,MATCH(A1068,Inputs!$B$6:$D$6,0))))</x:f>
        <x:v>13</x:v>
      </x:c>
      <x:c r="I1068" s="20" t="n">
        <x:f>INDEX(Inputs!$B$8:$D$8,1,MATCH(A1068,Inputs!$B$6:$D$6,0))</x:f>
        <x:v>2395</x:v>
      </x:c>
      <x:c r="J1068" s="20" t="n">
        <x:f>INDEX(Roster!$C$6:$C$108,MATCH(D1068,Roster!$A$6:$A$108,0))*(1+INDEX(Inputs!$B$9:$D$9,1,MATCH(A1068,Inputs!$B$6:$D$6,0)))</x:f>
        <x:v>50</x:v>
      </x:c>
      <x:c r="K1068" s="20" t="n">
        <x:f>IF(=INDEX(Roster!$F$6:$F$108,MATCH(D1068,Roster!$A$6:$A$108,0))="Yes",0,=INDEX(Inputs!$B$8:$D$8,1,MATCH(A1068,Inputs!$B$6:$D$6,0))*IF(=INDEX(Roster!$B$6:$B$108,MATCH(D1068,Roster!$A$6:$A$108,0))="Principal",INDEX(Inputs!$B$10:$D$10,1,MATCH(A1068,Inputs!$B$6:$D$6,0)),IF(=INDEX(Roster!$B$6:$B$108,MATCH(D1068,Roster!$A$6:$A$108,0))="Associate Principal",INDEX(Inputs!$B$11:$D$11,1,MATCH(A1068,Inputs!$B$6:$D$6,0)),IF(=INDEX(Roster!$B$6:$B$108,MATCH(D1068,Roster!$A$6:$A$108,0))="Assistant Principal",INDEX(Inputs!$B$12:$D$12,1,MATCH(A1068,Inputs!$B$6:$D$6,0)),0))))</x:f>
        <x:v>0</x:v>
      </x:c>
      <x:c r="L1068" s="20" t="n">
        <x:f>IF(INDEX(Roster!$D$6:$D$108,MATCH(D1068,Roster!$A$6:$A$108,0))&gt;=25,INDEX(Inputs!$B$19:$D$19,1,MATCH(A1068,Inputs!$B$6:$D$6,0)),IF(INDEX(Roster!$D$6:$D$108,MATCH(D1068,Roster!$A$6:$A$108,0))&gt;=20,INDEX(Inputs!$B$18:$D$18,1,MATCH(A1068,Inputs!$B$6:$D$6,0)),IF(INDEX(Roster!$D$6:$D$108,MATCH(D1068,Roster!$A$6:$A$108,0))&gt;=15,INDEX(Inputs!$B$17:$D$17,1,MATCH(A1068,Inputs!$B$6:$D$6,0)),IF(INDEX(Roster!$D$6:$D$108,MATCH(D1068,Roster!$A$6:$A$108,0))&gt;=10,INDEX(Inputs!$B$16:$D$16,1,MATCH(A1068,Inputs!$B$6:$D$6,0)),IF(INDEX(Roster!$D$6:$D$108,MATCH(D1068,Roster!$A$6:$A$108,0))&gt;=5,INDEX(Inputs!$B$15:$D$15,1,MATCH(A1068,Inputs!$B$6:$D$6,0)),0)))))</x:f>
        <x:v>90</x:v>
      </x:c>
      <x:c r="M1068" s="20" t="n">
        <x:f>G1068*I1068</x:f>
        <x:v>31135</x:v>
      </x:c>
      <x:c r="N1068" s="20" t="n">
        <x:f>G1068*J1068</x:f>
        <x:v>650</x:v>
      </x:c>
      <x:c r="O1068" s="20" t="n">
        <x:f>G1068*K1068</x:f>
        <x:v>0</x:v>
      </x:c>
      <x:c r="P1068" s="20" t="n">
        <x:f>G1068*L1068</x:f>
        <x:v>1170</x:v>
      </x:c>
      <x:c r="Q1068" s="20" t="n">
        <x:f>H1068*INDEX(Inputs!$B$13:$D$13,1,MATCH(A1068,Inputs!$B$6:$D$6,0))</x:f>
        <x:v>390</x:v>
      </x:c>
      <x:c r="R1068" s="20" t="n">
        <x:f>SUM(M1068:Q1068)</x:f>
        <x:v>33345</x:v>
      </x:c>
      <x:c r="S1068" s="20" t="n">
        <x:f>IF(AND(A1067=A1068,D1067=D1068),S1067+R1068,R1068)</x:f>
        <x:v>100035</x:v>
      </x:c>
      <x:c r="T1068" s="20" t="n">
        <x:f>MIN(S1068,INDEX(Inputs!$B$20:$D$20,1,MATCH(A1068,Inputs!$B$6:$D$6,0)))*INDEX(Inputs!$B$22:$D$22,1,MATCH(A1068,Inputs!$B$6:$D$6,0))+MAX(MIN(S1068,INDEX(Inputs!$B$21:$D$21,1,MATCH(A1068,Inputs!$B$6:$D$6,0)))-INDEX(Inputs!$B$20:$D$20,1,MATCH(A1068,Inputs!$B$6:$D$6,0)),0)*INDEX(Inputs!$B$23:$D$23,1,MATCH(A1068,Inputs!$B$6:$D$6,0))+MAX(S1068-INDEX(Inputs!$B$21:$D$21,1,MATCH(A1068,Inputs!$B$6:$D$6,0)),0)*INDEX(Inputs!$B$24:$D$24,1,MATCH(A1068,Inputs!$B$6:$D$6,0))</x:f>
        <x:v>8142.6775</x:v>
      </x:c>
      <x:c r="U1068" s="20" t="n">
        <x:f>IF(AND(A1067=A1068,D1067=D1068),T1067,0)</x:f>
        <x:v>5591.785</x:v>
      </x:c>
      <x:c r="V1068" s="20" t="n">
        <x:f>T1068-U1068</x:f>
        <x:v>2550.8925</x:v>
      </x:c>
      <x:c r="W1068" s="20" t="n">
        <x:f>R1068+V1068</x:f>
        <x:v>35895.8925</x:v>
      </x:c>
      <x:c r="X1068" s="14" t="str">
        <x:f>IF(ABS(W1068-SUM(M1068:Q1068)-V1068)&lt;0.01,"OK","Check")</x:f>
        <x:v>OK</x:v>
      </x:c>
    </x:row>
    <x:row r="1069">
      <x:c r="A1069" s="14" t="n">
        <x:v>2028</x:v>
      </x:c>
      <x:c r="B1069" s="14" t="str">
        <x:v>Q4</x:v>
      </x:c>
      <x:c r="C1069" s="14" t="n">
        <x:v>4</x:v>
      </x:c>
      <x:c r="D1069" s="14" t="n">
        <x:v>60</x:v>
      </x:c>
      <x:c r="E1069" s="14" t="str">
        <x:f>INDEX(Roster!$B$6:$B$108,MATCH(D1069,Roster!$A$6:$A$108,0))</x:f>
      </x:c>
      <x:c r="F1069" s="14" t="str">
        <x:f>INDEX(Roster!$F$6:$F$108,MATCH(D1069,Roster!$A$6:$A$108,0))</x:f>
        <x:v>No</x:v>
      </x:c>
      <x:c r="G1069" s="14" t="n">
        <x:f>INDEX(Inputs!$B$7:$D$7,1,MATCH(A1069,Inputs!$B$6:$D$6,0))</x:f>
        <x:v>13</x:v>
      </x:c>
      <x:c r="H1069" s="14" t="n">
        <x:f>MIN(=INDEX(Inputs!$B$7:$D$7,1,MATCH(A1069,Inputs!$B$6:$D$6,0)),MAX(0,INDEX(Inputs!$B$14:$D$14,1,MATCH(A1069,Inputs!$B$6:$D$6,0))-(C1069-1)*=INDEX(Inputs!$B$7:$D$7,1,MATCH(A1069,Inputs!$B$6:$D$6,0))))</x:f>
        <x:v>0</x:v>
      </x:c>
      <x:c r="I1069" s="20" t="n">
        <x:f>INDEX(Inputs!$B$8:$D$8,1,MATCH(A1069,Inputs!$B$6:$D$6,0))</x:f>
        <x:v>2395</x:v>
      </x:c>
      <x:c r="J1069" s="20" t="n">
        <x:f>INDEX(Roster!$C$6:$C$108,MATCH(D1069,Roster!$A$6:$A$108,0))*(1+INDEX(Inputs!$B$9:$D$9,1,MATCH(A1069,Inputs!$B$6:$D$6,0)))</x:f>
        <x:v>50</x:v>
      </x:c>
      <x:c r="K1069" s="20" t="n">
        <x:f>IF(=INDEX(Roster!$F$6:$F$108,MATCH(D1069,Roster!$A$6:$A$108,0))="Yes",0,=INDEX(Inputs!$B$8:$D$8,1,MATCH(A1069,Inputs!$B$6:$D$6,0))*IF(=INDEX(Roster!$B$6:$B$108,MATCH(D1069,Roster!$A$6:$A$108,0))="Principal",INDEX(Inputs!$B$10:$D$10,1,MATCH(A1069,Inputs!$B$6:$D$6,0)),IF(=INDEX(Roster!$B$6:$B$108,MATCH(D1069,Roster!$A$6:$A$108,0))="Associate Principal",INDEX(Inputs!$B$11:$D$11,1,MATCH(A1069,Inputs!$B$6:$D$6,0)),IF(=INDEX(Roster!$B$6:$B$108,MATCH(D1069,Roster!$A$6:$A$108,0))="Assistant Principal",INDEX(Inputs!$B$12:$D$12,1,MATCH(A1069,Inputs!$B$6:$D$6,0)),0))))</x:f>
        <x:v>0</x:v>
      </x:c>
      <x:c r="L1069" s="20" t="n">
        <x:f>IF(INDEX(Roster!$D$6:$D$108,MATCH(D1069,Roster!$A$6:$A$108,0))&gt;=25,INDEX(Inputs!$B$19:$D$19,1,MATCH(A1069,Inputs!$B$6:$D$6,0)),IF(INDEX(Roster!$D$6:$D$108,MATCH(D1069,Roster!$A$6:$A$108,0))&gt;=20,INDEX(Inputs!$B$18:$D$18,1,MATCH(A1069,Inputs!$B$6:$D$6,0)),IF(INDEX(Roster!$D$6:$D$108,MATCH(D1069,Roster!$A$6:$A$108,0))&gt;=15,INDEX(Inputs!$B$17:$D$17,1,MATCH(A1069,Inputs!$B$6:$D$6,0)),IF(INDEX(Roster!$D$6:$D$108,MATCH(D1069,Roster!$A$6:$A$108,0))&gt;=10,INDEX(Inputs!$B$16:$D$16,1,MATCH(A1069,Inputs!$B$6:$D$6,0)),IF(INDEX(Roster!$D$6:$D$108,MATCH(D1069,Roster!$A$6:$A$108,0))&gt;=5,INDEX(Inputs!$B$15:$D$15,1,MATCH(A1069,Inputs!$B$6:$D$6,0)),0)))))</x:f>
        <x:v>90</x:v>
      </x:c>
      <x:c r="M1069" s="20" t="n">
        <x:f>G1069*I1069</x:f>
        <x:v>31135</x:v>
      </x:c>
      <x:c r="N1069" s="20" t="n">
        <x:f>G1069*J1069</x:f>
        <x:v>650</x:v>
      </x:c>
      <x:c r="O1069" s="20" t="n">
        <x:f>G1069*K1069</x:f>
        <x:v>0</x:v>
      </x:c>
      <x:c r="P1069" s="20" t="n">
        <x:f>G1069*L1069</x:f>
        <x:v>1170</x:v>
      </x:c>
      <x:c r="Q1069" s="20" t="n">
        <x:f>H1069*INDEX(Inputs!$B$13:$D$13,1,MATCH(A1069,Inputs!$B$6:$D$6,0))</x:f>
        <x:v>0</x:v>
      </x:c>
      <x:c r="R1069" s="20" t="n">
        <x:f>SUM(M1069:Q1069)</x:f>
        <x:v>32955</x:v>
      </x:c>
      <x:c r="S1069" s="20" t="n">
        <x:f>IF(AND(A1068=A1069,D1068=D1069),S1068+R1069,R1069)</x:f>
        <x:v>132990</x:v>
      </x:c>
      <x:c r="T1069" s="20" t="n">
        <x:f>MIN(S1069,INDEX(Inputs!$B$20:$D$20,1,MATCH(A1069,Inputs!$B$6:$D$6,0)))*INDEX(Inputs!$B$22:$D$22,1,MATCH(A1069,Inputs!$B$6:$D$6,0))+MAX(MIN(S1069,INDEX(Inputs!$B$21:$D$21,1,MATCH(A1069,Inputs!$B$6:$D$6,0)))-INDEX(Inputs!$B$20:$D$20,1,MATCH(A1069,Inputs!$B$6:$D$6,0)),0)*INDEX(Inputs!$B$23:$D$23,1,MATCH(A1069,Inputs!$B$6:$D$6,0))+MAX(S1069-INDEX(Inputs!$B$21:$D$21,1,MATCH(A1069,Inputs!$B$6:$D$6,0)),0)*INDEX(Inputs!$B$24:$D$24,1,MATCH(A1069,Inputs!$B$6:$D$6,0))</x:f>
        <x:v>9842.297</x:v>
      </x:c>
      <x:c r="U1069" s="20" t="n">
        <x:f>IF(AND(A1068=A1069,D1068=D1069),T1068,0)</x:f>
        <x:v>8142.6775</x:v>
      </x:c>
      <x:c r="V1069" s="20" t="n">
        <x:f>T1069-U1069</x:f>
        <x:v>1699.6195000000007</x:v>
      </x:c>
      <x:c r="W1069" s="20" t="n">
        <x:f>R1069+V1069</x:f>
        <x:v>34654.6195</x:v>
      </x:c>
      <x:c r="X1069" s="14" t="str">
        <x:f>IF(ABS(W1069-SUM(M1069:Q1069)-V1069)&lt;0.01,"OK","Check")</x:f>
        <x:v>OK</x:v>
      </x:c>
    </x:row>
    <x:row r="1070">
      <x:c r="A1070" s="14" t="n">
        <x:v>2028</x:v>
      </x:c>
      <x:c r="B1070" s="14" t="str">
        <x:v>Q1</x:v>
      </x:c>
      <x:c r="C1070" s="14" t="n">
        <x:v>1</x:v>
      </x:c>
      <x:c r="D1070" s="14" t="n">
        <x:v>61</x:v>
      </x:c>
      <x:c r="E1070" s="14" t="str">
        <x:f>INDEX(Roster!$B$6:$B$108,MATCH(D1070,Roster!$A$6:$A$108,0))</x:f>
        <x:v>Associate Principal</x:v>
      </x:c>
      <x:c r="F1070" s="14" t="str">
        <x:f>INDEX(Roster!$F$6:$F$108,MATCH(D1070,Roster!$A$6:$A$108,0))</x:f>
        <x:v>No</x:v>
      </x:c>
      <x:c r="G1070" s="14" t="n">
        <x:f>INDEX(Inputs!$B$7:$D$7,1,MATCH(A1070,Inputs!$B$6:$D$6,0))</x:f>
        <x:v>13</x:v>
      </x:c>
      <x:c r="H1070" s="14" t="n">
        <x:f>MIN(=INDEX(Inputs!$B$7:$D$7,1,MATCH(A1070,Inputs!$B$6:$D$6,0)),MAX(0,INDEX(Inputs!$B$14:$D$14,1,MATCH(A1070,Inputs!$B$6:$D$6,0))-(C1070-1)*=INDEX(Inputs!$B$7:$D$7,1,MATCH(A1070,Inputs!$B$6:$D$6,0))))</x:f>
        <x:v>13</x:v>
      </x:c>
      <x:c r="I1070" s="20" t="n">
        <x:f>INDEX(Inputs!$B$8:$D$8,1,MATCH(A1070,Inputs!$B$6:$D$6,0))</x:f>
        <x:v>2395</x:v>
      </x:c>
      <x:c r="J1070" s="20" t="n">
        <x:f>INDEX(Roster!$C$6:$C$108,MATCH(D1070,Roster!$A$6:$A$108,0))*(1+INDEX(Inputs!$B$9:$D$9,1,MATCH(A1070,Inputs!$B$6:$D$6,0)))</x:f>
        <x:v>450</x:v>
      </x:c>
      <x:c r="K1070" s="20" t="n">
        <x:f>IF(=INDEX(Roster!$F$6:$F$108,MATCH(D1070,Roster!$A$6:$A$108,0))="Yes",0,=INDEX(Inputs!$B$8:$D$8,1,MATCH(A1070,Inputs!$B$6:$D$6,0))*IF(=INDEX(Roster!$B$6:$B$108,MATCH(D1070,Roster!$A$6:$A$108,0))="Principal",INDEX(Inputs!$B$10:$D$10,1,MATCH(A1070,Inputs!$B$6:$D$6,0)),IF(=INDEX(Roster!$B$6:$B$108,MATCH(D1070,Roster!$A$6:$A$108,0))="Associate Principal",INDEX(Inputs!$B$11:$D$11,1,MATCH(A1070,Inputs!$B$6:$D$6,0)),IF(=INDEX(Roster!$B$6:$B$108,MATCH(D1070,Roster!$A$6:$A$108,0))="Assistant Principal",INDEX(Inputs!$B$12:$D$12,1,MATCH(A1070,Inputs!$B$6:$D$6,0)),0))))</x:f>
        <x:v>239.5</x:v>
      </x:c>
      <x:c r="L1070" s="20" t="n">
        <x:f>IF(INDEX(Roster!$D$6:$D$108,MATCH(D1070,Roster!$A$6:$A$108,0))&gt;=25,INDEX(Inputs!$B$19:$D$19,1,MATCH(A1070,Inputs!$B$6:$D$6,0)),IF(INDEX(Roster!$D$6:$D$108,MATCH(D1070,Roster!$A$6:$A$108,0))&gt;=20,INDEX(Inputs!$B$18:$D$18,1,MATCH(A1070,Inputs!$B$6:$D$6,0)),IF(INDEX(Roster!$D$6:$D$108,MATCH(D1070,Roster!$A$6:$A$108,0))&gt;=15,INDEX(Inputs!$B$17:$D$17,1,MATCH(A1070,Inputs!$B$6:$D$6,0)),IF(INDEX(Roster!$D$6:$D$108,MATCH(D1070,Roster!$A$6:$A$108,0))&gt;=10,INDEX(Inputs!$B$16:$D$16,1,MATCH(A1070,Inputs!$B$6:$D$6,0)),IF(INDEX(Roster!$D$6:$D$108,MATCH(D1070,Roster!$A$6:$A$108,0))&gt;=5,INDEX(Inputs!$B$15:$D$15,1,MATCH(A1070,Inputs!$B$6:$D$6,0)),0)))))</x:f>
        <x:v>90</x:v>
      </x:c>
      <x:c r="M1070" s="20" t="n">
        <x:f>G1070*I1070</x:f>
        <x:v>31135</x:v>
      </x:c>
      <x:c r="N1070" s="20" t="n">
        <x:f>G1070*J1070</x:f>
        <x:v>5850</x:v>
      </x:c>
      <x:c r="O1070" s="20" t="n">
        <x:f>G1070*K1070</x:f>
        <x:v>3113.5</x:v>
      </x:c>
      <x:c r="P1070" s="20" t="n">
        <x:f>G1070*L1070</x:f>
        <x:v>1170</x:v>
      </x:c>
      <x:c r="Q1070" s="20" t="n">
        <x:f>H1070*INDEX(Inputs!$B$13:$D$13,1,MATCH(A1070,Inputs!$B$6:$D$6,0))</x:f>
        <x:v>390</x:v>
      </x:c>
      <x:c r="R1070" s="20" t="n">
        <x:f>SUM(M1070:Q1070)</x:f>
        <x:v>41658.5</x:v>
      </x:c>
      <x:c r="S1070" s="20" t="n">
        <x:f>IF(AND(A1069=A1070,D1069=D1070),S1069+R1070,R1070)</x:f>
        <x:v>41658.5</x:v>
      </x:c>
      <x:c r="T1070" s="20" t="n">
        <x:f>MIN(S1070,INDEX(Inputs!$B$20:$D$20,1,MATCH(A1070,Inputs!$B$6:$D$6,0)))*INDEX(Inputs!$B$22:$D$22,1,MATCH(A1070,Inputs!$B$6:$D$6,0))+MAX(MIN(S1070,INDEX(Inputs!$B$21:$D$21,1,MATCH(A1070,Inputs!$B$6:$D$6,0)))-INDEX(Inputs!$B$20:$D$20,1,MATCH(A1070,Inputs!$B$6:$D$6,0)),0)*INDEX(Inputs!$B$23:$D$23,1,MATCH(A1070,Inputs!$B$6:$D$6,0))+MAX(S1070-INDEX(Inputs!$B$21:$D$21,1,MATCH(A1070,Inputs!$B$6:$D$6,0)),0)*INDEX(Inputs!$B$24:$D$24,1,MATCH(A1070,Inputs!$B$6:$D$6,0))</x:f>
        <x:v>3676.87525</x:v>
      </x:c>
      <x:c r="U1070" s="20" t="n">
        <x:f>IF(AND(A1069=A1070,D1069=D1070),T1069,0)</x:f>
        <x:v>0</x:v>
      </x:c>
      <x:c r="V1070" s="20" t="n">
        <x:f>T1070-U1070</x:f>
        <x:v>3676.87525</x:v>
      </x:c>
      <x:c r="W1070" s="20" t="n">
        <x:f>R1070+V1070</x:f>
        <x:v>45335.37525</x:v>
      </x:c>
      <x:c r="X1070" s="14" t="str">
        <x:f>IF(ABS(W1070-SUM(M1070:Q1070)-V1070)&lt;0.01,"OK","Check")</x:f>
        <x:v>OK</x:v>
      </x:c>
    </x:row>
    <x:row r="1071">
      <x:c r="A1071" s="14" t="n">
        <x:v>2028</x:v>
      </x:c>
      <x:c r="B1071" s="14" t="str">
        <x:v>Q2</x:v>
      </x:c>
      <x:c r="C1071" s="14" t="n">
        <x:v>2</x:v>
      </x:c>
      <x:c r="D1071" s="14" t="n">
        <x:v>61</x:v>
      </x:c>
      <x:c r="E1071" s="14" t="str">
        <x:f>INDEX(Roster!$B$6:$B$108,MATCH(D1071,Roster!$A$6:$A$108,0))</x:f>
        <x:v>Associate Principal</x:v>
      </x:c>
      <x:c r="F1071" s="14" t="str">
        <x:f>INDEX(Roster!$F$6:$F$108,MATCH(D1071,Roster!$A$6:$A$108,0))</x:f>
        <x:v>No</x:v>
      </x:c>
      <x:c r="G1071" s="14" t="n">
        <x:f>INDEX(Inputs!$B$7:$D$7,1,MATCH(A1071,Inputs!$B$6:$D$6,0))</x:f>
        <x:v>13</x:v>
      </x:c>
      <x:c r="H1071" s="14" t="n">
        <x:f>MIN(=INDEX(Inputs!$B$7:$D$7,1,MATCH(A1071,Inputs!$B$6:$D$6,0)),MAX(0,INDEX(Inputs!$B$14:$D$14,1,MATCH(A1071,Inputs!$B$6:$D$6,0))-(C1071-1)*=INDEX(Inputs!$B$7:$D$7,1,MATCH(A1071,Inputs!$B$6:$D$6,0))))</x:f>
        <x:v>13</x:v>
      </x:c>
      <x:c r="I1071" s="20" t="n">
        <x:f>INDEX(Inputs!$B$8:$D$8,1,MATCH(A1071,Inputs!$B$6:$D$6,0))</x:f>
        <x:v>2395</x:v>
      </x:c>
      <x:c r="J1071" s="20" t="n">
        <x:f>INDEX(Roster!$C$6:$C$108,MATCH(D1071,Roster!$A$6:$A$108,0))*(1+INDEX(Inputs!$B$9:$D$9,1,MATCH(A1071,Inputs!$B$6:$D$6,0)))</x:f>
        <x:v>450</x:v>
      </x:c>
      <x:c r="K1071" s="20" t="n">
        <x:f>IF(=INDEX(Roster!$F$6:$F$108,MATCH(D1071,Roster!$A$6:$A$108,0))="Yes",0,=INDEX(Inputs!$B$8:$D$8,1,MATCH(A1071,Inputs!$B$6:$D$6,0))*IF(=INDEX(Roster!$B$6:$B$108,MATCH(D1071,Roster!$A$6:$A$108,0))="Principal",INDEX(Inputs!$B$10:$D$10,1,MATCH(A1071,Inputs!$B$6:$D$6,0)),IF(=INDEX(Roster!$B$6:$B$108,MATCH(D1071,Roster!$A$6:$A$108,0))="Associate Principal",INDEX(Inputs!$B$11:$D$11,1,MATCH(A1071,Inputs!$B$6:$D$6,0)),IF(=INDEX(Roster!$B$6:$B$108,MATCH(D1071,Roster!$A$6:$A$108,0))="Assistant Principal",INDEX(Inputs!$B$12:$D$12,1,MATCH(A1071,Inputs!$B$6:$D$6,0)),0))))</x:f>
        <x:v>239.5</x:v>
      </x:c>
      <x:c r="L1071" s="20" t="n">
        <x:f>IF(INDEX(Roster!$D$6:$D$108,MATCH(D1071,Roster!$A$6:$A$108,0))&gt;=25,INDEX(Inputs!$B$19:$D$19,1,MATCH(A1071,Inputs!$B$6:$D$6,0)),IF(INDEX(Roster!$D$6:$D$108,MATCH(D1071,Roster!$A$6:$A$108,0))&gt;=20,INDEX(Inputs!$B$18:$D$18,1,MATCH(A1071,Inputs!$B$6:$D$6,0)),IF(INDEX(Roster!$D$6:$D$108,MATCH(D1071,Roster!$A$6:$A$108,0))&gt;=15,INDEX(Inputs!$B$17:$D$17,1,MATCH(A1071,Inputs!$B$6:$D$6,0)),IF(INDEX(Roster!$D$6:$D$108,MATCH(D1071,Roster!$A$6:$A$108,0))&gt;=10,INDEX(Inputs!$B$16:$D$16,1,MATCH(A1071,Inputs!$B$6:$D$6,0)),IF(INDEX(Roster!$D$6:$D$108,MATCH(D1071,Roster!$A$6:$A$108,0))&gt;=5,INDEX(Inputs!$B$15:$D$15,1,MATCH(A1071,Inputs!$B$6:$D$6,0)),0)))))</x:f>
        <x:v>90</x:v>
      </x:c>
      <x:c r="M1071" s="20" t="n">
        <x:f>G1071*I1071</x:f>
        <x:v>31135</x:v>
      </x:c>
      <x:c r="N1071" s="20" t="n">
        <x:f>G1071*J1071</x:f>
        <x:v>5850</x:v>
      </x:c>
      <x:c r="O1071" s="20" t="n">
        <x:f>G1071*K1071</x:f>
        <x:v>3113.5</x:v>
      </x:c>
      <x:c r="P1071" s="20" t="n">
        <x:f>G1071*L1071</x:f>
        <x:v>1170</x:v>
      </x:c>
      <x:c r="Q1071" s="20" t="n">
        <x:f>H1071*INDEX(Inputs!$B$13:$D$13,1,MATCH(A1071,Inputs!$B$6:$D$6,0))</x:f>
        <x:v>390</x:v>
      </x:c>
      <x:c r="R1071" s="20" t="n">
        <x:f>SUM(M1071:Q1071)</x:f>
        <x:v>41658.5</x:v>
      </x:c>
      <x:c r="S1071" s="20" t="n">
        <x:f>IF(AND(A1070=A1071,D1070=D1071),S1070+R1071,R1071)</x:f>
        <x:v>83317</x:v>
      </x:c>
      <x:c r="T1071" s="20" t="n">
        <x:f>MIN(S1071,INDEX(Inputs!$B$20:$D$20,1,MATCH(A1071,Inputs!$B$6:$D$6,0)))*INDEX(Inputs!$B$22:$D$22,1,MATCH(A1071,Inputs!$B$6:$D$6,0))+MAX(MIN(S1071,INDEX(Inputs!$B$21:$D$21,1,MATCH(A1071,Inputs!$B$6:$D$6,0)))-INDEX(Inputs!$B$20:$D$20,1,MATCH(A1071,Inputs!$B$6:$D$6,0)),0)*INDEX(Inputs!$B$23:$D$23,1,MATCH(A1071,Inputs!$B$6:$D$6,0))+MAX(S1071-INDEX(Inputs!$B$21:$D$21,1,MATCH(A1071,Inputs!$B$6:$D$6,0)),0)*INDEX(Inputs!$B$24:$D$24,1,MATCH(A1071,Inputs!$B$6:$D$6,0))</x:f>
        <x:v>6863.7505</x:v>
      </x:c>
      <x:c r="U1071" s="20" t="n">
        <x:f>IF(AND(A1070=A1071,D1070=D1071),T1070,0)</x:f>
        <x:v>3676.87525</x:v>
      </x:c>
      <x:c r="V1071" s="20" t="n">
        <x:f>T1071-U1071</x:f>
        <x:v>3186.87525</x:v>
      </x:c>
      <x:c r="W1071" s="20" t="n">
        <x:f>R1071+V1071</x:f>
        <x:v>44845.37525</x:v>
      </x:c>
      <x:c r="X1071" s="14" t="str">
        <x:f>IF(ABS(W1071-SUM(M1071:Q1071)-V1071)&lt;0.01,"OK","Check")</x:f>
        <x:v>OK</x:v>
      </x:c>
    </x:row>
    <x:row r="1072">
      <x:c r="A1072" s="14" t="n">
        <x:v>2028</x:v>
      </x:c>
      <x:c r="B1072" s="14" t="str">
        <x:v>Q3</x:v>
      </x:c>
      <x:c r="C1072" s="14" t="n">
        <x:v>3</x:v>
      </x:c>
      <x:c r="D1072" s="14" t="n">
        <x:v>61</x:v>
      </x:c>
      <x:c r="E1072" s="14" t="str">
        <x:f>INDEX(Roster!$B$6:$B$108,MATCH(D1072,Roster!$A$6:$A$108,0))</x:f>
        <x:v>Associate Principal</x:v>
      </x:c>
      <x:c r="F1072" s="14" t="str">
        <x:f>INDEX(Roster!$F$6:$F$108,MATCH(D1072,Roster!$A$6:$A$108,0))</x:f>
        <x:v>No</x:v>
      </x:c>
      <x:c r="G1072" s="14" t="n">
        <x:f>INDEX(Inputs!$B$7:$D$7,1,MATCH(A1072,Inputs!$B$6:$D$6,0))</x:f>
        <x:v>13</x:v>
      </x:c>
      <x:c r="H1072" s="14" t="n">
        <x:f>MIN(=INDEX(Inputs!$B$7:$D$7,1,MATCH(A1072,Inputs!$B$6:$D$6,0)),MAX(0,INDEX(Inputs!$B$14:$D$14,1,MATCH(A1072,Inputs!$B$6:$D$6,0))-(C1072-1)*=INDEX(Inputs!$B$7:$D$7,1,MATCH(A1072,Inputs!$B$6:$D$6,0))))</x:f>
        <x:v>13</x:v>
      </x:c>
      <x:c r="I1072" s="20" t="n">
        <x:f>INDEX(Inputs!$B$8:$D$8,1,MATCH(A1072,Inputs!$B$6:$D$6,0))</x:f>
        <x:v>2395</x:v>
      </x:c>
      <x:c r="J1072" s="20" t="n">
        <x:f>INDEX(Roster!$C$6:$C$108,MATCH(D1072,Roster!$A$6:$A$108,0))*(1+INDEX(Inputs!$B$9:$D$9,1,MATCH(A1072,Inputs!$B$6:$D$6,0)))</x:f>
        <x:v>450</x:v>
      </x:c>
      <x:c r="K1072" s="20" t="n">
        <x:f>IF(=INDEX(Roster!$F$6:$F$108,MATCH(D1072,Roster!$A$6:$A$108,0))="Yes",0,=INDEX(Inputs!$B$8:$D$8,1,MATCH(A1072,Inputs!$B$6:$D$6,0))*IF(=INDEX(Roster!$B$6:$B$108,MATCH(D1072,Roster!$A$6:$A$108,0))="Principal",INDEX(Inputs!$B$10:$D$10,1,MATCH(A1072,Inputs!$B$6:$D$6,0)),IF(=INDEX(Roster!$B$6:$B$108,MATCH(D1072,Roster!$A$6:$A$108,0))="Associate Principal",INDEX(Inputs!$B$11:$D$11,1,MATCH(A1072,Inputs!$B$6:$D$6,0)),IF(=INDEX(Roster!$B$6:$B$108,MATCH(D1072,Roster!$A$6:$A$108,0))="Assistant Principal",INDEX(Inputs!$B$12:$D$12,1,MATCH(A1072,Inputs!$B$6:$D$6,0)),0))))</x:f>
        <x:v>239.5</x:v>
      </x:c>
      <x:c r="L1072" s="20" t="n">
        <x:f>IF(INDEX(Roster!$D$6:$D$108,MATCH(D1072,Roster!$A$6:$A$108,0))&gt;=25,INDEX(Inputs!$B$19:$D$19,1,MATCH(A1072,Inputs!$B$6:$D$6,0)),IF(INDEX(Roster!$D$6:$D$108,MATCH(D1072,Roster!$A$6:$A$108,0))&gt;=20,INDEX(Inputs!$B$18:$D$18,1,MATCH(A1072,Inputs!$B$6:$D$6,0)),IF(INDEX(Roster!$D$6:$D$108,MATCH(D1072,Roster!$A$6:$A$108,0))&gt;=15,INDEX(Inputs!$B$17:$D$17,1,MATCH(A1072,Inputs!$B$6:$D$6,0)),IF(INDEX(Roster!$D$6:$D$108,MATCH(D1072,Roster!$A$6:$A$108,0))&gt;=10,INDEX(Inputs!$B$16:$D$16,1,MATCH(A1072,Inputs!$B$6:$D$6,0)),IF(INDEX(Roster!$D$6:$D$108,MATCH(D1072,Roster!$A$6:$A$108,0))&gt;=5,INDEX(Inputs!$B$15:$D$15,1,MATCH(A1072,Inputs!$B$6:$D$6,0)),0)))))</x:f>
        <x:v>90</x:v>
      </x:c>
      <x:c r="M1072" s="20" t="n">
        <x:f>G1072*I1072</x:f>
        <x:v>31135</x:v>
      </x:c>
      <x:c r="N1072" s="20" t="n">
        <x:f>G1072*J1072</x:f>
        <x:v>5850</x:v>
      </x:c>
      <x:c r="O1072" s="20" t="n">
        <x:f>G1072*K1072</x:f>
        <x:v>3113.5</x:v>
      </x:c>
      <x:c r="P1072" s="20" t="n">
        <x:f>G1072*L1072</x:f>
        <x:v>1170</x:v>
      </x:c>
      <x:c r="Q1072" s="20" t="n">
        <x:f>H1072*INDEX(Inputs!$B$13:$D$13,1,MATCH(A1072,Inputs!$B$6:$D$6,0))</x:f>
        <x:v>390</x:v>
      </x:c>
      <x:c r="R1072" s="20" t="n">
        <x:f>SUM(M1072:Q1072)</x:f>
        <x:v>41658.5</x:v>
      </x:c>
      <x:c r="S1072" s="20" t="n">
        <x:f>IF(AND(A1071=A1072,D1071=D1072),S1071+R1072,R1072)</x:f>
        <x:v>124975.5</x:v>
      </x:c>
      <x:c r="T1072" s="20" t="n">
        <x:f>MIN(S1072,INDEX(Inputs!$B$20:$D$20,1,MATCH(A1072,Inputs!$B$6:$D$6,0)))*INDEX(Inputs!$B$22:$D$22,1,MATCH(A1072,Inputs!$B$6:$D$6,0))+MAX(MIN(S1072,INDEX(Inputs!$B$21:$D$21,1,MATCH(A1072,Inputs!$B$6:$D$6,0)))-INDEX(Inputs!$B$20:$D$20,1,MATCH(A1072,Inputs!$B$6:$D$6,0)),0)*INDEX(Inputs!$B$23:$D$23,1,MATCH(A1072,Inputs!$B$6:$D$6,0))+MAX(S1072-INDEX(Inputs!$B$21:$D$21,1,MATCH(A1072,Inputs!$B$6:$D$6,0)),0)*INDEX(Inputs!$B$24:$D$24,1,MATCH(A1072,Inputs!$B$6:$D$6,0))</x:f>
        <x:v>9726.08675</x:v>
      </x:c>
      <x:c r="U1072" s="20" t="n">
        <x:f>IF(AND(A1071=A1072,D1071=D1072),T1071,0)</x:f>
        <x:v>6863.7505</x:v>
      </x:c>
      <x:c r="V1072" s="20" t="n">
        <x:f>T1072-U1072</x:f>
        <x:v>2862.3362500000003</x:v>
      </x:c>
      <x:c r="W1072" s="20" t="n">
        <x:f>R1072+V1072</x:f>
        <x:v>44520.83625</x:v>
      </x:c>
      <x:c r="X1072" s="14" t="str">
        <x:f>IF(ABS(W1072-SUM(M1072:Q1072)-V1072)&lt;0.01,"OK","Check")</x:f>
        <x:v>OK</x:v>
      </x:c>
    </x:row>
    <x:row r="1073">
      <x:c r="A1073" s="14" t="n">
        <x:v>2028</x:v>
      </x:c>
      <x:c r="B1073" s="14" t="str">
        <x:v>Q4</x:v>
      </x:c>
      <x:c r="C1073" s="14" t="n">
        <x:v>4</x:v>
      </x:c>
      <x:c r="D1073" s="14" t="n">
        <x:v>61</x:v>
      </x:c>
      <x:c r="E1073" s="14" t="str">
        <x:f>INDEX(Roster!$B$6:$B$108,MATCH(D1073,Roster!$A$6:$A$108,0))</x:f>
        <x:v>Associate Principal</x:v>
      </x:c>
      <x:c r="F1073" s="14" t="str">
        <x:f>INDEX(Roster!$F$6:$F$108,MATCH(D1073,Roster!$A$6:$A$108,0))</x:f>
        <x:v>No</x:v>
      </x:c>
      <x:c r="G1073" s="14" t="n">
        <x:f>INDEX(Inputs!$B$7:$D$7,1,MATCH(A1073,Inputs!$B$6:$D$6,0))</x:f>
        <x:v>13</x:v>
      </x:c>
      <x:c r="H1073" s="14" t="n">
        <x:f>MIN(=INDEX(Inputs!$B$7:$D$7,1,MATCH(A1073,Inputs!$B$6:$D$6,0)),MAX(0,INDEX(Inputs!$B$14:$D$14,1,MATCH(A1073,Inputs!$B$6:$D$6,0))-(C1073-1)*=INDEX(Inputs!$B$7:$D$7,1,MATCH(A1073,Inputs!$B$6:$D$6,0))))</x:f>
        <x:v>0</x:v>
      </x:c>
      <x:c r="I1073" s="20" t="n">
        <x:f>INDEX(Inputs!$B$8:$D$8,1,MATCH(A1073,Inputs!$B$6:$D$6,0))</x:f>
        <x:v>2395</x:v>
      </x:c>
      <x:c r="J1073" s="20" t="n">
        <x:f>INDEX(Roster!$C$6:$C$108,MATCH(D1073,Roster!$A$6:$A$108,0))*(1+INDEX(Inputs!$B$9:$D$9,1,MATCH(A1073,Inputs!$B$6:$D$6,0)))</x:f>
        <x:v>450</x:v>
      </x:c>
      <x:c r="K1073" s="20" t="n">
        <x:f>IF(=INDEX(Roster!$F$6:$F$108,MATCH(D1073,Roster!$A$6:$A$108,0))="Yes",0,=INDEX(Inputs!$B$8:$D$8,1,MATCH(A1073,Inputs!$B$6:$D$6,0))*IF(=INDEX(Roster!$B$6:$B$108,MATCH(D1073,Roster!$A$6:$A$108,0))="Principal",INDEX(Inputs!$B$10:$D$10,1,MATCH(A1073,Inputs!$B$6:$D$6,0)),IF(=INDEX(Roster!$B$6:$B$108,MATCH(D1073,Roster!$A$6:$A$108,0))="Associate Principal",INDEX(Inputs!$B$11:$D$11,1,MATCH(A1073,Inputs!$B$6:$D$6,0)),IF(=INDEX(Roster!$B$6:$B$108,MATCH(D1073,Roster!$A$6:$A$108,0))="Assistant Principal",INDEX(Inputs!$B$12:$D$12,1,MATCH(A1073,Inputs!$B$6:$D$6,0)),0))))</x:f>
        <x:v>239.5</x:v>
      </x:c>
      <x:c r="L1073" s="20" t="n">
        <x:f>IF(INDEX(Roster!$D$6:$D$108,MATCH(D1073,Roster!$A$6:$A$108,0))&gt;=25,INDEX(Inputs!$B$19:$D$19,1,MATCH(A1073,Inputs!$B$6:$D$6,0)),IF(INDEX(Roster!$D$6:$D$108,MATCH(D1073,Roster!$A$6:$A$108,0))&gt;=20,INDEX(Inputs!$B$18:$D$18,1,MATCH(A1073,Inputs!$B$6:$D$6,0)),IF(INDEX(Roster!$D$6:$D$108,MATCH(D1073,Roster!$A$6:$A$108,0))&gt;=15,INDEX(Inputs!$B$17:$D$17,1,MATCH(A1073,Inputs!$B$6:$D$6,0)),IF(INDEX(Roster!$D$6:$D$108,MATCH(D1073,Roster!$A$6:$A$108,0))&gt;=10,INDEX(Inputs!$B$16:$D$16,1,MATCH(A1073,Inputs!$B$6:$D$6,0)),IF(INDEX(Roster!$D$6:$D$108,MATCH(D1073,Roster!$A$6:$A$108,0))&gt;=5,INDEX(Inputs!$B$15:$D$15,1,MATCH(A1073,Inputs!$B$6:$D$6,0)),0)))))</x:f>
        <x:v>90</x:v>
      </x:c>
      <x:c r="M1073" s="20" t="n">
        <x:f>G1073*I1073</x:f>
        <x:v>31135</x:v>
      </x:c>
      <x:c r="N1073" s="20" t="n">
        <x:f>G1073*J1073</x:f>
        <x:v>5850</x:v>
      </x:c>
      <x:c r="O1073" s="20" t="n">
        <x:f>G1073*K1073</x:f>
        <x:v>3113.5</x:v>
      </x:c>
      <x:c r="P1073" s="20" t="n">
        <x:f>G1073*L1073</x:f>
        <x:v>1170</x:v>
      </x:c>
      <x:c r="Q1073" s="20" t="n">
        <x:f>H1073*INDEX(Inputs!$B$13:$D$13,1,MATCH(A1073,Inputs!$B$6:$D$6,0))</x:f>
        <x:v>0</x:v>
      </x:c>
      <x:c r="R1073" s="20" t="n">
        <x:f>SUM(M1073:Q1073)</x:f>
        <x:v>41268.5</x:v>
      </x:c>
      <x:c r="S1073" s="20" t="n">
        <x:f>IF(AND(A1072=A1073,D1072=D1073),S1072+R1073,R1073)</x:f>
        <x:v>166244</x:v>
      </x:c>
      <x:c r="T1073" s="20" t="n">
        <x:f>MIN(S1073,INDEX(Inputs!$B$20:$D$20,1,MATCH(A1073,Inputs!$B$6:$D$6,0)))*INDEX(Inputs!$B$22:$D$22,1,MATCH(A1073,Inputs!$B$6:$D$6,0))+MAX(MIN(S1073,INDEX(Inputs!$B$21:$D$21,1,MATCH(A1073,Inputs!$B$6:$D$6,0)))-INDEX(Inputs!$B$20:$D$20,1,MATCH(A1073,Inputs!$B$6:$D$6,0)),0)*INDEX(Inputs!$B$23:$D$23,1,MATCH(A1073,Inputs!$B$6:$D$6,0))+MAX(S1073-INDEX(Inputs!$B$21:$D$21,1,MATCH(A1073,Inputs!$B$6:$D$6,0)),0)*INDEX(Inputs!$B$24:$D$24,1,MATCH(A1073,Inputs!$B$6:$D$6,0))</x:f>
        <x:v>10324.48</x:v>
      </x:c>
      <x:c r="U1073" s="20" t="n">
        <x:f>IF(AND(A1072=A1073,D1072=D1073),T1072,0)</x:f>
        <x:v>9726.08675</x:v>
      </x:c>
      <x:c r="V1073" s="20" t="n">
        <x:f>T1073-U1073</x:f>
        <x:v>598.3932499999992</x:v>
      </x:c>
      <x:c r="W1073" s="20" t="n">
        <x:f>R1073+V1073</x:f>
        <x:v>41866.89325</x:v>
      </x:c>
      <x:c r="X1073" s="14" t="str">
        <x:f>IF(ABS(W1073-SUM(M1073:Q1073)-V1073)&lt;0.01,"OK","Check")</x:f>
        <x:v>OK</x:v>
      </x:c>
    </x:row>
    <x:row r="1074">
      <x:c r="A1074" s="14" t="n">
        <x:v>2028</x:v>
      </x:c>
      <x:c r="B1074" s="14" t="str">
        <x:v>Q1</x:v>
      </x:c>
      <x:c r="C1074" s="14" t="n">
        <x:v>1</x:v>
      </x:c>
      <x:c r="D1074" s="14" t="n">
        <x:v>62</x:v>
      </x:c>
      <x:c r="E1074" s="14" t="str">
        <x:f>INDEX(Roster!$B$6:$B$108,MATCH(D1074,Roster!$A$6:$A$108,0))</x:f>
      </x:c>
      <x:c r="F1074" s="14" t="str">
        <x:f>INDEX(Roster!$F$6:$F$108,MATCH(D1074,Roster!$A$6:$A$108,0))</x:f>
        <x:v>No</x:v>
      </x:c>
      <x:c r="G1074" s="14" t="n">
        <x:f>INDEX(Inputs!$B$7:$D$7,1,MATCH(A1074,Inputs!$B$6:$D$6,0))</x:f>
        <x:v>13</x:v>
      </x:c>
      <x:c r="H1074" s="14" t="n">
        <x:f>MIN(=INDEX(Inputs!$B$7:$D$7,1,MATCH(A1074,Inputs!$B$6:$D$6,0)),MAX(0,INDEX(Inputs!$B$14:$D$14,1,MATCH(A1074,Inputs!$B$6:$D$6,0))-(C1074-1)*=INDEX(Inputs!$B$7:$D$7,1,MATCH(A1074,Inputs!$B$6:$D$6,0))))</x:f>
        <x:v>13</x:v>
      </x:c>
      <x:c r="I1074" s="20" t="n">
        <x:f>INDEX(Inputs!$B$8:$D$8,1,MATCH(A1074,Inputs!$B$6:$D$6,0))</x:f>
        <x:v>2395</x:v>
      </x:c>
      <x:c r="J1074" s="20" t="n">
        <x:f>INDEX(Roster!$C$6:$C$108,MATCH(D1074,Roster!$A$6:$A$108,0))*(1+INDEX(Inputs!$B$9:$D$9,1,MATCH(A1074,Inputs!$B$6:$D$6,0)))</x:f>
        <x:v>50</x:v>
      </x:c>
      <x:c r="K1074" s="20" t="n">
        <x:f>IF(=INDEX(Roster!$F$6:$F$108,MATCH(D1074,Roster!$A$6:$A$108,0))="Yes",0,=INDEX(Inputs!$B$8:$D$8,1,MATCH(A1074,Inputs!$B$6:$D$6,0))*IF(=INDEX(Roster!$B$6:$B$108,MATCH(D1074,Roster!$A$6:$A$108,0))="Principal",INDEX(Inputs!$B$10:$D$10,1,MATCH(A1074,Inputs!$B$6:$D$6,0)),IF(=INDEX(Roster!$B$6:$B$108,MATCH(D1074,Roster!$A$6:$A$108,0))="Associate Principal",INDEX(Inputs!$B$11:$D$11,1,MATCH(A1074,Inputs!$B$6:$D$6,0)),IF(=INDEX(Roster!$B$6:$B$108,MATCH(D1074,Roster!$A$6:$A$108,0))="Assistant Principal",INDEX(Inputs!$B$12:$D$12,1,MATCH(A1074,Inputs!$B$6:$D$6,0)),0))))</x:f>
        <x:v>0</x:v>
      </x:c>
      <x:c r="L1074" s="20" t="n">
        <x:f>IF(INDEX(Roster!$D$6:$D$108,MATCH(D1074,Roster!$A$6:$A$108,0))&gt;=25,INDEX(Inputs!$B$19:$D$19,1,MATCH(A1074,Inputs!$B$6:$D$6,0)),IF(INDEX(Roster!$D$6:$D$108,MATCH(D1074,Roster!$A$6:$A$108,0))&gt;=20,INDEX(Inputs!$B$18:$D$18,1,MATCH(A1074,Inputs!$B$6:$D$6,0)),IF(INDEX(Roster!$D$6:$D$108,MATCH(D1074,Roster!$A$6:$A$108,0))&gt;=15,INDEX(Inputs!$B$17:$D$17,1,MATCH(A1074,Inputs!$B$6:$D$6,0)),IF(INDEX(Roster!$D$6:$D$108,MATCH(D1074,Roster!$A$6:$A$108,0))&gt;=10,INDEX(Inputs!$B$16:$D$16,1,MATCH(A1074,Inputs!$B$6:$D$6,0)),IF(INDEX(Roster!$D$6:$D$108,MATCH(D1074,Roster!$A$6:$A$108,0))&gt;=5,INDEX(Inputs!$B$15:$D$15,1,MATCH(A1074,Inputs!$B$6:$D$6,0)),0)))))</x:f>
        <x:v>90</x:v>
      </x:c>
      <x:c r="M1074" s="20" t="n">
        <x:f>G1074*I1074</x:f>
        <x:v>31135</x:v>
      </x:c>
      <x:c r="N1074" s="20" t="n">
        <x:f>G1074*J1074</x:f>
        <x:v>650</x:v>
      </x:c>
      <x:c r="O1074" s="20" t="n">
        <x:f>G1074*K1074</x:f>
        <x:v>0</x:v>
      </x:c>
      <x:c r="P1074" s="20" t="n">
        <x:f>G1074*L1074</x:f>
        <x:v>1170</x:v>
      </x:c>
      <x:c r="Q1074" s="20" t="n">
        <x:f>H1074*INDEX(Inputs!$B$13:$D$13,1,MATCH(A1074,Inputs!$B$6:$D$6,0))</x:f>
        <x:v>390</x:v>
      </x:c>
      <x:c r="R1074" s="20" t="n">
        <x:f>SUM(M1074:Q1074)</x:f>
        <x:v>33345</x:v>
      </x:c>
      <x:c r="S1074" s="20" t="n">
        <x:f>IF(AND(A1073=A1074,D1073=D1074),S1073+R1074,R1074)</x:f>
        <x:v>33345</x:v>
      </x:c>
      <x:c r="T1074" s="20" t="n">
        <x:f>MIN(S1074,INDEX(Inputs!$B$20:$D$20,1,MATCH(A1074,Inputs!$B$6:$D$6,0)))*INDEX(Inputs!$B$22:$D$22,1,MATCH(A1074,Inputs!$B$6:$D$6,0))+MAX(MIN(S1074,INDEX(Inputs!$B$21:$D$21,1,MATCH(A1074,Inputs!$B$6:$D$6,0)))-INDEX(Inputs!$B$20:$D$20,1,MATCH(A1074,Inputs!$B$6:$D$6,0)),0)*INDEX(Inputs!$B$23:$D$23,1,MATCH(A1074,Inputs!$B$6:$D$6,0))+MAX(S1074-INDEX(Inputs!$B$21:$D$21,1,MATCH(A1074,Inputs!$B$6:$D$6,0)),0)*INDEX(Inputs!$B$24:$D$24,1,MATCH(A1074,Inputs!$B$6:$D$6,0))</x:f>
        <x:v>3040.8925</x:v>
      </x:c>
      <x:c r="U1074" s="20" t="n">
        <x:f>IF(AND(A1073=A1074,D1073=D1074),T1073,0)</x:f>
        <x:v>0</x:v>
      </x:c>
      <x:c r="V1074" s="20" t="n">
        <x:f>T1074-U1074</x:f>
        <x:v>3040.8925</x:v>
      </x:c>
      <x:c r="W1074" s="20" t="n">
        <x:f>R1074+V1074</x:f>
        <x:v>36385.8925</x:v>
      </x:c>
      <x:c r="X1074" s="14" t="str">
        <x:f>IF(ABS(W1074-SUM(M1074:Q1074)-V1074)&lt;0.01,"OK","Check")</x:f>
        <x:v>OK</x:v>
      </x:c>
    </x:row>
    <x:row r="1075">
      <x:c r="A1075" s="14" t="n">
        <x:v>2028</x:v>
      </x:c>
      <x:c r="B1075" s="14" t="str">
        <x:v>Q2</x:v>
      </x:c>
      <x:c r="C1075" s="14" t="n">
        <x:v>2</x:v>
      </x:c>
      <x:c r="D1075" s="14" t="n">
        <x:v>62</x:v>
      </x:c>
      <x:c r="E1075" s="14" t="str">
        <x:f>INDEX(Roster!$B$6:$B$108,MATCH(D1075,Roster!$A$6:$A$108,0))</x:f>
      </x:c>
      <x:c r="F1075" s="14" t="str">
        <x:f>INDEX(Roster!$F$6:$F$108,MATCH(D1075,Roster!$A$6:$A$108,0))</x:f>
        <x:v>No</x:v>
      </x:c>
      <x:c r="G1075" s="14" t="n">
        <x:f>INDEX(Inputs!$B$7:$D$7,1,MATCH(A1075,Inputs!$B$6:$D$6,0))</x:f>
        <x:v>13</x:v>
      </x:c>
      <x:c r="H1075" s="14" t="n">
        <x:f>MIN(=INDEX(Inputs!$B$7:$D$7,1,MATCH(A1075,Inputs!$B$6:$D$6,0)),MAX(0,INDEX(Inputs!$B$14:$D$14,1,MATCH(A1075,Inputs!$B$6:$D$6,0))-(C1075-1)*=INDEX(Inputs!$B$7:$D$7,1,MATCH(A1075,Inputs!$B$6:$D$6,0))))</x:f>
        <x:v>13</x:v>
      </x:c>
      <x:c r="I1075" s="20" t="n">
        <x:f>INDEX(Inputs!$B$8:$D$8,1,MATCH(A1075,Inputs!$B$6:$D$6,0))</x:f>
        <x:v>2395</x:v>
      </x:c>
      <x:c r="J1075" s="20" t="n">
        <x:f>INDEX(Roster!$C$6:$C$108,MATCH(D1075,Roster!$A$6:$A$108,0))*(1+INDEX(Inputs!$B$9:$D$9,1,MATCH(A1075,Inputs!$B$6:$D$6,0)))</x:f>
        <x:v>50</x:v>
      </x:c>
      <x:c r="K1075" s="20" t="n">
        <x:f>IF(=INDEX(Roster!$F$6:$F$108,MATCH(D1075,Roster!$A$6:$A$108,0))="Yes",0,=INDEX(Inputs!$B$8:$D$8,1,MATCH(A1075,Inputs!$B$6:$D$6,0))*IF(=INDEX(Roster!$B$6:$B$108,MATCH(D1075,Roster!$A$6:$A$108,0))="Principal",INDEX(Inputs!$B$10:$D$10,1,MATCH(A1075,Inputs!$B$6:$D$6,0)),IF(=INDEX(Roster!$B$6:$B$108,MATCH(D1075,Roster!$A$6:$A$108,0))="Associate Principal",INDEX(Inputs!$B$11:$D$11,1,MATCH(A1075,Inputs!$B$6:$D$6,0)),IF(=INDEX(Roster!$B$6:$B$108,MATCH(D1075,Roster!$A$6:$A$108,0))="Assistant Principal",INDEX(Inputs!$B$12:$D$12,1,MATCH(A1075,Inputs!$B$6:$D$6,0)),0))))</x:f>
        <x:v>0</x:v>
      </x:c>
      <x:c r="L1075" s="20" t="n">
        <x:f>IF(INDEX(Roster!$D$6:$D$108,MATCH(D1075,Roster!$A$6:$A$108,0))&gt;=25,INDEX(Inputs!$B$19:$D$19,1,MATCH(A1075,Inputs!$B$6:$D$6,0)),IF(INDEX(Roster!$D$6:$D$108,MATCH(D1075,Roster!$A$6:$A$108,0))&gt;=20,INDEX(Inputs!$B$18:$D$18,1,MATCH(A1075,Inputs!$B$6:$D$6,0)),IF(INDEX(Roster!$D$6:$D$108,MATCH(D1075,Roster!$A$6:$A$108,0))&gt;=15,INDEX(Inputs!$B$17:$D$17,1,MATCH(A1075,Inputs!$B$6:$D$6,0)),IF(INDEX(Roster!$D$6:$D$108,MATCH(D1075,Roster!$A$6:$A$108,0))&gt;=10,INDEX(Inputs!$B$16:$D$16,1,MATCH(A1075,Inputs!$B$6:$D$6,0)),IF(INDEX(Roster!$D$6:$D$108,MATCH(D1075,Roster!$A$6:$A$108,0))&gt;=5,INDEX(Inputs!$B$15:$D$15,1,MATCH(A1075,Inputs!$B$6:$D$6,0)),0)))))</x:f>
        <x:v>90</x:v>
      </x:c>
      <x:c r="M1075" s="20" t="n">
        <x:f>G1075*I1075</x:f>
        <x:v>31135</x:v>
      </x:c>
      <x:c r="N1075" s="20" t="n">
        <x:f>G1075*J1075</x:f>
        <x:v>650</x:v>
      </x:c>
      <x:c r="O1075" s="20" t="n">
        <x:f>G1075*K1075</x:f>
        <x:v>0</x:v>
      </x:c>
      <x:c r="P1075" s="20" t="n">
        <x:f>G1075*L1075</x:f>
        <x:v>1170</x:v>
      </x:c>
      <x:c r="Q1075" s="20" t="n">
        <x:f>H1075*INDEX(Inputs!$B$13:$D$13,1,MATCH(A1075,Inputs!$B$6:$D$6,0))</x:f>
        <x:v>390</x:v>
      </x:c>
      <x:c r="R1075" s="20" t="n">
        <x:f>SUM(M1075:Q1075)</x:f>
        <x:v>33345</x:v>
      </x:c>
      <x:c r="S1075" s="20" t="n">
        <x:f>IF(AND(A1074=A1075,D1074=D1075),S1074+R1075,R1075)</x:f>
        <x:v>66690</x:v>
      </x:c>
      <x:c r="T1075" s="20" t="n">
        <x:f>MIN(S1075,INDEX(Inputs!$B$20:$D$20,1,MATCH(A1075,Inputs!$B$6:$D$6,0)))*INDEX(Inputs!$B$22:$D$22,1,MATCH(A1075,Inputs!$B$6:$D$6,0))+MAX(MIN(S1075,INDEX(Inputs!$B$21:$D$21,1,MATCH(A1075,Inputs!$B$6:$D$6,0)))-INDEX(Inputs!$B$20:$D$20,1,MATCH(A1075,Inputs!$B$6:$D$6,0)),0)*INDEX(Inputs!$B$23:$D$23,1,MATCH(A1075,Inputs!$B$6:$D$6,0))+MAX(S1075-INDEX(Inputs!$B$21:$D$21,1,MATCH(A1075,Inputs!$B$6:$D$6,0)),0)*INDEX(Inputs!$B$24:$D$24,1,MATCH(A1075,Inputs!$B$6:$D$6,0))</x:f>
        <x:v>5591.785</x:v>
      </x:c>
      <x:c r="U1075" s="20" t="n">
        <x:f>IF(AND(A1074=A1075,D1074=D1075),T1074,0)</x:f>
        <x:v>3040.8925</x:v>
      </x:c>
      <x:c r="V1075" s="20" t="n">
        <x:f>T1075-U1075</x:f>
        <x:v>2550.8925</x:v>
      </x:c>
      <x:c r="W1075" s="20" t="n">
        <x:f>R1075+V1075</x:f>
        <x:v>35895.8925</x:v>
      </x:c>
      <x:c r="X1075" s="14" t="str">
        <x:f>IF(ABS(W1075-SUM(M1075:Q1075)-V1075)&lt;0.01,"OK","Check")</x:f>
        <x:v>OK</x:v>
      </x:c>
    </x:row>
    <x:row r="1076">
      <x:c r="A1076" s="14" t="n">
        <x:v>2028</x:v>
      </x:c>
      <x:c r="B1076" s="14" t="str">
        <x:v>Q3</x:v>
      </x:c>
      <x:c r="C1076" s="14" t="n">
        <x:v>3</x:v>
      </x:c>
      <x:c r="D1076" s="14" t="n">
        <x:v>62</x:v>
      </x:c>
      <x:c r="E1076" s="14" t="str">
        <x:f>INDEX(Roster!$B$6:$B$108,MATCH(D1076,Roster!$A$6:$A$108,0))</x:f>
      </x:c>
      <x:c r="F1076" s="14" t="str">
        <x:f>INDEX(Roster!$F$6:$F$108,MATCH(D1076,Roster!$A$6:$A$108,0))</x:f>
        <x:v>No</x:v>
      </x:c>
      <x:c r="G1076" s="14" t="n">
        <x:f>INDEX(Inputs!$B$7:$D$7,1,MATCH(A1076,Inputs!$B$6:$D$6,0))</x:f>
        <x:v>13</x:v>
      </x:c>
      <x:c r="H1076" s="14" t="n">
        <x:f>MIN(=INDEX(Inputs!$B$7:$D$7,1,MATCH(A1076,Inputs!$B$6:$D$6,0)),MAX(0,INDEX(Inputs!$B$14:$D$14,1,MATCH(A1076,Inputs!$B$6:$D$6,0))-(C1076-1)*=INDEX(Inputs!$B$7:$D$7,1,MATCH(A1076,Inputs!$B$6:$D$6,0))))</x:f>
        <x:v>13</x:v>
      </x:c>
      <x:c r="I1076" s="20" t="n">
        <x:f>INDEX(Inputs!$B$8:$D$8,1,MATCH(A1076,Inputs!$B$6:$D$6,0))</x:f>
        <x:v>2395</x:v>
      </x:c>
      <x:c r="J1076" s="20" t="n">
        <x:f>INDEX(Roster!$C$6:$C$108,MATCH(D1076,Roster!$A$6:$A$108,0))*(1+INDEX(Inputs!$B$9:$D$9,1,MATCH(A1076,Inputs!$B$6:$D$6,0)))</x:f>
        <x:v>50</x:v>
      </x:c>
      <x:c r="K1076" s="20" t="n">
        <x:f>IF(=INDEX(Roster!$F$6:$F$108,MATCH(D1076,Roster!$A$6:$A$108,0))="Yes",0,=INDEX(Inputs!$B$8:$D$8,1,MATCH(A1076,Inputs!$B$6:$D$6,0))*IF(=INDEX(Roster!$B$6:$B$108,MATCH(D1076,Roster!$A$6:$A$108,0))="Principal",INDEX(Inputs!$B$10:$D$10,1,MATCH(A1076,Inputs!$B$6:$D$6,0)),IF(=INDEX(Roster!$B$6:$B$108,MATCH(D1076,Roster!$A$6:$A$108,0))="Associate Principal",INDEX(Inputs!$B$11:$D$11,1,MATCH(A1076,Inputs!$B$6:$D$6,0)),IF(=INDEX(Roster!$B$6:$B$108,MATCH(D1076,Roster!$A$6:$A$108,0))="Assistant Principal",INDEX(Inputs!$B$12:$D$12,1,MATCH(A1076,Inputs!$B$6:$D$6,0)),0))))</x:f>
        <x:v>0</x:v>
      </x:c>
      <x:c r="L1076" s="20" t="n">
        <x:f>IF(INDEX(Roster!$D$6:$D$108,MATCH(D1076,Roster!$A$6:$A$108,0))&gt;=25,INDEX(Inputs!$B$19:$D$19,1,MATCH(A1076,Inputs!$B$6:$D$6,0)),IF(INDEX(Roster!$D$6:$D$108,MATCH(D1076,Roster!$A$6:$A$108,0))&gt;=20,INDEX(Inputs!$B$18:$D$18,1,MATCH(A1076,Inputs!$B$6:$D$6,0)),IF(INDEX(Roster!$D$6:$D$108,MATCH(D1076,Roster!$A$6:$A$108,0))&gt;=15,INDEX(Inputs!$B$17:$D$17,1,MATCH(A1076,Inputs!$B$6:$D$6,0)),IF(INDEX(Roster!$D$6:$D$108,MATCH(D1076,Roster!$A$6:$A$108,0))&gt;=10,INDEX(Inputs!$B$16:$D$16,1,MATCH(A1076,Inputs!$B$6:$D$6,0)),IF(INDEX(Roster!$D$6:$D$108,MATCH(D1076,Roster!$A$6:$A$108,0))&gt;=5,INDEX(Inputs!$B$15:$D$15,1,MATCH(A1076,Inputs!$B$6:$D$6,0)),0)))))</x:f>
        <x:v>90</x:v>
      </x:c>
      <x:c r="M1076" s="20" t="n">
        <x:f>G1076*I1076</x:f>
        <x:v>31135</x:v>
      </x:c>
      <x:c r="N1076" s="20" t="n">
        <x:f>G1076*J1076</x:f>
        <x:v>650</x:v>
      </x:c>
      <x:c r="O1076" s="20" t="n">
        <x:f>G1076*K1076</x:f>
        <x:v>0</x:v>
      </x:c>
      <x:c r="P1076" s="20" t="n">
        <x:f>G1076*L1076</x:f>
        <x:v>1170</x:v>
      </x:c>
      <x:c r="Q1076" s="20" t="n">
        <x:f>H1076*INDEX(Inputs!$B$13:$D$13,1,MATCH(A1076,Inputs!$B$6:$D$6,0))</x:f>
        <x:v>390</x:v>
      </x:c>
      <x:c r="R1076" s="20" t="n">
        <x:f>SUM(M1076:Q1076)</x:f>
        <x:v>33345</x:v>
      </x:c>
      <x:c r="S1076" s="20" t="n">
        <x:f>IF(AND(A1075=A1076,D1075=D1076),S1075+R1076,R1076)</x:f>
        <x:v>100035</x:v>
      </x:c>
      <x:c r="T1076" s="20" t="n">
        <x:f>MIN(S1076,INDEX(Inputs!$B$20:$D$20,1,MATCH(A1076,Inputs!$B$6:$D$6,0)))*INDEX(Inputs!$B$22:$D$22,1,MATCH(A1076,Inputs!$B$6:$D$6,0))+MAX(MIN(S1076,INDEX(Inputs!$B$21:$D$21,1,MATCH(A1076,Inputs!$B$6:$D$6,0)))-INDEX(Inputs!$B$20:$D$20,1,MATCH(A1076,Inputs!$B$6:$D$6,0)),0)*INDEX(Inputs!$B$23:$D$23,1,MATCH(A1076,Inputs!$B$6:$D$6,0))+MAX(S1076-INDEX(Inputs!$B$21:$D$21,1,MATCH(A1076,Inputs!$B$6:$D$6,0)),0)*INDEX(Inputs!$B$24:$D$24,1,MATCH(A1076,Inputs!$B$6:$D$6,0))</x:f>
        <x:v>8142.6775</x:v>
      </x:c>
      <x:c r="U1076" s="20" t="n">
        <x:f>IF(AND(A1075=A1076,D1075=D1076),T1075,0)</x:f>
        <x:v>5591.785</x:v>
      </x:c>
      <x:c r="V1076" s="20" t="n">
        <x:f>T1076-U1076</x:f>
        <x:v>2550.8925</x:v>
      </x:c>
      <x:c r="W1076" s="20" t="n">
        <x:f>R1076+V1076</x:f>
        <x:v>35895.8925</x:v>
      </x:c>
      <x:c r="X1076" s="14" t="str">
        <x:f>IF(ABS(W1076-SUM(M1076:Q1076)-V1076)&lt;0.01,"OK","Check")</x:f>
        <x:v>OK</x:v>
      </x:c>
    </x:row>
    <x:row r="1077">
      <x:c r="A1077" s="14" t="n">
        <x:v>2028</x:v>
      </x:c>
      <x:c r="B1077" s="14" t="str">
        <x:v>Q4</x:v>
      </x:c>
      <x:c r="C1077" s="14" t="n">
        <x:v>4</x:v>
      </x:c>
      <x:c r="D1077" s="14" t="n">
        <x:v>62</x:v>
      </x:c>
      <x:c r="E1077" s="14" t="str">
        <x:f>INDEX(Roster!$B$6:$B$108,MATCH(D1077,Roster!$A$6:$A$108,0))</x:f>
      </x:c>
      <x:c r="F1077" s="14" t="str">
        <x:f>INDEX(Roster!$F$6:$F$108,MATCH(D1077,Roster!$A$6:$A$108,0))</x:f>
        <x:v>No</x:v>
      </x:c>
      <x:c r="G1077" s="14" t="n">
        <x:f>INDEX(Inputs!$B$7:$D$7,1,MATCH(A1077,Inputs!$B$6:$D$6,0))</x:f>
        <x:v>13</x:v>
      </x:c>
      <x:c r="H1077" s="14" t="n">
        <x:f>MIN(=INDEX(Inputs!$B$7:$D$7,1,MATCH(A1077,Inputs!$B$6:$D$6,0)),MAX(0,INDEX(Inputs!$B$14:$D$14,1,MATCH(A1077,Inputs!$B$6:$D$6,0))-(C1077-1)*=INDEX(Inputs!$B$7:$D$7,1,MATCH(A1077,Inputs!$B$6:$D$6,0))))</x:f>
        <x:v>0</x:v>
      </x:c>
      <x:c r="I1077" s="20" t="n">
        <x:f>INDEX(Inputs!$B$8:$D$8,1,MATCH(A1077,Inputs!$B$6:$D$6,0))</x:f>
        <x:v>2395</x:v>
      </x:c>
      <x:c r="J1077" s="20" t="n">
        <x:f>INDEX(Roster!$C$6:$C$108,MATCH(D1077,Roster!$A$6:$A$108,0))*(1+INDEX(Inputs!$B$9:$D$9,1,MATCH(A1077,Inputs!$B$6:$D$6,0)))</x:f>
        <x:v>50</x:v>
      </x:c>
      <x:c r="K1077" s="20" t="n">
        <x:f>IF(=INDEX(Roster!$F$6:$F$108,MATCH(D1077,Roster!$A$6:$A$108,0))="Yes",0,=INDEX(Inputs!$B$8:$D$8,1,MATCH(A1077,Inputs!$B$6:$D$6,0))*IF(=INDEX(Roster!$B$6:$B$108,MATCH(D1077,Roster!$A$6:$A$108,0))="Principal",INDEX(Inputs!$B$10:$D$10,1,MATCH(A1077,Inputs!$B$6:$D$6,0)),IF(=INDEX(Roster!$B$6:$B$108,MATCH(D1077,Roster!$A$6:$A$108,0))="Associate Principal",INDEX(Inputs!$B$11:$D$11,1,MATCH(A1077,Inputs!$B$6:$D$6,0)),IF(=INDEX(Roster!$B$6:$B$108,MATCH(D1077,Roster!$A$6:$A$108,0))="Assistant Principal",INDEX(Inputs!$B$12:$D$12,1,MATCH(A1077,Inputs!$B$6:$D$6,0)),0))))</x:f>
        <x:v>0</x:v>
      </x:c>
      <x:c r="L1077" s="20" t="n">
        <x:f>IF(INDEX(Roster!$D$6:$D$108,MATCH(D1077,Roster!$A$6:$A$108,0))&gt;=25,INDEX(Inputs!$B$19:$D$19,1,MATCH(A1077,Inputs!$B$6:$D$6,0)),IF(INDEX(Roster!$D$6:$D$108,MATCH(D1077,Roster!$A$6:$A$108,0))&gt;=20,INDEX(Inputs!$B$18:$D$18,1,MATCH(A1077,Inputs!$B$6:$D$6,0)),IF(INDEX(Roster!$D$6:$D$108,MATCH(D1077,Roster!$A$6:$A$108,0))&gt;=15,INDEX(Inputs!$B$17:$D$17,1,MATCH(A1077,Inputs!$B$6:$D$6,0)),IF(INDEX(Roster!$D$6:$D$108,MATCH(D1077,Roster!$A$6:$A$108,0))&gt;=10,INDEX(Inputs!$B$16:$D$16,1,MATCH(A1077,Inputs!$B$6:$D$6,0)),IF(INDEX(Roster!$D$6:$D$108,MATCH(D1077,Roster!$A$6:$A$108,0))&gt;=5,INDEX(Inputs!$B$15:$D$15,1,MATCH(A1077,Inputs!$B$6:$D$6,0)),0)))))</x:f>
        <x:v>90</x:v>
      </x:c>
      <x:c r="M1077" s="20" t="n">
        <x:f>G1077*I1077</x:f>
        <x:v>31135</x:v>
      </x:c>
      <x:c r="N1077" s="20" t="n">
        <x:f>G1077*J1077</x:f>
        <x:v>650</x:v>
      </x:c>
      <x:c r="O1077" s="20" t="n">
        <x:f>G1077*K1077</x:f>
        <x:v>0</x:v>
      </x:c>
      <x:c r="P1077" s="20" t="n">
        <x:f>G1077*L1077</x:f>
        <x:v>1170</x:v>
      </x:c>
      <x:c r="Q1077" s="20" t="n">
        <x:f>H1077*INDEX(Inputs!$B$13:$D$13,1,MATCH(A1077,Inputs!$B$6:$D$6,0))</x:f>
        <x:v>0</x:v>
      </x:c>
      <x:c r="R1077" s="20" t="n">
        <x:f>SUM(M1077:Q1077)</x:f>
        <x:v>32955</x:v>
      </x:c>
      <x:c r="S1077" s="20" t="n">
        <x:f>IF(AND(A1076=A1077,D1076=D1077),S1076+R1077,R1077)</x:f>
        <x:v>132990</x:v>
      </x:c>
      <x:c r="T1077" s="20" t="n">
        <x:f>MIN(S1077,INDEX(Inputs!$B$20:$D$20,1,MATCH(A1077,Inputs!$B$6:$D$6,0)))*INDEX(Inputs!$B$22:$D$22,1,MATCH(A1077,Inputs!$B$6:$D$6,0))+MAX(MIN(S1077,INDEX(Inputs!$B$21:$D$21,1,MATCH(A1077,Inputs!$B$6:$D$6,0)))-INDEX(Inputs!$B$20:$D$20,1,MATCH(A1077,Inputs!$B$6:$D$6,0)),0)*INDEX(Inputs!$B$23:$D$23,1,MATCH(A1077,Inputs!$B$6:$D$6,0))+MAX(S1077-INDEX(Inputs!$B$21:$D$21,1,MATCH(A1077,Inputs!$B$6:$D$6,0)),0)*INDEX(Inputs!$B$24:$D$24,1,MATCH(A1077,Inputs!$B$6:$D$6,0))</x:f>
        <x:v>9842.297</x:v>
      </x:c>
      <x:c r="U1077" s="20" t="n">
        <x:f>IF(AND(A1076=A1077,D1076=D1077),T1076,0)</x:f>
        <x:v>8142.6775</x:v>
      </x:c>
      <x:c r="V1077" s="20" t="n">
        <x:f>T1077-U1077</x:f>
        <x:v>1699.6195000000007</x:v>
      </x:c>
      <x:c r="W1077" s="20" t="n">
        <x:f>R1077+V1077</x:f>
        <x:v>34654.6195</x:v>
      </x:c>
      <x:c r="X1077" s="14" t="str">
        <x:f>IF(ABS(W1077-SUM(M1077:Q1077)-V1077)&lt;0.01,"OK","Check")</x:f>
        <x:v>OK</x:v>
      </x:c>
    </x:row>
    <x:row r="1078">
      <x:c r="A1078" s="14" t="n">
        <x:v>2028</x:v>
      </x:c>
      <x:c r="B1078" s="14" t="str">
        <x:v>Q1</x:v>
      </x:c>
      <x:c r="C1078" s="14" t="n">
        <x:v>1</x:v>
      </x:c>
      <x:c r="D1078" s="14" t="n">
        <x:v>63</x:v>
      </x:c>
      <x:c r="E1078" s="14" t="str">
        <x:f>INDEX(Roster!$B$6:$B$108,MATCH(D1078,Roster!$A$6:$A$108,0))</x:f>
      </x:c>
      <x:c r="F1078" s="14" t="str">
        <x:f>INDEX(Roster!$F$6:$F$108,MATCH(D1078,Roster!$A$6:$A$108,0))</x:f>
        <x:v>No</x:v>
      </x:c>
      <x:c r="G1078" s="14" t="n">
        <x:f>INDEX(Inputs!$B$7:$D$7,1,MATCH(A1078,Inputs!$B$6:$D$6,0))</x:f>
        <x:v>13</x:v>
      </x:c>
      <x:c r="H1078" s="14" t="n">
        <x:f>MIN(=INDEX(Inputs!$B$7:$D$7,1,MATCH(A1078,Inputs!$B$6:$D$6,0)),MAX(0,INDEX(Inputs!$B$14:$D$14,1,MATCH(A1078,Inputs!$B$6:$D$6,0))-(C1078-1)*=INDEX(Inputs!$B$7:$D$7,1,MATCH(A1078,Inputs!$B$6:$D$6,0))))</x:f>
        <x:v>13</x:v>
      </x:c>
      <x:c r="I1078" s="20" t="n">
        <x:f>INDEX(Inputs!$B$8:$D$8,1,MATCH(A1078,Inputs!$B$6:$D$6,0))</x:f>
        <x:v>2395</x:v>
      </x:c>
      <x:c r="J1078" s="20" t="n">
        <x:f>INDEX(Roster!$C$6:$C$108,MATCH(D1078,Roster!$A$6:$A$108,0))*(1+INDEX(Inputs!$B$9:$D$9,1,MATCH(A1078,Inputs!$B$6:$D$6,0)))</x:f>
        <x:v>80</x:v>
      </x:c>
      <x:c r="K1078" s="20" t="n">
        <x:f>IF(=INDEX(Roster!$F$6:$F$108,MATCH(D1078,Roster!$A$6:$A$108,0))="Yes",0,=INDEX(Inputs!$B$8:$D$8,1,MATCH(A1078,Inputs!$B$6:$D$6,0))*IF(=INDEX(Roster!$B$6:$B$108,MATCH(D1078,Roster!$A$6:$A$108,0))="Principal",INDEX(Inputs!$B$10:$D$10,1,MATCH(A1078,Inputs!$B$6:$D$6,0)),IF(=INDEX(Roster!$B$6:$B$108,MATCH(D1078,Roster!$A$6:$A$108,0))="Associate Principal",INDEX(Inputs!$B$11:$D$11,1,MATCH(A1078,Inputs!$B$6:$D$6,0)),IF(=INDEX(Roster!$B$6:$B$108,MATCH(D1078,Roster!$A$6:$A$108,0))="Assistant Principal",INDEX(Inputs!$B$12:$D$12,1,MATCH(A1078,Inputs!$B$6:$D$6,0)),0))))</x:f>
        <x:v>0</x:v>
      </x:c>
      <x:c r="L1078" s="20" t="n">
        <x:f>IF(INDEX(Roster!$D$6:$D$108,MATCH(D1078,Roster!$A$6:$A$108,0))&gt;=25,INDEX(Inputs!$B$19:$D$19,1,MATCH(A1078,Inputs!$B$6:$D$6,0)),IF(INDEX(Roster!$D$6:$D$108,MATCH(D1078,Roster!$A$6:$A$108,0))&gt;=20,INDEX(Inputs!$B$18:$D$18,1,MATCH(A1078,Inputs!$B$6:$D$6,0)),IF(INDEX(Roster!$D$6:$D$108,MATCH(D1078,Roster!$A$6:$A$108,0))&gt;=15,INDEX(Inputs!$B$17:$D$17,1,MATCH(A1078,Inputs!$B$6:$D$6,0)),IF(INDEX(Roster!$D$6:$D$108,MATCH(D1078,Roster!$A$6:$A$108,0))&gt;=10,INDEX(Inputs!$B$16:$D$16,1,MATCH(A1078,Inputs!$B$6:$D$6,0)),IF(INDEX(Roster!$D$6:$D$108,MATCH(D1078,Roster!$A$6:$A$108,0))&gt;=5,INDEX(Inputs!$B$15:$D$15,1,MATCH(A1078,Inputs!$B$6:$D$6,0)),0)))))</x:f>
        <x:v>90</x:v>
      </x:c>
      <x:c r="M1078" s="20" t="n">
        <x:f>G1078*I1078</x:f>
        <x:v>31135</x:v>
      </x:c>
      <x:c r="N1078" s="20" t="n">
        <x:f>G1078*J1078</x:f>
        <x:v>1040</x:v>
      </x:c>
      <x:c r="O1078" s="20" t="n">
        <x:f>G1078*K1078</x:f>
        <x:v>0</x:v>
      </x:c>
      <x:c r="P1078" s="20" t="n">
        <x:f>G1078*L1078</x:f>
        <x:v>1170</x:v>
      </x:c>
      <x:c r="Q1078" s="20" t="n">
        <x:f>H1078*INDEX(Inputs!$B$13:$D$13,1,MATCH(A1078,Inputs!$B$6:$D$6,0))</x:f>
        <x:v>390</x:v>
      </x:c>
      <x:c r="R1078" s="20" t="n">
        <x:f>SUM(M1078:Q1078)</x:f>
        <x:v>33735</x:v>
      </x:c>
      <x:c r="S1078" s="20" t="n">
        <x:f>IF(AND(A1077=A1078,D1077=D1078),S1077+R1078,R1078)</x:f>
        <x:v>33735</x:v>
      </x:c>
      <x:c r="T1078" s="20" t="n">
        <x:f>MIN(S1078,INDEX(Inputs!$B$20:$D$20,1,MATCH(A1078,Inputs!$B$6:$D$6,0)))*INDEX(Inputs!$B$22:$D$22,1,MATCH(A1078,Inputs!$B$6:$D$6,0))+MAX(MIN(S1078,INDEX(Inputs!$B$21:$D$21,1,MATCH(A1078,Inputs!$B$6:$D$6,0)))-INDEX(Inputs!$B$20:$D$20,1,MATCH(A1078,Inputs!$B$6:$D$6,0)),0)*INDEX(Inputs!$B$23:$D$23,1,MATCH(A1078,Inputs!$B$6:$D$6,0))+MAX(S1078-INDEX(Inputs!$B$21:$D$21,1,MATCH(A1078,Inputs!$B$6:$D$6,0)),0)*INDEX(Inputs!$B$24:$D$24,1,MATCH(A1078,Inputs!$B$6:$D$6,0))</x:f>
        <x:v>3070.7275</x:v>
      </x:c>
      <x:c r="U1078" s="20" t="n">
        <x:f>IF(AND(A1077=A1078,D1077=D1078),T1077,0)</x:f>
        <x:v>0</x:v>
      </x:c>
      <x:c r="V1078" s="20" t="n">
        <x:f>T1078-U1078</x:f>
        <x:v>3070.7275</x:v>
      </x:c>
      <x:c r="W1078" s="20" t="n">
        <x:f>R1078+V1078</x:f>
        <x:v>36805.7275</x:v>
      </x:c>
      <x:c r="X1078" s="14" t="str">
        <x:f>IF(ABS(W1078-SUM(M1078:Q1078)-V1078)&lt;0.01,"OK","Check")</x:f>
        <x:v>OK</x:v>
      </x:c>
    </x:row>
    <x:row r="1079">
      <x:c r="A1079" s="14" t="n">
        <x:v>2028</x:v>
      </x:c>
      <x:c r="B1079" s="14" t="str">
        <x:v>Q2</x:v>
      </x:c>
      <x:c r="C1079" s="14" t="n">
        <x:v>2</x:v>
      </x:c>
      <x:c r="D1079" s="14" t="n">
        <x:v>63</x:v>
      </x:c>
      <x:c r="E1079" s="14" t="str">
        <x:f>INDEX(Roster!$B$6:$B$108,MATCH(D1079,Roster!$A$6:$A$108,0))</x:f>
      </x:c>
      <x:c r="F1079" s="14" t="str">
        <x:f>INDEX(Roster!$F$6:$F$108,MATCH(D1079,Roster!$A$6:$A$108,0))</x:f>
        <x:v>No</x:v>
      </x:c>
      <x:c r="G1079" s="14" t="n">
        <x:f>INDEX(Inputs!$B$7:$D$7,1,MATCH(A1079,Inputs!$B$6:$D$6,0))</x:f>
        <x:v>13</x:v>
      </x:c>
      <x:c r="H1079" s="14" t="n">
        <x:f>MIN(=INDEX(Inputs!$B$7:$D$7,1,MATCH(A1079,Inputs!$B$6:$D$6,0)),MAX(0,INDEX(Inputs!$B$14:$D$14,1,MATCH(A1079,Inputs!$B$6:$D$6,0))-(C1079-1)*=INDEX(Inputs!$B$7:$D$7,1,MATCH(A1079,Inputs!$B$6:$D$6,0))))</x:f>
        <x:v>13</x:v>
      </x:c>
      <x:c r="I1079" s="20" t="n">
        <x:f>INDEX(Inputs!$B$8:$D$8,1,MATCH(A1079,Inputs!$B$6:$D$6,0))</x:f>
        <x:v>2395</x:v>
      </x:c>
      <x:c r="J1079" s="20" t="n">
        <x:f>INDEX(Roster!$C$6:$C$108,MATCH(D1079,Roster!$A$6:$A$108,0))*(1+INDEX(Inputs!$B$9:$D$9,1,MATCH(A1079,Inputs!$B$6:$D$6,0)))</x:f>
        <x:v>80</x:v>
      </x:c>
      <x:c r="K1079" s="20" t="n">
        <x:f>IF(=INDEX(Roster!$F$6:$F$108,MATCH(D1079,Roster!$A$6:$A$108,0))="Yes",0,=INDEX(Inputs!$B$8:$D$8,1,MATCH(A1079,Inputs!$B$6:$D$6,0))*IF(=INDEX(Roster!$B$6:$B$108,MATCH(D1079,Roster!$A$6:$A$108,0))="Principal",INDEX(Inputs!$B$10:$D$10,1,MATCH(A1079,Inputs!$B$6:$D$6,0)),IF(=INDEX(Roster!$B$6:$B$108,MATCH(D1079,Roster!$A$6:$A$108,0))="Associate Principal",INDEX(Inputs!$B$11:$D$11,1,MATCH(A1079,Inputs!$B$6:$D$6,0)),IF(=INDEX(Roster!$B$6:$B$108,MATCH(D1079,Roster!$A$6:$A$108,0))="Assistant Principal",INDEX(Inputs!$B$12:$D$12,1,MATCH(A1079,Inputs!$B$6:$D$6,0)),0))))</x:f>
        <x:v>0</x:v>
      </x:c>
      <x:c r="L1079" s="20" t="n">
        <x:f>IF(INDEX(Roster!$D$6:$D$108,MATCH(D1079,Roster!$A$6:$A$108,0))&gt;=25,INDEX(Inputs!$B$19:$D$19,1,MATCH(A1079,Inputs!$B$6:$D$6,0)),IF(INDEX(Roster!$D$6:$D$108,MATCH(D1079,Roster!$A$6:$A$108,0))&gt;=20,INDEX(Inputs!$B$18:$D$18,1,MATCH(A1079,Inputs!$B$6:$D$6,0)),IF(INDEX(Roster!$D$6:$D$108,MATCH(D1079,Roster!$A$6:$A$108,0))&gt;=15,INDEX(Inputs!$B$17:$D$17,1,MATCH(A1079,Inputs!$B$6:$D$6,0)),IF(INDEX(Roster!$D$6:$D$108,MATCH(D1079,Roster!$A$6:$A$108,0))&gt;=10,INDEX(Inputs!$B$16:$D$16,1,MATCH(A1079,Inputs!$B$6:$D$6,0)),IF(INDEX(Roster!$D$6:$D$108,MATCH(D1079,Roster!$A$6:$A$108,0))&gt;=5,INDEX(Inputs!$B$15:$D$15,1,MATCH(A1079,Inputs!$B$6:$D$6,0)),0)))))</x:f>
        <x:v>90</x:v>
      </x:c>
      <x:c r="M1079" s="20" t="n">
        <x:f>G1079*I1079</x:f>
        <x:v>31135</x:v>
      </x:c>
      <x:c r="N1079" s="20" t="n">
        <x:f>G1079*J1079</x:f>
        <x:v>1040</x:v>
      </x:c>
      <x:c r="O1079" s="20" t="n">
        <x:f>G1079*K1079</x:f>
        <x:v>0</x:v>
      </x:c>
      <x:c r="P1079" s="20" t="n">
        <x:f>G1079*L1079</x:f>
        <x:v>1170</x:v>
      </x:c>
      <x:c r="Q1079" s="20" t="n">
        <x:f>H1079*INDEX(Inputs!$B$13:$D$13,1,MATCH(A1079,Inputs!$B$6:$D$6,0))</x:f>
        <x:v>390</x:v>
      </x:c>
      <x:c r="R1079" s="20" t="n">
        <x:f>SUM(M1079:Q1079)</x:f>
        <x:v>33735</x:v>
      </x:c>
      <x:c r="S1079" s="20" t="n">
        <x:f>IF(AND(A1078=A1079,D1078=D1079),S1078+R1079,R1079)</x:f>
        <x:v>67470</x:v>
      </x:c>
      <x:c r="T1079" s="20" t="n">
        <x:f>MIN(S1079,INDEX(Inputs!$B$20:$D$20,1,MATCH(A1079,Inputs!$B$6:$D$6,0)))*INDEX(Inputs!$B$22:$D$22,1,MATCH(A1079,Inputs!$B$6:$D$6,0))+MAX(MIN(S1079,INDEX(Inputs!$B$21:$D$21,1,MATCH(A1079,Inputs!$B$6:$D$6,0)))-INDEX(Inputs!$B$20:$D$20,1,MATCH(A1079,Inputs!$B$6:$D$6,0)),0)*INDEX(Inputs!$B$23:$D$23,1,MATCH(A1079,Inputs!$B$6:$D$6,0))+MAX(S1079-INDEX(Inputs!$B$21:$D$21,1,MATCH(A1079,Inputs!$B$6:$D$6,0)),0)*INDEX(Inputs!$B$24:$D$24,1,MATCH(A1079,Inputs!$B$6:$D$6,0))</x:f>
        <x:v>5651.455</x:v>
      </x:c>
      <x:c r="U1079" s="20" t="n">
        <x:f>IF(AND(A1078=A1079,D1078=D1079),T1078,0)</x:f>
        <x:v>3070.7275</x:v>
      </x:c>
      <x:c r="V1079" s="20" t="n">
        <x:f>T1079-U1079</x:f>
        <x:v>2580.7275</x:v>
      </x:c>
      <x:c r="W1079" s="20" t="n">
        <x:f>R1079+V1079</x:f>
        <x:v>36315.7275</x:v>
      </x:c>
      <x:c r="X1079" s="14" t="str">
        <x:f>IF(ABS(W1079-SUM(M1079:Q1079)-V1079)&lt;0.01,"OK","Check")</x:f>
        <x:v>OK</x:v>
      </x:c>
    </x:row>
    <x:row r="1080">
      <x:c r="A1080" s="14" t="n">
        <x:v>2028</x:v>
      </x:c>
      <x:c r="B1080" s="14" t="str">
        <x:v>Q3</x:v>
      </x:c>
      <x:c r="C1080" s="14" t="n">
        <x:v>3</x:v>
      </x:c>
      <x:c r="D1080" s="14" t="n">
        <x:v>63</x:v>
      </x:c>
      <x:c r="E1080" s="14" t="str">
        <x:f>INDEX(Roster!$B$6:$B$108,MATCH(D1080,Roster!$A$6:$A$108,0))</x:f>
      </x:c>
      <x:c r="F1080" s="14" t="str">
        <x:f>INDEX(Roster!$F$6:$F$108,MATCH(D1080,Roster!$A$6:$A$108,0))</x:f>
        <x:v>No</x:v>
      </x:c>
      <x:c r="G1080" s="14" t="n">
        <x:f>INDEX(Inputs!$B$7:$D$7,1,MATCH(A1080,Inputs!$B$6:$D$6,0))</x:f>
        <x:v>13</x:v>
      </x:c>
      <x:c r="H1080" s="14" t="n">
        <x:f>MIN(=INDEX(Inputs!$B$7:$D$7,1,MATCH(A1080,Inputs!$B$6:$D$6,0)),MAX(0,INDEX(Inputs!$B$14:$D$14,1,MATCH(A1080,Inputs!$B$6:$D$6,0))-(C1080-1)*=INDEX(Inputs!$B$7:$D$7,1,MATCH(A1080,Inputs!$B$6:$D$6,0))))</x:f>
        <x:v>13</x:v>
      </x:c>
      <x:c r="I1080" s="20" t="n">
        <x:f>INDEX(Inputs!$B$8:$D$8,1,MATCH(A1080,Inputs!$B$6:$D$6,0))</x:f>
        <x:v>2395</x:v>
      </x:c>
      <x:c r="J1080" s="20" t="n">
        <x:f>INDEX(Roster!$C$6:$C$108,MATCH(D1080,Roster!$A$6:$A$108,0))*(1+INDEX(Inputs!$B$9:$D$9,1,MATCH(A1080,Inputs!$B$6:$D$6,0)))</x:f>
        <x:v>80</x:v>
      </x:c>
      <x:c r="K1080" s="20" t="n">
        <x:f>IF(=INDEX(Roster!$F$6:$F$108,MATCH(D1080,Roster!$A$6:$A$108,0))="Yes",0,=INDEX(Inputs!$B$8:$D$8,1,MATCH(A1080,Inputs!$B$6:$D$6,0))*IF(=INDEX(Roster!$B$6:$B$108,MATCH(D1080,Roster!$A$6:$A$108,0))="Principal",INDEX(Inputs!$B$10:$D$10,1,MATCH(A1080,Inputs!$B$6:$D$6,0)),IF(=INDEX(Roster!$B$6:$B$108,MATCH(D1080,Roster!$A$6:$A$108,0))="Associate Principal",INDEX(Inputs!$B$11:$D$11,1,MATCH(A1080,Inputs!$B$6:$D$6,0)),IF(=INDEX(Roster!$B$6:$B$108,MATCH(D1080,Roster!$A$6:$A$108,0))="Assistant Principal",INDEX(Inputs!$B$12:$D$12,1,MATCH(A1080,Inputs!$B$6:$D$6,0)),0))))</x:f>
        <x:v>0</x:v>
      </x:c>
      <x:c r="L1080" s="20" t="n">
        <x:f>IF(INDEX(Roster!$D$6:$D$108,MATCH(D1080,Roster!$A$6:$A$108,0))&gt;=25,INDEX(Inputs!$B$19:$D$19,1,MATCH(A1080,Inputs!$B$6:$D$6,0)),IF(INDEX(Roster!$D$6:$D$108,MATCH(D1080,Roster!$A$6:$A$108,0))&gt;=20,INDEX(Inputs!$B$18:$D$18,1,MATCH(A1080,Inputs!$B$6:$D$6,0)),IF(INDEX(Roster!$D$6:$D$108,MATCH(D1080,Roster!$A$6:$A$108,0))&gt;=15,INDEX(Inputs!$B$17:$D$17,1,MATCH(A1080,Inputs!$B$6:$D$6,0)),IF(INDEX(Roster!$D$6:$D$108,MATCH(D1080,Roster!$A$6:$A$108,0))&gt;=10,INDEX(Inputs!$B$16:$D$16,1,MATCH(A1080,Inputs!$B$6:$D$6,0)),IF(INDEX(Roster!$D$6:$D$108,MATCH(D1080,Roster!$A$6:$A$108,0))&gt;=5,INDEX(Inputs!$B$15:$D$15,1,MATCH(A1080,Inputs!$B$6:$D$6,0)),0)))))</x:f>
        <x:v>90</x:v>
      </x:c>
      <x:c r="M1080" s="20" t="n">
        <x:f>G1080*I1080</x:f>
        <x:v>31135</x:v>
      </x:c>
      <x:c r="N1080" s="20" t="n">
        <x:f>G1080*J1080</x:f>
        <x:v>1040</x:v>
      </x:c>
      <x:c r="O1080" s="20" t="n">
        <x:f>G1080*K1080</x:f>
        <x:v>0</x:v>
      </x:c>
      <x:c r="P1080" s="20" t="n">
        <x:f>G1080*L1080</x:f>
        <x:v>1170</x:v>
      </x:c>
      <x:c r="Q1080" s="20" t="n">
        <x:f>H1080*INDEX(Inputs!$B$13:$D$13,1,MATCH(A1080,Inputs!$B$6:$D$6,0))</x:f>
        <x:v>390</x:v>
      </x:c>
      <x:c r="R1080" s="20" t="n">
        <x:f>SUM(M1080:Q1080)</x:f>
        <x:v>33735</x:v>
      </x:c>
      <x:c r="S1080" s="20" t="n">
        <x:f>IF(AND(A1079=A1080,D1079=D1080),S1079+R1080,R1080)</x:f>
        <x:v>101205</x:v>
      </x:c>
      <x:c r="T1080" s="20" t="n">
        <x:f>MIN(S1080,INDEX(Inputs!$B$20:$D$20,1,MATCH(A1080,Inputs!$B$6:$D$6,0)))*INDEX(Inputs!$B$22:$D$22,1,MATCH(A1080,Inputs!$B$6:$D$6,0))+MAX(MIN(S1080,INDEX(Inputs!$B$21:$D$21,1,MATCH(A1080,Inputs!$B$6:$D$6,0)))-INDEX(Inputs!$B$20:$D$20,1,MATCH(A1080,Inputs!$B$6:$D$6,0)),0)*INDEX(Inputs!$B$23:$D$23,1,MATCH(A1080,Inputs!$B$6:$D$6,0))+MAX(S1080-INDEX(Inputs!$B$21:$D$21,1,MATCH(A1080,Inputs!$B$6:$D$6,0)),0)*INDEX(Inputs!$B$24:$D$24,1,MATCH(A1080,Inputs!$B$6:$D$6,0))</x:f>
        <x:v>8232.182499999999</x:v>
      </x:c>
      <x:c r="U1080" s="20" t="n">
        <x:f>IF(AND(A1079=A1080,D1079=D1080),T1079,0)</x:f>
        <x:v>5651.455</x:v>
      </x:c>
      <x:c r="V1080" s="20" t="n">
        <x:f>T1080-U1080</x:f>
        <x:v>2580.727499999999</x:v>
      </x:c>
      <x:c r="W1080" s="20" t="n">
        <x:f>R1080+V1080</x:f>
        <x:v>36315.7275</x:v>
      </x:c>
      <x:c r="X1080" s="14" t="str">
        <x:f>IF(ABS(W1080-SUM(M1080:Q1080)-V1080)&lt;0.01,"OK","Check")</x:f>
        <x:v>OK</x:v>
      </x:c>
    </x:row>
    <x:row r="1081">
      <x:c r="A1081" s="14" t="n">
        <x:v>2028</x:v>
      </x:c>
      <x:c r="B1081" s="14" t="str">
        <x:v>Q4</x:v>
      </x:c>
      <x:c r="C1081" s="14" t="n">
        <x:v>4</x:v>
      </x:c>
      <x:c r="D1081" s="14" t="n">
        <x:v>63</x:v>
      </x:c>
      <x:c r="E1081" s="14" t="str">
        <x:f>INDEX(Roster!$B$6:$B$108,MATCH(D1081,Roster!$A$6:$A$108,0))</x:f>
      </x:c>
      <x:c r="F1081" s="14" t="str">
        <x:f>INDEX(Roster!$F$6:$F$108,MATCH(D1081,Roster!$A$6:$A$108,0))</x:f>
        <x:v>No</x:v>
      </x:c>
      <x:c r="G1081" s="14" t="n">
        <x:f>INDEX(Inputs!$B$7:$D$7,1,MATCH(A1081,Inputs!$B$6:$D$6,0))</x:f>
        <x:v>13</x:v>
      </x:c>
      <x:c r="H1081" s="14" t="n">
        <x:f>MIN(=INDEX(Inputs!$B$7:$D$7,1,MATCH(A1081,Inputs!$B$6:$D$6,0)),MAX(0,INDEX(Inputs!$B$14:$D$14,1,MATCH(A1081,Inputs!$B$6:$D$6,0))-(C1081-1)*=INDEX(Inputs!$B$7:$D$7,1,MATCH(A1081,Inputs!$B$6:$D$6,0))))</x:f>
        <x:v>0</x:v>
      </x:c>
      <x:c r="I1081" s="20" t="n">
        <x:f>INDEX(Inputs!$B$8:$D$8,1,MATCH(A1081,Inputs!$B$6:$D$6,0))</x:f>
        <x:v>2395</x:v>
      </x:c>
      <x:c r="J1081" s="20" t="n">
        <x:f>INDEX(Roster!$C$6:$C$108,MATCH(D1081,Roster!$A$6:$A$108,0))*(1+INDEX(Inputs!$B$9:$D$9,1,MATCH(A1081,Inputs!$B$6:$D$6,0)))</x:f>
        <x:v>80</x:v>
      </x:c>
      <x:c r="K1081" s="20" t="n">
        <x:f>IF(=INDEX(Roster!$F$6:$F$108,MATCH(D1081,Roster!$A$6:$A$108,0))="Yes",0,=INDEX(Inputs!$B$8:$D$8,1,MATCH(A1081,Inputs!$B$6:$D$6,0))*IF(=INDEX(Roster!$B$6:$B$108,MATCH(D1081,Roster!$A$6:$A$108,0))="Principal",INDEX(Inputs!$B$10:$D$10,1,MATCH(A1081,Inputs!$B$6:$D$6,0)),IF(=INDEX(Roster!$B$6:$B$108,MATCH(D1081,Roster!$A$6:$A$108,0))="Associate Principal",INDEX(Inputs!$B$11:$D$11,1,MATCH(A1081,Inputs!$B$6:$D$6,0)),IF(=INDEX(Roster!$B$6:$B$108,MATCH(D1081,Roster!$A$6:$A$108,0))="Assistant Principal",INDEX(Inputs!$B$12:$D$12,1,MATCH(A1081,Inputs!$B$6:$D$6,0)),0))))</x:f>
        <x:v>0</x:v>
      </x:c>
      <x:c r="L1081" s="20" t="n">
        <x:f>IF(INDEX(Roster!$D$6:$D$108,MATCH(D1081,Roster!$A$6:$A$108,0))&gt;=25,INDEX(Inputs!$B$19:$D$19,1,MATCH(A1081,Inputs!$B$6:$D$6,0)),IF(INDEX(Roster!$D$6:$D$108,MATCH(D1081,Roster!$A$6:$A$108,0))&gt;=20,INDEX(Inputs!$B$18:$D$18,1,MATCH(A1081,Inputs!$B$6:$D$6,0)),IF(INDEX(Roster!$D$6:$D$108,MATCH(D1081,Roster!$A$6:$A$108,0))&gt;=15,INDEX(Inputs!$B$17:$D$17,1,MATCH(A1081,Inputs!$B$6:$D$6,0)),IF(INDEX(Roster!$D$6:$D$108,MATCH(D1081,Roster!$A$6:$A$108,0))&gt;=10,INDEX(Inputs!$B$16:$D$16,1,MATCH(A1081,Inputs!$B$6:$D$6,0)),IF(INDEX(Roster!$D$6:$D$108,MATCH(D1081,Roster!$A$6:$A$108,0))&gt;=5,INDEX(Inputs!$B$15:$D$15,1,MATCH(A1081,Inputs!$B$6:$D$6,0)),0)))))</x:f>
        <x:v>90</x:v>
      </x:c>
      <x:c r="M1081" s="20" t="n">
        <x:f>G1081*I1081</x:f>
        <x:v>31135</x:v>
      </x:c>
      <x:c r="N1081" s="20" t="n">
        <x:f>G1081*J1081</x:f>
        <x:v>1040</x:v>
      </x:c>
      <x:c r="O1081" s="20" t="n">
        <x:f>G1081*K1081</x:f>
        <x:v>0</x:v>
      </x:c>
      <x:c r="P1081" s="20" t="n">
        <x:f>G1081*L1081</x:f>
        <x:v>1170</x:v>
      </x:c>
      <x:c r="Q1081" s="20" t="n">
        <x:f>H1081*INDEX(Inputs!$B$13:$D$13,1,MATCH(A1081,Inputs!$B$6:$D$6,0))</x:f>
        <x:v>0</x:v>
      </x:c>
      <x:c r="R1081" s="20" t="n">
        <x:f>SUM(M1081:Q1081)</x:f>
        <x:v>33345</x:v>
      </x:c>
      <x:c r="S1081" s="20" t="n">
        <x:f>IF(AND(A1080=A1081,D1080=D1081),S1080+R1081,R1081)</x:f>
        <x:v>134550</x:v>
      </x:c>
      <x:c r="T1081" s="20" t="n">
        <x:f>MIN(S1081,INDEX(Inputs!$B$20:$D$20,1,MATCH(A1081,Inputs!$B$6:$D$6,0)))*INDEX(Inputs!$B$22:$D$22,1,MATCH(A1081,Inputs!$B$6:$D$6,0))+MAX(MIN(S1081,INDEX(Inputs!$B$21:$D$21,1,MATCH(A1081,Inputs!$B$6:$D$6,0)))-INDEX(Inputs!$B$20:$D$20,1,MATCH(A1081,Inputs!$B$6:$D$6,0)),0)*INDEX(Inputs!$B$23:$D$23,1,MATCH(A1081,Inputs!$B$6:$D$6,0))+MAX(S1081-INDEX(Inputs!$B$21:$D$21,1,MATCH(A1081,Inputs!$B$6:$D$6,0)),0)*INDEX(Inputs!$B$24:$D$24,1,MATCH(A1081,Inputs!$B$6:$D$6,0))</x:f>
        <x:v>9864.917</x:v>
      </x:c>
      <x:c r="U1081" s="20" t="n">
        <x:f>IF(AND(A1080=A1081,D1080=D1081),T1080,0)</x:f>
        <x:v>8232.182499999999</x:v>
      </x:c>
      <x:c r="V1081" s="20" t="n">
        <x:f>T1081-U1081</x:f>
        <x:v>1632.7345000000005</x:v>
      </x:c>
      <x:c r="W1081" s="20" t="n">
        <x:f>R1081+V1081</x:f>
        <x:v>34977.7345</x:v>
      </x:c>
      <x:c r="X1081" s="14" t="str">
        <x:f>IF(ABS(W1081-SUM(M1081:Q1081)-V1081)&lt;0.01,"OK","Check")</x:f>
        <x:v>OK</x:v>
      </x:c>
    </x:row>
    <x:row r="1082">
      <x:c r="A1082" s="14" t="n">
        <x:v>2028</x:v>
      </x:c>
      <x:c r="B1082" s="14" t="str">
        <x:v>Q1</x:v>
      </x:c>
      <x:c r="C1082" s="14" t="n">
        <x:v>1</x:v>
      </x:c>
      <x:c r="D1082" s="14" t="n">
        <x:v>64</x:v>
      </x:c>
      <x:c r="E1082" s="14" t="str">
        <x:f>INDEX(Roster!$B$6:$B$108,MATCH(D1082,Roster!$A$6:$A$108,0))</x:f>
      </x:c>
      <x:c r="F1082" s="14" t="str">
        <x:f>INDEX(Roster!$F$6:$F$108,MATCH(D1082,Roster!$A$6:$A$108,0))</x:f>
        <x:v>No</x:v>
      </x:c>
      <x:c r="G1082" s="14" t="n">
        <x:f>INDEX(Inputs!$B$7:$D$7,1,MATCH(A1082,Inputs!$B$6:$D$6,0))</x:f>
        <x:v>13</x:v>
      </x:c>
      <x:c r="H1082" s="14" t="n">
        <x:f>MIN(=INDEX(Inputs!$B$7:$D$7,1,MATCH(A1082,Inputs!$B$6:$D$6,0)),MAX(0,INDEX(Inputs!$B$14:$D$14,1,MATCH(A1082,Inputs!$B$6:$D$6,0))-(C1082-1)*=INDEX(Inputs!$B$7:$D$7,1,MATCH(A1082,Inputs!$B$6:$D$6,0))))</x:f>
        <x:v>13</x:v>
      </x:c>
      <x:c r="I1082" s="20" t="n">
        <x:f>INDEX(Inputs!$B$8:$D$8,1,MATCH(A1082,Inputs!$B$6:$D$6,0))</x:f>
        <x:v>2395</x:v>
      </x:c>
      <x:c r="J1082" s="20" t="n">
        <x:f>INDEX(Roster!$C$6:$C$108,MATCH(D1082,Roster!$A$6:$A$108,0))*(1+INDEX(Inputs!$B$9:$D$9,1,MATCH(A1082,Inputs!$B$6:$D$6,0)))</x:f>
        <x:v>50</x:v>
      </x:c>
      <x:c r="K1082" s="20" t="n">
        <x:f>IF(=INDEX(Roster!$F$6:$F$108,MATCH(D1082,Roster!$A$6:$A$108,0))="Yes",0,=INDEX(Inputs!$B$8:$D$8,1,MATCH(A1082,Inputs!$B$6:$D$6,0))*IF(=INDEX(Roster!$B$6:$B$108,MATCH(D1082,Roster!$A$6:$A$108,0))="Principal",INDEX(Inputs!$B$10:$D$10,1,MATCH(A1082,Inputs!$B$6:$D$6,0)),IF(=INDEX(Roster!$B$6:$B$108,MATCH(D1082,Roster!$A$6:$A$108,0))="Associate Principal",INDEX(Inputs!$B$11:$D$11,1,MATCH(A1082,Inputs!$B$6:$D$6,0)),IF(=INDEX(Roster!$B$6:$B$108,MATCH(D1082,Roster!$A$6:$A$108,0))="Assistant Principal",INDEX(Inputs!$B$12:$D$12,1,MATCH(A1082,Inputs!$B$6:$D$6,0)),0))))</x:f>
        <x:v>0</x:v>
      </x:c>
      <x:c r="L1082" s="20" t="n">
        <x:f>IF(INDEX(Roster!$D$6:$D$108,MATCH(D1082,Roster!$A$6:$A$108,0))&gt;=25,INDEX(Inputs!$B$19:$D$19,1,MATCH(A1082,Inputs!$B$6:$D$6,0)),IF(INDEX(Roster!$D$6:$D$108,MATCH(D1082,Roster!$A$6:$A$108,0))&gt;=20,INDEX(Inputs!$B$18:$D$18,1,MATCH(A1082,Inputs!$B$6:$D$6,0)),IF(INDEX(Roster!$D$6:$D$108,MATCH(D1082,Roster!$A$6:$A$108,0))&gt;=15,INDEX(Inputs!$B$17:$D$17,1,MATCH(A1082,Inputs!$B$6:$D$6,0)),IF(INDEX(Roster!$D$6:$D$108,MATCH(D1082,Roster!$A$6:$A$108,0))&gt;=10,INDEX(Inputs!$B$16:$D$16,1,MATCH(A1082,Inputs!$B$6:$D$6,0)),IF(INDEX(Roster!$D$6:$D$108,MATCH(D1082,Roster!$A$6:$A$108,0))&gt;=5,INDEX(Inputs!$B$15:$D$15,1,MATCH(A1082,Inputs!$B$6:$D$6,0)),0)))))</x:f>
        <x:v>90</x:v>
      </x:c>
      <x:c r="M1082" s="20" t="n">
        <x:f>G1082*I1082</x:f>
        <x:v>31135</x:v>
      </x:c>
      <x:c r="N1082" s="20" t="n">
        <x:f>G1082*J1082</x:f>
        <x:v>650</x:v>
      </x:c>
      <x:c r="O1082" s="20" t="n">
        <x:f>G1082*K1082</x:f>
        <x:v>0</x:v>
      </x:c>
      <x:c r="P1082" s="20" t="n">
        <x:f>G1082*L1082</x:f>
        <x:v>1170</x:v>
      </x:c>
      <x:c r="Q1082" s="20" t="n">
        <x:f>H1082*INDEX(Inputs!$B$13:$D$13,1,MATCH(A1082,Inputs!$B$6:$D$6,0))</x:f>
        <x:v>390</x:v>
      </x:c>
      <x:c r="R1082" s="20" t="n">
        <x:f>SUM(M1082:Q1082)</x:f>
        <x:v>33345</x:v>
      </x:c>
      <x:c r="S1082" s="20" t="n">
        <x:f>IF(AND(A1081=A1082,D1081=D1082),S1081+R1082,R1082)</x:f>
        <x:v>33345</x:v>
      </x:c>
      <x:c r="T1082" s="20" t="n">
        <x:f>MIN(S1082,INDEX(Inputs!$B$20:$D$20,1,MATCH(A1082,Inputs!$B$6:$D$6,0)))*INDEX(Inputs!$B$22:$D$22,1,MATCH(A1082,Inputs!$B$6:$D$6,0))+MAX(MIN(S1082,INDEX(Inputs!$B$21:$D$21,1,MATCH(A1082,Inputs!$B$6:$D$6,0)))-INDEX(Inputs!$B$20:$D$20,1,MATCH(A1082,Inputs!$B$6:$D$6,0)),0)*INDEX(Inputs!$B$23:$D$23,1,MATCH(A1082,Inputs!$B$6:$D$6,0))+MAX(S1082-INDEX(Inputs!$B$21:$D$21,1,MATCH(A1082,Inputs!$B$6:$D$6,0)),0)*INDEX(Inputs!$B$24:$D$24,1,MATCH(A1082,Inputs!$B$6:$D$6,0))</x:f>
        <x:v>3040.8925</x:v>
      </x:c>
      <x:c r="U1082" s="20" t="n">
        <x:f>IF(AND(A1081=A1082,D1081=D1082),T1081,0)</x:f>
        <x:v>0</x:v>
      </x:c>
      <x:c r="V1082" s="20" t="n">
        <x:f>T1082-U1082</x:f>
        <x:v>3040.8925</x:v>
      </x:c>
      <x:c r="W1082" s="20" t="n">
        <x:f>R1082+V1082</x:f>
        <x:v>36385.8925</x:v>
      </x:c>
      <x:c r="X1082" s="14" t="str">
        <x:f>IF(ABS(W1082-SUM(M1082:Q1082)-V1082)&lt;0.01,"OK","Check")</x:f>
        <x:v>OK</x:v>
      </x:c>
    </x:row>
    <x:row r="1083">
      <x:c r="A1083" s="14" t="n">
        <x:v>2028</x:v>
      </x:c>
      <x:c r="B1083" s="14" t="str">
        <x:v>Q2</x:v>
      </x:c>
      <x:c r="C1083" s="14" t="n">
        <x:v>2</x:v>
      </x:c>
      <x:c r="D1083" s="14" t="n">
        <x:v>64</x:v>
      </x:c>
      <x:c r="E1083" s="14" t="str">
        <x:f>INDEX(Roster!$B$6:$B$108,MATCH(D1083,Roster!$A$6:$A$108,0))</x:f>
      </x:c>
      <x:c r="F1083" s="14" t="str">
        <x:f>INDEX(Roster!$F$6:$F$108,MATCH(D1083,Roster!$A$6:$A$108,0))</x:f>
        <x:v>No</x:v>
      </x:c>
      <x:c r="G1083" s="14" t="n">
        <x:f>INDEX(Inputs!$B$7:$D$7,1,MATCH(A1083,Inputs!$B$6:$D$6,0))</x:f>
        <x:v>13</x:v>
      </x:c>
      <x:c r="H1083" s="14" t="n">
        <x:f>MIN(=INDEX(Inputs!$B$7:$D$7,1,MATCH(A1083,Inputs!$B$6:$D$6,0)),MAX(0,INDEX(Inputs!$B$14:$D$14,1,MATCH(A1083,Inputs!$B$6:$D$6,0))-(C1083-1)*=INDEX(Inputs!$B$7:$D$7,1,MATCH(A1083,Inputs!$B$6:$D$6,0))))</x:f>
        <x:v>13</x:v>
      </x:c>
      <x:c r="I1083" s="20" t="n">
        <x:f>INDEX(Inputs!$B$8:$D$8,1,MATCH(A1083,Inputs!$B$6:$D$6,0))</x:f>
        <x:v>2395</x:v>
      </x:c>
      <x:c r="J1083" s="20" t="n">
        <x:f>INDEX(Roster!$C$6:$C$108,MATCH(D1083,Roster!$A$6:$A$108,0))*(1+INDEX(Inputs!$B$9:$D$9,1,MATCH(A1083,Inputs!$B$6:$D$6,0)))</x:f>
        <x:v>50</x:v>
      </x:c>
      <x:c r="K1083" s="20" t="n">
        <x:f>IF(=INDEX(Roster!$F$6:$F$108,MATCH(D1083,Roster!$A$6:$A$108,0))="Yes",0,=INDEX(Inputs!$B$8:$D$8,1,MATCH(A1083,Inputs!$B$6:$D$6,0))*IF(=INDEX(Roster!$B$6:$B$108,MATCH(D1083,Roster!$A$6:$A$108,0))="Principal",INDEX(Inputs!$B$10:$D$10,1,MATCH(A1083,Inputs!$B$6:$D$6,0)),IF(=INDEX(Roster!$B$6:$B$108,MATCH(D1083,Roster!$A$6:$A$108,0))="Associate Principal",INDEX(Inputs!$B$11:$D$11,1,MATCH(A1083,Inputs!$B$6:$D$6,0)),IF(=INDEX(Roster!$B$6:$B$108,MATCH(D1083,Roster!$A$6:$A$108,0))="Assistant Principal",INDEX(Inputs!$B$12:$D$12,1,MATCH(A1083,Inputs!$B$6:$D$6,0)),0))))</x:f>
        <x:v>0</x:v>
      </x:c>
      <x:c r="L1083" s="20" t="n">
        <x:f>IF(INDEX(Roster!$D$6:$D$108,MATCH(D1083,Roster!$A$6:$A$108,0))&gt;=25,INDEX(Inputs!$B$19:$D$19,1,MATCH(A1083,Inputs!$B$6:$D$6,0)),IF(INDEX(Roster!$D$6:$D$108,MATCH(D1083,Roster!$A$6:$A$108,0))&gt;=20,INDEX(Inputs!$B$18:$D$18,1,MATCH(A1083,Inputs!$B$6:$D$6,0)),IF(INDEX(Roster!$D$6:$D$108,MATCH(D1083,Roster!$A$6:$A$108,0))&gt;=15,INDEX(Inputs!$B$17:$D$17,1,MATCH(A1083,Inputs!$B$6:$D$6,0)),IF(INDEX(Roster!$D$6:$D$108,MATCH(D1083,Roster!$A$6:$A$108,0))&gt;=10,INDEX(Inputs!$B$16:$D$16,1,MATCH(A1083,Inputs!$B$6:$D$6,0)),IF(INDEX(Roster!$D$6:$D$108,MATCH(D1083,Roster!$A$6:$A$108,0))&gt;=5,INDEX(Inputs!$B$15:$D$15,1,MATCH(A1083,Inputs!$B$6:$D$6,0)),0)))))</x:f>
        <x:v>90</x:v>
      </x:c>
      <x:c r="M1083" s="20" t="n">
        <x:f>G1083*I1083</x:f>
        <x:v>31135</x:v>
      </x:c>
      <x:c r="N1083" s="20" t="n">
        <x:f>G1083*J1083</x:f>
        <x:v>650</x:v>
      </x:c>
      <x:c r="O1083" s="20" t="n">
        <x:f>G1083*K1083</x:f>
        <x:v>0</x:v>
      </x:c>
      <x:c r="P1083" s="20" t="n">
        <x:f>G1083*L1083</x:f>
        <x:v>1170</x:v>
      </x:c>
      <x:c r="Q1083" s="20" t="n">
        <x:f>H1083*INDEX(Inputs!$B$13:$D$13,1,MATCH(A1083,Inputs!$B$6:$D$6,0))</x:f>
        <x:v>390</x:v>
      </x:c>
      <x:c r="R1083" s="20" t="n">
        <x:f>SUM(M1083:Q1083)</x:f>
        <x:v>33345</x:v>
      </x:c>
      <x:c r="S1083" s="20" t="n">
        <x:f>IF(AND(A1082=A1083,D1082=D1083),S1082+R1083,R1083)</x:f>
        <x:v>66690</x:v>
      </x:c>
      <x:c r="T1083" s="20" t="n">
        <x:f>MIN(S1083,INDEX(Inputs!$B$20:$D$20,1,MATCH(A1083,Inputs!$B$6:$D$6,0)))*INDEX(Inputs!$B$22:$D$22,1,MATCH(A1083,Inputs!$B$6:$D$6,0))+MAX(MIN(S1083,INDEX(Inputs!$B$21:$D$21,1,MATCH(A1083,Inputs!$B$6:$D$6,0)))-INDEX(Inputs!$B$20:$D$20,1,MATCH(A1083,Inputs!$B$6:$D$6,0)),0)*INDEX(Inputs!$B$23:$D$23,1,MATCH(A1083,Inputs!$B$6:$D$6,0))+MAX(S1083-INDEX(Inputs!$B$21:$D$21,1,MATCH(A1083,Inputs!$B$6:$D$6,0)),0)*INDEX(Inputs!$B$24:$D$24,1,MATCH(A1083,Inputs!$B$6:$D$6,0))</x:f>
        <x:v>5591.785</x:v>
      </x:c>
      <x:c r="U1083" s="20" t="n">
        <x:f>IF(AND(A1082=A1083,D1082=D1083),T1082,0)</x:f>
        <x:v>3040.8925</x:v>
      </x:c>
      <x:c r="V1083" s="20" t="n">
        <x:f>T1083-U1083</x:f>
        <x:v>2550.8925</x:v>
      </x:c>
      <x:c r="W1083" s="20" t="n">
        <x:f>R1083+V1083</x:f>
        <x:v>35895.8925</x:v>
      </x:c>
      <x:c r="X1083" s="14" t="str">
        <x:f>IF(ABS(W1083-SUM(M1083:Q1083)-V1083)&lt;0.01,"OK","Check")</x:f>
        <x:v>OK</x:v>
      </x:c>
    </x:row>
    <x:row r="1084">
      <x:c r="A1084" s="14" t="n">
        <x:v>2028</x:v>
      </x:c>
      <x:c r="B1084" s="14" t="str">
        <x:v>Q3</x:v>
      </x:c>
      <x:c r="C1084" s="14" t="n">
        <x:v>3</x:v>
      </x:c>
      <x:c r="D1084" s="14" t="n">
        <x:v>64</x:v>
      </x:c>
      <x:c r="E1084" s="14" t="str">
        <x:f>INDEX(Roster!$B$6:$B$108,MATCH(D1084,Roster!$A$6:$A$108,0))</x:f>
      </x:c>
      <x:c r="F1084" s="14" t="str">
        <x:f>INDEX(Roster!$F$6:$F$108,MATCH(D1084,Roster!$A$6:$A$108,0))</x:f>
        <x:v>No</x:v>
      </x:c>
      <x:c r="G1084" s="14" t="n">
        <x:f>INDEX(Inputs!$B$7:$D$7,1,MATCH(A1084,Inputs!$B$6:$D$6,0))</x:f>
        <x:v>13</x:v>
      </x:c>
      <x:c r="H1084" s="14" t="n">
        <x:f>MIN(=INDEX(Inputs!$B$7:$D$7,1,MATCH(A1084,Inputs!$B$6:$D$6,0)),MAX(0,INDEX(Inputs!$B$14:$D$14,1,MATCH(A1084,Inputs!$B$6:$D$6,0))-(C1084-1)*=INDEX(Inputs!$B$7:$D$7,1,MATCH(A1084,Inputs!$B$6:$D$6,0))))</x:f>
        <x:v>13</x:v>
      </x:c>
      <x:c r="I1084" s="20" t="n">
        <x:f>INDEX(Inputs!$B$8:$D$8,1,MATCH(A1084,Inputs!$B$6:$D$6,0))</x:f>
        <x:v>2395</x:v>
      </x:c>
      <x:c r="J1084" s="20" t="n">
        <x:f>INDEX(Roster!$C$6:$C$108,MATCH(D1084,Roster!$A$6:$A$108,0))*(1+INDEX(Inputs!$B$9:$D$9,1,MATCH(A1084,Inputs!$B$6:$D$6,0)))</x:f>
        <x:v>50</x:v>
      </x:c>
      <x:c r="K1084" s="20" t="n">
        <x:f>IF(=INDEX(Roster!$F$6:$F$108,MATCH(D1084,Roster!$A$6:$A$108,0))="Yes",0,=INDEX(Inputs!$B$8:$D$8,1,MATCH(A1084,Inputs!$B$6:$D$6,0))*IF(=INDEX(Roster!$B$6:$B$108,MATCH(D1084,Roster!$A$6:$A$108,0))="Principal",INDEX(Inputs!$B$10:$D$10,1,MATCH(A1084,Inputs!$B$6:$D$6,0)),IF(=INDEX(Roster!$B$6:$B$108,MATCH(D1084,Roster!$A$6:$A$108,0))="Associate Principal",INDEX(Inputs!$B$11:$D$11,1,MATCH(A1084,Inputs!$B$6:$D$6,0)),IF(=INDEX(Roster!$B$6:$B$108,MATCH(D1084,Roster!$A$6:$A$108,0))="Assistant Principal",INDEX(Inputs!$B$12:$D$12,1,MATCH(A1084,Inputs!$B$6:$D$6,0)),0))))</x:f>
        <x:v>0</x:v>
      </x:c>
      <x:c r="L1084" s="20" t="n">
        <x:f>IF(INDEX(Roster!$D$6:$D$108,MATCH(D1084,Roster!$A$6:$A$108,0))&gt;=25,INDEX(Inputs!$B$19:$D$19,1,MATCH(A1084,Inputs!$B$6:$D$6,0)),IF(INDEX(Roster!$D$6:$D$108,MATCH(D1084,Roster!$A$6:$A$108,0))&gt;=20,INDEX(Inputs!$B$18:$D$18,1,MATCH(A1084,Inputs!$B$6:$D$6,0)),IF(INDEX(Roster!$D$6:$D$108,MATCH(D1084,Roster!$A$6:$A$108,0))&gt;=15,INDEX(Inputs!$B$17:$D$17,1,MATCH(A1084,Inputs!$B$6:$D$6,0)),IF(INDEX(Roster!$D$6:$D$108,MATCH(D1084,Roster!$A$6:$A$108,0))&gt;=10,INDEX(Inputs!$B$16:$D$16,1,MATCH(A1084,Inputs!$B$6:$D$6,0)),IF(INDEX(Roster!$D$6:$D$108,MATCH(D1084,Roster!$A$6:$A$108,0))&gt;=5,INDEX(Inputs!$B$15:$D$15,1,MATCH(A1084,Inputs!$B$6:$D$6,0)),0)))))</x:f>
        <x:v>90</x:v>
      </x:c>
      <x:c r="M1084" s="20" t="n">
        <x:f>G1084*I1084</x:f>
        <x:v>31135</x:v>
      </x:c>
      <x:c r="N1084" s="20" t="n">
        <x:f>G1084*J1084</x:f>
        <x:v>650</x:v>
      </x:c>
      <x:c r="O1084" s="20" t="n">
        <x:f>G1084*K1084</x:f>
        <x:v>0</x:v>
      </x:c>
      <x:c r="P1084" s="20" t="n">
        <x:f>G1084*L1084</x:f>
        <x:v>1170</x:v>
      </x:c>
      <x:c r="Q1084" s="20" t="n">
        <x:f>H1084*INDEX(Inputs!$B$13:$D$13,1,MATCH(A1084,Inputs!$B$6:$D$6,0))</x:f>
        <x:v>390</x:v>
      </x:c>
      <x:c r="R1084" s="20" t="n">
        <x:f>SUM(M1084:Q1084)</x:f>
        <x:v>33345</x:v>
      </x:c>
      <x:c r="S1084" s="20" t="n">
        <x:f>IF(AND(A1083=A1084,D1083=D1084),S1083+R1084,R1084)</x:f>
        <x:v>100035</x:v>
      </x:c>
      <x:c r="T1084" s="20" t="n">
        <x:f>MIN(S1084,INDEX(Inputs!$B$20:$D$20,1,MATCH(A1084,Inputs!$B$6:$D$6,0)))*INDEX(Inputs!$B$22:$D$22,1,MATCH(A1084,Inputs!$B$6:$D$6,0))+MAX(MIN(S1084,INDEX(Inputs!$B$21:$D$21,1,MATCH(A1084,Inputs!$B$6:$D$6,0)))-INDEX(Inputs!$B$20:$D$20,1,MATCH(A1084,Inputs!$B$6:$D$6,0)),0)*INDEX(Inputs!$B$23:$D$23,1,MATCH(A1084,Inputs!$B$6:$D$6,0))+MAX(S1084-INDEX(Inputs!$B$21:$D$21,1,MATCH(A1084,Inputs!$B$6:$D$6,0)),0)*INDEX(Inputs!$B$24:$D$24,1,MATCH(A1084,Inputs!$B$6:$D$6,0))</x:f>
        <x:v>8142.6775</x:v>
      </x:c>
      <x:c r="U1084" s="20" t="n">
        <x:f>IF(AND(A1083=A1084,D1083=D1084),T1083,0)</x:f>
        <x:v>5591.785</x:v>
      </x:c>
      <x:c r="V1084" s="20" t="n">
        <x:f>T1084-U1084</x:f>
        <x:v>2550.8925</x:v>
      </x:c>
      <x:c r="W1084" s="20" t="n">
        <x:f>R1084+V1084</x:f>
        <x:v>35895.8925</x:v>
      </x:c>
      <x:c r="X1084" s="14" t="str">
        <x:f>IF(ABS(W1084-SUM(M1084:Q1084)-V1084)&lt;0.01,"OK","Check")</x:f>
        <x:v>OK</x:v>
      </x:c>
    </x:row>
    <x:row r="1085">
      <x:c r="A1085" s="14" t="n">
        <x:v>2028</x:v>
      </x:c>
      <x:c r="B1085" s="14" t="str">
        <x:v>Q4</x:v>
      </x:c>
      <x:c r="C1085" s="14" t="n">
        <x:v>4</x:v>
      </x:c>
      <x:c r="D1085" s="14" t="n">
        <x:v>64</x:v>
      </x:c>
      <x:c r="E1085" s="14" t="str">
        <x:f>INDEX(Roster!$B$6:$B$108,MATCH(D1085,Roster!$A$6:$A$108,0))</x:f>
      </x:c>
      <x:c r="F1085" s="14" t="str">
        <x:f>INDEX(Roster!$F$6:$F$108,MATCH(D1085,Roster!$A$6:$A$108,0))</x:f>
        <x:v>No</x:v>
      </x:c>
      <x:c r="G1085" s="14" t="n">
        <x:f>INDEX(Inputs!$B$7:$D$7,1,MATCH(A1085,Inputs!$B$6:$D$6,0))</x:f>
        <x:v>13</x:v>
      </x:c>
      <x:c r="H1085" s="14" t="n">
        <x:f>MIN(=INDEX(Inputs!$B$7:$D$7,1,MATCH(A1085,Inputs!$B$6:$D$6,0)),MAX(0,INDEX(Inputs!$B$14:$D$14,1,MATCH(A1085,Inputs!$B$6:$D$6,0))-(C1085-1)*=INDEX(Inputs!$B$7:$D$7,1,MATCH(A1085,Inputs!$B$6:$D$6,0))))</x:f>
        <x:v>0</x:v>
      </x:c>
      <x:c r="I1085" s="20" t="n">
        <x:f>INDEX(Inputs!$B$8:$D$8,1,MATCH(A1085,Inputs!$B$6:$D$6,0))</x:f>
        <x:v>2395</x:v>
      </x:c>
      <x:c r="J1085" s="20" t="n">
        <x:f>INDEX(Roster!$C$6:$C$108,MATCH(D1085,Roster!$A$6:$A$108,0))*(1+INDEX(Inputs!$B$9:$D$9,1,MATCH(A1085,Inputs!$B$6:$D$6,0)))</x:f>
        <x:v>50</x:v>
      </x:c>
      <x:c r="K1085" s="20" t="n">
        <x:f>IF(=INDEX(Roster!$F$6:$F$108,MATCH(D1085,Roster!$A$6:$A$108,0))="Yes",0,=INDEX(Inputs!$B$8:$D$8,1,MATCH(A1085,Inputs!$B$6:$D$6,0))*IF(=INDEX(Roster!$B$6:$B$108,MATCH(D1085,Roster!$A$6:$A$108,0))="Principal",INDEX(Inputs!$B$10:$D$10,1,MATCH(A1085,Inputs!$B$6:$D$6,0)),IF(=INDEX(Roster!$B$6:$B$108,MATCH(D1085,Roster!$A$6:$A$108,0))="Associate Principal",INDEX(Inputs!$B$11:$D$11,1,MATCH(A1085,Inputs!$B$6:$D$6,0)),IF(=INDEX(Roster!$B$6:$B$108,MATCH(D1085,Roster!$A$6:$A$108,0))="Assistant Principal",INDEX(Inputs!$B$12:$D$12,1,MATCH(A1085,Inputs!$B$6:$D$6,0)),0))))</x:f>
        <x:v>0</x:v>
      </x:c>
      <x:c r="L1085" s="20" t="n">
        <x:f>IF(INDEX(Roster!$D$6:$D$108,MATCH(D1085,Roster!$A$6:$A$108,0))&gt;=25,INDEX(Inputs!$B$19:$D$19,1,MATCH(A1085,Inputs!$B$6:$D$6,0)),IF(INDEX(Roster!$D$6:$D$108,MATCH(D1085,Roster!$A$6:$A$108,0))&gt;=20,INDEX(Inputs!$B$18:$D$18,1,MATCH(A1085,Inputs!$B$6:$D$6,0)),IF(INDEX(Roster!$D$6:$D$108,MATCH(D1085,Roster!$A$6:$A$108,0))&gt;=15,INDEX(Inputs!$B$17:$D$17,1,MATCH(A1085,Inputs!$B$6:$D$6,0)),IF(INDEX(Roster!$D$6:$D$108,MATCH(D1085,Roster!$A$6:$A$108,0))&gt;=10,INDEX(Inputs!$B$16:$D$16,1,MATCH(A1085,Inputs!$B$6:$D$6,0)),IF(INDEX(Roster!$D$6:$D$108,MATCH(D1085,Roster!$A$6:$A$108,0))&gt;=5,INDEX(Inputs!$B$15:$D$15,1,MATCH(A1085,Inputs!$B$6:$D$6,0)),0)))))</x:f>
        <x:v>90</x:v>
      </x:c>
      <x:c r="M1085" s="20" t="n">
        <x:f>G1085*I1085</x:f>
        <x:v>31135</x:v>
      </x:c>
      <x:c r="N1085" s="20" t="n">
        <x:f>G1085*J1085</x:f>
        <x:v>650</x:v>
      </x:c>
      <x:c r="O1085" s="20" t="n">
        <x:f>G1085*K1085</x:f>
        <x:v>0</x:v>
      </x:c>
      <x:c r="P1085" s="20" t="n">
        <x:f>G1085*L1085</x:f>
        <x:v>1170</x:v>
      </x:c>
      <x:c r="Q1085" s="20" t="n">
        <x:f>H1085*INDEX(Inputs!$B$13:$D$13,1,MATCH(A1085,Inputs!$B$6:$D$6,0))</x:f>
        <x:v>0</x:v>
      </x:c>
      <x:c r="R1085" s="20" t="n">
        <x:f>SUM(M1085:Q1085)</x:f>
        <x:v>32955</x:v>
      </x:c>
      <x:c r="S1085" s="20" t="n">
        <x:f>IF(AND(A1084=A1085,D1084=D1085),S1084+R1085,R1085)</x:f>
        <x:v>132990</x:v>
      </x:c>
      <x:c r="T1085" s="20" t="n">
        <x:f>MIN(S1085,INDEX(Inputs!$B$20:$D$20,1,MATCH(A1085,Inputs!$B$6:$D$6,0)))*INDEX(Inputs!$B$22:$D$22,1,MATCH(A1085,Inputs!$B$6:$D$6,0))+MAX(MIN(S1085,INDEX(Inputs!$B$21:$D$21,1,MATCH(A1085,Inputs!$B$6:$D$6,0)))-INDEX(Inputs!$B$20:$D$20,1,MATCH(A1085,Inputs!$B$6:$D$6,0)),0)*INDEX(Inputs!$B$23:$D$23,1,MATCH(A1085,Inputs!$B$6:$D$6,0))+MAX(S1085-INDEX(Inputs!$B$21:$D$21,1,MATCH(A1085,Inputs!$B$6:$D$6,0)),0)*INDEX(Inputs!$B$24:$D$24,1,MATCH(A1085,Inputs!$B$6:$D$6,0))</x:f>
        <x:v>9842.297</x:v>
      </x:c>
      <x:c r="U1085" s="20" t="n">
        <x:f>IF(AND(A1084=A1085,D1084=D1085),T1084,0)</x:f>
        <x:v>8142.6775</x:v>
      </x:c>
      <x:c r="V1085" s="20" t="n">
        <x:f>T1085-U1085</x:f>
        <x:v>1699.6195000000007</x:v>
      </x:c>
      <x:c r="W1085" s="20" t="n">
        <x:f>R1085+V1085</x:f>
        <x:v>34654.6195</x:v>
      </x:c>
      <x:c r="X1085" s="14" t="str">
        <x:f>IF(ABS(W1085-SUM(M1085:Q1085)-V1085)&lt;0.01,"OK","Check")</x:f>
        <x:v>OK</x:v>
      </x:c>
    </x:row>
    <x:row r="1086">
      <x:c r="A1086" s="14" t="n">
        <x:v>2028</x:v>
      </x:c>
      <x:c r="B1086" s="14" t="str">
        <x:v>Q1</x:v>
      </x:c>
      <x:c r="C1086" s="14" t="n">
        <x:v>1</x:v>
      </x:c>
      <x:c r="D1086" s="14" t="n">
        <x:v>65</x:v>
      </x:c>
      <x:c r="E1086" s="14" t="str">
        <x:f>INDEX(Roster!$B$6:$B$108,MATCH(D1086,Roster!$A$6:$A$108,0))</x:f>
      </x:c>
      <x:c r="F1086" s="14" t="str">
        <x:f>INDEX(Roster!$F$6:$F$108,MATCH(D1086,Roster!$A$6:$A$108,0))</x:f>
        <x:v>No</x:v>
      </x:c>
      <x:c r="G1086" s="14" t="n">
        <x:f>INDEX(Inputs!$B$7:$D$7,1,MATCH(A1086,Inputs!$B$6:$D$6,0))</x:f>
        <x:v>13</x:v>
      </x:c>
      <x:c r="H1086" s="14" t="n">
        <x:f>MIN(=INDEX(Inputs!$B$7:$D$7,1,MATCH(A1086,Inputs!$B$6:$D$6,0)),MAX(0,INDEX(Inputs!$B$14:$D$14,1,MATCH(A1086,Inputs!$B$6:$D$6,0))-(C1086-1)*=INDEX(Inputs!$B$7:$D$7,1,MATCH(A1086,Inputs!$B$6:$D$6,0))))</x:f>
        <x:v>13</x:v>
      </x:c>
      <x:c r="I1086" s="20" t="n">
        <x:f>INDEX(Inputs!$B$8:$D$8,1,MATCH(A1086,Inputs!$B$6:$D$6,0))</x:f>
        <x:v>2395</x:v>
      </x:c>
      <x:c r="J1086" s="20" t="n">
        <x:f>INDEX(Roster!$C$6:$C$108,MATCH(D1086,Roster!$A$6:$A$108,0))*(1+INDEX(Inputs!$B$9:$D$9,1,MATCH(A1086,Inputs!$B$6:$D$6,0)))</x:f>
        <x:v>0</x:v>
      </x:c>
      <x:c r="K1086" s="20" t="n">
        <x:f>IF(=INDEX(Roster!$F$6:$F$108,MATCH(D1086,Roster!$A$6:$A$108,0))="Yes",0,=INDEX(Inputs!$B$8:$D$8,1,MATCH(A1086,Inputs!$B$6:$D$6,0))*IF(=INDEX(Roster!$B$6:$B$108,MATCH(D1086,Roster!$A$6:$A$108,0))="Principal",INDEX(Inputs!$B$10:$D$10,1,MATCH(A1086,Inputs!$B$6:$D$6,0)),IF(=INDEX(Roster!$B$6:$B$108,MATCH(D1086,Roster!$A$6:$A$108,0))="Associate Principal",INDEX(Inputs!$B$11:$D$11,1,MATCH(A1086,Inputs!$B$6:$D$6,0)),IF(=INDEX(Roster!$B$6:$B$108,MATCH(D1086,Roster!$A$6:$A$108,0))="Assistant Principal",INDEX(Inputs!$B$12:$D$12,1,MATCH(A1086,Inputs!$B$6:$D$6,0)),0))))</x:f>
        <x:v>0</x:v>
      </x:c>
      <x:c r="L1086" s="20" t="n">
        <x:f>IF(INDEX(Roster!$D$6:$D$108,MATCH(D1086,Roster!$A$6:$A$108,0))&gt;=25,INDEX(Inputs!$B$19:$D$19,1,MATCH(A1086,Inputs!$B$6:$D$6,0)),IF(INDEX(Roster!$D$6:$D$108,MATCH(D1086,Roster!$A$6:$A$108,0))&gt;=20,INDEX(Inputs!$B$18:$D$18,1,MATCH(A1086,Inputs!$B$6:$D$6,0)),IF(INDEX(Roster!$D$6:$D$108,MATCH(D1086,Roster!$A$6:$A$108,0))&gt;=15,INDEX(Inputs!$B$17:$D$17,1,MATCH(A1086,Inputs!$B$6:$D$6,0)),IF(INDEX(Roster!$D$6:$D$108,MATCH(D1086,Roster!$A$6:$A$108,0))&gt;=10,INDEX(Inputs!$B$16:$D$16,1,MATCH(A1086,Inputs!$B$6:$D$6,0)),IF(INDEX(Roster!$D$6:$D$108,MATCH(D1086,Roster!$A$6:$A$108,0))&gt;=5,INDEX(Inputs!$B$15:$D$15,1,MATCH(A1086,Inputs!$B$6:$D$6,0)),0)))))</x:f>
        <x:v>0</x:v>
      </x:c>
      <x:c r="M1086" s="20" t="n">
        <x:f>G1086*I1086</x:f>
        <x:v>31135</x:v>
      </x:c>
      <x:c r="N1086" s="20" t="n">
        <x:f>G1086*J1086</x:f>
        <x:v>0</x:v>
      </x:c>
      <x:c r="O1086" s="20" t="n">
        <x:f>G1086*K1086</x:f>
        <x:v>0</x:v>
      </x:c>
      <x:c r="P1086" s="20" t="n">
        <x:f>G1086*L1086</x:f>
        <x:v>0</x:v>
      </x:c>
      <x:c r="Q1086" s="20" t="n">
        <x:f>H1086*INDEX(Inputs!$B$13:$D$13,1,MATCH(A1086,Inputs!$B$6:$D$6,0))</x:f>
        <x:v>390</x:v>
      </x:c>
      <x:c r="R1086" s="20" t="n">
        <x:f>SUM(M1086:Q1086)</x:f>
        <x:v>31525</x:v>
      </x:c>
      <x:c r="S1086" s="20" t="n">
        <x:f>IF(AND(A1085=A1086,D1085=D1086),S1085+R1086,R1086)</x:f>
        <x:v>31525</x:v>
      </x:c>
      <x:c r="T1086" s="20" t="n">
        <x:f>MIN(S1086,INDEX(Inputs!$B$20:$D$20,1,MATCH(A1086,Inputs!$B$6:$D$6,0)))*INDEX(Inputs!$B$22:$D$22,1,MATCH(A1086,Inputs!$B$6:$D$6,0))+MAX(MIN(S1086,INDEX(Inputs!$B$21:$D$21,1,MATCH(A1086,Inputs!$B$6:$D$6,0)))-INDEX(Inputs!$B$20:$D$20,1,MATCH(A1086,Inputs!$B$6:$D$6,0)),0)*INDEX(Inputs!$B$23:$D$23,1,MATCH(A1086,Inputs!$B$6:$D$6,0))+MAX(S1086-INDEX(Inputs!$B$21:$D$21,1,MATCH(A1086,Inputs!$B$6:$D$6,0)),0)*INDEX(Inputs!$B$24:$D$24,1,MATCH(A1086,Inputs!$B$6:$D$6,0))</x:f>
        <x:v>2901.6625</x:v>
      </x:c>
      <x:c r="U1086" s="20" t="n">
        <x:f>IF(AND(A1085=A1086,D1085=D1086),T1085,0)</x:f>
        <x:v>0</x:v>
      </x:c>
      <x:c r="V1086" s="20" t="n">
        <x:f>T1086-U1086</x:f>
        <x:v>2901.6625</x:v>
      </x:c>
      <x:c r="W1086" s="20" t="n">
        <x:f>R1086+V1086</x:f>
        <x:v>34426.6625</x:v>
      </x:c>
      <x:c r="X1086" s="14" t="str">
        <x:f>IF(ABS(W1086-SUM(M1086:Q1086)-V1086)&lt;0.01,"OK","Check")</x:f>
        <x:v>OK</x:v>
      </x:c>
    </x:row>
    <x:row r="1087">
      <x:c r="A1087" s="14" t="n">
        <x:v>2028</x:v>
      </x:c>
      <x:c r="B1087" s="14" t="str">
        <x:v>Q2</x:v>
      </x:c>
      <x:c r="C1087" s="14" t="n">
        <x:v>2</x:v>
      </x:c>
      <x:c r="D1087" s="14" t="n">
        <x:v>65</x:v>
      </x:c>
      <x:c r="E1087" s="14" t="str">
        <x:f>INDEX(Roster!$B$6:$B$108,MATCH(D1087,Roster!$A$6:$A$108,0))</x:f>
      </x:c>
      <x:c r="F1087" s="14" t="str">
        <x:f>INDEX(Roster!$F$6:$F$108,MATCH(D1087,Roster!$A$6:$A$108,0))</x:f>
        <x:v>No</x:v>
      </x:c>
      <x:c r="G1087" s="14" t="n">
        <x:f>INDEX(Inputs!$B$7:$D$7,1,MATCH(A1087,Inputs!$B$6:$D$6,0))</x:f>
        <x:v>13</x:v>
      </x:c>
      <x:c r="H1087" s="14" t="n">
        <x:f>MIN(=INDEX(Inputs!$B$7:$D$7,1,MATCH(A1087,Inputs!$B$6:$D$6,0)),MAX(0,INDEX(Inputs!$B$14:$D$14,1,MATCH(A1087,Inputs!$B$6:$D$6,0))-(C1087-1)*=INDEX(Inputs!$B$7:$D$7,1,MATCH(A1087,Inputs!$B$6:$D$6,0))))</x:f>
        <x:v>13</x:v>
      </x:c>
      <x:c r="I1087" s="20" t="n">
        <x:f>INDEX(Inputs!$B$8:$D$8,1,MATCH(A1087,Inputs!$B$6:$D$6,0))</x:f>
        <x:v>2395</x:v>
      </x:c>
      <x:c r="J1087" s="20" t="n">
        <x:f>INDEX(Roster!$C$6:$C$108,MATCH(D1087,Roster!$A$6:$A$108,0))*(1+INDEX(Inputs!$B$9:$D$9,1,MATCH(A1087,Inputs!$B$6:$D$6,0)))</x:f>
        <x:v>0</x:v>
      </x:c>
      <x:c r="K1087" s="20" t="n">
        <x:f>IF(=INDEX(Roster!$F$6:$F$108,MATCH(D1087,Roster!$A$6:$A$108,0))="Yes",0,=INDEX(Inputs!$B$8:$D$8,1,MATCH(A1087,Inputs!$B$6:$D$6,0))*IF(=INDEX(Roster!$B$6:$B$108,MATCH(D1087,Roster!$A$6:$A$108,0))="Principal",INDEX(Inputs!$B$10:$D$10,1,MATCH(A1087,Inputs!$B$6:$D$6,0)),IF(=INDEX(Roster!$B$6:$B$108,MATCH(D1087,Roster!$A$6:$A$108,0))="Associate Principal",INDEX(Inputs!$B$11:$D$11,1,MATCH(A1087,Inputs!$B$6:$D$6,0)),IF(=INDEX(Roster!$B$6:$B$108,MATCH(D1087,Roster!$A$6:$A$108,0))="Assistant Principal",INDEX(Inputs!$B$12:$D$12,1,MATCH(A1087,Inputs!$B$6:$D$6,0)),0))))</x:f>
        <x:v>0</x:v>
      </x:c>
      <x:c r="L1087" s="20" t="n">
        <x:f>IF(INDEX(Roster!$D$6:$D$108,MATCH(D1087,Roster!$A$6:$A$108,0))&gt;=25,INDEX(Inputs!$B$19:$D$19,1,MATCH(A1087,Inputs!$B$6:$D$6,0)),IF(INDEX(Roster!$D$6:$D$108,MATCH(D1087,Roster!$A$6:$A$108,0))&gt;=20,INDEX(Inputs!$B$18:$D$18,1,MATCH(A1087,Inputs!$B$6:$D$6,0)),IF(INDEX(Roster!$D$6:$D$108,MATCH(D1087,Roster!$A$6:$A$108,0))&gt;=15,INDEX(Inputs!$B$17:$D$17,1,MATCH(A1087,Inputs!$B$6:$D$6,0)),IF(INDEX(Roster!$D$6:$D$108,MATCH(D1087,Roster!$A$6:$A$108,0))&gt;=10,INDEX(Inputs!$B$16:$D$16,1,MATCH(A1087,Inputs!$B$6:$D$6,0)),IF(INDEX(Roster!$D$6:$D$108,MATCH(D1087,Roster!$A$6:$A$108,0))&gt;=5,INDEX(Inputs!$B$15:$D$15,1,MATCH(A1087,Inputs!$B$6:$D$6,0)),0)))))</x:f>
        <x:v>0</x:v>
      </x:c>
      <x:c r="M1087" s="20" t="n">
        <x:f>G1087*I1087</x:f>
        <x:v>31135</x:v>
      </x:c>
      <x:c r="N1087" s="20" t="n">
        <x:f>G1087*J1087</x:f>
        <x:v>0</x:v>
      </x:c>
      <x:c r="O1087" s="20" t="n">
        <x:f>G1087*K1087</x:f>
        <x:v>0</x:v>
      </x:c>
      <x:c r="P1087" s="20" t="n">
        <x:f>G1087*L1087</x:f>
        <x:v>0</x:v>
      </x:c>
      <x:c r="Q1087" s="20" t="n">
        <x:f>H1087*INDEX(Inputs!$B$13:$D$13,1,MATCH(A1087,Inputs!$B$6:$D$6,0))</x:f>
        <x:v>390</x:v>
      </x:c>
      <x:c r="R1087" s="20" t="n">
        <x:f>SUM(M1087:Q1087)</x:f>
        <x:v>31525</x:v>
      </x:c>
      <x:c r="S1087" s="20" t="n">
        <x:f>IF(AND(A1086=A1087,D1086=D1087),S1086+R1087,R1087)</x:f>
        <x:v>63050</x:v>
      </x:c>
      <x:c r="T1087" s="20" t="n">
        <x:f>MIN(S1087,INDEX(Inputs!$B$20:$D$20,1,MATCH(A1087,Inputs!$B$6:$D$6,0)))*INDEX(Inputs!$B$22:$D$22,1,MATCH(A1087,Inputs!$B$6:$D$6,0))+MAX(MIN(S1087,INDEX(Inputs!$B$21:$D$21,1,MATCH(A1087,Inputs!$B$6:$D$6,0)))-INDEX(Inputs!$B$20:$D$20,1,MATCH(A1087,Inputs!$B$6:$D$6,0)),0)*INDEX(Inputs!$B$23:$D$23,1,MATCH(A1087,Inputs!$B$6:$D$6,0))+MAX(S1087-INDEX(Inputs!$B$21:$D$21,1,MATCH(A1087,Inputs!$B$6:$D$6,0)),0)*INDEX(Inputs!$B$24:$D$24,1,MATCH(A1087,Inputs!$B$6:$D$6,0))</x:f>
        <x:v>5313.325</x:v>
      </x:c>
      <x:c r="U1087" s="20" t="n">
        <x:f>IF(AND(A1086=A1087,D1086=D1087),T1086,0)</x:f>
        <x:v>2901.6625</x:v>
      </x:c>
      <x:c r="V1087" s="20" t="n">
        <x:f>T1087-U1087</x:f>
        <x:v>2411.6625</x:v>
      </x:c>
      <x:c r="W1087" s="20" t="n">
        <x:f>R1087+V1087</x:f>
        <x:v>33936.6625</x:v>
      </x:c>
      <x:c r="X1087" s="14" t="str">
        <x:f>IF(ABS(W1087-SUM(M1087:Q1087)-V1087)&lt;0.01,"OK","Check")</x:f>
        <x:v>OK</x:v>
      </x:c>
    </x:row>
    <x:row r="1088">
      <x:c r="A1088" s="14" t="n">
        <x:v>2028</x:v>
      </x:c>
      <x:c r="B1088" s="14" t="str">
        <x:v>Q3</x:v>
      </x:c>
      <x:c r="C1088" s="14" t="n">
        <x:v>3</x:v>
      </x:c>
      <x:c r="D1088" s="14" t="n">
        <x:v>65</x:v>
      </x:c>
      <x:c r="E1088" s="14" t="str">
        <x:f>INDEX(Roster!$B$6:$B$108,MATCH(D1088,Roster!$A$6:$A$108,0))</x:f>
      </x:c>
      <x:c r="F1088" s="14" t="str">
        <x:f>INDEX(Roster!$F$6:$F$108,MATCH(D1088,Roster!$A$6:$A$108,0))</x:f>
        <x:v>No</x:v>
      </x:c>
      <x:c r="G1088" s="14" t="n">
        <x:f>INDEX(Inputs!$B$7:$D$7,1,MATCH(A1088,Inputs!$B$6:$D$6,0))</x:f>
        <x:v>13</x:v>
      </x:c>
      <x:c r="H1088" s="14" t="n">
        <x:f>MIN(=INDEX(Inputs!$B$7:$D$7,1,MATCH(A1088,Inputs!$B$6:$D$6,0)),MAX(0,INDEX(Inputs!$B$14:$D$14,1,MATCH(A1088,Inputs!$B$6:$D$6,0))-(C1088-1)*=INDEX(Inputs!$B$7:$D$7,1,MATCH(A1088,Inputs!$B$6:$D$6,0))))</x:f>
        <x:v>13</x:v>
      </x:c>
      <x:c r="I1088" s="20" t="n">
        <x:f>INDEX(Inputs!$B$8:$D$8,1,MATCH(A1088,Inputs!$B$6:$D$6,0))</x:f>
        <x:v>2395</x:v>
      </x:c>
      <x:c r="J1088" s="20" t="n">
        <x:f>INDEX(Roster!$C$6:$C$108,MATCH(D1088,Roster!$A$6:$A$108,0))*(1+INDEX(Inputs!$B$9:$D$9,1,MATCH(A1088,Inputs!$B$6:$D$6,0)))</x:f>
        <x:v>0</x:v>
      </x:c>
      <x:c r="K1088" s="20" t="n">
        <x:f>IF(=INDEX(Roster!$F$6:$F$108,MATCH(D1088,Roster!$A$6:$A$108,0))="Yes",0,=INDEX(Inputs!$B$8:$D$8,1,MATCH(A1088,Inputs!$B$6:$D$6,0))*IF(=INDEX(Roster!$B$6:$B$108,MATCH(D1088,Roster!$A$6:$A$108,0))="Principal",INDEX(Inputs!$B$10:$D$10,1,MATCH(A1088,Inputs!$B$6:$D$6,0)),IF(=INDEX(Roster!$B$6:$B$108,MATCH(D1088,Roster!$A$6:$A$108,0))="Associate Principal",INDEX(Inputs!$B$11:$D$11,1,MATCH(A1088,Inputs!$B$6:$D$6,0)),IF(=INDEX(Roster!$B$6:$B$108,MATCH(D1088,Roster!$A$6:$A$108,0))="Assistant Principal",INDEX(Inputs!$B$12:$D$12,1,MATCH(A1088,Inputs!$B$6:$D$6,0)),0))))</x:f>
        <x:v>0</x:v>
      </x:c>
      <x:c r="L1088" s="20" t="n">
        <x:f>IF(INDEX(Roster!$D$6:$D$108,MATCH(D1088,Roster!$A$6:$A$108,0))&gt;=25,INDEX(Inputs!$B$19:$D$19,1,MATCH(A1088,Inputs!$B$6:$D$6,0)),IF(INDEX(Roster!$D$6:$D$108,MATCH(D1088,Roster!$A$6:$A$108,0))&gt;=20,INDEX(Inputs!$B$18:$D$18,1,MATCH(A1088,Inputs!$B$6:$D$6,0)),IF(INDEX(Roster!$D$6:$D$108,MATCH(D1088,Roster!$A$6:$A$108,0))&gt;=15,INDEX(Inputs!$B$17:$D$17,1,MATCH(A1088,Inputs!$B$6:$D$6,0)),IF(INDEX(Roster!$D$6:$D$108,MATCH(D1088,Roster!$A$6:$A$108,0))&gt;=10,INDEX(Inputs!$B$16:$D$16,1,MATCH(A1088,Inputs!$B$6:$D$6,0)),IF(INDEX(Roster!$D$6:$D$108,MATCH(D1088,Roster!$A$6:$A$108,0))&gt;=5,INDEX(Inputs!$B$15:$D$15,1,MATCH(A1088,Inputs!$B$6:$D$6,0)),0)))))</x:f>
        <x:v>0</x:v>
      </x:c>
      <x:c r="M1088" s="20" t="n">
        <x:f>G1088*I1088</x:f>
        <x:v>31135</x:v>
      </x:c>
      <x:c r="N1088" s="20" t="n">
        <x:f>G1088*J1088</x:f>
        <x:v>0</x:v>
      </x:c>
      <x:c r="O1088" s="20" t="n">
        <x:f>G1088*K1088</x:f>
        <x:v>0</x:v>
      </x:c>
      <x:c r="P1088" s="20" t="n">
        <x:f>G1088*L1088</x:f>
        <x:v>0</x:v>
      </x:c>
      <x:c r="Q1088" s="20" t="n">
        <x:f>H1088*INDEX(Inputs!$B$13:$D$13,1,MATCH(A1088,Inputs!$B$6:$D$6,0))</x:f>
        <x:v>390</x:v>
      </x:c>
      <x:c r="R1088" s="20" t="n">
        <x:f>SUM(M1088:Q1088)</x:f>
        <x:v>31525</x:v>
      </x:c>
      <x:c r="S1088" s="20" t="n">
        <x:f>IF(AND(A1087=A1088,D1087=D1088),S1087+R1088,R1088)</x:f>
        <x:v>94575</x:v>
      </x:c>
      <x:c r="T1088" s="20" t="n">
        <x:f>MIN(S1088,INDEX(Inputs!$B$20:$D$20,1,MATCH(A1088,Inputs!$B$6:$D$6,0)))*INDEX(Inputs!$B$22:$D$22,1,MATCH(A1088,Inputs!$B$6:$D$6,0))+MAX(MIN(S1088,INDEX(Inputs!$B$21:$D$21,1,MATCH(A1088,Inputs!$B$6:$D$6,0)))-INDEX(Inputs!$B$20:$D$20,1,MATCH(A1088,Inputs!$B$6:$D$6,0)),0)*INDEX(Inputs!$B$23:$D$23,1,MATCH(A1088,Inputs!$B$6:$D$6,0))+MAX(S1088-INDEX(Inputs!$B$21:$D$21,1,MATCH(A1088,Inputs!$B$6:$D$6,0)),0)*INDEX(Inputs!$B$24:$D$24,1,MATCH(A1088,Inputs!$B$6:$D$6,0))</x:f>
        <x:v>7724.9875</x:v>
      </x:c>
      <x:c r="U1088" s="20" t="n">
        <x:f>IF(AND(A1087=A1088,D1087=D1088),T1087,0)</x:f>
        <x:v>5313.325</x:v>
      </x:c>
      <x:c r="V1088" s="20" t="n">
        <x:f>T1088-U1088</x:f>
        <x:v>2411.6625000000004</x:v>
      </x:c>
      <x:c r="W1088" s="20" t="n">
        <x:f>R1088+V1088</x:f>
        <x:v>33936.6625</x:v>
      </x:c>
      <x:c r="X1088" s="14" t="str">
        <x:f>IF(ABS(W1088-SUM(M1088:Q1088)-V1088)&lt;0.01,"OK","Check")</x:f>
        <x:v>OK</x:v>
      </x:c>
    </x:row>
    <x:row r="1089">
      <x:c r="A1089" s="14" t="n">
        <x:v>2028</x:v>
      </x:c>
      <x:c r="B1089" s="14" t="str">
        <x:v>Q4</x:v>
      </x:c>
      <x:c r="C1089" s="14" t="n">
        <x:v>4</x:v>
      </x:c>
      <x:c r="D1089" s="14" t="n">
        <x:v>65</x:v>
      </x:c>
      <x:c r="E1089" s="14" t="str">
        <x:f>INDEX(Roster!$B$6:$B$108,MATCH(D1089,Roster!$A$6:$A$108,0))</x:f>
      </x:c>
      <x:c r="F1089" s="14" t="str">
        <x:f>INDEX(Roster!$F$6:$F$108,MATCH(D1089,Roster!$A$6:$A$108,0))</x:f>
        <x:v>No</x:v>
      </x:c>
      <x:c r="G1089" s="14" t="n">
        <x:f>INDEX(Inputs!$B$7:$D$7,1,MATCH(A1089,Inputs!$B$6:$D$6,0))</x:f>
        <x:v>13</x:v>
      </x:c>
      <x:c r="H1089" s="14" t="n">
        <x:f>MIN(=INDEX(Inputs!$B$7:$D$7,1,MATCH(A1089,Inputs!$B$6:$D$6,0)),MAX(0,INDEX(Inputs!$B$14:$D$14,1,MATCH(A1089,Inputs!$B$6:$D$6,0))-(C1089-1)*=INDEX(Inputs!$B$7:$D$7,1,MATCH(A1089,Inputs!$B$6:$D$6,0))))</x:f>
        <x:v>0</x:v>
      </x:c>
      <x:c r="I1089" s="20" t="n">
        <x:f>INDEX(Inputs!$B$8:$D$8,1,MATCH(A1089,Inputs!$B$6:$D$6,0))</x:f>
        <x:v>2395</x:v>
      </x:c>
      <x:c r="J1089" s="20" t="n">
        <x:f>INDEX(Roster!$C$6:$C$108,MATCH(D1089,Roster!$A$6:$A$108,0))*(1+INDEX(Inputs!$B$9:$D$9,1,MATCH(A1089,Inputs!$B$6:$D$6,0)))</x:f>
        <x:v>0</x:v>
      </x:c>
      <x:c r="K1089" s="20" t="n">
        <x:f>IF(=INDEX(Roster!$F$6:$F$108,MATCH(D1089,Roster!$A$6:$A$108,0))="Yes",0,=INDEX(Inputs!$B$8:$D$8,1,MATCH(A1089,Inputs!$B$6:$D$6,0))*IF(=INDEX(Roster!$B$6:$B$108,MATCH(D1089,Roster!$A$6:$A$108,0))="Principal",INDEX(Inputs!$B$10:$D$10,1,MATCH(A1089,Inputs!$B$6:$D$6,0)),IF(=INDEX(Roster!$B$6:$B$108,MATCH(D1089,Roster!$A$6:$A$108,0))="Associate Principal",INDEX(Inputs!$B$11:$D$11,1,MATCH(A1089,Inputs!$B$6:$D$6,0)),IF(=INDEX(Roster!$B$6:$B$108,MATCH(D1089,Roster!$A$6:$A$108,0))="Assistant Principal",INDEX(Inputs!$B$12:$D$12,1,MATCH(A1089,Inputs!$B$6:$D$6,0)),0))))</x:f>
        <x:v>0</x:v>
      </x:c>
      <x:c r="L1089" s="20" t="n">
        <x:f>IF(INDEX(Roster!$D$6:$D$108,MATCH(D1089,Roster!$A$6:$A$108,0))&gt;=25,INDEX(Inputs!$B$19:$D$19,1,MATCH(A1089,Inputs!$B$6:$D$6,0)),IF(INDEX(Roster!$D$6:$D$108,MATCH(D1089,Roster!$A$6:$A$108,0))&gt;=20,INDEX(Inputs!$B$18:$D$18,1,MATCH(A1089,Inputs!$B$6:$D$6,0)),IF(INDEX(Roster!$D$6:$D$108,MATCH(D1089,Roster!$A$6:$A$108,0))&gt;=15,INDEX(Inputs!$B$17:$D$17,1,MATCH(A1089,Inputs!$B$6:$D$6,0)),IF(INDEX(Roster!$D$6:$D$108,MATCH(D1089,Roster!$A$6:$A$108,0))&gt;=10,INDEX(Inputs!$B$16:$D$16,1,MATCH(A1089,Inputs!$B$6:$D$6,0)),IF(INDEX(Roster!$D$6:$D$108,MATCH(D1089,Roster!$A$6:$A$108,0))&gt;=5,INDEX(Inputs!$B$15:$D$15,1,MATCH(A1089,Inputs!$B$6:$D$6,0)),0)))))</x:f>
        <x:v>0</x:v>
      </x:c>
      <x:c r="M1089" s="20" t="n">
        <x:f>G1089*I1089</x:f>
        <x:v>31135</x:v>
      </x:c>
      <x:c r="N1089" s="20" t="n">
        <x:f>G1089*J1089</x:f>
        <x:v>0</x:v>
      </x:c>
      <x:c r="O1089" s="20" t="n">
        <x:f>G1089*K1089</x:f>
        <x:v>0</x:v>
      </x:c>
      <x:c r="P1089" s="20" t="n">
        <x:f>G1089*L1089</x:f>
        <x:v>0</x:v>
      </x:c>
      <x:c r="Q1089" s="20" t="n">
        <x:f>H1089*INDEX(Inputs!$B$13:$D$13,1,MATCH(A1089,Inputs!$B$6:$D$6,0))</x:f>
        <x:v>0</x:v>
      </x:c>
      <x:c r="R1089" s="20" t="n">
        <x:f>SUM(M1089:Q1089)</x:f>
        <x:v>31135</x:v>
      </x:c>
      <x:c r="S1089" s="20" t="n">
        <x:f>IF(AND(A1088=A1089,D1088=D1089),S1088+R1089,R1089)</x:f>
        <x:v>125710</x:v>
      </x:c>
      <x:c r="T1089" s="20" t="n">
        <x:f>MIN(S1089,INDEX(Inputs!$B$20:$D$20,1,MATCH(A1089,Inputs!$B$6:$D$6,0)))*INDEX(Inputs!$B$22:$D$22,1,MATCH(A1089,Inputs!$B$6:$D$6,0))+MAX(MIN(S1089,INDEX(Inputs!$B$21:$D$21,1,MATCH(A1089,Inputs!$B$6:$D$6,0)))-INDEX(Inputs!$B$20:$D$20,1,MATCH(A1089,Inputs!$B$6:$D$6,0)),0)*INDEX(Inputs!$B$23:$D$23,1,MATCH(A1089,Inputs!$B$6:$D$6,0))+MAX(S1089-INDEX(Inputs!$B$21:$D$21,1,MATCH(A1089,Inputs!$B$6:$D$6,0)),0)*INDEX(Inputs!$B$24:$D$24,1,MATCH(A1089,Inputs!$B$6:$D$6,0))</x:f>
        <x:v>9736.737</x:v>
      </x:c>
      <x:c r="U1089" s="20" t="n">
        <x:f>IF(AND(A1088=A1089,D1088=D1089),T1088,0)</x:f>
        <x:v>7724.9875</x:v>
      </x:c>
      <x:c r="V1089" s="20" t="n">
        <x:f>T1089-U1089</x:f>
        <x:v>2011.749499999999</x:v>
      </x:c>
      <x:c r="W1089" s="20" t="n">
        <x:f>R1089+V1089</x:f>
        <x:v>33146.7495</x:v>
      </x:c>
      <x:c r="X1089" s="14" t="str">
        <x:f>IF(ABS(W1089-SUM(M1089:Q1089)-V1089)&lt;0.01,"OK","Check")</x:f>
        <x:v>OK</x:v>
      </x:c>
    </x:row>
    <x:row r="1090">
      <x:c r="A1090" s="14" t="n">
        <x:v>2028</x:v>
      </x:c>
      <x:c r="B1090" s="14" t="str">
        <x:v>Q1</x:v>
      </x:c>
      <x:c r="C1090" s="14" t="n">
        <x:v>1</x:v>
      </x:c>
      <x:c r="D1090" s="14" t="n">
        <x:v>66</x:v>
      </x:c>
      <x:c r="E1090" s="14" t="str">
        <x:f>INDEX(Roster!$B$6:$B$108,MATCH(D1090,Roster!$A$6:$A$108,0))</x:f>
      </x:c>
      <x:c r="F1090" s="14" t="str">
        <x:f>INDEX(Roster!$F$6:$F$108,MATCH(D1090,Roster!$A$6:$A$108,0))</x:f>
        <x:v>No</x:v>
      </x:c>
      <x:c r="G1090" s="14" t="n">
        <x:f>INDEX(Inputs!$B$7:$D$7,1,MATCH(A1090,Inputs!$B$6:$D$6,0))</x:f>
        <x:v>13</x:v>
      </x:c>
      <x:c r="H1090" s="14" t="n">
        <x:f>MIN(=INDEX(Inputs!$B$7:$D$7,1,MATCH(A1090,Inputs!$B$6:$D$6,0)),MAX(0,INDEX(Inputs!$B$14:$D$14,1,MATCH(A1090,Inputs!$B$6:$D$6,0))-(C1090-1)*=INDEX(Inputs!$B$7:$D$7,1,MATCH(A1090,Inputs!$B$6:$D$6,0))))</x:f>
        <x:v>13</x:v>
      </x:c>
      <x:c r="I1090" s="20" t="n">
        <x:f>INDEX(Inputs!$B$8:$D$8,1,MATCH(A1090,Inputs!$B$6:$D$6,0))</x:f>
        <x:v>2395</x:v>
      </x:c>
      <x:c r="J1090" s="20" t="n">
        <x:f>INDEX(Roster!$C$6:$C$108,MATCH(D1090,Roster!$A$6:$A$108,0))*(1+INDEX(Inputs!$B$9:$D$9,1,MATCH(A1090,Inputs!$B$6:$D$6,0)))</x:f>
        <x:v>65</x:v>
      </x:c>
      <x:c r="K1090" s="20" t="n">
        <x:f>IF(=INDEX(Roster!$F$6:$F$108,MATCH(D1090,Roster!$A$6:$A$108,0))="Yes",0,=INDEX(Inputs!$B$8:$D$8,1,MATCH(A1090,Inputs!$B$6:$D$6,0))*IF(=INDEX(Roster!$B$6:$B$108,MATCH(D1090,Roster!$A$6:$A$108,0))="Principal",INDEX(Inputs!$B$10:$D$10,1,MATCH(A1090,Inputs!$B$6:$D$6,0)),IF(=INDEX(Roster!$B$6:$B$108,MATCH(D1090,Roster!$A$6:$A$108,0))="Associate Principal",INDEX(Inputs!$B$11:$D$11,1,MATCH(A1090,Inputs!$B$6:$D$6,0)),IF(=INDEX(Roster!$B$6:$B$108,MATCH(D1090,Roster!$A$6:$A$108,0))="Assistant Principal",INDEX(Inputs!$B$12:$D$12,1,MATCH(A1090,Inputs!$B$6:$D$6,0)),0))))</x:f>
        <x:v>0</x:v>
      </x:c>
      <x:c r="L1090" s="20" t="n">
        <x:f>IF(INDEX(Roster!$D$6:$D$108,MATCH(D1090,Roster!$A$6:$A$108,0))&gt;=25,INDEX(Inputs!$B$19:$D$19,1,MATCH(A1090,Inputs!$B$6:$D$6,0)),IF(INDEX(Roster!$D$6:$D$108,MATCH(D1090,Roster!$A$6:$A$108,0))&gt;=20,INDEX(Inputs!$B$18:$D$18,1,MATCH(A1090,Inputs!$B$6:$D$6,0)),IF(INDEX(Roster!$D$6:$D$108,MATCH(D1090,Roster!$A$6:$A$108,0))&gt;=15,INDEX(Inputs!$B$17:$D$17,1,MATCH(A1090,Inputs!$B$6:$D$6,0)),IF(INDEX(Roster!$D$6:$D$108,MATCH(D1090,Roster!$A$6:$A$108,0))&gt;=10,INDEX(Inputs!$B$16:$D$16,1,MATCH(A1090,Inputs!$B$6:$D$6,0)),IF(INDEX(Roster!$D$6:$D$108,MATCH(D1090,Roster!$A$6:$A$108,0))&gt;=5,INDEX(Inputs!$B$15:$D$15,1,MATCH(A1090,Inputs!$B$6:$D$6,0)),0)))))</x:f>
        <x:v>70</x:v>
      </x:c>
      <x:c r="M1090" s="20" t="n">
        <x:f>G1090*I1090</x:f>
        <x:v>31135</x:v>
      </x:c>
      <x:c r="N1090" s="20" t="n">
        <x:f>G1090*J1090</x:f>
        <x:v>845</x:v>
      </x:c>
      <x:c r="O1090" s="20" t="n">
        <x:f>G1090*K1090</x:f>
        <x:v>0</x:v>
      </x:c>
      <x:c r="P1090" s="20" t="n">
        <x:f>G1090*L1090</x:f>
        <x:v>910</x:v>
      </x:c>
      <x:c r="Q1090" s="20" t="n">
        <x:f>H1090*INDEX(Inputs!$B$13:$D$13,1,MATCH(A1090,Inputs!$B$6:$D$6,0))</x:f>
        <x:v>390</x:v>
      </x:c>
      <x:c r="R1090" s="20" t="n">
        <x:f>SUM(M1090:Q1090)</x:f>
        <x:v>33280</x:v>
      </x:c>
      <x:c r="S1090" s="20" t="n">
        <x:f>IF(AND(A1089=A1090,D1089=D1090),S1089+R1090,R1090)</x:f>
        <x:v>33280</x:v>
      </x:c>
      <x:c r="T1090" s="20" t="n">
        <x:f>MIN(S1090,INDEX(Inputs!$B$20:$D$20,1,MATCH(A1090,Inputs!$B$6:$D$6,0)))*INDEX(Inputs!$B$22:$D$22,1,MATCH(A1090,Inputs!$B$6:$D$6,0))+MAX(MIN(S1090,INDEX(Inputs!$B$21:$D$21,1,MATCH(A1090,Inputs!$B$6:$D$6,0)))-INDEX(Inputs!$B$20:$D$20,1,MATCH(A1090,Inputs!$B$6:$D$6,0)),0)*INDEX(Inputs!$B$23:$D$23,1,MATCH(A1090,Inputs!$B$6:$D$6,0))+MAX(S1090-INDEX(Inputs!$B$21:$D$21,1,MATCH(A1090,Inputs!$B$6:$D$6,0)),0)*INDEX(Inputs!$B$24:$D$24,1,MATCH(A1090,Inputs!$B$6:$D$6,0))</x:f>
        <x:v>3035.92</x:v>
      </x:c>
      <x:c r="U1090" s="20" t="n">
        <x:f>IF(AND(A1089=A1090,D1089=D1090),T1089,0)</x:f>
        <x:v>0</x:v>
      </x:c>
      <x:c r="V1090" s="20" t="n">
        <x:f>T1090-U1090</x:f>
        <x:v>3035.92</x:v>
      </x:c>
      <x:c r="W1090" s="20" t="n">
        <x:f>R1090+V1090</x:f>
        <x:v>36315.92</x:v>
      </x:c>
      <x:c r="X1090" s="14" t="str">
        <x:f>IF(ABS(W1090-SUM(M1090:Q1090)-V1090)&lt;0.01,"OK","Check")</x:f>
        <x:v>OK</x:v>
      </x:c>
    </x:row>
    <x:row r="1091">
      <x:c r="A1091" s="14" t="n">
        <x:v>2028</x:v>
      </x:c>
      <x:c r="B1091" s="14" t="str">
        <x:v>Q2</x:v>
      </x:c>
      <x:c r="C1091" s="14" t="n">
        <x:v>2</x:v>
      </x:c>
      <x:c r="D1091" s="14" t="n">
        <x:v>66</x:v>
      </x:c>
      <x:c r="E1091" s="14" t="str">
        <x:f>INDEX(Roster!$B$6:$B$108,MATCH(D1091,Roster!$A$6:$A$108,0))</x:f>
      </x:c>
      <x:c r="F1091" s="14" t="str">
        <x:f>INDEX(Roster!$F$6:$F$108,MATCH(D1091,Roster!$A$6:$A$108,0))</x:f>
        <x:v>No</x:v>
      </x:c>
      <x:c r="G1091" s="14" t="n">
        <x:f>INDEX(Inputs!$B$7:$D$7,1,MATCH(A1091,Inputs!$B$6:$D$6,0))</x:f>
        <x:v>13</x:v>
      </x:c>
      <x:c r="H1091" s="14" t="n">
        <x:f>MIN(=INDEX(Inputs!$B$7:$D$7,1,MATCH(A1091,Inputs!$B$6:$D$6,0)),MAX(0,INDEX(Inputs!$B$14:$D$14,1,MATCH(A1091,Inputs!$B$6:$D$6,0))-(C1091-1)*=INDEX(Inputs!$B$7:$D$7,1,MATCH(A1091,Inputs!$B$6:$D$6,0))))</x:f>
        <x:v>13</x:v>
      </x:c>
      <x:c r="I1091" s="20" t="n">
        <x:f>INDEX(Inputs!$B$8:$D$8,1,MATCH(A1091,Inputs!$B$6:$D$6,0))</x:f>
        <x:v>2395</x:v>
      </x:c>
      <x:c r="J1091" s="20" t="n">
        <x:f>INDEX(Roster!$C$6:$C$108,MATCH(D1091,Roster!$A$6:$A$108,0))*(1+INDEX(Inputs!$B$9:$D$9,1,MATCH(A1091,Inputs!$B$6:$D$6,0)))</x:f>
        <x:v>65</x:v>
      </x:c>
      <x:c r="K1091" s="20" t="n">
        <x:f>IF(=INDEX(Roster!$F$6:$F$108,MATCH(D1091,Roster!$A$6:$A$108,0))="Yes",0,=INDEX(Inputs!$B$8:$D$8,1,MATCH(A1091,Inputs!$B$6:$D$6,0))*IF(=INDEX(Roster!$B$6:$B$108,MATCH(D1091,Roster!$A$6:$A$108,0))="Principal",INDEX(Inputs!$B$10:$D$10,1,MATCH(A1091,Inputs!$B$6:$D$6,0)),IF(=INDEX(Roster!$B$6:$B$108,MATCH(D1091,Roster!$A$6:$A$108,0))="Associate Principal",INDEX(Inputs!$B$11:$D$11,1,MATCH(A1091,Inputs!$B$6:$D$6,0)),IF(=INDEX(Roster!$B$6:$B$108,MATCH(D1091,Roster!$A$6:$A$108,0))="Assistant Principal",INDEX(Inputs!$B$12:$D$12,1,MATCH(A1091,Inputs!$B$6:$D$6,0)),0))))</x:f>
        <x:v>0</x:v>
      </x:c>
      <x:c r="L1091" s="20" t="n">
        <x:f>IF(INDEX(Roster!$D$6:$D$108,MATCH(D1091,Roster!$A$6:$A$108,0))&gt;=25,INDEX(Inputs!$B$19:$D$19,1,MATCH(A1091,Inputs!$B$6:$D$6,0)),IF(INDEX(Roster!$D$6:$D$108,MATCH(D1091,Roster!$A$6:$A$108,0))&gt;=20,INDEX(Inputs!$B$18:$D$18,1,MATCH(A1091,Inputs!$B$6:$D$6,0)),IF(INDEX(Roster!$D$6:$D$108,MATCH(D1091,Roster!$A$6:$A$108,0))&gt;=15,INDEX(Inputs!$B$17:$D$17,1,MATCH(A1091,Inputs!$B$6:$D$6,0)),IF(INDEX(Roster!$D$6:$D$108,MATCH(D1091,Roster!$A$6:$A$108,0))&gt;=10,INDEX(Inputs!$B$16:$D$16,1,MATCH(A1091,Inputs!$B$6:$D$6,0)),IF(INDEX(Roster!$D$6:$D$108,MATCH(D1091,Roster!$A$6:$A$108,0))&gt;=5,INDEX(Inputs!$B$15:$D$15,1,MATCH(A1091,Inputs!$B$6:$D$6,0)),0)))))</x:f>
        <x:v>70</x:v>
      </x:c>
      <x:c r="M1091" s="20" t="n">
        <x:f>G1091*I1091</x:f>
        <x:v>31135</x:v>
      </x:c>
      <x:c r="N1091" s="20" t="n">
        <x:f>G1091*J1091</x:f>
        <x:v>845</x:v>
      </x:c>
      <x:c r="O1091" s="20" t="n">
        <x:f>G1091*K1091</x:f>
        <x:v>0</x:v>
      </x:c>
      <x:c r="P1091" s="20" t="n">
        <x:f>G1091*L1091</x:f>
        <x:v>910</x:v>
      </x:c>
      <x:c r="Q1091" s="20" t="n">
        <x:f>H1091*INDEX(Inputs!$B$13:$D$13,1,MATCH(A1091,Inputs!$B$6:$D$6,0))</x:f>
        <x:v>390</x:v>
      </x:c>
      <x:c r="R1091" s="20" t="n">
        <x:f>SUM(M1091:Q1091)</x:f>
        <x:v>33280</x:v>
      </x:c>
      <x:c r="S1091" s="20" t="n">
        <x:f>IF(AND(A1090=A1091,D1090=D1091),S1090+R1091,R1091)</x:f>
        <x:v>66560</x:v>
      </x:c>
      <x:c r="T1091" s="20" t="n">
        <x:f>MIN(S1091,INDEX(Inputs!$B$20:$D$20,1,MATCH(A1091,Inputs!$B$6:$D$6,0)))*INDEX(Inputs!$B$22:$D$22,1,MATCH(A1091,Inputs!$B$6:$D$6,0))+MAX(MIN(S1091,INDEX(Inputs!$B$21:$D$21,1,MATCH(A1091,Inputs!$B$6:$D$6,0)))-INDEX(Inputs!$B$20:$D$20,1,MATCH(A1091,Inputs!$B$6:$D$6,0)),0)*INDEX(Inputs!$B$23:$D$23,1,MATCH(A1091,Inputs!$B$6:$D$6,0))+MAX(S1091-INDEX(Inputs!$B$21:$D$21,1,MATCH(A1091,Inputs!$B$6:$D$6,0)),0)*INDEX(Inputs!$B$24:$D$24,1,MATCH(A1091,Inputs!$B$6:$D$6,0))</x:f>
        <x:v>5581.84</x:v>
      </x:c>
      <x:c r="U1091" s="20" t="n">
        <x:f>IF(AND(A1090=A1091,D1090=D1091),T1090,0)</x:f>
        <x:v>3035.92</x:v>
      </x:c>
      <x:c r="V1091" s="20" t="n">
        <x:f>T1091-U1091</x:f>
        <x:v>2545.92</x:v>
      </x:c>
      <x:c r="W1091" s="20" t="n">
        <x:f>R1091+V1091</x:f>
        <x:v>35825.92</x:v>
      </x:c>
      <x:c r="X1091" s="14" t="str">
        <x:f>IF(ABS(W1091-SUM(M1091:Q1091)-V1091)&lt;0.01,"OK","Check")</x:f>
        <x:v>OK</x:v>
      </x:c>
    </x:row>
    <x:row r="1092">
      <x:c r="A1092" s="14" t="n">
        <x:v>2028</x:v>
      </x:c>
      <x:c r="B1092" s="14" t="str">
        <x:v>Q3</x:v>
      </x:c>
      <x:c r="C1092" s="14" t="n">
        <x:v>3</x:v>
      </x:c>
      <x:c r="D1092" s="14" t="n">
        <x:v>66</x:v>
      </x:c>
      <x:c r="E1092" s="14" t="str">
        <x:f>INDEX(Roster!$B$6:$B$108,MATCH(D1092,Roster!$A$6:$A$108,0))</x:f>
      </x:c>
      <x:c r="F1092" s="14" t="str">
        <x:f>INDEX(Roster!$F$6:$F$108,MATCH(D1092,Roster!$A$6:$A$108,0))</x:f>
        <x:v>No</x:v>
      </x:c>
      <x:c r="G1092" s="14" t="n">
        <x:f>INDEX(Inputs!$B$7:$D$7,1,MATCH(A1092,Inputs!$B$6:$D$6,0))</x:f>
        <x:v>13</x:v>
      </x:c>
      <x:c r="H1092" s="14" t="n">
        <x:f>MIN(=INDEX(Inputs!$B$7:$D$7,1,MATCH(A1092,Inputs!$B$6:$D$6,0)),MAX(0,INDEX(Inputs!$B$14:$D$14,1,MATCH(A1092,Inputs!$B$6:$D$6,0))-(C1092-1)*=INDEX(Inputs!$B$7:$D$7,1,MATCH(A1092,Inputs!$B$6:$D$6,0))))</x:f>
        <x:v>13</x:v>
      </x:c>
      <x:c r="I1092" s="20" t="n">
        <x:f>INDEX(Inputs!$B$8:$D$8,1,MATCH(A1092,Inputs!$B$6:$D$6,0))</x:f>
        <x:v>2395</x:v>
      </x:c>
      <x:c r="J1092" s="20" t="n">
        <x:f>INDEX(Roster!$C$6:$C$108,MATCH(D1092,Roster!$A$6:$A$108,0))*(1+INDEX(Inputs!$B$9:$D$9,1,MATCH(A1092,Inputs!$B$6:$D$6,0)))</x:f>
        <x:v>65</x:v>
      </x:c>
      <x:c r="K1092" s="20" t="n">
        <x:f>IF(=INDEX(Roster!$F$6:$F$108,MATCH(D1092,Roster!$A$6:$A$108,0))="Yes",0,=INDEX(Inputs!$B$8:$D$8,1,MATCH(A1092,Inputs!$B$6:$D$6,0))*IF(=INDEX(Roster!$B$6:$B$108,MATCH(D1092,Roster!$A$6:$A$108,0))="Principal",INDEX(Inputs!$B$10:$D$10,1,MATCH(A1092,Inputs!$B$6:$D$6,0)),IF(=INDEX(Roster!$B$6:$B$108,MATCH(D1092,Roster!$A$6:$A$108,0))="Associate Principal",INDEX(Inputs!$B$11:$D$11,1,MATCH(A1092,Inputs!$B$6:$D$6,0)),IF(=INDEX(Roster!$B$6:$B$108,MATCH(D1092,Roster!$A$6:$A$108,0))="Assistant Principal",INDEX(Inputs!$B$12:$D$12,1,MATCH(A1092,Inputs!$B$6:$D$6,0)),0))))</x:f>
        <x:v>0</x:v>
      </x:c>
      <x:c r="L1092" s="20" t="n">
        <x:f>IF(INDEX(Roster!$D$6:$D$108,MATCH(D1092,Roster!$A$6:$A$108,0))&gt;=25,INDEX(Inputs!$B$19:$D$19,1,MATCH(A1092,Inputs!$B$6:$D$6,0)),IF(INDEX(Roster!$D$6:$D$108,MATCH(D1092,Roster!$A$6:$A$108,0))&gt;=20,INDEX(Inputs!$B$18:$D$18,1,MATCH(A1092,Inputs!$B$6:$D$6,0)),IF(INDEX(Roster!$D$6:$D$108,MATCH(D1092,Roster!$A$6:$A$108,0))&gt;=15,INDEX(Inputs!$B$17:$D$17,1,MATCH(A1092,Inputs!$B$6:$D$6,0)),IF(INDEX(Roster!$D$6:$D$108,MATCH(D1092,Roster!$A$6:$A$108,0))&gt;=10,INDEX(Inputs!$B$16:$D$16,1,MATCH(A1092,Inputs!$B$6:$D$6,0)),IF(INDEX(Roster!$D$6:$D$108,MATCH(D1092,Roster!$A$6:$A$108,0))&gt;=5,INDEX(Inputs!$B$15:$D$15,1,MATCH(A1092,Inputs!$B$6:$D$6,0)),0)))))</x:f>
        <x:v>70</x:v>
      </x:c>
      <x:c r="M1092" s="20" t="n">
        <x:f>G1092*I1092</x:f>
        <x:v>31135</x:v>
      </x:c>
      <x:c r="N1092" s="20" t="n">
        <x:f>G1092*J1092</x:f>
        <x:v>845</x:v>
      </x:c>
      <x:c r="O1092" s="20" t="n">
        <x:f>G1092*K1092</x:f>
        <x:v>0</x:v>
      </x:c>
      <x:c r="P1092" s="20" t="n">
        <x:f>G1092*L1092</x:f>
        <x:v>910</x:v>
      </x:c>
      <x:c r="Q1092" s="20" t="n">
        <x:f>H1092*INDEX(Inputs!$B$13:$D$13,1,MATCH(A1092,Inputs!$B$6:$D$6,0))</x:f>
        <x:v>390</x:v>
      </x:c>
      <x:c r="R1092" s="20" t="n">
        <x:f>SUM(M1092:Q1092)</x:f>
        <x:v>33280</x:v>
      </x:c>
      <x:c r="S1092" s="20" t="n">
        <x:f>IF(AND(A1091=A1092,D1091=D1092),S1091+R1092,R1092)</x:f>
        <x:v>99840</x:v>
      </x:c>
      <x:c r="T1092" s="20" t="n">
        <x:f>MIN(S1092,INDEX(Inputs!$B$20:$D$20,1,MATCH(A1092,Inputs!$B$6:$D$6,0)))*INDEX(Inputs!$B$22:$D$22,1,MATCH(A1092,Inputs!$B$6:$D$6,0))+MAX(MIN(S1092,INDEX(Inputs!$B$21:$D$21,1,MATCH(A1092,Inputs!$B$6:$D$6,0)))-INDEX(Inputs!$B$20:$D$20,1,MATCH(A1092,Inputs!$B$6:$D$6,0)),0)*INDEX(Inputs!$B$23:$D$23,1,MATCH(A1092,Inputs!$B$6:$D$6,0))+MAX(S1092-INDEX(Inputs!$B$21:$D$21,1,MATCH(A1092,Inputs!$B$6:$D$6,0)),0)*INDEX(Inputs!$B$24:$D$24,1,MATCH(A1092,Inputs!$B$6:$D$6,0))</x:f>
        <x:v>8127.76</x:v>
      </x:c>
      <x:c r="U1092" s="20" t="n">
        <x:f>IF(AND(A1091=A1092,D1091=D1092),T1091,0)</x:f>
        <x:v>5581.84</x:v>
      </x:c>
      <x:c r="V1092" s="20" t="n">
        <x:f>T1092-U1092</x:f>
        <x:v>2545.92</x:v>
      </x:c>
      <x:c r="W1092" s="20" t="n">
        <x:f>R1092+V1092</x:f>
        <x:v>35825.92</x:v>
      </x:c>
      <x:c r="X1092" s="14" t="str">
        <x:f>IF(ABS(W1092-SUM(M1092:Q1092)-V1092)&lt;0.01,"OK","Check")</x:f>
        <x:v>OK</x:v>
      </x:c>
    </x:row>
    <x:row r="1093">
      <x:c r="A1093" s="14" t="n">
        <x:v>2028</x:v>
      </x:c>
      <x:c r="B1093" s="14" t="str">
        <x:v>Q4</x:v>
      </x:c>
      <x:c r="C1093" s="14" t="n">
        <x:v>4</x:v>
      </x:c>
      <x:c r="D1093" s="14" t="n">
        <x:v>66</x:v>
      </x:c>
      <x:c r="E1093" s="14" t="str">
        <x:f>INDEX(Roster!$B$6:$B$108,MATCH(D1093,Roster!$A$6:$A$108,0))</x:f>
      </x:c>
      <x:c r="F1093" s="14" t="str">
        <x:f>INDEX(Roster!$F$6:$F$108,MATCH(D1093,Roster!$A$6:$A$108,0))</x:f>
        <x:v>No</x:v>
      </x:c>
      <x:c r="G1093" s="14" t="n">
        <x:f>INDEX(Inputs!$B$7:$D$7,1,MATCH(A1093,Inputs!$B$6:$D$6,0))</x:f>
        <x:v>13</x:v>
      </x:c>
      <x:c r="H1093" s="14" t="n">
        <x:f>MIN(=INDEX(Inputs!$B$7:$D$7,1,MATCH(A1093,Inputs!$B$6:$D$6,0)),MAX(0,INDEX(Inputs!$B$14:$D$14,1,MATCH(A1093,Inputs!$B$6:$D$6,0))-(C1093-1)*=INDEX(Inputs!$B$7:$D$7,1,MATCH(A1093,Inputs!$B$6:$D$6,0))))</x:f>
        <x:v>0</x:v>
      </x:c>
      <x:c r="I1093" s="20" t="n">
        <x:f>INDEX(Inputs!$B$8:$D$8,1,MATCH(A1093,Inputs!$B$6:$D$6,0))</x:f>
        <x:v>2395</x:v>
      </x:c>
      <x:c r="J1093" s="20" t="n">
        <x:f>INDEX(Roster!$C$6:$C$108,MATCH(D1093,Roster!$A$6:$A$108,0))*(1+INDEX(Inputs!$B$9:$D$9,1,MATCH(A1093,Inputs!$B$6:$D$6,0)))</x:f>
        <x:v>65</x:v>
      </x:c>
      <x:c r="K1093" s="20" t="n">
        <x:f>IF(=INDEX(Roster!$F$6:$F$108,MATCH(D1093,Roster!$A$6:$A$108,0))="Yes",0,=INDEX(Inputs!$B$8:$D$8,1,MATCH(A1093,Inputs!$B$6:$D$6,0))*IF(=INDEX(Roster!$B$6:$B$108,MATCH(D1093,Roster!$A$6:$A$108,0))="Principal",INDEX(Inputs!$B$10:$D$10,1,MATCH(A1093,Inputs!$B$6:$D$6,0)),IF(=INDEX(Roster!$B$6:$B$108,MATCH(D1093,Roster!$A$6:$A$108,0))="Associate Principal",INDEX(Inputs!$B$11:$D$11,1,MATCH(A1093,Inputs!$B$6:$D$6,0)),IF(=INDEX(Roster!$B$6:$B$108,MATCH(D1093,Roster!$A$6:$A$108,0))="Assistant Principal",INDEX(Inputs!$B$12:$D$12,1,MATCH(A1093,Inputs!$B$6:$D$6,0)),0))))</x:f>
        <x:v>0</x:v>
      </x:c>
      <x:c r="L1093" s="20" t="n">
        <x:f>IF(INDEX(Roster!$D$6:$D$108,MATCH(D1093,Roster!$A$6:$A$108,0))&gt;=25,INDEX(Inputs!$B$19:$D$19,1,MATCH(A1093,Inputs!$B$6:$D$6,0)),IF(INDEX(Roster!$D$6:$D$108,MATCH(D1093,Roster!$A$6:$A$108,0))&gt;=20,INDEX(Inputs!$B$18:$D$18,1,MATCH(A1093,Inputs!$B$6:$D$6,0)),IF(INDEX(Roster!$D$6:$D$108,MATCH(D1093,Roster!$A$6:$A$108,0))&gt;=15,INDEX(Inputs!$B$17:$D$17,1,MATCH(A1093,Inputs!$B$6:$D$6,0)),IF(INDEX(Roster!$D$6:$D$108,MATCH(D1093,Roster!$A$6:$A$108,0))&gt;=10,INDEX(Inputs!$B$16:$D$16,1,MATCH(A1093,Inputs!$B$6:$D$6,0)),IF(INDEX(Roster!$D$6:$D$108,MATCH(D1093,Roster!$A$6:$A$108,0))&gt;=5,INDEX(Inputs!$B$15:$D$15,1,MATCH(A1093,Inputs!$B$6:$D$6,0)),0)))))</x:f>
        <x:v>70</x:v>
      </x:c>
      <x:c r="M1093" s="20" t="n">
        <x:f>G1093*I1093</x:f>
        <x:v>31135</x:v>
      </x:c>
      <x:c r="N1093" s="20" t="n">
        <x:f>G1093*J1093</x:f>
        <x:v>845</x:v>
      </x:c>
      <x:c r="O1093" s="20" t="n">
        <x:f>G1093*K1093</x:f>
        <x:v>0</x:v>
      </x:c>
      <x:c r="P1093" s="20" t="n">
        <x:f>G1093*L1093</x:f>
        <x:v>910</x:v>
      </x:c>
      <x:c r="Q1093" s="20" t="n">
        <x:f>H1093*INDEX(Inputs!$B$13:$D$13,1,MATCH(A1093,Inputs!$B$6:$D$6,0))</x:f>
        <x:v>0</x:v>
      </x:c>
      <x:c r="R1093" s="20" t="n">
        <x:f>SUM(M1093:Q1093)</x:f>
        <x:v>32890</x:v>
      </x:c>
      <x:c r="S1093" s="20" t="n">
        <x:f>IF(AND(A1092=A1093,D1092=D1093),S1092+R1093,R1093)</x:f>
        <x:v>132730</x:v>
      </x:c>
      <x:c r="T1093" s="20" t="n">
        <x:f>MIN(S1093,INDEX(Inputs!$B$20:$D$20,1,MATCH(A1093,Inputs!$B$6:$D$6,0)))*INDEX(Inputs!$B$22:$D$22,1,MATCH(A1093,Inputs!$B$6:$D$6,0))+MAX(MIN(S1093,INDEX(Inputs!$B$21:$D$21,1,MATCH(A1093,Inputs!$B$6:$D$6,0)))-INDEX(Inputs!$B$20:$D$20,1,MATCH(A1093,Inputs!$B$6:$D$6,0)),0)*INDEX(Inputs!$B$23:$D$23,1,MATCH(A1093,Inputs!$B$6:$D$6,0))+MAX(S1093-INDEX(Inputs!$B$21:$D$21,1,MATCH(A1093,Inputs!$B$6:$D$6,0)),0)*INDEX(Inputs!$B$24:$D$24,1,MATCH(A1093,Inputs!$B$6:$D$6,0))</x:f>
        <x:v>9838.527</x:v>
      </x:c>
      <x:c r="U1093" s="20" t="n">
        <x:f>IF(AND(A1092=A1093,D1092=D1093),T1092,0)</x:f>
        <x:v>8127.76</x:v>
      </x:c>
      <x:c r="V1093" s="20" t="n">
        <x:f>T1093-U1093</x:f>
        <x:v>1710.7669999999998</x:v>
      </x:c>
      <x:c r="W1093" s="20" t="n">
        <x:f>R1093+V1093</x:f>
        <x:v>34600.767</x:v>
      </x:c>
      <x:c r="X1093" s="14" t="str">
        <x:f>IF(ABS(W1093-SUM(M1093:Q1093)-V1093)&lt;0.01,"OK","Check")</x:f>
        <x:v>OK</x:v>
      </x:c>
    </x:row>
    <x:row r="1094">
      <x:c r="A1094" s="14" t="n">
        <x:v>2028</x:v>
      </x:c>
      <x:c r="B1094" s="14" t="str">
        <x:v>Q1</x:v>
      </x:c>
      <x:c r="C1094" s="14" t="n">
        <x:v>1</x:v>
      </x:c>
      <x:c r="D1094" s="14" t="n">
        <x:v>67</x:v>
      </x:c>
      <x:c r="E1094" s="14" t="str">
        <x:f>INDEX(Roster!$B$6:$B$108,MATCH(D1094,Roster!$A$6:$A$108,0))</x:f>
      </x:c>
      <x:c r="F1094" s="14" t="str">
        <x:f>INDEX(Roster!$F$6:$F$108,MATCH(D1094,Roster!$A$6:$A$108,0))</x:f>
        <x:v>No</x:v>
      </x:c>
      <x:c r="G1094" s="14" t="n">
        <x:f>INDEX(Inputs!$B$7:$D$7,1,MATCH(A1094,Inputs!$B$6:$D$6,0))</x:f>
        <x:v>13</x:v>
      </x:c>
      <x:c r="H1094" s="14" t="n">
        <x:f>MIN(=INDEX(Inputs!$B$7:$D$7,1,MATCH(A1094,Inputs!$B$6:$D$6,0)),MAX(0,INDEX(Inputs!$B$14:$D$14,1,MATCH(A1094,Inputs!$B$6:$D$6,0))-(C1094-1)*=INDEX(Inputs!$B$7:$D$7,1,MATCH(A1094,Inputs!$B$6:$D$6,0))))</x:f>
        <x:v>13</x:v>
      </x:c>
      <x:c r="I1094" s="20" t="n">
        <x:f>INDEX(Inputs!$B$8:$D$8,1,MATCH(A1094,Inputs!$B$6:$D$6,0))</x:f>
        <x:v>2395</x:v>
      </x:c>
      <x:c r="J1094" s="20" t="n">
        <x:f>INDEX(Roster!$C$6:$C$108,MATCH(D1094,Roster!$A$6:$A$108,0))*(1+INDEX(Inputs!$B$9:$D$9,1,MATCH(A1094,Inputs!$B$6:$D$6,0)))</x:f>
        <x:v>20</x:v>
      </x:c>
      <x:c r="K1094" s="20" t="n">
        <x:f>IF(=INDEX(Roster!$F$6:$F$108,MATCH(D1094,Roster!$A$6:$A$108,0))="Yes",0,=INDEX(Inputs!$B$8:$D$8,1,MATCH(A1094,Inputs!$B$6:$D$6,0))*IF(=INDEX(Roster!$B$6:$B$108,MATCH(D1094,Roster!$A$6:$A$108,0))="Principal",INDEX(Inputs!$B$10:$D$10,1,MATCH(A1094,Inputs!$B$6:$D$6,0)),IF(=INDEX(Roster!$B$6:$B$108,MATCH(D1094,Roster!$A$6:$A$108,0))="Associate Principal",INDEX(Inputs!$B$11:$D$11,1,MATCH(A1094,Inputs!$B$6:$D$6,0)),IF(=INDEX(Roster!$B$6:$B$108,MATCH(D1094,Roster!$A$6:$A$108,0))="Assistant Principal",INDEX(Inputs!$B$12:$D$12,1,MATCH(A1094,Inputs!$B$6:$D$6,0)),0))))</x:f>
        <x:v>0</x:v>
      </x:c>
      <x:c r="L1094" s="20" t="n">
        <x:f>IF(INDEX(Roster!$D$6:$D$108,MATCH(D1094,Roster!$A$6:$A$108,0))&gt;=25,INDEX(Inputs!$B$19:$D$19,1,MATCH(A1094,Inputs!$B$6:$D$6,0)),IF(INDEX(Roster!$D$6:$D$108,MATCH(D1094,Roster!$A$6:$A$108,0))&gt;=20,INDEX(Inputs!$B$18:$D$18,1,MATCH(A1094,Inputs!$B$6:$D$6,0)),IF(INDEX(Roster!$D$6:$D$108,MATCH(D1094,Roster!$A$6:$A$108,0))&gt;=15,INDEX(Inputs!$B$17:$D$17,1,MATCH(A1094,Inputs!$B$6:$D$6,0)),IF(INDEX(Roster!$D$6:$D$108,MATCH(D1094,Roster!$A$6:$A$108,0))&gt;=10,INDEX(Inputs!$B$16:$D$16,1,MATCH(A1094,Inputs!$B$6:$D$6,0)),IF(INDEX(Roster!$D$6:$D$108,MATCH(D1094,Roster!$A$6:$A$108,0))&gt;=5,INDEX(Inputs!$B$15:$D$15,1,MATCH(A1094,Inputs!$B$6:$D$6,0)),0)))))</x:f>
        <x:v>70</x:v>
      </x:c>
      <x:c r="M1094" s="20" t="n">
        <x:f>G1094*I1094</x:f>
        <x:v>31135</x:v>
      </x:c>
      <x:c r="N1094" s="20" t="n">
        <x:f>G1094*J1094</x:f>
        <x:v>260</x:v>
      </x:c>
      <x:c r="O1094" s="20" t="n">
        <x:f>G1094*K1094</x:f>
        <x:v>0</x:v>
      </x:c>
      <x:c r="P1094" s="20" t="n">
        <x:f>G1094*L1094</x:f>
        <x:v>910</x:v>
      </x:c>
      <x:c r="Q1094" s="20" t="n">
        <x:f>H1094*INDEX(Inputs!$B$13:$D$13,1,MATCH(A1094,Inputs!$B$6:$D$6,0))</x:f>
        <x:v>390</x:v>
      </x:c>
      <x:c r="R1094" s="20" t="n">
        <x:f>SUM(M1094:Q1094)</x:f>
        <x:v>32695</x:v>
      </x:c>
      <x:c r="S1094" s="20" t="n">
        <x:f>IF(AND(A1093=A1094,D1093=D1094),S1093+R1094,R1094)</x:f>
        <x:v>32695</x:v>
      </x:c>
      <x:c r="T1094" s="20" t="n">
        <x:f>MIN(S1094,INDEX(Inputs!$B$20:$D$20,1,MATCH(A1094,Inputs!$B$6:$D$6,0)))*INDEX(Inputs!$B$22:$D$22,1,MATCH(A1094,Inputs!$B$6:$D$6,0))+MAX(MIN(S1094,INDEX(Inputs!$B$21:$D$21,1,MATCH(A1094,Inputs!$B$6:$D$6,0)))-INDEX(Inputs!$B$20:$D$20,1,MATCH(A1094,Inputs!$B$6:$D$6,0)),0)*INDEX(Inputs!$B$23:$D$23,1,MATCH(A1094,Inputs!$B$6:$D$6,0))+MAX(S1094-INDEX(Inputs!$B$21:$D$21,1,MATCH(A1094,Inputs!$B$6:$D$6,0)),0)*INDEX(Inputs!$B$24:$D$24,1,MATCH(A1094,Inputs!$B$6:$D$6,0))</x:f>
        <x:v>2991.1675</x:v>
      </x:c>
      <x:c r="U1094" s="20" t="n">
        <x:f>IF(AND(A1093=A1094,D1093=D1094),T1093,0)</x:f>
        <x:v>0</x:v>
      </x:c>
      <x:c r="V1094" s="20" t="n">
        <x:f>T1094-U1094</x:f>
        <x:v>2991.1675</x:v>
      </x:c>
      <x:c r="W1094" s="20" t="n">
        <x:f>R1094+V1094</x:f>
        <x:v>35686.1675</x:v>
      </x:c>
      <x:c r="X1094" s="14" t="str">
        <x:f>IF(ABS(W1094-SUM(M1094:Q1094)-V1094)&lt;0.01,"OK","Check")</x:f>
        <x:v>OK</x:v>
      </x:c>
    </x:row>
    <x:row r="1095">
      <x:c r="A1095" s="14" t="n">
        <x:v>2028</x:v>
      </x:c>
      <x:c r="B1095" s="14" t="str">
        <x:v>Q2</x:v>
      </x:c>
      <x:c r="C1095" s="14" t="n">
        <x:v>2</x:v>
      </x:c>
      <x:c r="D1095" s="14" t="n">
        <x:v>67</x:v>
      </x:c>
      <x:c r="E1095" s="14" t="str">
        <x:f>INDEX(Roster!$B$6:$B$108,MATCH(D1095,Roster!$A$6:$A$108,0))</x:f>
      </x:c>
      <x:c r="F1095" s="14" t="str">
        <x:f>INDEX(Roster!$F$6:$F$108,MATCH(D1095,Roster!$A$6:$A$108,0))</x:f>
        <x:v>No</x:v>
      </x:c>
      <x:c r="G1095" s="14" t="n">
        <x:f>INDEX(Inputs!$B$7:$D$7,1,MATCH(A1095,Inputs!$B$6:$D$6,0))</x:f>
        <x:v>13</x:v>
      </x:c>
      <x:c r="H1095" s="14" t="n">
        <x:f>MIN(=INDEX(Inputs!$B$7:$D$7,1,MATCH(A1095,Inputs!$B$6:$D$6,0)),MAX(0,INDEX(Inputs!$B$14:$D$14,1,MATCH(A1095,Inputs!$B$6:$D$6,0))-(C1095-1)*=INDEX(Inputs!$B$7:$D$7,1,MATCH(A1095,Inputs!$B$6:$D$6,0))))</x:f>
        <x:v>13</x:v>
      </x:c>
      <x:c r="I1095" s="20" t="n">
        <x:f>INDEX(Inputs!$B$8:$D$8,1,MATCH(A1095,Inputs!$B$6:$D$6,0))</x:f>
        <x:v>2395</x:v>
      </x:c>
      <x:c r="J1095" s="20" t="n">
        <x:f>INDEX(Roster!$C$6:$C$108,MATCH(D1095,Roster!$A$6:$A$108,0))*(1+INDEX(Inputs!$B$9:$D$9,1,MATCH(A1095,Inputs!$B$6:$D$6,0)))</x:f>
        <x:v>20</x:v>
      </x:c>
      <x:c r="K1095" s="20" t="n">
        <x:f>IF(=INDEX(Roster!$F$6:$F$108,MATCH(D1095,Roster!$A$6:$A$108,0))="Yes",0,=INDEX(Inputs!$B$8:$D$8,1,MATCH(A1095,Inputs!$B$6:$D$6,0))*IF(=INDEX(Roster!$B$6:$B$108,MATCH(D1095,Roster!$A$6:$A$108,0))="Principal",INDEX(Inputs!$B$10:$D$10,1,MATCH(A1095,Inputs!$B$6:$D$6,0)),IF(=INDEX(Roster!$B$6:$B$108,MATCH(D1095,Roster!$A$6:$A$108,0))="Associate Principal",INDEX(Inputs!$B$11:$D$11,1,MATCH(A1095,Inputs!$B$6:$D$6,0)),IF(=INDEX(Roster!$B$6:$B$108,MATCH(D1095,Roster!$A$6:$A$108,0))="Assistant Principal",INDEX(Inputs!$B$12:$D$12,1,MATCH(A1095,Inputs!$B$6:$D$6,0)),0))))</x:f>
        <x:v>0</x:v>
      </x:c>
      <x:c r="L1095" s="20" t="n">
        <x:f>IF(INDEX(Roster!$D$6:$D$108,MATCH(D1095,Roster!$A$6:$A$108,0))&gt;=25,INDEX(Inputs!$B$19:$D$19,1,MATCH(A1095,Inputs!$B$6:$D$6,0)),IF(INDEX(Roster!$D$6:$D$108,MATCH(D1095,Roster!$A$6:$A$108,0))&gt;=20,INDEX(Inputs!$B$18:$D$18,1,MATCH(A1095,Inputs!$B$6:$D$6,0)),IF(INDEX(Roster!$D$6:$D$108,MATCH(D1095,Roster!$A$6:$A$108,0))&gt;=15,INDEX(Inputs!$B$17:$D$17,1,MATCH(A1095,Inputs!$B$6:$D$6,0)),IF(INDEX(Roster!$D$6:$D$108,MATCH(D1095,Roster!$A$6:$A$108,0))&gt;=10,INDEX(Inputs!$B$16:$D$16,1,MATCH(A1095,Inputs!$B$6:$D$6,0)),IF(INDEX(Roster!$D$6:$D$108,MATCH(D1095,Roster!$A$6:$A$108,0))&gt;=5,INDEX(Inputs!$B$15:$D$15,1,MATCH(A1095,Inputs!$B$6:$D$6,0)),0)))))</x:f>
        <x:v>70</x:v>
      </x:c>
      <x:c r="M1095" s="20" t="n">
        <x:f>G1095*I1095</x:f>
        <x:v>31135</x:v>
      </x:c>
      <x:c r="N1095" s="20" t="n">
        <x:f>G1095*J1095</x:f>
        <x:v>260</x:v>
      </x:c>
      <x:c r="O1095" s="20" t="n">
        <x:f>G1095*K1095</x:f>
        <x:v>0</x:v>
      </x:c>
      <x:c r="P1095" s="20" t="n">
        <x:f>G1095*L1095</x:f>
        <x:v>910</x:v>
      </x:c>
      <x:c r="Q1095" s="20" t="n">
        <x:f>H1095*INDEX(Inputs!$B$13:$D$13,1,MATCH(A1095,Inputs!$B$6:$D$6,0))</x:f>
        <x:v>390</x:v>
      </x:c>
      <x:c r="R1095" s="20" t="n">
        <x:f>SUM(M1095:Q1095)</x:f>
        <x:v>32695</x:v>
      </x:c>
      <x:c r="S1095" s="20" t="n">
        <x:f>IF(AND(A1094=A1095,D1094=D1095),S1094+R1095,R1095)</x:f>
        <x:v>65390</x:v>
      </x:c>
      <x:c r="T1095" s="20" t="n">
        <x:f>MIN(S1095,INDEX(Inputs!$B$20:$D$20,1,MATCH(A1095,Inputs!$B$6:$D$6,0)))*INDEX(Inputs!$B$22:$D$22,1,MATCH(A1095,Inputs!$B$6:$D$6,0))+MAX(MIN(S1095,INDEX(Inputs!$B$21:$D$21,1,MATCH(A1095,Inputs!$B$6:$D$6,0)))-INDEX(Inputs!$B$20:$D$20,1,MATCH(A1095,Inputs!$B$6:$D$6,0)),0)*INDEX(Inputs!$B$23:$D$23,1,MATCH(A1095,Inputs!$B$6:$D$6,0))+MAX(S1095-INDEX(Inputs!$B$21:$D$21,1,MATCH(A1095,Inputs!$B$6:$D$6,0)),0)*INDEX(Inputs!$B$24:$D$24,1,MATCH(A1095,Inputs!$B$6:$D$6,0))</x:f>
        <x:v>5492.335</x:v>
      </x:c>
      <x:c r="U1095" s="20" t="n">
        <x:f>IF(AND(A1094=A1095,D1094=D1095),T1094,0)</x:f>
        <x:v>2991.1675</x:v>
      </x:c>
      <x:c r="V1095" s="20" t="n">
        <x:f>T1095-U1095</x:f>
        <x:v>2501.1675</x:v>
      </x:c>
      <x:c r="W1095" s="20" t="n">
        <x:f>R1095+V1095</x:f>
        <x:v>35196.1675</x:v>
      </x:c>
      <x:c r="X1095" s="14" t="str">
        <x:f>IF(ABS(W1095-SUM(M1095:Q1095)-V1095)&lt;0.01,"OK","Check")</x:f>
        <x:v>OK</x:v>
      </x:c>
    </x:row>
    <x:row r="1096">
      <x:c r="A1096" s="14" t="n">
        <x:v>2028</x:v>
      </x:c>
      <x:c r="B1096" s="14" t="str">
        <x:v>Q3</x:v>
      </x:c>
      <x:c r="C1096" s="14" t="n">
        <x:v>3</x:v>
      </x:c>
      <x:c r="D1096" s="14" t="n">
        <x:v>67</x:v>
      </x:c>
      <x:c r="E1096" s="14" t="str">
        <x:f>INDEX(Roster!$B$6:$B$108,MATCH(D1096,Roster!$A$6:$A$108,0))</x:f>
      </x:c>
      <x:c r="F1096" s="14" t="str">
        <x:f>INDEX(Roster!$F$6:$F$108,MATCH(D1096,Roster!$A$6:$A$108,0))</x:f>
        <x:v>No</x:v>
      </x:c>
      <x:c r="G1096" s="14" t="n">
        <x:f>INDEX(Inputs!$B$7:$D$7,1,MATCH(A1096,Inputs!$B$6:$D$6,0))</x:f>
        <x:v>13</x:v>
      </x:c>
      <x:c r="H1096" s="14" t="n">
        <x:f>MIN(=INDEX(Inputs!$B$7:$D$7,1,MATCH(A1096,Inputs!$B$6:$D$6,0)),MAX(0,INDEX(Inputs!$B$14:$D$14,1,MATCH(A1096,Inputs!$B$6:$D$6,0))-(C1096-1)*=INDEX(Inputs!$B$7:$D$7,1,MATCH(A1096,Inputs!$B$6:$D$6,0))))</x:f>
        <x:v>13</x:v>
      </x:c>
      <x:c r="I1096" s="20" t="n">
        <x:f>INDEX(Inputs!$B$8:$D$8,1,MATCH(A1096,Inputs!$B$6:$D$6,0))</x:f>
        <x:v>2395</x:v>
      </x:c>
      <x:c r="J1096" s="20" t="n">
        <x:f>INDEX(Roster!$C$6:$C$108,MATCH(D1096,Roster!$A$6:$A$108,0))*(1+INDEX(Inputs!$B$9:$D$9,1,MATCH(A1096,Inputs!$B$6:$D$6,0)))</x:f>
        <x:v>20</x:v>
      </x:c>
      <x:c r="K1096" s="20" t="n">
        <x:f>IF(=INDEX(Roster!$F$6:$F$108,MATCH(D1096,Roster!$A$6:$A$108,0))="Yes",0,=INDEX(Inputs!$B$8:$D$8,1,MATCH(A1096,Inputs!$B$6:$D$6,0))*IF(=INDEX(Roster!$B$6:$B$108,MATCH(D1096,Roster!$A$6:$A$108,0))="Principal",INDEX(Inputs!$B$10:$D$10,1,MATCH(A1096,Inputs!$B$6:$D$6,0)),IF(=INDEX(Roster!$B$6:$B$108,MATCH(D1096,Roster!$A$6:$A$108,0))="Associate Principal",INDEX(Inputs!$B$11:$D$11,1,MATCH(A1096,Inputs!$B$6:$D$6,0)),IF(=INDEX(Roster!$B$6:$B$108,MATCH(D1096,Roster!$A$6:$A$108,0))="Assistant Principal",INDEX(Inputs!$B$12:$D$12,1,MATCH(A1096,Inputs!$B$6:$D$6,0)),0))))</x:f>
        <x:v>0</x:v>
      </x:c>
      <x:c r="L1096" s="20" t="n">
        <x:f>IF(INDEX(Roster!$D$6:$D$108,MATCH(D1096,Roster!$A$6:$A$108,0))&gt;=25,INDEX(Inputs!$B$19:$D$19,1,MATCH(A1096,Inputs!$B$6:$D$6,0)),IF(INDEX(Roster!$D$6:$D$108,MATCH(D1096,Roster!$A$6:$A$108,0))&gt;=20,INDEX(Inputs!$B$18:$D$18,1,MATCH(A1096,Inputs!$B$6:$D$6,0)),IF(INDEX(Roster!$D$6:$D$108,MATCH(D1096,Roster!$A$6:$A$108,0))&gt;=15,INDEX(Inputs!$B$17:$D$17,1,MATCH(A1096,Inputs!$B$6:$D$6,0)),IF(INDEX(Roster!$D$6:$D$108,MATCH(D1096,Roster!$A$6:$A$108,0))&gt;=10,INDEX(Inputs!$B$16:$D$16,1,MATCH(A1096,Inputs!$B$6:$D$6,0)),IF(INDEX(Roster!$D$6:$D$108,MATCH(D1096,Roster!$A$6:$A$108,0))&gt;=5,INDEX(Inputs!$B$15:$D$15,1,MATCH(A1096,Inputs!$B$6:$D$6,0)),0)))))</x:f>
        <x:v>70</x:v>
      </x:c>
      <x:c r="M1096" s="20" t="n">
        <x:f>G1096*I1096</x:f>
        <x:v>31135</x:v>
      </x:c>
      <x:c r="N1096" s="20" t="n">
        <x:f>G1096*J1096</x:f>
        <x:v>260</x:v>
      </x:c>
      <x:c r="O1096" s="20" t="n">
        <x:f>G1096*K1096</x:f>
        <x:v>0</x:v>
      </x:c>
      <x:c r="P1096" s="20" t="n">
        <x:f>G1096*L1096</x:f>
        <x:v>910</x:v>
      </x:c>
      <x:c r="Q1096" s="20" t="n">
        <x:f>H1096*INDEX(Inputs!$B$13:$D$13,1,MATCH(A1096,Inputs!$B$6:$D$6,0))</x:f>
        <x:v>390</x:v>
      </x:c>
      <x:c r="R1096" s="20" t="n">
        <x:f>SUM(M1096:Q1096)</x:f>
        <x:v>32695</x:v>
      </x:c>
      <x:c r="S1096" s="20" t="n">
        <x:f>IF(AND(A1095=A1096,D1095=D1096),S1095+R1096,R1096)</x:f>
        <x:v>98085</x:v>
      </x:c>
      <x:c r="T1096" s="20" t="n">
        <x:f>MIN(S1096,INDEX(Inputs!$B$20:$D$20,1,MATCH(A1096,Inputs!$B$6:$D$6,0)))*INDEX(Inputs!$B$22:$D$22,1,MATCH(A1096,Inputs!$B$6:$D$6,0))+MAX(MIN(S1096,INDEX(Inputs!$B$21:$D$21,1,MATCH(A1096,Inputs!$B$6:$D$6,0)))-INDEX(Inputs!$B$20:$D$20,1,MATCH(A1096,Inputs!$B$6:$D$6,0)),0)*INDEX(Inputs!$B$23:$D$23,1,MATCH(A1096,Inputs!$B$6:$D$6,0))+MAX(S1096-INDEX(Inputs!$B$21:$D$21,1,MATCH(A1096,Inputs!$B$6:$D$6,0)),0)*INDEX(Inputs!$B$24:$D$24,1,MATCH(A1096,Inputs!$B$6:$D$6,0))</x:f>
        <x:v>7993.5025</x:v>
      </x:c>
      <x:c r="U1096" s="20" t="n">
        <x:f>IF(AND(A1095=A1096,D1095=D1096),T1095,0)</x:f>
        <x:v>5492.335</x:v>
      </x:c>
      <x:c r="V1096" s="20" t="n">
        <x:f>T1096-U1096</x:f>
        <x:v>2501.1674999999996</x:v>
      </x:c>
      <x:c r="W1096" s="20" t="n">
        <x:f>R1096+V1096</x:f>
        <x:v>35196.167499999996</x:v>
      </x:c>
      <x:c r="X1096" s="14" t="str">
        <x:f>IF(ABS(W1096-SUM(M1096:Q1096)-V1096)&lt;0.01,"OK","Check")</x:f>
        <x:v>OK</x:v>
      </x:c>
    </x:row>
    <x:row r="1097">
      <x:c r="A1097" s="14" t="n">
        <x:v>2028</x:v>
      </x:c>
      <x:c r="B1097" s="14" t="str">
        <x:v>Q4</x:v>
      </x:c>
      <x:c r="C1097" s="14" t="n">
        <x:v>4</x:v>
      </x:c>
      <x:c r="D1097" s="14" t="n">
        <x:v>67</x:v>
      </x:c>
      <x:c r="E1097" s="14" t="str">
        <x:f>INDEX(Roster!$B$6:$B$108,MATCH(D1097,Roster!$A$6:$A$108,0))</x:f>
      </x:c>
      <x:c r="F1097" s="14" t="str">
        <x:f>INDEX(Roster!$F$6:$F$108,MATCH(D1097,Roster!$A$6:$A$108,0))</x:f>
        <x:v>No</x:v>
      </x:c>
      <x:c r="G1097" s="14" t="n">
        <x:f>INDEX(Inputs!$B$7:$D$7,1,MATCH(A1097,Inputs!$B$6:$D$6,0))</x:f>
        <x:v>13</x:v>
      </x:c>
      <x:c r="H1097" s="14" t="n">
        <x:f>MIN(=INDEX(Inputs!$B$7:$D$7,1,MATCH(A1097,Inputs!$B$6:$D$6,0)),MAX(0,INDEX(Inputs!$B$14:$D$14,1,MATCH(A1097,Inputs!$B$6:$D$6,0))-(C1097-1)*=INDEX(Inputs!$B$7:$D$7,1,MATCH(A1097,Inputs!$B$6:$D$6,0))))</x:f>
        <x:v>0</x:v>
      </x:c>
      <x:c r="I1097" s="20" t="n">
        <x:f>INDEX(Inputs!$B$8:$D$8,1,MATCH(A1097,Inputs!$B$6:$D$6,0))</x:f>
        <x:v>2395</x:v>
      </x:c>
      <x:c r="J1097" s="20" t="n">
        <x:f>INDEX(Roster!$C$6:$C$108,MATCH(D1097,Roster!$A$6:$A$108,0))*(1+INDEX(Inputs!$B$9:$D$9,1,MATCH(A1097,Inputs!$B$6:$D$6,0)))</x:f>
        <x:v>20</x:v>
      </x:c>
      <x:c r="K1097" s="20" t="n">
        <x:f>IF(=INDEX(Roster!$F$6:$F$108,MATCH(D1097,Roster!$A$6:$A$108,0))="Yes",0,=INDEX(Inputs!$B$8:$D$8,1,MATCH(A1097,Inputs!$B$6:$D$6,0))*IF(=INDEX(Roster!$B$6:$B$108,MATCH(D1097,Roster!$A$6:$A$108,0))="Principal",INDEX(Inputs!$B$10:$D$10,1,MATCH(A1097,Inputs!$B$6:$D$6,0)),IF(=INDEX(Roster!$B$6:$B$108,MATCH(D1097,Roster!$A$6:$A$108,0))="Associate Principal",INDEX(Inputs!$B$11:$D$11,1,MATCH(A1097,Inputs!$B$6:$D$6,0)),IF(=INDEX(Roster!$B$6:$B$108,MATCH(D1097,Roster!$A$6:$A$108,0))="Assistant Principal",INDEX(Inputs!$B$12:$D$12,1,MATCH(A1097,Inputs!$B$6:$D$6,0)),0))))</x:f>
        <x:v>0</x:v>
      </x:c>
      <x:c r="L1097" s="20" t="n">
        <x:f>IF(INDEX(Roster!$D$6:$D$108,MATCH(D1097,Roster!$A$6:$A$108,0))&gt;=25,INDEX(Inputs!$B$19:$D$19,1,MATCH(A1097,Inputs!$B$6:$D$6,0)),IF(INDEX(Roster!$D$6:$D$108,MATCH(D1097,Roster!$A$6:$A$108,0))&gt;=20,INDEX(Inputs!$B$18:$D$18,1,MATCH(A1097,Inputs!$B$6:$D$6,0)),IF(INDEX(Roster!$D$6:$D$108,MATCH(D1097,Roster!$A$6:$A$108,0))&gt;=15,INDEX(Inputs!$B$17:$D$17,1,MATCH(A1097,Inputs!$B$6:$D$6,0)),IF(INDEX(Roster!$D$6:$D$108,MATCH(D1097,Roster!$A$6:$A$108,0))&gt;=10,INDEX(Inputs!$B$16:$D$16,1,MATCH(A1097,Inputs!$B$6:$D$6,0)),IF(INDEX(Roster!$D$6:$D$108,MATCH(D1097,Roster!$A$6:$A$108,0))&gt;=5,INDEX(Inputs!$B$15:$D$15,1,MATCH(A1097,Inputs!$B$6:$D$6,0)),0)))))</x:f>
        <x:v>70</x:v>
      </x:c>
      <x:c r="M1097" s="20" t="n">
        <x:f>G1097*I1097</x:f>
        <x:v>31135</x:v>
      </x:c>
      <x:c r="N1097" s="20" t="n">
        <x:f>G1097*J1097</x:f>
        <x:v>260</x:v>
      </x:c>
      <x:c r="O1097" s="20" t="n">
        <x:f>G1097*K1097</x:f>
        <x:v>0</x:v>
      </x:c>
      <x:c r="P1097" s="20" t="n">
        <x:f>G1097*L1097</x:f>
        <x:v>910</x:v>
      </x:c>
      <x:c r="Q1097" s="20" t="n">
        <x:f>H1097*INDEX(Inputs!$B$13:$D$13,1,MATCH(A1097,Inputs!$B$6:$D$6,0))</x:f>
        <x:v>0</x:v>
      </x:c>
      <x:c r="R1097" s="20" t="n">
        <x:f>SUM(M1097:Q1097)</x:f>
        <x:v>32305</x:v>
      </x:c>
      <x:c r="S1097" s="20" t="n">
        <x:f>IF(AND(A1096=A1097,D1096=D1097),S1096+R1097,R1097)</x:f>
        <x:v>130390</x:v>
      </x:c>
      <x:c r="T1097" s="20" t="n">
        <x:f>MIN(S1097,INDEX(Inputs!$B$20:$D$20,1,MATCH(A1097,Inputs!$B$6:$D$6,0)))*INDEX(Inputs!$B$22:$D$22,1,MATCH(A1097,Inputs!$B$6:$D$6,0))+MAX(MIN(S1097,INDEX(Inputs!$B$21:$D$21,1,MATCH(A1097,Inputs!$B$6:$D$6,0)))-INDEX(Inputs!$B$20:$D$20,1,MATCH(A1097,Inputs!$B$6:$D$6,0)),0)*INDEX(Inputs!$B$23:$D$23,1,MATCH(A1097,Inputs!$B$6:$D$6,0))+MAX(S1097-INDEX(Inputs!$B$21:$D$21,1,MATCH(A1097,Inputs!$B$6:$D$6,0)),0)*INDEX(Inputs!$B$24:$D$24,1,MATCH(A1097,Inputs!$B$6:$D$6,0))</x:f>
        <x:v>9804.597</x:v>
      </x:c>
      <x:c r="U1097" s="20" t="n">
        <x:f>IF(AND(A1096=A1097,D1096=D1097),T1096,0)</x:f>
        <x:v>7993.5025</x:v>
      </x:c>
      <x:c r="V1097" s="20" t="n">
        <x:f>T1097-U1097</x:f>
        <x:v>1811.0945000000002</x:v>
      </x:c>
      <x:c r="W1097" s="20" t="n">
        <x:f>R1097+V1097</x:f>
        <x:v>34116.0945</x:v>
      </x:c>
      <x:c r="X1097" s="14" t="str">
        <x:f>IF(ABS(W1097-SUM(M1097:Q1097)-V1097)&lt;0.01,"OK","Check")</x:f>
        <x:v>OK</x:v>
      </x:c>
    </x:row>
    <x:row r="1098">
      <x:c r="A1098" s="14" t="n">
        <x:v>2028</x:v>
      </x:c>
      <x:c r="B1098" s="14" t="str">
        <x:v>Q1</x:v>
      </x:c>
      <x:c r="C1098" s="14" t="n">
        <x:v>1</x:v>
      </x:c>
      <x:c r="D1098" s="14" t="n">
        <x:v>68</x:v>
      </x:c>
      <x:c r="E1098" s="14" t="str">
        <x:f>INDEX(Roster!$B$6:$B$108,MATCH(D1098,Roster!$A$6:$A$108,0))</x:f>
        <x:v>Principal</x:v>
      </x:c>
      <x:c r="F1098" s="14" t="str">
        <x:f>INDEX(Roster!$F$6:$F$108,MATCH(D1098,Roster!$A$6:$A$108,0))</x:f>
        <x:v>Yes</x:v>
      </x:c>
      <x:c r="G1098" s="14" t="n">
        <x:f>INDEX(Inputs!$B$7:$D$7,1,MATCH(A1098,Inputs!$B$6:$D$6,0))</x:f>
        <x:v>13</x:v>
      </x:c>
      <x:c r="H1098" s="14" t="n">
        <x:f>MIN(=INDEX(Inputs!$B$7:$D$7,1,MATCH(A1098,Inputs!$B$6:$D$6,0)),MAX(0,INDEX(Inputs!$B$14:$D$14,1,MATCH(A1098,Inputs!$B$6:$D$6,0))-(C1098-1)*=INDEX(Inputs!$B$7:$D$7,1,MATCH(A1098,Inputs!$B$6:$D$6,0))))</x:f>
        <x:v>13</x:v>
      </x:c>
      <x:c r="I1098" s="20" t="n">
        <x:f>INDEX(Inputs!$B$8:$D$8,1,MATCH(A1098,Inputs!$B$6:$D$6,0))</x:f>
        <x:v>2395</x:v>
      </x:c>
      <x:c r="J1098" s="20" t="n">
        <x:f>INDEX(Roster!$C$6:$C$108,MATCH(D1098,Roster!$A$6:$A$108,0))*(1+INDEX(Inputs!$B$9:$D$9,1,MATCH(A1098,Inputs!$B$6:$D$6,0)))</x:f>
        <x:v>1400</x:v>
      </x:c>
      <x:c r="K1098" s="20" t="n">
        <x:f>IF(=INDEX(Roster!$F$6:$F$108,MATCH(D1098,Roster!$A$6:$A$108,0))="Yes",0,=INDEX(Inputs!$B$8:$D$8,1,MATCH(A1098,Inputs!$B$6:$D$6,0))*IF(=INDEX(Roster!$B$6:$B$108,MATCH(D1098,Roster!$A$6:$A$108,0))="Principal",INDEX(Inputs!$B$10:$D$10,1,MATCH(A1098,Inputs!$B$6:$D$6,0)),IF(=INDEX(Roster!$B$6:$B$108,MATCH(D1098,Roster!$A$6:$A$108,0))="Associate Principal",INDEX(Inputs!$B$11:$D$11,1,MATCH(A1098,Inputs!$B$6:$D$6,0)),IF(=INDEX(Roster!$B$6:$B$108,MATCH(D1098,Roster!$A$6:$A$108,0))="Assistant Principal",INDEX(Inputs!$B$12:$D$12,1,MATCH(A1098,Inputs!$B$6:$D$6,0)),0))))</x:f>
        <x:v>0</x:v>
      </x:c>
      <x:c r="L1098" s="20" t="n">
        <x:f>IF(INDEX(Roster!$D$6:$D$108,MATCH(D1098,Roster!$A$6:$A$108,0))&gt;=25,INDEX(Inputs!$B$19:$D$19,1,MATCH(A1098,Inputs!$B$6:$D$6,0)),IF(INDEX(Roster!$D$6:$D$108,MATCH(D1098,Roster!$A$6:$A$108,0))&gt;=20,INDEX(Inputs!$B$18:$D$18,1,MATCH(A1098,Inputs!$B$6:$D$6,0)),IF(INDEX(Roster!$D$6:$D$108,MATCH(D1098,Roster!$A$6:$A$108,0))&gt;=15,INDEX(Inputs!$B$17:$D$17,1,MATCH(A1098,Inputs!$B$6:$D$6,0)),IF(INDEX(Roster!$D$6:$D$108,MATCH(D1098,Roster!$A$6:$A$108,0))&gt;=10,INDEX(Inputs!$B$16:$D$16,1,MATCH(A1098,Inputs!$B$6:$D$6,0)),IF(INDEX(Roster!$D$6:$D$108,MATCH(D1098,Roster!$A$6:$A$108,0))&gt;=5,INDEX(Inputs!$B$15:$D$15,1,MATCH(A1098,Inputs!$B$6:$D$6,0)),0)))))</x:f>
        <x:v>90</x:v>
      </x:c>
      <x:c r="M1098" s="20" t="n">
        <x:f>G1098*I1098</x:f>
        <x:v>31135</x:v>
      </x:c>
      <x:c r="N1098" s="20" t="n">
        <x:f>G1098*J1098</x:f>
        <x:v>18200</x:v>
      </x:c>
      <x:c r="O1098" s="20" t="n">
        <x:f>G1098*K1098</x:f>
        <x:v>0</x:v>
      </x:c>
      <x:c r="P1098" s="20" t="n">
        <x:f>G1098*L1098</x:f>
        <x:v>1170</x:v>
      </x:c>
      <x:c r="Q1098" s="20" t="n">
        <x:f>H1098*INDEX(Inputs!$B$13:$D$13,1,MATCH(A1098,Inputs!$B$6:$D$6,0))</x:f>
        <x:v>390</x:v>
      </x:c>
      <x:c r="R1098" s="20" t="n">
        <x:f>SUM(M1098:Q1098)</x:f>
        <x:v>50895</x:v>
      </x:c>
      <x:c r="S1098" s="20" t="n">
        <x:f>IF(AND(A1097=A1098,D1097=D1098),S1097+R1098,R1098)</x:f>
        <x:v>50895</x:v>
      </x:c>
      <x:c r="T1098" s="20" t="n">
        <x:f>MIN(S1098,INDEX(Inputs!$B$20:$D$20,1,MATCH(A1098,Inputs!$B$6:$D$6,0)))*INDEX(Inputs!$B$22:$D$22,1,MATCH(A1098,Inputs!$B$6:$D$6,0))+MAX(MIN(S1098,INDEX(Inputs!$B$21:$D$21,1,MATCH(A1098,Inputs!$B$6:$D$6,0)))-INDEX(Inputs!$B$20:$D$20,1,MATCH(A1098,Inputs!$B$6:$D$6,0)),0)*INDEX(Inputs!$B$23:$D$23,1,MATCH(A1098,Inputs!$B$6:$D$6,0))+MAX(S1098-INDEX(Inputs!$B$21:$D$21,1,MATCH(A1098,Inputs!$B$6:$D$6,0)),0)*INDEX(Inputs!$B$24:$D$24,1,MATCH(A1098,Inputs!$B$6:$D$6,0))</x:f>
        <x:v>4383.4675</x:v>
      </x:c>
      <x:c r="U1098" s="20" t="n">
        <x:f>IF(AND(A1097=A1098,D1097=D1098),T1097,0)</x:f>
        <x:v>0</x:v>
      </x:c>
      <x:c r="V1098" s="20" t="n">
        <x:f>T1098-U1098</x:f>
        <x:v>4383.4675</x:v>
      </x:c>
      <x:c r="W1098" s="20" t="n">
        <x:f>R1098+V1098</x:f>
        <x:v>55278.4675</x:v>
      </x:c>
      <x:c r="X1098" s="14" t="str">
        <x:f>IF(ABS(W1098-SUM(M1098:Q1098)-V1098)&lt;0.01,"OK","Check")</x:f>
        <x:v>OK</x:v>
      </x:c>
    </x:row>
    <x:row r="1099">
      <x:c r="A1099" s="14" t="n">
        <x:v>2028</x:v>
      </x:c>
      <x:c r="B1099" s="14" t="str">
        <x:v>Q2</x:v>
      </x:c>
      <x:c r="C1099" s="14" t="n">
        <x:v>2</x:v>
      </x:c>
      <x:c r="D1099" s="14" t="n">
        <x:v>68</x:v>
      </x:c>
      <x:c r="E1099" s="14" t="str">
        <x:f>INDEX(Roster!$B$6:$B$108,MATCH(D1099,Roster!$A$6:$A$108,0))</x:f>
        <x:v>Principal</x:v>
      </x:c>
      <x:c r="F1099" s="14" t="str">
        <x:f>INDEX(Roster!$F$6:$F$108,MATCH(D1099,Roster!$A$6:$A$108,0))</x:f>
        <x:v>Yes</x:v>
      </x:c>
      <x:c r="G1099" s="14" t="n">
        <x:f>INDEX(Inputs!$B$7:$D$7,1,MATCH(A1099,Inputs!$B$6:$D$6,0))</x:f>
        <x:v>13</x:v>
      </x:c>
      <x:c r="H1099" s="14" t="n">
        <x:f>MIN(=INDEX(Inputs!$B$7:$D$7,1,MATCH(A1099,Inputs!$B$6:$D$6,0)),MAX(0,INDEX(Inputs!$B$14:$D$14,1,MATCH(A1099,Inputs!$B$6:$D$6,0))-(C1099-1)*=INDEX(Inputs!$B$7:$D$7,1,MATCH(A1099,Inputs!$B$6:$D$6,0))))</x:f>
        <x:v>13</x:v>
      </x:c>
      <x:c r="I1099" s="20" t="n">
        <x:f>INDEX(Inputs!$B$8:$D$8,1,MATCH(A1099,Inputs!$B$6:$D$6,0))</x:f>
        <x:v>2395</x:v>
      </x:c>
      <x:c r="J1099" s="20" t="n">
        <x:f>INDEX(Roster!$C$6:$C$108,MATCH(D1099,Roster!$A$6:$A$108,0))*(1+INDEX(Inputs!$B$9:$D$9,1,MATCH(A1099,Inputs!$B$6:$D$6,0)))</x:f>
        <x:v>1400</x:v>
      </x:c>
      <x:c r="K1099" s="20" t="n">
        <x:f>IF(=INDEX(Roster!$F$6:$F$108,MATCH(D1099,Roster!$A$6:$A$108,0))="Yes",0,=INDEX(Inputs!$B$8:$D$8,1,MATCH(A1099,Inputs!$B$6:$D$6,0))*IF(=INDEX(Roster!$B$6:$B$108,MATCH(D1099,Roster!$A$6:$A$108,0))="Principal",INDEX(Inputs!$B$10:$D$10,1,MATCH(A1099,Inputs!$B$6:$D$6,0)),IF(=INDEX(Roster!$B$6:$B$108,MATCH(D1099,Roster!$A$6:$A$108,0))="Associate Principal",INDEX(Inputs!$B$11:$D$11,1,MATCH(A1099,Inputs!$B$6:$D$6,0)),IF(=INDEX(Roster!$B$6:$B$108,MATCH(D1099,Roster!$A$6:$A$108,0))="Assistant Principal",INDEX(Inputs!$B$12:$D$12,1,MATCH(A1099,Inputs!$B$6:$D$6,0)),0))))</x:f>
        <x:v>0</x:v>
      </x:c>
      <x:c r="L1099" s="20" t="n">
        <x:f>IF(INDEX(Roster!$D$6:$D$108,MATCH(D1099,Roster!$A$6:$A$108,0))&gt;=25,INDEX(Inputs!$B$19:$D$19,1,MATCH(A1099,Inputs!$B$6:$D$6,0)),IF(INDEX(Roster!$D$6:$D$108,MATCH(D1099,Roster!$A$6:$A$108,0))&gt;=20,INDEX(Inputs!$B$18:$D$18,1,MATCH(A1099,Inputs!$B$6:$D$6,0)),IF(INDEX(Roster!$D$6:$D$108,MATCH(D1099,Roster!$A$6:$A$108,0))&gt;=15,INDEX(Inputs!$B$17:$D$17,1,MATCH(A1099,Inputs!$B$6:$D$6,0)),IF(INDEX(Roster!$D$6:$D$108,MATCH(D1099,Roster!$A$6:$A$108,0))&gt;=10,INDEX(Inputs!$B$16:$D$16,1,MATCH(A1099,Inputs!$B$6:$D$6,0)),IF(INDEX(Roster!$D$6:$D$108,MATCH(D1099,Roster!$A$6:$A$108,0))&gt;=5,INDEX(Inputs!$B$15:$D$15,1,MATCH(A1099,Inputs!$B$6:$D$6,0)),0)))))</x:f>
        <x:v>90</x:v>
      </x:c>
      <x:c r="M1099" s="20" t="n">
        <x:f>G1099*I1099</x:f>
        <x:v>31135</x:v>
      </x:c>
      <x:c r="N1099" s="20" t="n">
        <x:f>G1099*J1099</x:f>
        <x:v>18200</x:v>
      </x:c>
      <x:c r="O1099" s="20" t="n">
        <x:f>G1099*K1099</x:f>
        <x:v>0</x:v>
      </x:c>
      <x:c r="P1099" s="20" t="n">
        <x:f>G1099*L1099</x:f>
        <x:v>1170</x:v>
      </x:c>
      <x:c r="Q1099" s="20" t="n">
        <x:f>H1099*INDEX(Inputs!$B$13:$D$13,1,MATCH(A1099,Inputs!$B$6:$D$6,0))</x:f>
        <x:v>390</x:v>
      </x:c>
      <x:c r="R1099" s="20" t="n">
        <x:f>SUM(M1099:Q1099)</x:f>
        <x:v>50895</x:v>
      </x:c>
      <x:c r="S1099" s="20" t="n">
        <x:f>IF(AND(A1098=A1099,D1098=D1099),S1098+R1099,R1099)</x:f>
        <x:v>101790</x:v>
      </x:c>
      <x:c r="T1099" s="20" t="n">
        <x:f>MIN(S1099,INDEX(Inputs!$B$20:$D$20,1,MATCH(A1099,Inputs!$B$6:$D$6,0)))*INDEX(Inputs!$B$22:$D$22,1,MATCH(A1099,Inputs!$B$6:$D$6,0))+MAX(MIN(S1099,INDEX(Inputs!$B$21:$D$21,1,MATCH(A1099,Inputs!$B$6:$D$6,0)))-INDEX(Inputs!$B$20:$D$20,1,MATCH(A1099,Inputs!$B$6:$D$6,0)),0)*INDEX(Inputs!$B$23:$D$23,1,MATCH(A1099,Inputs!$B$6:$D$6,0))+MAX(S1099-INDEX(Inputs!$B$21:$D$21,1,MATCH(A1099,Inputs!$B$6:$D$6,0)),0)*INDEX(Inputs!$B$24:$D$24,1,MATCH(A1099,Inputs!$B$6:$D$6,0))</x:f>
        <x:v>8276.935</x:v>
      </x:c>
      <x:c r="U1099" s="20" t="n">
        <x:f>IF(AND(A1098=A1099,D1098=D1099),T1098,0)</x:f>
        <x:v>4383.4675</x:v>
      </x:c>
      <x:c r="V1099" s="20" t="n">
        <x:f>T1099-U1099</x:f>
        <x:v>3893.4674999999997</x:v>
      </x:c>
      <x:c r="W1099" s="20" t="n">
        <x:f>R1099+V1099</x:f>
        <x:v>54788.4675</x:v>
      </x:c>
      <x:c r="X1099" s="14" t="str">
        <x:f>IF(ABS(W1099-SUM(M1099:Q1099)-V1099)&lt;0.01,"OK","Check")</x:f>
        <x:v>OK</x:v>
      </x:c>
    </x:row>
    <x:row r="1100">
      <x:c r="A1100" s="14" t="n">
        <x:v>2028</x:v>
      </x:c>
      <x:c r="B1100" s="14" t="str">
        <x:v>Q3</x:v>
      </x:c>
      <x:c r="C1100" s="14" t="n">
        <x:v>3</x:v>
      </x:c>
      <x:c r="D1100" s="14" t="n">
        <x:v>68</x:v>
      </x:c>
      <x:c r="E1100" s="14" t="str">
        <x:f>INDEX(Roster!$B$6:$B$108,MATCH(D1100,Roster!$A$6:$A$108,0))</x:f>
        <x:v>Principal</x:v>
      </x:c>
      <x:c r="F1100" s="14" t="str">
        <x:f>INDEX(Roster!$F$6:$F$108,MATCH(D1100,Roster!$A$6:$A$108,0))</x:f>
        <x:v>Yes</x:v>
      </x:c>
      <x:c r="G1100" s="14" t="n">
        <x:f>INDEX(Inputs!$B$7:$D$7,1,MATCH(A1100,Inputs!$B$6:$D$6,0))</x:f>
        <x:v>13</x:v>
      </x:c>
      <x:c r="H1100" s="14" t="n">
        <x:f>MIN(=INDEX(Inputs!$B$7:$D$7,1,MATCH(A1100,Inputs!$B$6:$D$6,0)),MAX(0,INDEX(Inputs!$B$14:$D$14,1,MATCH(A1100,Inputs!$B$6:$D$6,0))-(C1100-1)*=INDEX(Inputs!$B$7:$D$7,1,MATCH(A1100,Inputs!$B$6:$D$6,0))))</x:f>
        <x:v>13</x:v>
      </x:c>
      <x:c r="I1100" s="20" t="n">
        <x:f>INDEX(Inputs!$B$8:$D$8,1,MATCH(A1100,Inputs!$B$6:$D$6,0))</x:f>
        <x:v>2395</x:v>
      </x:c>
      <x:c r="J1100" s="20" t="n">
        <x:f>INDEX(Roster!$C$6:$C$108,MATCH(D1100,Roster!$A$6:$A$108,0))*(1+INDEX(Inputs!$B$9:$D$9,1,MATCH(A1100,Inputs!$B$6:$D$6,0)))</x:f>
        <x:v>1400</x:v>
      </x:c>
      <x:c r="K1100" s="20" t="n">
        <x:f>IF(=INDEX(Roster!$F$6:$F$108,MATCH(D1100,Roster!$A$6:$A$108,0))="Yes",0,=INDEX(Inputs!$B$8:$D$8,1,MATCH(A1100,Inputs!$B$6:$D$6,0))*IF(=INDEX(Roster!$B$6:$B$108,MATCH(D1100,Roster!$A$6:$A$108,0))="Principal",INDEX(Inputs!$B$10:$D$10,1,MATCH(A1100,Inputs!$B$6:$D$6,0)),IF(=INDEX(Roster!$B$6:$B$108,MATCH(D1100,Roster!$A$6:$A$108,0))="Associate Principal",INDEX(Inputs!$B$11:$D$11,1,MATCH(A1100,Inputs!$B$6:$D$6,0)),IF(=INDEX(Roster!$B$6:$B$108,MATCH(D1100,Roster!$A$6:$A$108,0))="Assistant Principal",INDEX(Inputs!$B$12:$D$12,1,MATCH(A1100,Inputs!$B$6:$D$6,0)),0))))</x:f>
        <x:v>0</x:v>
      </x:c>
      <x:c r="L1100" s="20" t="n">
        <x:f>IF(INDEX(Roster!$D$6:$D$108,MATCH(D1100,Roster!$A$6:$A$108,0))&gt;=25,INDEX(Inputs!$B$19:$D$19,1,MATCH(A1100,Inputs!$B$6:$D$6,0)),IF(INDEX(Roster!$D$6:$D$108,MATCH(D1100,Roster!$A$6:$A$108,0))&gt;=20,INDEX(Inputs!$B$18:$D$18,1,MATCH(A1100,Inputs!$B$6:$D$6,0)),IF(INDEX(Roster!$D$6:$D$108,MATCH(D1100,Roster!$A$6:$A$108,0))&gt;=15,INDEX(Inputs!$B$17:$D$17,1,MATCH(A1100,Inputs!$B$6:$D$6,0)),IF(INDEX(Roster!$D$6:$D$108,MATCH(D1100,Roster!$A$6:$A$108,0))&gt;=10,INDEX(Inputs!$B$16:$D$16,1,MATCH(A1100,Inputs!$B$6:$D$6,0)),IF(INDEX(Roster!$D$6:$D$108,MATCH(D1100,Roster!$A$6:$A$108,0))&gt;=5,INDEX(Inputs!$B$15:$D$15,1,MATCH(A1100,Inputs!$B$6:$D$6,0)),0)))))</x:f>
        <x:v>90</x:v>
      </x:c>
      <x:c r="M1100" s="20" t="n">
        <x:f>G1100*I1100</x:f>
        <x:v>31135</x:v>
      </x:c>
      <x:c r="N1100" s="20" t="n">
        <x:f>G1100*J1100</x:f>
        <x:v>18200</x:v>
      </x:c>
      <x:c r="O1100" s="20" t="n">
        <x:f>G1100*K1100</x:f>
        <x:v>0</x:v>
      </x:c>
      <x:c r="P1100" s="20" t="n">
        <x:f>G1100*L1100</x:f>
        <x:v>1170</x:v>
      </x:c>
      <x:c r="Q1100" s="20" t="n">
        <x:f>H1100*INDEX(Inputs!$B$13:$D$13,1,MATCH(A1100,Inputs!$B$6:$D$6,0))</x:f>
        <x:v>390</x:v>
      </x:c>
      <x:c r="R1100" s="20" t="n">
        <x:f>SUM(M1100:Q1100)</x:f>
        <x:v>50895</x:v>
      </x:c>
      <x:c r="S1100" s="20" t="n">
        <x:f>IF(AND(A1099=A1100,D1099=D1100),S1099+R1100,R1100)</x:f>
        <x:v>152685</x:v>
      </x:c>
      <x:c r="T1100" s="20" t="n">
        <x:f>MIN(S1100,INDEX(Inputs!$B$20:$D$20,1,MATCH(A1100,Inputs!$B$6:$D$6,0)))*INDEX(Inputs!$B$22:$D$22,1,MATCH(A1100,Inputs!$B$6:$D$6,0))+MAX(MIN(S1100,INDEX(Inputs!$B$21:$D$21,1,MATCH(A1100,Inputs!$B$6:$D$6,0)))-INDEX(Inputs!$B$20:$D$20,1,MATCH(A1100,Inputs!$B$6:$D$6,0)),0)*INDEX(Inputs!$B$23:$D$23,1,MATCH(A1100,Inputs!$B$6:$D$6,0))+MAX(S1100-INDEX(Inputs!$B$21:$D$21,1,MATCH(A1100,Inputs!$B$6:$D$6,0)),0)*INDEX(Inputs!$B$24:$D$24,1,MATCH(A1100,Inputs!$B$6:$D$6,0))</x:f>
        <x:v>10127.8745</x:v>
      </x:c>
      <x:c r="U1100" s="20" t="n">
        <x:f>IF(AND(A1099=A1100,D1099=D1100),T1099,0)</x:f>
        <x:v>8276.935</x:v>
      </x:c>
      <x:c r="V1100" s="20" t="n">
        <x:f>T1100-U1100</x:f>
        <x:v>1850.9395000000004</x:v>
      </x:c>
      <x:c r="W1100" s="20" t="n">
        <x:f>R1100+V1100</x:f>
        <x:v>52745.9395</x:v>
      </x:c>
      <x:c r="X1100" s="14" t="str">
        <x:f>IF(ABS(W1100-SUM(M1100:Q1100)-V1100)&lt;0.01,"OK","Check")</x:f>
        <x:v>OK</x:v>
      </x:c>
    </x:row>
    <x:row r="1101">
      <x:c r="A1101" s="14" t="n">
        <x:v>2028</x:v>
      </x:c>
      <x:c r="B1101" s="14" t="str">
        <x:v>Q4</x:v>
      </x:c>
      <x:c r="C1101" s="14" t="n">
        <x:v>4</x:v>
      </x:c>
      <x:c r="D1101" s="14" t="n">
        <x:v>68</x:v>
      </x:c>
      <x:c r="E1101" s="14" t="str">
        <x:f>INDEX(Roster!$B$6:$B$108,MATCH(D1101,Roster!$A$6:$A$108,0))</x:f>
        <x:v>Principal</x:v>
      </x:c>
      <x:c r="F1101" s="14" t="str">
        <x:f>INDEX(Roster!$F$6:$F$108,MATCH(D1101,Roster!$A$6:$A$108,0))</x:f>
        <x:v>Yes</x:v>
      </x:c>
      <x:c r="G1101" s="14" t="n">
        <x:f>INDEX(Inputs!$B$7:$D$7,1,MATCH(A1101,Inputs!$B$6:$D$6,0))</x:f>
        <x:v>13</x:v>
      </x:c>
      <x:c r="H1101" s="14" t="n">
        <x:f>MIN(=INDEX(Inputs!$B$7:$D$7,1,MATCH(A1101,Inputs!$B$6:$D$6,0)),MAX(0,INDEX(Inputs!$B$14:$D$14,1,MATCH(A1101,Inputs!$B$6:$D$6,0))-(C1101-1)*=INDEX(Inputs!$B$7:$D$7,1,MATCH(A1101,Inputs!$B$6:$D$6,0))))</x:f>
        <x:v>0</x:v>
      </x:c>
      <x:c r="I1101" s="20" t="n">
        <x:f>INDEX(Inputs!$B$8:$D$8,1,MATCH(A1101,Inputs!$B$6:$D$6,0))</x:f>
        <x:v>2395</x:v>
      </x:c>
      <x:c r="J1101" s="20" t="n">
        <x:f>INDEX(Roster!$C$6:$C$108,MATCH(D1101,Roster!$A$6:$A$108,0))*(1+INDEX(Inputs!$B$9:$D$9,1,MATCH(A1101,Inputs!$B$6:$D$6,0)))</x:f>
        <x:v>1400</x:v>
      </x:c>
      <x:c r="K1101" s="20" t="n">
        <x:f>IF(=INDEX(Roster!$F$6:$F$108,MATCH(D1101,Roster!$A$6:$A$108,0))="Yes",0,=INDEX(Inputs!$B$8:$D$8,1,MATCH(A1101,Inputs!$B$6:$D$6,0))*IF(=INDEX(Roster!$B$6:$B$108,MATCH(D1101,Roster!$A$6:$A$108,0))="Principal",INDEX(Inputs!$B$10:$D$10,1,MATCH(A1101,Inputs!$B$6:$D$6,0)),IF(=INDEX(Roster!$B$6:$B$108,MATCH(D1101,Roster!$A$6:$A$108,0))="Associate Principal",INDEX(Inputs!$B$11:$D$11,1,MATCH(A1101,Inputs!$B$6:$D$6,0)),IF(=INDEX(Roster!$B$6:$B$108,MATCH(D1101,Roster!$A$6:$A$108,0))="Assistant Principal",INDEX(Inputs!$B$12:$D$12,1,MATCH(A1101,Inputs!$B$6:$D$6,0)),0))))</x:f>
        <x:v>0</x:v>
      </x:c>
      <x:c r="L1101" s="20" t="n">
        <x:f>IF(INDEX(Roster!$D$6:$D$108,MATCH(D1101,Roster!$A$6:$A$108,0))&gt;=25,INDEX(Inputs!$B$19:$D$19,1,MATCH(A1101,Inputs!$B$6:$D$6,0)),IF(INDEX(Roster!$D$6:$D$108,MATCH(D1101,Roster!$A$6:$A$108,0))&gt;=20,INDEX(Inputs!$B$18:$D$18,1,MATCH(A1101,Inputs!$B$6:$D$6,0)),IF(INDEX(Roster!$D$6:$D$108,MATCH(D1101,Roster!$A$6:$A$108,0))&gt;=15,INDEX(Inputs!$B$17:$D$17,1,MATCH(A1101,Inputs!$B$6:$D$6,0)),IF(INDEX(Roster!$D$6:$D$108,MATCH(D1101,Roster!$A$6:$A$108,0))&gt;=10,INDEX(Inputs!$B$16:$D$16,1,MATCH(A1101,Inputs!$B$6:$D$6,0)),IF(INDEX(Roster!$D$6:$D$108,MATCH(D1101,Roster!$A$6:$A$108,0))&gt;=5,INDEX(Inputs!$B$15:$D$15,1,MATCH(A1101,Inputs!$B$6:$D$6,0)),0)))))</x:f>
        <x:v>90</x:v>
      </x:c>
      <x:c r="M1101" s="20" t="n">
        <x:f>G1101*I1101</x:f>
        <x:v>31135</x:v>
      </x:c>
      <x:c r="N1101" s="20" t="n">
        <x:f>G1101*J1101</x:f>
        <x:v>18200</x:v>
      </x:c>
      <x:c r="O1101" s="20" t="n">
        <x:f>G1101*K1101</x:f>
        <x:v>0</x:v>
      </x:c>
      <x:c r="P1101" s="20" t="n">
        <x:f>G1101*L1101</x:f>
        <x:v>1170</x:v>
      </x:c>
      <x:c r="Q1101" s="20" t="n">
        <x:f>H1101*INDEX(Inputs!$B$13:$D$13,1,MATCH(A1101,Inputs!$B$6:$D$6,0))</x:f>
        <x:v>0</x:v>
      </x:c>
      <x:c r="R1101" s="20" t="n">
        <x:f>SUM(M1101:Q1101)</x:f>
        <x:v>50505</x:v>
      </x:c>
      <x:c r="S1101" s="20" t="n">
        <x:f>IF(AND(A1100=A1101,D1100=D1101),S1100+R1101,R1101)</x:f>
        <x:v>203190</x:v>
      </x:c>
      <x:c r="T1101" s="20" t="n">
        <x:f>MIN(S1101,INDEX(Inputs!$B$20:$D$20,1,MATCH(A1101,Inputs!$B$6:$D$6,0)))*INDEX(Inputs!$B$22:$D$22,1,MATCH(A1101,Inputs!$B$6:$D$6,0))+MAX(MIN(S1101,INDEX(Inputs!$B$21:$D$21,1,MATCH(A1101,Inputs!$B$6:$D$6,0)))-INDEX(Inputs!$B$20:$D$20,1,MATCH(A1101,Inputs!$B$6:$D$6,0)),0)*INDEX(Inputs!$B$23:$D$23,1,MATCH(A1101,Inputs!$B$6:$D$6,0))+MAX(S1101-INDEX(Inputs!$B$21:$D$21,1,MATCH(A1101,Inputs!$B$6:$D$6,0)),0)*INDEX(Inputs!$B$24:$D$24,1,MATCH(A1101,Inputs!$B$6:$D$6,0))</x:f>
        <x:v>10860.197</x:v>
      </x:c>
      <x:c r="U1101" s="20" t="n">
        <x:f>IF(AND(A1100=A1101,D1100=D1101),T1100,0)</x:f>
        <x:v>10127.8745</x:v>
      </x:c>
      <x:c r="V1101" s="20" t="n">
        <x:f>T1101-U1101</x:f>
        <x:v>732.3225000000002</x:v>
      </x:c>
      <x:c r="W1101" s="20" t="n">
        <x:f>R1101+V1101</x:f>
        <x:v>51237.3225</x:v>
      </x:c>
      <x:c r="X1101" s="14" t="str">
        <x:f>IF(ABS(W1101-SUM(M1101:Q1101)-V1101)&lt;0.01,"OK","Check")</x:f>
        <x:v>OK</x:v>
      </x:c>
    </x:row>
    <x:row r="1102">
      <x:c r="A1102" s="14" t="n">
        <x:v>2028</x:v>
      </x:c>
      <x:c r="B1102" s="14" t="str">
        <x:v>Q1</x:v>
      </x:c>
      <x:c r="C1102" s="14" t="n">
        <x:v>1</x:v>
      </x:c>
      <x:c r="D1102" s="14" t="n">
        <x:v>69</x:v>
      </x:c>
      <x:c r="E1102" s="14" t="str">
        <x:f>INDEX(Roster!$B$6:$B$108,MATCH(D1102,Roster!$A$6:$A$108,0))</x:f>
      </x:c>
      <x:c r="F1102" s="14" t="str">
        <x:f>INDEX(Roster!$F$6:$F$108,MATCH(D1102,Roster!$A$6:$A$108,0))</x:f>
        <x:v>No</x:v>
      </x:c>
      <x:c r="G1102" s="14" t="n">
        <x:f>INDEX(Inputs!$B$7:$D$7,1,MATCH(A1102,Inputs!$B$6:$D$6,0))</x:f>
        <x:v>13</x:v>
      </x:c>
      <x:c r="H1102" s="14" t="n">
        <x:f>MIN(=INDEX(Inputs!$B$7:$D$7,1,MATCH(A1102,Inputs!$B$6:$D$6,0)),MAX(0,INDEX(Inputs!$B$14:$D$14,1,MATCH(A1102,Inputs!$B$6:$D$6,0))-(C1102-1)*=INDEX(Inputs!$B$7:$D$7,1,MATCH(A1102,Inputs!$B$6:$D$6,0))))</x:f>
        <x:v>13</x:v>
      </x:c>
      <x:c r="I1102" s="20" t="n">
        <x:f>INDEX(Inputs!$B$8:$D$8,1,MATCH(A1102,Inputs!$B$6:$D$6,0))</x:f>
        <x:v>2395</x:v>
      </x:c>
      <x:c r="J1102" s="20" t="n">
        <x:f>INDEX(Roster!$C$6:$C$108,MATCH(D1102,Roster!$A$6:$A$108,0))*(1+INDEX(Inputs!$B$9:$D$9,1,MATCH(A1102,Inputs!$B$6:$D$6,0)))</x:f>
        <x:v>550</x:v>
      </x:c>
      <x:c r="K1102" s="20" t="n">
        <x:f>IF(=INDEX(Roster!$F$6:$F$108,MATCH(D1102,Roster!$A$6:$A$108,0))="Yes",0,=INDEX(Inputs!$B$8:$D$8,1,MATCH(A1102,Inputs!$B$6:$D$6,0))*IF(=INDEX(Roster!$B$6:$B$108,MATCH(D1102,Roster!$A$6:$A$108,0))="Principal",INDEX(Inputs!$B$10:$D$10,1,MATCH(A1102,Inputs!$B$6:$D$6,0)),IF(=INDEX(Roster!$B$6:$B$108,MATCH(D1102,Roster!$A$6:$A$108,0))="Associate Principal",INDEX(Inputs!$B$11:$D$11,1,MATCH(A1102,Inputs!$B$6:$D$6,0)),IF(=INDEX(Roster!$B$6:$B$108,MATCH(D1102,Roster!$A$6:$A$108,0))="Assistant Principal",INDEX(Inputs!$B$12:$D$12,1,MATCH(A1102,Inputs!$B$6:$D$6,0)),0))))</x:f>
        <x:v>0</x:v>
      </x:c>
      <x:c r="L1102" s="20" t="n">
        <x:f>IF(INDEX(Roster!$D$6:$D$108,MATCH(D1102,Roster!$A$6:$A$108,0))&gt;=25,INDEX(Inputs!$B$19:$D$19,1,MATCH(A1102,Inputs!$B$6:$D$6,0)),IF(INDEX(Roster!$D$6:$D$108,MATCH(D1102,Roster!$A$6:$A$108,0))&gt;=20,INDEX(Inputs!$B$18:$D$18,1,MATCH(A1102,Inputs!$B$6:$D$6,0)),IF(INDEX(Roster!$D$6:$D$108,MATCH(D1102,Roster!$A$6:$A$108,0))&gt;=15,INDEX(Inputs!$B$17:$D$17,1,MATCH(A1102,Inputs!$B$6:$D$6,0)),IF(INDEX(Roster!$D$6:$D$108,MATCH(D1102,Roster!$A$6:$A$108,0))&gt;=10,INDEX(Inputs!$B$16:$D$16,1,MATCH(A1102,Inputs!$B$6:$D$6,0)),IF(INDEX(Roster!$D$6:$D$108,MATCH(D1102,Roster!$A$6:$A$108,0))&gt;=5,INDEX(Inputs!$B$15:$D$15,1,MATCH(A1102,Inputs!$B$6:$D$6,0)),0)))))</x:f>
        <x:v>70</x:v>
      </x:c>
      <x:c r="M1102" s="20" t="n">
        <x:f>G1102*I1102</x:f>
        <x:v>31135</x:v>
      </x:c>
      <x:c r="N1102" s="20" t="n">
        <x:f>G1102*J1102</x:f>
        <x:v>7150</x:v>
      </x:c>
      <x:c r="O1102" s="20" t="n">
        <x:f>G1102*K1102</x:f>
        <x:v>0</x:v>
      </x:c>
      <x:c r="P1102" s="20" t="n">
        <x:f>G1102*L1102</x:f>
        <x:v>910</x:v>
      </x:c>
      <x:c r="Q1102" s="20" t="n">
        <x:f>H1102*INDEX(Inputs!$B$13:$D$13,1,MATCH(A1102,Inputs!$B$6:$D$6,0))</x:f>
        <x:v>390</x:v>
      </x:c>
      <x:c r="R1102" s="20" t="n">
        <x:f>SUM(M1102:Q1102)</x:f>
        <x:v>39585</x:v>
      </x:c>
      <x:c r="S1102" s="20" t="n">
        <x:f>IF(AND(A1101=A1102,D1101=D1102),S1101+R1102,R1102)</x:f>
        <x:v>39585</x:v>
      </x:c>
      <x:c r="T1102" s="20" t="n">
        <x:f>MIN(S1102,INDEX(Inputs!$B$20:$D$20,1,MATCH(A1102,Inputs!$B$6:$D$6,0)))*INDEX(Inputs!$B$22:$D$22,1,MATCH(A1102,Inputs!$B$6:$D$6,0))+MAX(MIN(S1102,INDEX(Inputs!$B$21:$D$21,1,MATCH(A1102,Inputs!$B$6:$D$6,0)))-INDEX(Inputs!$B$20:$D$20,1,MATCH(A1102,Inputs!$B$6:$D$6,0)),0)*INDEX(Inputs!$B$23:$D$23,1,MATCH(A1102,Inputs!$B$6:$D$6,0))+MAX(S1102-INDEX(Inputs!$B$21:$D$21,1,MATCH(A1102,Inputs!$B$6:$D$6,0)),0)*INDEX(Inputs!$B$24:$D$24,1,MATCH(A1102,Inputs!$B$6:$D$6,0))</x:f>
        <x:v>3518.2525</x:v>
      </x:c>
      <x:c r="U1102" s="20" t="n">
        <x:f>IF(AND(A1101=A1102,D1101=D1102),T1101,0)</x:f>
        <x:v>0</x:v>
      </x:c>
      <x:c r="V1102" s="20" t="n">
        <x:f>T1102-U1102</x:f>
        <x:v>3518.2525</x:v>
      </x:c>
      <x:c r="W1102" s="20" t="n">
        <x:f>R1102+V1102</x:f>
        <x:v>43103.2525</x:v>
      </x:c>
      <x:c r="X1102" s="14" t="str">
        <x:f>IF(ABS(W1102-SUM(M1102:Q1102)-V1102)&lt;0.01,"OK","Check")</x:f>
        <x:v>OK</x:v>
      </x:c>
    </x:row>
    <x:row r="1103">
      <x:c r="A1103" s="14" t="n">
        <x:v>2028</x:v>
      </x:c>
      <x:c r="B1103" s="14" t="str">
        <x:v>Q2</x:v>
      </x:c>
      <x:c r="C1103" s="14" t="n">
        <x:v>2</x:v>
      </x:c>
      <x:c r="D1103" s="14" t="n">
        <x:v>69</x:v>
      </x:c>
      <x:c r="E1103" s="14" t="str">
        <x:f>INDEX(Roster!$B$6:$B$108,MATCH(D1103,Roster!$A$6:$A$108,0))</x:f>
      </x:c>
      <x:c r="F1103" s="14" t="str">
        <x:f>INDEX(Roster!$F$6:$F$108,MATCH(D1103,Roster!$A$6:$A$108,0))</x:f>
        <x:v>No</x:v>
      </x:c>
      <x:c r="G1103" s="14" t="n">
        <x:f>INDEX(Inputs!$B$7:$D$7,1,MATCH(A1103,Inputs!$B$6:$D$6,0))</x:f>
        <x:v>13</x:v>
      </x:c>
      <x:c r="H1103" s="14" t="n">
        <x:f>MIN(=INDEX(Inputs!$B$7:$D$7,1,MATCH(A1103,Inputs!$B$6:$D$6,0)),MAX(0,INDEX(Inputs!$B$14:$D$14,1,MATCH(A1103,Inputs!$B$6:$D$6,0))-(C1103-1)*=INDEX(Inputs!$B$7:$D$7,1,MATCH(A1103,Inputs!$B$6:$D$6,0))))</x:f>
        <x:v>13</x:v>
      </x:c>
      <x:c r="I1103" s="20" t="n">
        <x:f>INDEX(Inputs!$B$8:$D$8,1,MATCH(A1103,Inputs!$B$6:$D$6,0))</x:f>
        <x:v>2395</x:v>
      </x:c>
      <x:c r="J1103" s="20" t="n">
        <x:f>INDEX(Roster!$C$6:$C$108,MATCH(D1103,Roster!$A$6:$A$108,0))*(1+INDEX(Inputs!$B$9:$D$9,1,MATCH(A1103,Inputs!$B$6:$D$6,0)))</x:f>
        <x:v>550</x:v>
      </x:c>
      <x:c r="K1103" s="20" t="n">
        <x:f>IF(=INDEX(Roster!$F$6:$F$108,MATCH(D1103,Roster!$A$6:$A$108,0))="Yes",0,=INDEX(Inputs!$B$8:$D$8,1,MATCH(A1103,Inputs!$B$6:$D$6,0))*IF(=INDEX(Roster!$B$6:$B$108,MATCH(D1103,Roster!$A$6:$A$108,0))="Principal",INDEX(Inputs!$B$10:$D$10,1,MATCH(A1103,Inputs!$B$6:$D$6,0)),IF(=INDEX(Roster!$B$6:$B$108,MATCH(D1103,Roster!$A$6:$A$108,0))="Associate Principal",INDEX(Inputs!$B$11:$D$11,1,MATCH(A1103,Inputs!$B$6:$D$6,0)),IF(=INDEX(Roster!$B$6:$B$108,MATCH(D1103,Roster!$A$6:$A$108,0))="Assistant Principal",INDEX(Inputs!$B$12:$D$12,1,MATCH(A1103,Inputs!$B$6:$D$6,0)),0))))</x:f>
        <x:v>0</x:v>
      </x:c>
      <x:c r="L1103" s="20" t="n">
        <x:f>IF(INDEX(Roster!$D$6:$D$108,MATCH(D1103,Roster!$A$6:$A$108,0))&gt;=25,INDEX(Inputs!$B$19:$D$19,1,MATCH(A1103,Inputs!$B$6:$D$6,0)),IF(INDEX(Roster!$D$6:$D$108,MATCH(D1103,Roster!$A$6:$A$108,0))&gt;=20,INDEX(Inputs!$B$18:$D$18,1,MATCH(A1103,Inputs!$B$6:$D$6,0)),IF(INDEX(Roster!$D$6:$D$108,MATCH(D1103,Roster!$A$6:$A$108,0))&gt;=15,INDEX(Inputs!$B$17:$D$17,1,MATCH(A1103,Inputs!$B$6:$D$6,0)),IF(INDEX(Roster!$D$6:$D$108,MATCH(D1103,Roster!$A$6:$A$108,0))&gt;=10,INDEX(Inputs!$B$16:$D$16,1,MATCH(A1103,Inputs!$B$6:$D$6,0)),IF(INDEX(Roster!$D$6:$D$108,MATCH(D1103,Roster!$A$6:$A$108,0))&gt;=5,INDEX(Inputs!$B$15:$D$15,1,MATCH(A1103,Inputs!$B$6:$D$6,0)),0)))))</x:f>
        <x:v>70</x:v>
      </x:c>
      <x:c r="M1103" s="20" t="n">
        <x:f>G1103*I1103</x:f>
        <x:v>31135</x:v>
      </x:c>
      <x:c r="N1103" s="20" t="n">
        <x:f>G1103*J1103</x:f>
        <x:v>7150</x:v>
      </x:c>
      <x:c r="O1103" s="20" t="n">
        <x:f>G1103*K1103</x:f>
        <x:v>0</x:v>
      </x:c>
      <x:c r="P1103" s="20" t="n">
        <x:f>G1103*L1103</x:f>
        <x:v>910</x:v>
      </x:c>
      <x:c r="Q1103" s="20" t="n">
        <x:f>H1103*INDEX(Inputs!$B$13:$D$13,1,MATCH(A1103,Inputs!$B$6:$D$6,0))</x:f>
        <x:v>390</x:v>
      </x:c>
      <x:c r="R1103" s="20" t="n">
        <x:f>SUM(M1103:Q1103)</x:f>
        <x:v>39585</x:v>
      </x:c>
      <x:c r="S1103" s="20" t="n">
        <x:f>IF(AND(A1102=A1103,D1102=D1103),S1102+R1103,R1103)</x:f>
        <x:v>79170</x:v>
      </x:c>
      <x:c r="T1103" s="20" t="n">
        <x:f>MIN(S1103,INDEX(Inputs!$B$20:$D$20,1,MATCH(A1103,Inputs!$B$6:$D$6,0)))*INDEX(Inputs!$B$22:$D$22,1,MATCH(A1103,Inputs!$B$6:$D$6,0))+MAX(MIN(S1103,INDEX(Inputs!$B$21:$D$21,1,MATCH(A1103,Inputs!$B$6:$D$6,0)))-INDEX(Inputs!$B$20:$D$20,1,MATCH(A1103,Inputs!$B$6:$D$6,0)),0)*INDEX(Inputs!$B$23:$D$23,1,MATCH(A1103,Inputs!$B$6:$D$6,0))+MAX(S1103-INDEX(Inputs!$B$21:$D$21,1,MATCH(A1103,Inputs!$B$6:$D$6,0)),0)*INDEX(Inputs!$B$24:$D$24,1,MATCH(A1103,Inputs!$B$6:$D$6,0))</x:f>
        <x:v>6546.505</x:v>
      </x:c>
      <x:c r="U1103" s="20" t="n">
        <x:f>IF(AND(A1102=A1103,D1102=D1103),T1102,0)</x:f>
        <x:v>3518.2525</x:v>
      </x:c>
      <x:c r="V1103" s="20" t="n">
        <x:f>T1103-U1103</x:f>
        <x:v>3028.2525</x:v>
      </x:c>
      <x:c r="W1103" s="20" t="n">
        <x:f>R1103+V1103</x:f>
        <x:v>42613.2525</x:v>
      </x:c>
      <x:c r="X1103" s="14" t="str">
        <x:f>IF(ABS(W1103-SUM(M1103:Q1103)-V1103)&lt;0.01,"OK","Check")</x:f>
        <x:v>OK</x:v>
      </x:c>
    </x:row>
    <x:row r="1104">
      <x:c r="A1104" s="14" t="n">
        <x:v>2028</x:v>
      </x:c>
      <x:c r="B1104" s="14" t="str">
        <x:v>Q3</x:v>
      </x:c>
      <x:c r="C1104" s="14" t="n">
        <x:v>3</x:v>
      </x:c>
      <x:c r="D1104" s="14" t="n">
        <x:v>69</x:v>
      </x:c>
      <x:c r="E1104" s="14" t="str">
        <x:f>INDEX(Roster!$B$6:$B$108,MATCH(D1104,Roster!$A$6:$A$108,0))</x:f>
      </x:c>
      <x:c r="F1104" s="14" t="str">
        <x:f>INDEX(Roster!$F$6:$F$108,MATCH(D1104,Roster!$A$6:$A$108,0))</x:f>
        <x:v>No</x:v>
      </x:c>
      <x:c r="G1104" s="14" t="n">
        <x:f>INDEX(Inputs!$B$7:$D$7,1,MATCH(A1104,Inputs!$B$6:$D$6,0))</x:f>
        <x:v>13</x:v>
      </x:c>
      <x:c r="H1104" s="14" t="n">
        <x:f>MIN(=INDEX(Inputs!$B$7:$D$7,1,MATCH(A1104,Inputs!$B$6:$D$6,0)),MAX(0,INDEX(Inputs!$B$14:$D$14,1,MATCH(A1104,Inputs!$B$6:$D$6,0))-(C1104-1)*=INDEX(Inputs!$B$7:$D$7,1,MATCH(A1104,Inputs!$B$6:$D$6,0))))</x:f>
        <x:v>13</x:v>
      </x:c>
      <x:c r="I1104" s="20" t="n">
        <x:f>INDEX(Inputs!$B$8:$D$8,1,MATCH(A1104,Inputs!$B$6:$D$6,0))</x:f>
        <x:v>2395</x:v>
      </x:c>
      <x:c r="J1104" s="20" t="n">
        <x:f>INDEX(Roster!$C$6:$C$108,MATCH(D1104,Roster!$A$6:$A$108,0))*(1+INDEX(Inputs!$B$9:$D$9,1,MATCH(A1104,Inputs!$B$6:$D$6,0)))</x:f>
        <x:v>550</x:v>
      </x:c>
      <x:c r="K1104" s="20" t="n">
        <x:f>IF(=INDEX(Roster!$F$6:$F$108,MATCH(D1104,Roster!$A$6:$A$108,0))="Yes",0,=INDEX(Inputs!$B$8:$D$8,1,MATCH(A1104,Inputs!$B$6:$D$6,0))*IF(=INDEX(Roster!$B$6:$B$108,MATCH(D1104,Roster!$A$6:$A$108,0))="Principal",INDEX(Inputs!$B$10:$D$10,1,MATCH(A1104,Inputs!$B$6:$D$6,0)),IF(=INDEX(Roster!$B$6:$B$108,MATCH(D1104,Roster!$A$6:$A$108,0))="Associate Principal",INDEX(Inputs!$B$11:$D$11,1,MATCH(A1104,Inputs!$B$6:$D$6,0)),IF(=INDEX(Roster!$B$6:$B$108,MATCH(D1104,Roster!$A$6:$A$108,0))="Assistant Principal",INDEX(Inputs!$B$12:$D$12,1,MATCH(A1104,Inputs!$B$6:$D$6,0)),0))))</x:f>
        <x:v>0</x:v>
      </x:c>
      <x:c r="L1104" s="20" t="n">
        <x:f>IF(INDEX(Roster!$D$6:$D$108,MATCH(D1104,Roster!$A$6:$A$108,0))&gt;=25,INDEX(Inputs!$B$19:$D$19,1,MATCH(A1104,Inputs!$B$6:$D$6,0)),IF(INDEX(Roster!$D$6:$D$108,MATCH(D1104,Roster!$A$6:$A$108,0))&gt;=20,INDEX(Inputs!$B$18:$D$18,1,MATCH(A1104,Inputs!$B$6:$D$6,0)),IF(INDEX(Roster!$D$6:$D$108,MATCH(D1104,Roster!$A$6:$A$108,0))&gt;=15,INDEX(Inputs!$B$17:$D$17,1,MATCH(A1104,Inputs!$B$6:$D$6,0)),IF(INDEX(Roster!$D$6:$D$108,MATCH(D1104,Roster!$A$6:$A$108,0))&gt;=10,INDEX(Inputs!$B$16:$D$16,1,MATCH(A1104,Inputs!$B$6:$D$6,0)),IF(INDEX(Roster!$D$6:$D$108,MATCH(D1104,Roster!$A$6:$A$108,0))&gt;=5,INDEX(Inputs!$B$15:$D$15,1,MATCH(A1104,Inputs!$B$6:$D$6,0)),0)))))</x:f>
        <x:v>70</x:v>
      </x:c>
      <x:c r="M1104" s="20" t="n">
        <x:f>G1104*I1104</x:f>
        <x:v>31135</x:v>
      </x:c>
      <x:c r="N1104" s="20" t="n">
        <x:f>G1104*J1104</x:f>
        <x:v>7150</x:v>
      </x:c>
      <x:c r="O1104" s="20" t="n">
        <x:f>G1104*K1104</x:f>
        <x:v>0</x:v>
      </x:c>
      <x:c r="P1104" s="20" t="n">
        <x:f>G1104*L1104</x:f>
        <x:v>910</x:v>
      </x:c>
      <x:c r="Q1104" s="20" t="n">
        <x:f>H1104*INDEX(Inputs!$B$13:$D$13,1,MATCH(A1104,Inputs!$B$6:$D$6,0))</x:f>
        <x:v>390</x:v>
      </x:c>
      <x:c r="R1104" s="20" t="n">
        <x:f>SUM(M1104:Q1104)</x:f>
        <x:v>39585</x:v>
      </x:c>
      <x:c r="S1104" s="20" t="n">
        <x:f>IF(AND(A1103=A1104,D1103=D1104),S1103+R1104,R1104)</x:f>
        <x:v>118755</x:v>
      </x:c>
      <x:c r="T1104" s="20" t="n">
        <x:f>MIN(S1104,INDEX(Inputs!$B$20:$D$20,1,MATCH(A1104,Inputs!$B$6:$D$6,0)))*INDEX(Inputs!$B$22:$D$22,1,MATCH(A1104,Inputs!$B$6:$D$6,0))+MAX(MIN(S1104,INDEX(Inputs!$B$21:$D$21,1,MATCH(A1104,Inputs!$B$6:$D$6,0)))-INDEX(Inputs!$B$20:$D$20,1,MATCH(A1104,Inputs!$B$6:$D$6,0)),0)*INDEX(Inputs!$B$23:$D$23,1,MATCH(A1104,Inputs!$B$6:$D$6,0))+MAX(S1104-INDEX(Inputs!$B$21:$D$21,1,MATCH(A1104,Inputs!$B$6:$D$6,0)),0)*INDEX(Inputs!$B$24:$D$24,1,MATCH(A1104,Inputs!$B$6:$D$6,0))</x:f>
        <x:v>9574.7575</x:v>
      </x:c>
      <x:c r="U1104" s="20" t="n">
        <x:f>IF(AND(A1103=A1104,D1103=D1104),T1103,0)</x:f>
        <x:v>6546.505</x:v>
      </x:c>
      <x:c r="V1104" s="20" t="n">
        <x:f>T1104-U1104</x:f>
        <x:v>3028.2524999999996</x:v>
      </x:c>
      <x:c r="W1104" s="20" t="n">
        <x:f>R1104+V1104</x:f>
        <x:v>42613.2525</x:v>
      </x:c>
      <x:c r="X1104" s="14" t="str">
        <x:f>IF(ABS(W1104-SUM(M1104:Q1104)-V1104)&lt;0.01,"OK","Check")</x:f>
        <x:v>OK</x:v>
      </x:c>
    </x:row>
    <x:row r="1105">
      <x:c r="A1105" s="14" t="n">
        <x:v>2028</x:v>
      </x:c>
      <x:c r="B1105" s="14" t="str">
        <x:v>Q4</x:v>
      </x:c>
      <x:c r="C1105" s="14" t="n">
        <x:v>4</x:v>
      </x:c>
      <x:c r="D1105" s="14" t="n">
        <x:v>69</x:v>
      </x:c>
      <x:c r="E1105" s="14" t="str">
        <x:f>INDEX(Roster!$B$6:$B$108,MATCH(D1105,Roster!$A$6:$A$108,0))</x:f>
      </x:c>
      <x:c r="F1105" s="14" t="str">
        <x:f>INDEX(Roster!$F$6:$F$108,MATCH(D1105,Roster!$A$6:$A$108,0))</x:f>
        <x:v>No</x:v>
      </x:c>
      <x:c r="G1105" s="14" t="n">
        <x:f>INDEX(Inputs!$B$7:$D$7,1,MATCH(A1105,Inputs!$B$6:$D$6,0))</x:f>
        <x:v>13</x:v>
      </x:c>
      <x:c r="H1105" s="14" t="n">
        <x:f>MIN(=INDEX(Inputs!$B$7:$D$7,1,MATCH(A1105,Inputs!$B$6:$D$6,0)),MAX(0,INDEX(Inputs!$B$14:$D$14,1,MATCH(A1105,Inputs!$B$6:$D$6,0))-(C1105-1)*=INDEX(Inputs!$B$7:$D$7,1,MATCH(A1105,Inputs!$B$6:$D$6,0))))</x:f>
        <x:v>0</x:v>
      </x:c>
      <x:c r="I1105" s="20" t="n">
        <x:f>INDEX(Inputs!$B$8:$D$8,1,MATCH(A1105,Inputs!$B$6:$D$6,0))</x:f>
        <x:v>2395</x:v>
      </x:c>
      <x:c r="J1105" s="20" t="n">
        <x:f>INDEX(Roster!$C$6:$C$108,MATCH(D1105,Roster!$A$6:$A$108,0))*(1+INDEX(Inputs!$B$9:$D$9,1,MATCH(A1105,Inputs!$B$6:$D$6,0)))</x:f>
        <x:v>550</x:v>
      </x:c>
      <x:c r="K1105" s="20" t="n">
        <x:f>IF(=INDEX(Roster!$F$6:$F$108,MATCH(D1105,Roster!$A$6:$A$108,0))="Yes",0,=INDEX(Inputs!$B$8:$D$8,1,MATCH(A1105,Inputs!$B$6:$D$6,0))*IF(=INDEX(Roster!$B$6:$B$108,MATCH(D1105,Roster!$A$6:$A$108,0))="Principal",INDEX(Inputs!$B$10:$D$10,1,MATCH(A1105,Inputs!$B$6:$D$6,0)),IF(=INDEX(Roster!$B$6:$B$108,MATCH(D1105,Roster!$A$6:$A$108,0))="Associate Principal",INDEX(Inputs!$B$11:$D$11,1,MATCH(A1105,Inputs!$B$6:$D$6,0)),IF(=INDEX(Roster!$B$6:$B$108,MATCH(D1105,Roster!$A$6:$A$108,0))="Assistant Principal",INDEX(Inputs!$B$12:$D$12,1,MATCH(A1105,Inputs!$B$6:$D$6,0)),0))))</x:f>
        <x:v>0</x:v>
      </x:c>
      <x:c r="L1105" s="20" t="n">
        <x:f>IF(INDEX(Roster!$D$6:$D$108,MATCH(D1105,Roster!$A$6:$A$108,0))&gt;=25,INDEX(Inputs!$B$19:$D$19,1,MATCH(A1105,Inputs!$B$6:$D$6,0)),IF(INDEX(Roster!$D$6:$D$108,MATCH(D1105,Roster!$A$6:$A$108,0))&gt;=20,INDEX(Inputs!$B$18:$D$18,1,MATCH(A1105,Inputs!$B$6:$D$6,0)),IF(INDEX(Roster!$D$6:$D$108,MATCH(D1105,Roster!$A$6:$A$108,0))&gt;=15,INDEX(Inputs!$B$17:$D$17,1,MATCH(A1105,Inputs!$B$6:$D$6,0)),IF(INDEX(Roster!$D$6:$D$108,MATCH(D1105,Roster!$A$6:$A$108,0))&gt;=10,INDEX(Inputs!$B$16:$D$16,1,MATCH(A1105,Inputs!$B$6:$D$6,0)),IF(INDEX(Roster!$D$6:$D$108,MATCH(D1105,Roster!$A$6:$A$108,0))&gt;=5,INDEX(Inputs!$B$15:$D$15,1,MATCH(A1105,Inputs!$B$6:$D$6,0)),0)))))</x:f>
        <x:v>70</x:v>
      </x:c>
      <x:c r="M1105" s="20" t="n">
        <x:f>G1105*I1105</x:f>
        <x:v>31135</x:v>
      </x:c>
      <x:c r="N1105" s="20" t="n">
        <x:f>G1105*J1105</x:f>
        <x:v>7150</x:v>
      </x:c>
      <x:c r="O1105" s="20" t="n">
        <x:f>G1105*K1105</x:f>
        <x:v>0</x:v>
      </x:c>
      <x:c r="P1105" s="20" t="n">
        <x:f>G1105*L1105</x:f>
        <x:v>910</x:v>
      </x:c>
      <x:c r="Q1105" s="20" t="n">
        <x:f>H1105*INDEX(Inputs!$B$13:$D$13,1,MATCH(A1105,Inputs!$B$6:$D$6,0))</x:f>
        <x:v>0</x:v>
      </x:c>
      <x:c r="R1105" s="20" t="n">
        <x:f>SUM(M1105:Q1105)</x:f>
        <x:v>39195</x:v>
      </x:c>
      <x:c r="S1105" s="20" t="n">
        <x:f>IF(AND(A1104=A1105,D1104=D1105),S1104+R1105,R1105)</x:f>
        <x:v>157950</x:v>
      </x:c>
      <x:c r="T1105" s="20" t="n">
        <x:f>MIN(S1105,INDEX(Inputs!$B$20:$D$20,1,MATCH(A1105,Inputs!$B$6:$D$6,0)))*INDEX(Inputs!$B$22:$D$22,1,MATCH(A1105,Inputs!$B$6:$D$6,0))+MAX(MIN(S1105,INDEX(Inputs!$B$21:$D$21,1,MATCH(A1105,Inputs!$B$6:$D$6,0)))-INDEX(Inputs!$B$20:$D$20,1,MATCH(A1105,Inputs!$B$6:$D$6,0)),0)*INDEX(Inputs!$B$23:$D$23,1,MATCH(A1105,Inputs!$B$6:$D$6,0))+MAX(S1105-INDEX(Inputs!$B$21:$D$21,1,MATCH(A1105,Inputs!$B$6:$D$6,0)),0)*INDEX(Inputs!$B$24:$D$24,1,MATCH(A1105,Inputs!$B$6:$D$6,0))</x:f>
        <x:v>10204.217</x:v>
      </x:c>
      <x:c r="U1105" s="20" t="n">
        <x:f>IF(AND(A1104=A1105,D1104=D1105),T1104,0)</x:f>
        <x:v>9574.7575</x:v>
      </x:c>
      <x:c r="V1105" s="20" t="n">
        <x:f>T1105-U1105</x:f>
        <x:v>629.4595000000008</x:v>
      </x:c>
      <x:c r="W1105" s="20" t="n">
        <x:f>R1105+V1105</x:f>
        <x:v>39824.4595</x:v>
      </x:c>
      <x:c r="X1105" s="14" t="str">
        <x:f>IF(ABS(W1105-SUM(M1105:Q1105)-V1105)&lt;0.01,"OK","Check")</x:f>
        <x:v>OK</x:v>
      </x:c>
    </x:row>
    <x:row r="1106">
      <x:c r="A1106" s="14" t="n">
        <x:v>2028</x:v>
      </x:c>
      <x:c r="B1106" s="14" t="str">
        <x:v>Q1</x:v>
      </x:c>
      <x:c r="C1106" s="14" t="n">
        <x:v>1</x:v>
      </x:c>
      <x:c r="D1106" s="14" t="n">
        <x:v>70</x:v>
      </x:c>
      <x:c r="E1106" s="14" t="str">
        <x:f>INDEX(Roster!$B$6:$B$108,MATCH(D1106,Roster!$A$6:$A$108,0))</x:f>
        <x:v>Principal</x:v>
      </x:c>
      <x:c r="F1106" s="14" t="str">
        <x:f>INDEX(Roster!$F$6:$F$108,MATCH(D1106,Roster!$A$6:$A$108,0))</x:f>
        <x:v>Yes</x:v>
      </x:c>
      <x:c r="G1106" s="14" t="n">
        <x:f>INDEX(Inputs!$B$7:$D$7,1,MATCH(A1106,Inputs!$B$6:$D$6,0))</x:f>
        <x:v>13</x:v>
      </x:c>
      <x:c r="H1106" s="14" t="n">
        <x:f>MIN(=INDEX(Inputs!$B$7:$D$7,1,MATCH(A1106,Inputs!$B$6:$D$6,0)),MAX(0,INDEX(Inputs!$B$14:$D$14,1,MATCH(A1106,Inputs!$B$6:$D$6,0))-(C1106-1)*=INDEX(Inputs!$B$7:$D$7,1,MATCH(A1106,Inputs!$B$6:$D$6,0))))</x:f>
        <x:v>13</x:v>
      </x:c>
      <x:c r="I1106" s="20" t="n">
        <x:f>INDEX(Inputs!$B$8:$D$8,1,MATCH(A1106,Inputs!$B$6:$D$6,0))</x:f>
        <x:v>2395</x:v>
      </x:c>
      <x:c r="J1106" s="20" t="n">
        <x:f>INDEX(Roster!$C$6:$C$108,MATCH(D1106,Roster!$A$6:$A$108,0))*(1+INDEX(Inputs!$B$9:$D$9,1,MATCH(A1106,Inputs!$B$6:$D$6,0)))</x:f>
        <x:v>1300</x:v>
      </x:c>
      <x:c r="K1106" s="20" t="n">
        <x:f>IF(=INDEX(Roster!$F$6:$F$108,MATCH(D1106,Roster!$A$6:$A$108,0))="Yes",0,=INDEX(Inputs!$B$8:$D$8,1,MATCH(A1106,Inputs!$B$6:$D$6,0))*IF(=INDEX(Roster!$B$6:$B$108,MATCH(D1106,Roster!$A$6:$A$108,0))="Principal",INDEX(Inputs!$B$10:$D$10,1,MATCH(A1106,Inputs!$B$6:$D$6,0)),IF(=INDEX(Roster!$B$6:$B$108,MATCH(D1106,Roster!$A$6:$A$108,0))="Associate Principal",INDEX(Inputs!$B$11:$D$11,1,MATCH(A1106,Inputs!$B$6:$D$6,0)),IF(=INDEX(Roster!$B$6:$B$108,MATCH(D1106,Roster!$A$6:$A$108,0))="Assistant Principal",INDEX(Inputs!$B$12:$D$12,1,MATCH(A1106,Inputs!$B$6:$D$6,0)),0))))</x:f>
        <x:v>0</x:v>
      </x:c>
      <x:c r="L1106" s="20" t="n">
        <x:f>IF(INDEX(Roster!$D$6:$D$108,MATCH(D1106,Roster!$A$6:$A$108,0))&gt;=25,INDEX(Inputs!$B$19:$D$19,1,MATCH(A1106,Inputs!$B$6:$D$6,0)),IF(INDEX(Roster!$D$6:$D$108,MATCH(D1106,Roster!$A$6:$A$108,0))&gt;=20,INDEX(Inputs!$B$18:$D$18,1,MATCH(A1106,Inputs!$B$6:$D$6,0)),IF(INDEX(Roster!$D$6:$D$108,MATCH(D1106,Roster!$A$6:$A$108,0))&gt;=15,INDEX(Inputs!$B$17:$D$17,1,MATCH(A1106,Inputs!$B$6:$D$6,0)),IF(INDEX(Roster!$D$6:$D$108,MATCH(D1106,Roster!$A$6:$A$108,0))&gt;=10,INDEX(Inputs!$B$16:$D$16,1,MATCH(A1106,Inputs!$B$6:$D$6,0)),IF(INDEX(Roster!$D$6:$D$108,MATCH(D1106,Roster!$A$6:$A$108,0))&gt;=5,INDEX(Inputs!$B$15:$D$15,1,MATCH(A1106,Inputs!$B$6:$D$6,0)),0)))))</x:f>
        <x:v>60</x:v>
      </x:c>
      <x:c r="M1106" s="20" t="n">
        <x:f>G1106*I1106</x:f>
        <x:v>31135</x:v>
      </x:c>
      <x:c r="N1106" s="20" t="n">
        <x:f>G1106*J1106</x:f>
        <x:v>16900</x:v>
      </x:c>
      <x:c r="O1106" s="20" t="n">
        <x:f>G1106*K1106</x:f>
        <x:v>0</x:v>
      </x:c>
      <x:c r="P1106" s="20" t="n">
        <x:f>G1106*L1106</x:f>
        <x:v>780</x:v>
      </x:c>
      <x:c r="Q1106" s="20" t="n">
        <x:f>H1106*INDEX(Inputs!$B$13:$D$13,1,MATCH(A1106,Inputs!$B$6:$D$6,0))</x:f>
        <x:v>390</x:v>
      </x:c>
      <x:c r="R1106" s="20" t="n">
        <x:f>SUM(M1106:Q1106)</x:f>
        <x:v>49205</x:v>
      </x:c>
      <x:c r="S1106" s="20" t="n">
        <x:f>IF(AND(A1105=A1106,D1105=D1106),S1105+R1106,R1106)</x:f>
        <x:v>49205</x:v>
      </x:c>
      <x:c r="T1106" s="20" t="n">
        <x:f>MIN(S1106,INDEX(Inputs!$B$20:$D$20,1,MATCH(A1106,Inputs!$B$6:$D$6,0)))*INDEX(Inputs!$B$22:$D$22,1,MATCH(A1106,Inputs!$B$6:$D$6,0))+MAX(MIN(S1106,INDEX(Inputs!$B$21:$D$21,1,MATCH(A1106,Inputs!$B$6:$D$6,0)))-INDEX(Inputs!$B$20:$D$20,1,MATCH(A1106,Inputs!$B$6:$D$6,0)),0)*INDEX(Inputs!$B$23:$D$23,1,MATCH(A1106,Inputs!$B$6:$D$6,0))+MAX(S1106-INDEX(Inputs!$B$21:$D$21,1,MATCH(A1106,Inputs!$B$6:$D$6,0)),0)*INDEX(Inputs!$B$24:$D$24,1,MATCH(A1106,Inputs!$B$6:$D$6,0))</x:f>
        <x:v>4254.1825</x:v>
      </x:c>
      <x:c r="U1106" s="20" t="n">
        <x:f>IF(AND(A1105=A1106,D1105=D1106),T1105,0)</x:f>
        <x:v>0</x:v>
      </x:c>
      <x:c r="V1106" s="20" t="n">
        <x:f>T1106-U1106</x:f>
        <x:v>4254.1825</x:v>
      </x:c>
      <x:c r="W1106" s="20" t="n">
        <x:f>R1106+V1106</x:f>
        <x:v>53459.1825</x:v>
      </x:c>
      <x:c r="X1106" s="14" t="str">
        <x:f>IF(ABS(W1106-SUM(M1106:Q1106)-V1106)&lt;0.01,"OK","Check")</x:f>
        <x:v>OK</x:v>
      </x:c>
    </x:row>
    <x:row r="1107">
      <x:c r="A1107" s="14" t="n">
        <x:v>2028</x:v>
      </x:c>
      <x:c r="B1107" s="14" t="str">
        <x:v>Q2</x:v>
      </x:c>
      <x:c r="C1107" s="14" t="n">
        <x:v>2</x:v>
      </x:c>
      <x:c r="D1107" s="14" t="n">
        <x:v>70</x:v>
      </x:c>
      <x:c r="E1107" s="14" t="str">
        <x:f>INDEX(Roster!$B$6:$B$108,MATCH(D1107,Roster!$A$6:$A$108,0))</x:f>
        <x:v>Principal</x:v>
      </x:c>
      <x:c r="F1107" s="14" t="str">
        <x:f>INDEX(Roster!$F$6:$F$108,MATCH(D1107,Roster!$A$6:$A$108,0))</x:f>
        <x:v>Yes</x:v>
      </x:c>
      <x:c r="G1107" s="14" t="n">
        <x:f>INDEX(Inputs!$B$7:$D$7,1,MATCH(A1107,Inputs!$B$6:$D$6,0))</x:f>
        <x:v>13</x:v>
      </x:c>
      <x:c r="H1107" s="14" t="n">
        <x:f>MIN(=INDEX(Inputs!$B$7:$D$7,1,MATCH(A1107,Inputs!$B$6:$D$6,0)),MAX(0,INDEX(Inputs!$B$14:$D$14,1,MATCH(A1107,Inputs!$B$6:$D$6,0))-(C1107-1)*=INDEX(Inputs!$B$7:$D$7,1,MATCH(A1107,Inputs!$B$6:$D$6,0))))</x:f>
        <x:v>13</x:v>
      </x:c>
      <x:c r="I1107" s="20" t="n">
        <x:f>INDEX(Inputs!$B$8:$D$8,1,MATCH(A1107,Inputs!$B$6:$D$6,0))</x:f>
        <x:v>2395</x:v>
      </x:c>
      <x:c r="J1107" s="20" t="n">
        <x:f>INDEX(Roster!$C$6:$C$108,MATCH(D1107,Roster!$A$6:$A$108,0))*(1+INDEX(Inputs!$B$9:$D$9,1,MATCH(A1107,Inputs!$B$6:$D$6,0)))</x:f>
        <x:v>1300</x:v>
      </x:c>
      <x:c r="K1107" s="20" t="n">
        <x:f>IF(=INDEX(Roster!$F$6:$F$108,MATCH(D1107,Roster!$A$6:$A$108,0))="Yes",0,=INDEX(Inputs!$B$8:$D$8,1,MATCH(A1107,Inputs!$B$6:$D$6,0))*IF(=INDEX(Roster!$B$6:$B$108,MATCH(D1107,Roster!$A$6:$A$108,0))="Principal",INDEX(Inputs!$B$10:$D$10,1,MATCH(A1107,Inputs!$B$6:$D$6,0)),IF(=INDEX(Roster!$B$6:$B$108,MATCH(D1107,Roster!$A$6:$A$108,0))="Associate Principal",INDEX(Inputs!$B$11:$D$11,1,MATCH(A1107,Inputs!$B$6:$D$6,0)),IF(=INDEX(Roster!$B$6:$B$108,MATCH(D1107,Roster!$A$6:$A$108,0))="Assistant Principal",INDEX(Inputs!$B$12:$D$12,1,MATCH(A1107,Inputs!$B$6:$D$6,0)),0))))</x:f>
        <x:v>0</x:v>
      </x:c>
      <x:c r="L1107" s="20" t="n">
        <x:f>IF(INDEX(Roster!$D$6:$D$108,MATCH(D1107,Roster!$A$6:$A$108,0))&gt;=25,INDEX(Inputs!$B$19:$D$19,1,MATCH(A1107,Inputs!$B$6:$D$6,0)),IF(INDEX(Roster!$D$6:$D$108,MATCH(D1107,Roster!$A$6:$A$108,0))&gt;=20,INDEX(Inputs!$B$18:$D$18,1,MATCH(A1107,Inputs!$B$6:$D$6,0)),IF(INDEX(Roster!$D$6:$D$108,MATCH(D1107,Roster!$A$6:$A$108,0))&gt;=15,INDEX(Inputs!$B$17:$D$17,1,MATCH(A1107,Inputs!$B$6:$D$6,0)),IF(INDEX(Roster!$D$6:$D$108,MATCH(D1107,Roster!$A$6:$A$108,0))&gt;=10,INDEX(Inputs!$B$16:$D$16,1,MATCH(A1107,Inputs!$B$6:$D$6,0)),IF(INDEX(Roster!$D$6:$D$108,MATCH(D1107,Roster!$A$6:$A$108,0))&gt;=5,INDEX(Inputs!$B$15:$D$15,1,MATCH(A1107,Inputs!$B$6:$D$6,0)),0)))))</x:f>
        <x:v>60</x:v>
      </x:c>
      <x:c r="M1107" s="20" t="n">
        <x:f>G1107*I1107</x:f>
        <x:v>31135</x:v>
      </x:c>
      <x:c r="N1107" s="20" t="n">
        <x:f>G1107*J1107</x:f>
        <x:v>16900</x:v>
      </x:c>
      <x:c r="O1107" s="20" t="n">
        <x:f>G1107*K1107</x:f>
        <x:v>0</x:v>
      </x:c>
      <x:c r="P1107" s="20" t="n">
        <x:f>G1107*L1107</x:f>
        <x:v>780</x:v>
      </x:c>
      <x:c r="Q1107" s="20" t="n">
        <x:f>H1107*INDEX(Inputs!$B$13:$D$13,1,MATCH(A1107,Inputs!$B$6:$D$6,0))</x:f>
        <x:v>390</x:v>
      </x:c>
      <x:c r="R1107" s="20" t="n">
        <x:f>SUM(M1107:Q1107)</x:f>
        <x:v>49205</x:v>
      </x:c>
      <x:c r="S1107" s="20" t="n">
        <x:f>IF(AND(A1106=A1107,D1106=D1107),S1106+R1107,R1107)</x:f>
        <x:v>98410</x:v>
      </x:c>
      <x:c r="T1107" s="20" t="n">
        <x:f>MIN(S1107,INDEX(Inputs!$B$20:$D$20,1,MATCH(A1107,Inputs!$B$6:$D$6,0)))*INDEX(Inputs!$B$22:$D$22,1,MATCH(A1107,Inputs!$B$6:$D$6,0))+MAX(MIN(S1107,INDEX(Inputs!$B$21:$D$21,1,MATCH(A1107,Inputs!$B$6:$D$6,0)))-INDEX(Inputs!$B$20:$D$20,1,MATCH(A1107,Inputs!$B$6:$D$6,0)),0)*INDEX(Inputs!$B$23:$D$23,1,MATCH(A1107,Inputs!$B$6:$D$6,0))+MAX(S1107-INDEX(Inputs!$B$21:$D$21,1,MATCH(A1107,Inputs!$B$6:$D$6,0)),0)*INDEX(Inputs!$B$24:$D$24,1,MATCH(A1107,Inputs!$B$6:$D$6,0))</x:f>
        <x:v>8018.365</x:v>
      </x:c>
      <x:c r="U1107" s="20" t="n">
        <x:f>IF(AND(A1106=A1107,D1106=D1107),T1106,0)</x:f>
        <x:v>4254.1825</x:v>
      </x:c>
      <x:c r="V1107" s="20" t="n">
        <x:f>T1107-U1107</x:f>
        <x:v>3764.1825</x:v>
      </x:c>
      <x:c r="W1107" s="20" t="n">
        <x:f>R1107+V1107</x:f>
        <x:v>52969.1825</x:v>
      </x:c>
      <x:c r="X1107" s="14" t="str">
        <x:f>IF(ABS(W1107-SUM(M1107:Q1107)-V1107)&lt;0.01,"OK","Check")</x:f>
        <x:v>OK</x:v>
      </x:c>
    </x:row>
    <x:row r="1108">
      <x:c r="A1108" s="14" t="n">
        <x:v>2028</x:v>
      </x:c>
      <x:c r="B1108" s="14" t="str">
        <x:v>Q3</x:v>
      </x:c>
      <x:c r="C1108" s="14" t="n">
        <x:v>3</x:v>
      </x:c>
      <x:c r="D1108" s="14" t="n">
        <x:v>70</x:v>
      </x:c>
      <x:c r="E1108" s="14" t="str">
        <x:f>INDEX(Roster!$B$6:$B$108,MATCH(D1108,Roster!$A$6:$A$108,0))</x:f>
        <x:v>Principal</x:v>
      </x:c>
      <x:c r="F1108" s="14" t="str">
        <x:f>INDEX(Roster!$F$6:$F$108,MATCH(D1108,Roster!$A$6:$A$108,0))</x:f>
        <x:v>Yes</x:v>
      </x:c>
      <x:c r="G1108" s="14" t="n">
        <x:f>INDEX(Inputs!$B$7:$D$7,1,MATCH(A1108,Inputs!$B$6:$D$6,0))</x:f>
        <x:v>13</x:v>
      </x:c>
      <x:c r="H1108" s="14" t="n">
        <x:f>MIN(=INDEX(Inputs!$B$7:$D$7,1,MATCH(A1108,Inputs!$B$6:$D$6,0)),MAX(0,INDEX(Inputs!$B$14:$D$14,1,MATCH(A1108,Inputs!$B$6:$D$6,0))-(C1108-1)*=INDEX(Inputs!$B$7:$D$7,1,MATCH(A1108,Inputs!$B$6:$D$6,0))))</x:f>
        <x:v>13</x:v>
      </x:c>
      <x:c r="I1108" s="20" t="n">
        <x:f>INDEX(Inputs!$B$8:$D$8,1,MATCH(A1108,Inputs!$B$6:$D$6,0))</x:f>
        <x:v>2395</x:v>
      </x:c>
      <x:c r="J1108" s="20" t="n">
        <x:f>INDEX(Roster!$C$6:$C$108,MATCH(D1108,Roster!$A$6:$A$108,0))*(1+INDEX(Inputs!$B$9:$D$9,1,MATCH(A1108,Inputs!$B$6:$D$6,0)))</x:f>
        <x:v>1300</x:v>
      </x:c>
      <x:c r="K1108" s="20" t="n">
        <x:f>IF(=INDEX(Roster!$F$6:$F$108,MATCH(D1108,Roster!$A$6:$A$108,0))="Yes",0,=INDEX(Inputs!$B$8:$D$8,1,MATCH(A1108,Inputs!$B$6:$D$6,0))*IF(=INDEX(Roster!$B$6:$B$108,MATCH(D1108,Roster!$A$6:$A$108,0))="Principal",INDEX(Inputs!$B$10:$D$10,1,MATCH(A1108,Inputs!$B$6:$D$6,0)),IF(=INDEX(Roster!$B$6:$B$108,MATCH(D1108,Roster!$A$6:$A$108,0))="Associate Principal",INDEX(Inputs!$B$11:$D$11,1,MATCH(A1108,Inputs!$B$6:$D$6,0)),IF(=INDEX(Roster!$B$6:$B$108,MATCH(D1108,Roster!$A$6:$A$108,0))="Assistant Principal",INDEX(Inputs!$B$12:$D$12,1,MATCH(A1108,Inputs!$B$6:$D$6,0)),0))))</x:f>
        <x:v>0</x:v>
      </x:c>
      <x:c r="L1108" s="20" t="n">
        <x:f>IF(INDEX(Roster!$D$6:$D$108,MATCH(D1108,Roster!$A$6:$A$108,0))&gt;=25,INDEX(Inputs!$B$19:$D$19,1,MATCH(A1108,Inputs!$B$6:$D$6,0)),IF(INDEX(Roster!$D$6:$D$108,MATCH(D1108,Roster!$A$6:$A$108,0))&gt;=20,INDEX(Inputs!$B$18:$D$18,1,MATCH(A1108,Inputs!$B$6:$D$6,0)),IF(INDEX(Roster!$D$6:$D$108,MATCH(D1108,Roster!$A$6:$A$108,0))&gt;=15,INDEX(Inputs!$B$17:$D$17,1,MATCH(A1108,Inputs!$B$6:$D$6,0)),IF(INDEX(Roster!$D$6:$D$108,MATCH(D1108,Roster!$A$6:$A$108,0))&gt;=10,INDEX(Inputs!$B$16:$D$16,1,MATCH(A1108,Inputs!$B$6:$D$6,0)),IF(INDEX(Roster!$D$6:$D$108,MATCH(D1108,Roster!$A$6:$A$108,0))&gt;=5,INDEX(Inputs!$B$15:$D$15,1,MATCH(A1108,Inputs!$B$6:$D$6,0)),0)))))</x:f>
        <x:v>60</x:v>
      </x:c>
      <x:c r="M1108" s="20" t="n">
        <x:f>G1108*I1108</x:f>
        <x:v>31135</x:v>
      </x:c>
      <x:c r="N1108" s="20" t="n">
        <x:f>G1108*J1108</x:f>
        <x:v>16900</x:v>
      </x:c>
      <x:c r="O1108" s="20" t="n">
        <x:f>G1108*K1108</x:f>
        <x:v>0</x:v>
      </x:c>
      <x:c r="P1108" s="20" t="n">
        <x:f>G1108*L1108</x:f>
        <x:v>780</x:v>
      </x:c>
      <x:c r="Q1108" s="20" t="n">
        <x:f>H1108*INDEX(Inputs!$B$13:$D$13,1,MATCH(A1108,Inputs!$B$6:$D$6,0))</x:f>
        <x:v>390</x:v>
      </x:c>
      <x:c r="R1108" s="20" t="n">
        <x:f>SUM(M1108:Q1108)</x:f>
        <x:v>49205</x:v>
      </x:c>
      <x:c r="S1108" s="20" t="n">
        <x:f>IF(AND(A1107=A1108,D1107=D1108),S1107+R1108,R1108)</x:f>
        <x:v>147615</x:v>
      </x:c>
      <x:c r="T1108" s="20" t="n">
        <x:f>MIN(S1108,INDEX(Inputs!$B$20:$D$20,1,MATCH(A1108,Inputs!$B$6:$D$6,0)))*INDEX(Inputs!$B$22:$D$22,1,MATCH(A1108,Inputs!$B$6:$D$6,0))+MAX(MIN(S1108,INDEX(Inputs!$B$21:$D$21,1,MATCH(A1108,Inputs!$B$6:$D$6,0)))-INDEX(Inputs!$B$20:$D$20,1,MATCH(A1108,Inputs!$B$6:$D$6,0)),0)*INDEX(Inputs!$B$23:$D$23,1,MATCH(A1108,Inputs!$B$6:$D$6,0))+MAX(S1108-INDEX(Inputs!$B$21:$D$21,1,MATCH(A1108,Inputs!$B$6:$D$6,0)),0)*INDEX(Inputs!$B$24:$D$24,1,MATCH(A1108,Inputs!$B$6:$D$6,0))</x:f>
        <x:v>10054.3595</x:v>
      </x:c>
      <x:c r="U1108" s="20" t="n">
        <x:f>IF(AND(A1107=A1108,D1107=D1108),T1107,0)</x:f>
        <x:v>8018.365</x:v>
      </x:c>
      <x:c r="V1108" s="20" t="n">
        <x:f>T1108-U1108</x:f>
        <x:v>2035.9945000000007</x:v>
      </x:c>
      <x:c r="W1108" s="20" t="n">
        <x:f>R1108+V1108</x:f>
        <x:v>51240.9945</x:v>
      </x:c>
      <x:c r="X1108" s="14" t="str">
        <x:f>IF(ABS(W1108-SUM(M1108:Q1108)-V1108)&lt;0.01,"OK","Check")</x:f>
        <x:v>OK</x:v>
      </x:c>
    </x:row>
    <x:row r="1109">
      <x:c r="A1109" s="14" t="n">
        <x:v>2028</x:v>
      </x:c>
      <x:c r="B1109" s="14" t="str">
        <x:v>Q4</x:v>
      </x:c>
      <x:c r="C1109" s="14" t="n">
        <x:v>4</x:v>
      </x:c>
      <x:c r="D1109" s="14" t="n">
        <x:v>70</x:v>
      </x:c>
      <x:c r="E1109" s="14" t="str">
        <x:f>INDEX(Roster!$B$6:$B$108,MATCH(D1109,Roster!$A$6:$A$108,0))</x:f>
        <x:v>Principal</x:v>
      </x:c>
      <x:c r="F1109" s="14" t="str">
        <x:f>INDEX(Roster!$F$6:$F$108,MATCH(D1109,Roster!$A$6:$A$108,0))</x:f>
        <x:v>Yes</x:v>
      </x:c>
      <x:c r="G1109" s="14" t="n">
        <x:f>INDEX(Inputs!$B$7:$D$7,1,MATCH(A1109,Inputs!$B$6:$D$6,0))</x:f>
        <x:v>13</x:v>
      </x:c>
      <x:c r="H1109" s="14" t="n">
        <x:f>MIN(=INDEX(Inputs!$B$7:$D$7,1,MATCH(A1109,Inputs!$B$6:$D$6,0)),MAX(0,INDEX(Inputs!$B$14:$D$14,1,MATCH(A1109,Inputs!$B$6:$D$6,0))-(C1109-1)*=INDEX(Inputs!$B$7:$D$7,1,MATCH(A1109,Inputs!$B$6:$D$6,0))))</x:f>
        <x:v>0</x:v>
      </x:c>
      <x:c r="I1109" s="20" t="n">
        <x:f>INDEX(Inputs!$B$8:$D$8,1,MATCH(A1109,Inputs!$B$6:$D$6,0))</x:f>
        <x:v>2395</x:v>
      </x:c>
      <x:c r="J1109" s="20" t="n">
        <x:f>INDEX(Roster!$C$6:$C$108,MATCH(D1109,Roster!$A$6:$A$108,0))*(1+INDEX(Inputs!$B$9:$D$9,1,MATCH(A1109,Inputs!$B$6:$D$6,0)))</x:f>
        <x:v>1300</x:v>
      </x:c>
      <x:c r="K1109" s="20" t="n">
        <x:f>IF(=INDEX(Roster!$F$6:$F$108,MATCH(D1109,Roster!$A$6:$A$108,0))="Yes",0,=INDEX(Inputs!$B$8:$D$8,1,MATCH(A1109,Inputs!$B$6:$D$6,0))*IF(=INDEX(Roster!$B$6:$B$108,MATCH(D1109,Roster!$A$6:$A$108,0))="Principal",INDEX(Inputs!$B$10:$D$10,1,MATCH(A1109,Inputs!$B$6:$D$6,0)),IF(=INDEX(Roster!$B$6:$B$108,MATCH(D1109,Roster!$A$6:$A$108,0))="Associate Principal",INDEX(Inputs!$B$11:$D$11,1,MATCH(A1109,Inputs!$B$6:$D$6,0)),IF(=INDEX(Roster!$B$6:$B$108,MATCH(D1109,Roster!$A$6:$A$108,0))="Assistant Principal",INDEX(Inputs!$B$12:$D$12,1,MATCH(A1109,Inputs!$B$6:$D$6,0)),0))))</x:f>
        <x:v>0</x:v>
      </x:c>
      <x:c r="L1109" s="20" t="n">
        <x:f>IF(INDEX(Roster!$D$6:$D$108,MATCH(D1109,Roster!$A$6:$A$108,0))&gt;=25,INDEX(Inputs!$B$19:$D$19,1,MATCH(A1109,Inputs!$B$6:$D$6,0)),IF(INDEX(Roster!$D$6:$D$108,MATCH(D1109,Roster!$A$6:$A$108,0))&gt;=20,INDEX(Inputs!$B$18:$D$18,1,MATCH(A1109,Inputs!$B$6:$D$6,0)),IF(INDEX(Roster!$D$6:$D$108,MATCH(D1109,Roster!$A$6:$A$108,0))&gt;=15,INDEX(Inputs!$B$17:$D$17,1,MATCH(A1109,Inputs!$B$6:$D$6,0)),IF(INDEX(Roster!$D$6:$D$108,MATCH(D1109,Roster!$A$6:$A$108,0))&gt;=10,INDEX(Inputs!$B$16:$D$16,1,MATCH(A1109,Inputs!$B$6:$D$6,0)),IF(INDEX(Roster!$D$6:$D$108,MATCH(D1109,Roster!$A$6:$A$108,0))&gt;=5,INDEX(Inputs!$B$15:$D$15,1,MATCH(A1109,Inputs!$B$6:$D$6,0)),0)))))</x:f>
        <x:v>60</x:v>
      </x:c>
      <x:c r="M1109" s="20" t="n">
        <x:f>G1109*I1109</x:f>
        <x:v>31135</x:v>
      </x:c>
      <x:c r="N1109" s="20" t="n">
        <x:f>G1109*J1109</x:f>
        <x:v>16900</x:v>
      </x:c>
      <x:c r="O1109" s="20" t="n">
        <x:f>G1109*K1109</x:f>
        <x:v>0</x:v>
      </x:c>
      <x:c r="P1109" s="20" t="n">
        <x:f>G1109*L1109</x:f>
        <x:v>780</x:v>
      </x:c>
      <x:c r="Q1109" s="20" t="n">
        <x:f>H1109*INDEX(Inputs!$B$13:$D$13,1,MATCH(A1109,Inputs!$B$6:$D$6,0))</x:f>
        <x:v>0</x:v>
      </x:c>
      <x:c r="R1109" s="20" t="n">
        <x:f>SUM(M1109:Q1109)</x:f>
        <x:v>48815</x:v>
      </x:c>
      <x:c r="S1109" s="20" t="n">
        <x:f>IF(AND(A1108=A1109,D1108=D1109),S1108+R1109,R1109)</x:f>
        <x:v>196430</x:v>
      </x:c>
      <x:c r="T1109" s="20" t="n">
        <x:f>MIN(S1109,INDEX(Inputs!$B$20:$D$20,1,MATCH(A1109,Inputs!$B$6:$D$6,0)))*INDEX(Inputs!$B$22:$D$22,1,MATCH(A1109,Inputs!$B$6:$D$6,0))+MAX(MIN(S1109,INDEX(Inputs!$B$21:$D$21,1,MATCH(A1109,Inputs!$B$6:$D$6,0)))-INDEX(Inputs!$B$20:$D$20,1,MATCH(A1109,Inputs!$B$6:$D$6,0)),0)*INDEX(Inputs!$B$23:$D$23,1,MATCH(A1109,Inputs!$B$6:$D$6,0))+MAX(S1109-INDEX(Inputs!$B$21:$D$21,1,MATCH(A1109,Inputs!$B$6:$D$6,0)),0)*INDEX(Inputs!$B$24:$D$24,1,MATCH(A1109,Inputs!$B$6:$D$6,0))</x:f>
        <x:v>10762.177</x:v>
      </x:c>
      <x:c r="U1109" s="20" t="n">
        <x:f>IF(AND(A1108=A1109,D1108=D1109),T1108,0)</x:f>
        <x:v>10054.3595</x:v>
      </x:c>
      <x:c r="V1109" s="20" t="n">
        <x:f>T1109-U1109</x:f>
        <x:v>707.8174999999992</x:v>
      </x:c>
      <x:c r="W1109" s="20" t="n">
        <x:f>R1109+V1109</x:f>
        <x:v>49522.8175</x:v>
      </x:c>
      <x:c r="X1109" s="14" t="str">
        <x:f>IF(ABS(W1109-SUM(M1109:Q1109)-V1109)&lt;0.01,"OK","Check")</x:f>
        <x:v>OK</x:v>
      </x:c>
    </x:row>
    <x:row r="1110">
      <x:c r="A1110" s="14" t="n">
        <x:v>2028</x:v>
      </x:c>
      <x:c r="B1110" s="14" t="str">
        <x:v>Q1</x:v>
      </x:c>
      <x:c r="C1110" s="14" t="n">
        <x:v>1</x:v>
      </x:c>
      <x:c r="D1110" s="14" t="n">
        <x:v>71</x:v>
      </x:c>
      <x:c r="E1110" s="14" t="str">
        <x:f>INDEX(Roster!$B$6:$B$108,MATCH(D1110,Roster!$A$6:$A$108,0))</x:f>
      </x:c>
      <x:c r="F1110" s="14" t="str">
        <x:f>INDEX(Roster!$F$6:$F$108,MATCH(D1110,Roster!$A$6:$A$108,0))</x:f>
        <x:v>No</x:v>
      </x:c>
      <x:c r="G1110" s="14" t="n">
        <x:f>INDEX(Inputs!$B$7:$D$7,1,MATCH(A1110,Inputs!$B$6:$D$6,0))</x:f>
        <x:v>13</x:v>
      </x:c>
      <x:c r="H1110" s="14" t="n">
        <x:f>MIN(=INDEX(Inputs!$B$7:$D$7,1,MATCH(A1110,Inputs!$B$6:$D$6,0)),MAX(0,INDEX(Inputs!$B$14:$D$14,1,MATCH(A1110,Inputs!$B$6:$D$6,0))-(C1110-1)*=INDEX(Inputs!$B$7:$D$7,1,MATCH(A1110,Inputs!$B$6:$D$6,0))))</x:f>
        <x:v>13</x:v>
      </x:c>
      <x:c r="I1110" s="20" t="n">
        <x:f>INDEX(Inputs!$B$8:$D$8,1,MATCH(A1110,Inputs!$B$6:$D$6,0))</x:f>
        <x:v>2395</x:v>
      </x:c>
      <x:c r="J1110" s="20" t="n">
        <x:f>INDEX(Roster!$C$6:$C$108,MATCH(D1110,Roster!$A$6:$A$108,0))*(1+INDEX(Inputs!$B$9:$D$9,1,MATCH(A1110,Inputs!$B$6:$D$6,0)))</x:f>
        <x:v>50</x:v>
      </x:c>
      <x:c r="K1110" s="20" t="n">
        <x:f>IF(=INDEX(Roster!$F$6:$F$108,MATCH(D1110,Roster!$A$6:$A$108,0))="Yes",0,=INDEX(Inputs!$B$8:$D$8,1,MATCH(A1110,Inputs!$B$6:$D$6,0))*IF(=INDEX(Roster!$B$6:$B$108,MATCH(D1110,Roster!$A$6:$A$108,0))="Principal",INDEX(Inputs!$B$10:$D$10,1,MATCH(A1110,Inputs!$B$6:$D$6,0)),IF(=INDEX(Roster!$B$6:$B$108,MATCH(D1110,Roster!$A$6:$A$108,0))="Associate Principal",INDEX(Inputs!$B$11:$D$11,1,MATCH(A1110,Inputs!$B$6:$D$6,0)),IF(=INDEX(Roster!$B$6:$B$108,MATCH(D1110,Roster!$A$6:$A$108,0))="Assistant Principal",INDEX(Inputs!$B$12:$D$12,1,MATCH(A1110,Inputs!$B$6:$D$6,0)),0))))</x:f>
        <x:v>0</x:v>
      </x:c>
      <x:c r="L1110" s="20" t="n">
        <x:f>IF(INDEX(Roster!$D$6:$D$108,MATCH(D1110,Roster!$A$6:$A$108,0))&gt;=25,INDEX(Inputs!$B$19:$D$19,1,MATCH(A1110,Inputs!$B$6:$D$6,0)),IF(INDEX(Roster!$D$6:$D$108,MATCH(D1110,Roster!$A$6:$A$108,0))&gt;=20,INDEX(Inputs!$B$18:$D$18,1,MATCH(A1110,Inputs!$B$6:$D$6,0)),IF(INDEX(Roster!$D$6:$D$108,MATCH(D1110,Roster!$A$6:$A$108,0))&gt;=15,INDEX(Inputs!$B$17:$D$17,1,MATCH(A1110,Inputs!$B$6:$D$6,0)),IF(INDEX(Roster!$D$6:$D$108,MATCH(D1110,Roster!$A$6:$A$108,0))&gt;=10,INDEX(Inputs!$B$16:$D$16,1,MATCH(A1110,Inputs!$B$6:$D$6,0)),IF(INDEX(Roster!$D$6:$D$108,MATCH(D1110,Roster!$A$6:$A$108,0))&gt;=5,INDEX(Inputs!$B$15:$D$15,1,MATCH(A1110,Inputs!$B$6:$D$6,0)),0)))))</x:f>
        <x:v>90</x:v>
      </x:c>
      <x:c r="M1110" s="20" t="n">
        <x:f>G1110*I1110</x:f>
        <x:v>31135</x:v>
      </x:c>
      <x:c r="N1110" s="20" t="n">
        <x:f>G1110*J1110</x:f>
        <x:v>650</x:v>
      </x:c>
      <x:c r="O1110" s="20" t="n">
        <x:f>G1110*K1110</x:f>
        <x:v>0</x:v>
      </x:c>
      <x:c r="P1110" s="20" t="n">
        <x:f>G1110*L1110</x:f>
        <x:v>1170</x:v>
      </x:c>
      <x:c r="Q1110" s="20" t="n">
        <x:f>H1110*INDEX(Inputs!$B$13:$D$13,1,MATCH(A1110,Inputs!$B$6:$D$6,0))</x:f>
        <x:v>390</x:v>
      </x:c>
      <x:c r="R1110" s="20" t="n">
        <x:f>SUM(M1110:Q1110)</x:f>
        <x:v>33345</x:v>
      </x:c>
      <x:c r="S1110" s="20" t="n">
        <x:f>IF(AND(A1109=A1110,D1109=D1110),S1109+R1110,R1110)</x:f>
        <x:v>33345</x:v>
      </x:c>
      <x:c r="T1110" s="20" t="n">
        <x:f>MIN(S1110,INDEX(Inputs!$B$20:$D$20,1,MATCH(A1110,Inputs!$B$6:$D$6,0)))*INDEX(Inputs!$B$22:$D$22,1,MATCH(A1110,Inputs!$B$6:$D$6,0))+MAX(MIN(S1110,INDEX(Inputs!$B$21:$D$21,1,MATCH(A1110,Inputs!$B$6:$D$6,0)))-INDEX(Inputs!$B$20:$D$20,1,MATCH(A1110,Inputs!$B$6:$D$6,0)),0)*INDEX(Inputs!$B$23:$D$23,1,MATCH(A1110,Inputs!$B$6:$D$6,0))+MAX(S1110-INDEX(Inputs!$B$21:$D$21,1,MATCH(A1110,Inputs!$B$6:$D$6,0)),0)*INDEX(Inputs!$B$24:$D$24,1,MATCH(A1110,Inputs!$B$6:$D$6,0))</x:f>
        <x:v>3040.8925</x:v>
      </x:c>
      <x:c r="U1110" s="20" t="n">
        <x:f>IF(AND(A1109=A1110,D1109=D1110),T1109,0)</x:f>
        <x:v>0</x:v>
      </x:c>
      <x:c r="V1110" s="20" t="n">
        <x:f>T1110-U1110</x:f>
        <x:v>3040.8925</x:v>
      </x:c>
      <x:c r="W1110" s="20" t="n">
        <x:f>R1110+V1110</x:f>
        <x:v>36385.8925</x:v>
      </x:c>
      <x:c r="X1110" s="14" t="str">
        <x:f>IF(ABS(W1110-SUM(M1110:Q1110)-V1110)&lt;0.01,"OK","Check")</x:f>
        <x:v>OK</x:v>
      </x:c>
    </x:row>
    <x:row r="1111">
      <x:c r="A1111" s="14" t="n">
        <x:v>2028</x:v>
      </x:c>
      <x:c r="B1111" s="14" t="str">
        <x:v>Q2</x:v>
      </x:c>
      <x:c r="C1111" s="14" t="n">
        <x:v>2</x:v>
      </x:c>
      <x:c r="D1111" s="14" t="n">
        <x:v>71</x:v>
      </x:c>
      <x:c r="E1111" s="14" t="str">
        <x:f>INDEX(Roster!$B$6:$B$108,MATCH(D1111,Roster!$A$6:$A$108,0))</x:f>
      </x:c>
      <x:c r="F1111" s="14" t="str">
        <x:f>INDEX(Roster!$F$6:$F$108,MATCH(D1111,Roster!$A$6:$A$108,0))</x:f>
        <x:v>No</x:v>
      </x:c>
      <x:c r="G1111" s="14" t="n">
        <x:f>INDEX(Inputs!$B$7:$D$7,1,MATCH(A1111,Inputs!$B$6:$D$6,0))</x:f>
        <x:v>13</x:v>
      </x:c>
      <x:c r="H1111" s="14" t="n">
        <x:f>MIN(=INDEX(Inputs!$B$7:$D$7,1,MATCH(A1111,Inputs!$B$6:$D$6,0)),MAX(0,INDEX(Inputs!$B$14:$D$14,1,MATCH(A1111,Inputs!$B$6:$D$6,0))-(C1111-1)*=INDEX(Inputs!$B$7:$D$7,1,MATCH(A1111,Inputs!$B$6:$D$6,0))))</x:f>
        <x:v>13</x:v>
      </x:c>
      <x:c r="I1111" s="20" t="n">
        <x:f>INDEX(Inputs!$B$8:$D$8,1,MATCH(A1111,Inputs!$B$6:$D$6,0))</x:f>
        <x:v>2395</x:v>
      </x:c>
      <x:c r="J1111" s="20" t="n">
        <x:f>INDEX(Roster!$C$6:$C$108,MATCH(D1111,Roster!$A$6:$A$108,0))*(1+INDEX(Inputs!$B$9:$D$9,1,MATCH(A1111,Inputs!$B$6:$D$6,0)))</x:f>
        <x:v>50</x:v>
      </x:c>
      <x:c r="K1111" s="20" t="n">
        <x:f>IF(=INDEX(Roster!$F$6:$F$108,MATCH(D1111,Roster!$A$6:$A$108,0))="Yes",0,=INDEX(Inputs!$B$8:$D$8,1,MATCH(A1111,Inputs!$B$6:$D$6,0))*IF(=INDEX(Roster!$B$6:$B$108,MATCH(D1111,Roster!$A$6:$A$108,0))="Principal",INDEX(Inputs!$B$10:$D$10,1,MATCH(A1111,Inputs!$B$6:$D$6,0)),IF(=INDEX(Roster!$B$6:$B$108,MATCH(D1111,Roster!$A$6:$A$108,0))="Associate Principal",INDEX(Inputs!$B$11:$D$11,1,MATCH(A1111,Inputs!$B$6:$D$6,0)),IF(=INDEX(Roster!$B$6:$B$108,MATCH(D1111,Roster!$A$6:$A$108,0))="Assistant Principal",INDEX(Inputs!$B$12:$D$12,1,MATCH(A1111,Inputs!$B$6:$D$6,0)),0))))</x:f>
        <x:v>0</x:v>
      </x:c>
      <x:c r="L1111" s="20" t="n">
        <x:f>IF(INDEX(Roster!$D$6:$D$108,MATCH(D1111,Roster!$A$6:$A$108,0))&gt;=25,INDEX(Inputs!$B$19:$D$19,1,MATCH(A1111,Inputs!$B$6:$D$6,0)),IF(INDEX(Roster!$D$6:$D$108,MATCH(D1111,Roster!$A$6:$A$108,0))&gt;=20,INDEX(Inputs!$B$18:$D$18,1,MATCH(A1111,Inputs!$B$6:$D$6,0)),IF(INDEX(Roster!$D$6:$D$108,MATCH(D1111,Roster!$A$6:$A$108,0))&gt;=15,INDEX(Inputs!$B$17:$D$17,1,MATCH(A1111,Inputs!$B$6:$D$6,0)),IF(INDEX(Roster!$D$6:$D$108,MATCH(D1111,Roster!$A$6:$A$108,0))&gt;=10,INDEX(Inputs!$B$16:$D$16,1,MATCH(A1111,Inputs!$B$6:$D$6,0)),IF(INDEX(Roster!$D$6:$D$108,MATCH(D1111,Roster!$A$6:$A$108,0))&gt;=5,INDEX(Inputs!$B$15:$D$15,1,MATCH(A1111,Inputs!$B$6:$D$6,0)),0)))))</x:f>
        <x:v>90</x:v>
      </x:c>
      <x:c r="M1111" s="20" t="n">
        <x:f>G1111*I1111</x:f>
        <x:v>31135</x:v>
      </x:c>
      <x:c r="N1111" s="20" t="n">
        <x:f>G1111*J1111</x:f>
        <x:v>650</x:v>
      </x:c>
      <x:c r="O1111" s="20" t="n">
        <x:f>G1111*K1111</x:f>
        <x:v>0</x:v>
      </x:c>
      <x:c r="P1111" s="20" t="n">
        <x:f>G1111*L1111</x:f>
        <x:v>1170</x:v>
      </x:c>
      <x:c r="Q1111" s="20" t="n">
        <x:f>H1111*INDEX(Inputs!$B$13:$D$13,1,MATCH(A1111,Inputs!$B$6:$D$6,0))</x:f>
        <x:v>390</x:v>
      </x:c>
      <x:c r="R1111" s="20" t="n">
        <x:f>SUM(M1111:Q1111)</x:f>
        <x:v>33345</x:v>
      </x:c>
      <x:c r="S1111" s="20" t="n">
        <x:f>IF(AND(A1110=A1111,D1110=D1111),S1110+R1111,R1111)</x:f>
        <x:v>66690</x:v>
      </x:c>
      <x:c r="T1111" s="20" t="n">
        <x:f>MIN(S1111,INDEX(Inputs!$B$20:$D$20,1,MATCH(A1111,Inputs!$B$6:$D$6,0)))*INDEX(Inputs!$B$22:$D$22,1,MATCH(A1111,Inputs!$B$6:$D$6,0))+MAX(MIN(S1111,INDEX(Inputs!$B$21:$D$21,1,MATCH(A1111,Inputs!$B$6:$D$6,0)))-INDEX(Inputs!$B$20:$D$20,1,MATCH(A1111,Inputs!$B$6:$D$6,0)),0)*INDEX(Inputs!$B$23:$D$23,1,MATCH(A1111,Inputs!$B$6:$D$6,0))+MAX(S1111-INDEX(Inputs!$B$21:$D$21,1,MATCH(A1111,Inputs!$B$6:$D$6,0)),0)*INDEX(Inputs!$B$24:$D$24,1,MATCH(A1111,Inputs!$B$6:$D$6,0))</x:f>
        <x:v>5591.785</x:v>
      </x:c>
      <x:c r="U1111" s="20" t="n">
        <x:f>IF(AND(A1110=A1111,D1110=D1111),T1110,0)</x:f>
        <x:v>3040.8925</x:v>
      </x:c>
      <x:c r="V1111" s="20" t="n">
        <x:f>T1111-U1111</x:f>
        <x:v>2550.8925</x:v>
      </x:c>
      <x:c r="W1111" s="20" t="n">
        <x:f>R1111+V1111</x:f>
        <x:v>35895.8925</x:v>
      </x:c>
      <x:c r="X1111" s="14" t="str">
        <x:f>IF(ABS(W1111-SUM(M1111:Q1111)-V1111)&lt;0.01,"OK","Check")</x:f>
        <x:v>OK</x:v>
      </x:c>
    </x:row>
    <x:row r="1112">
      <x:c r="A1112" s="14" t="n">
        <x:v>2028</x:v>
      </x:c>
      <x:c r="B1112" s="14" t="str">
        <x:v>Q3</x:v>
      </x:c>
      <x:c r="C1112" s="14" t="n">
        <x:v>3</x:v>
      </x:c>
      <x:c r="D1112" s="14" t="n">
        <x:v>71</x:v>
      </x:c>
      <x:c r="E1112" s="14" t="str">
        <x:f>INDEX(Roster!$B$6:$B$108,MATCH(D1112,Roster!$A$6:$A$108,0))</x:f>
      </x:c>
      <x:c r="F1112" s="14" t="str">
        <x:f>INDEX(Roster!$F$6:$F$108,MATCH(D1112,Roster!$A$6:$A$108,0))</x:f>
        <x:v>No</x:v>
      </x:c>
      <x:c r="G1112" s="14" t="n">
        <x:f>INDEX(Inputs!$B$7:$D$7,1,MATCH(A1112,Inputs!$B$6:$D$6,0))</x:f>
        <x:v>13</x:v>
      </x:c>
      <x:c r="H1112" s="14" t="n">
        <x:f>MIN(=INDEX(Inputs!$B$7:$D$7,1,MATCH(A1112,Inputs!$B$6:$D$6,0)),MAX(0,INDEX(Inputs!$B$14:$D$14,1,MATCH(A1112,Inputs!$B$6:$D$6,0))-(C1112-1)*=INDEX(Inputs!$B$7:$D$7,1,MATCH(A1112,Inputs!$B$6:$D$6,0))))</x:f>
        <x:v>13</x:v>
      </x:c>
      <x:c r="I1112" s="20" t="n">
        <x:f>INDEX(Inputs!$B$8:$D$8,1,MATCH(A1112,Inputs!$B$6:$D$6,0))</x:f>
        <x:v>2395</x:v>
      </x:c>
      <x:c r="J1112" s="20" t="n">
        <x:f>INDEX(Roster!$C$6:$C$108,MATCH(D1112,Roster!$A$6:$A$108,0))*(1+INDEX(Inputs!$B$9:$D$9,1,MATCH(A1112,Inputs!$B$6:$D$6,0)))</x:f>
        <x:v>50</x:v>
      </x:c>
      <x:c r="K1112" s="20" t="n">
        <x:f>IF(=INDEX(Roster!$F$6:$F$108,MATCH(D1112,Roster!$A$6:$A$108,0))="Yes",0,=INDEX(Inputs!$B$8:$D$8,1,MATCH(A1112,Inputs!$B$6:$D$6,0))*IF(=INDEX(Roster!$B$6:$B$108,MATCH(D1112,Roster!$A$6:$A$108,0))="Principal",INDEX(Inputs!$B$10:$D$10,1,MATCH(A1112,Inputs!$B$6:$D$6,0)),IF(=INDEX(Roster!$B$6:$B$108,MATCH(D1112,Roster!$A$6:$A$108,0))="Associate Principal",INDEX(Inputs!$B$11:$D$11,1,MATCH(A1112,Inputs!$B$6:$D$6,0)),IF(=INDEX(Roster!$B$6:$B$108,MATCH(D1112,Roster!$A$6:$A$108,0))="Assistant Principal",INDEX(Inputs!$B$12:$D$12,1,MATCH(A1112,Inputs!$B$6:$D$6,0)),0))))</x:f>
        <x:v>0</x:v>
      </x:c>
      <x:c r="L1112" s="20" t="n">
        <x:f>IF(INDEX(Roster!$D$6:$D$108,MATCH(D1112,Roster!$A$6:$A$108,0))&gt;=25,INDEX(Inputs!$B$19:$D$19,1,MATCH(A1112,Inputs!$B$6:$D$6,0)),IF(INDEX(Roster!$D$6:$D$108,MATCH(D1112,Roster!$A$6:$A$108,0))&gt;=20,INDEX(Inputs!$B$18:$D$18,1,MATCH(A1112,Inputs!$B$6:$D$6,0)),IF(INDEX(Roster!$D$6:$D$108,MATCH(D1112,Roster!$A$6:$A$108,0))&gt;=15,INDEX(Inputs!$B$17:$D$17,1,MATCH(A1112,Inputs!$B$6:$D$6,0)),IF(INDEX(Roster!$D$6:$D$108,MATCH(D1112,Roster!$A$6:$A$108,0))&gt;=10,INDEX(Inputs!$B$16:$D$16,1,MATCH(A1112,Inputs!$B$6:$D$6,0)),IF(INDEX(Roster!$D$6:$D$108,MATCH(D1112,Roster!$A$6:$A$108,0))&gt;=5,INDEX(Inputs!$B$15:$D$15,1,MATCH(A1112,Inputs!$B$6:$D$6,0)),0)))))</x:f>
        <x:v>90</x:v>
      </x:c>
      <x:c r="M1112" s="20" t="n">
        <x:f>G1112*I1112</x:f>
        <x:v>31135</x:v>
      </x:c>
      <x:c r="N1112" s="20" t="n">
        <x:f>G1112*J1112</x:f>
        <x:v>650</x:v>
      </x:c>
      <x:c r="O1112" s="20" t="n">
        <x:f>G1112*K1112</x:f>
        <x:v>0</x:v>
      </x:c>
      <x:c r="P1112" s="20" t="n">
        <x:f>G1112*L1112</x:f>
        <x:v>1170</x:v>
      </x:c>
      <x:c r="Q1112" s="20" t="n">
        <x:f>H1112*INDEX(Inputs!$B$13:$D$13,1,MATCH(A1112,Inputs!$B$6:$D$6,0))</x:f>
        <x:v>390</x:v>
      </x:c>
      <x:c r="R1112" s="20" t="n">
        <x:f>SUM(M1112:Q1112)</x:f>
        <x:v>33345</x:v>
      </x:c>
      <x:c r="S1112" s="20" t="n">
        <x:f>IF(AND(A1111=A1112,D1111=D1112),S1111+R1112,R1112)</x:f>
        <x:v>100035</x:v>
      </x:c>
      <x:c r="T1112" s="20" t="n">
        <x:f>MIN(S1112,INDEX(Inputs!$B$20:$D$20,1,MATCH(A1112,Inputs!$B$6:$D$6,0)))*INDEX(Inputs!$B$22:$D$22,1,MATCH(A1112,Inputs!$B$6:$D$6,0))+MAX(MIN(S1112,INDEX(Inputs!$B$21:$D$21,1,MATCH(A1112,Inputs!$B$6:$D$6,0)))-INDEX(Inputs!$B$20:$D$20,1,MATCH(A1112,Inputs!$B$6:$D$6,0)),0)*INDEX(Inputs!$B$23:$D$23,1,MATCH(A1112,Inputs!$B$6:$D$6,0))+MAX(S1112-INDEX(Inputs!$B$21:$D$21,1,MATCH(A1112,Inputs!$B$6:$D$6,0)),0)*INDEX(Inputs!$B$24:$D$24,1,MATCH(A1112,Inputs!$B$6:$D$6,0))</x:f>
        <x:v>8142.6775</x:v>
      </x:c>
      <x:c r="U1112" s="20" t="n">
        <x:f>IF(AND(A1111=A1112,D1111=D1112),T1111,0)</x:f>
        <x:v>5591.785</x:v>
      </x:c>
      <x:c r="V1112" s="20" t="n">
        <x:f>T1112-U1112</x:f>
        <x:v>2550.8925</x:v>
      </x:c>
      <x:c r="W1112" s="20" t="n">
        <x:f>R1112+V1112</x:f>
        <x:v>35895.8925</x:v>
      </x:c>
      <x:c r="X1112" s="14" t="str">
        <x:f>IF(ABS(W1112-SUM(M1112:Q1112)-V1112)&lt;0.01,"OK","Check")</x:f>
        <x:v>OK</x:v>
      </x:c>
    </x:row>
    <x:row r="1113">
      <x:c r="A1113" s="14" t="n">
        <x:v>2028</x:v>
      </x:c>
      <x:c r="B1113" s="14" t="str">
        <x:v>Q4</x:v>
      </x:c>
      <x:c r="C1113" s="14" t="n">
        <x:v>4</x:v>
      </x:c>
      <x:c r="D1113" s="14" t="n">
        <x:v>71</x:v>
      </x:c>
      <x:c r="E1113" s="14" t="str">
        <x:f>INDEX(Roster!$B$6:$B$108,MATCH(D1113,Roster!$A$6:$A$108,0))</x:f>
      </x:c>
      <x:c r="F1113" s="14" t="str">
        <x:f>INDEX(Roster!$F$6:$F$108,MATCH(D1113,Roster!$A$6:$A$108,0))</x:f>
        <x:v>No</x:v>
      </x:c>
      <x:c r="G1113" s="14" t="n">
        <x:f>INDEX(Inputs!$B$7:$D$7,1,MATCH(A1113,Inputs!$B$6:$D$6,0))</x:f>
        <x:v>13</x:v>
      </x:c>
      <x:c r="H1113" s="14" t="n">
        <x:f>MIN(=INDEX(Inputs!$B$7:$D$7,1,MATCH(A1113,Inputs!$B$6:$D$6,0)),MAX(0,INDEX(Inputs!$B$14:$D$14,1,MATCH(A1113,Inputs!$B$6:$D$6,0))-(C1113-1)*=INDEX(Inputs!$B$7:$D$7,1,MATCH(A1113,Inputs!$B$6:$D$6,0))))</x:f>
        <x:v>0</x:v>
      </x:c>
      <x:c r="I1113" s="20" t="n">
        <x:f>INDEX(Inputs!$B$8:$D$8,1,MATCH(A1113,Inputs!$B$6:$D$6,0))</x:f>
        <x:v>2395</x:v>
      </x:c>
      <x:c r="J1113" s="20" t="n">
        <x:f>INDEX(Roster!$C$6:$C$108,MATCH(D1113,Roster!$A$6:$A$108,0))*(1+INDEX(Inputs!$B$9:$D$9,1,MATCH(A1113,Inputs!$B$6:$D$6,0)))</x:f>
        <x:v>50</x:v>
      </x:c>
      <x:c r="K1113" s="20" t="n">
        <x:f>IF(=INDEX(Roster!$F$6:$F$108,MATCH(D1113,Roster!$A$6:$A$108,0))="Yes",0,=INDEX(Inputs!$B$8:$D$8,1,MATCH(A1113,Inputs!$B$6:$D$6,0))*IF(=INDEX(Roster!$B$6:$B$108,MATCH(D1113,Roster!$A$6:$A$108,0))="Principal",INDEX(Inputs!$B$10:$D$10,1,MATCH(A1113,Inputs!$B$6:$D$6,0)),IF(=INDEX(Roster!$B$6:$B$108,MATCH(D1113,Roster!$A$6:$A$108,0))="Associate Principal",INDEX(Inputs!$B$11:$D$11,1,MATCH(A1113,Inputs!$B$6:$D$6,0)),IF(=INDEX(Roster!$B$6:$B$108,MATCH(D1113,Roster!$A$6:$A$108,0))="Assistant Principal",INDEX(Inputs!$B$12:$D$12,1,MATCH(A1113,Inputs!$B$6:$D$6,0)),0))))</x:f>
        <x:v>0</x:v>
      </x:c>
      <x:c r="L1113" s="20" t="n">
        <x:f>IF(INDEX(Roster!$D$6:$D$108,MATCH(D1113,Roster!$A$6:$A$108,0))&gt;=25,INDEX(Inputs!$B$19:$D$19,1,MATCH(A1113,Inputs!$B$6:$D$6,0)),IF(INDEX(Roster!$D$6:$D$108,MATCH(D1113,Roster!$A$6:$A$108,0))&gt;=20,INDEX(Inputs!$B$18:$D$18,1,MATCH(A1113,Inputs!$B$6:$D$6,0)),IF(INDEX(Roster!$D$6:$D$108,MATCH(D1113,Roster!$A$6:$A$108,0))&gt;=15,INDEX(Inputs!$B$17:$D$17,1,MATCH(A1113,Inputs!$B$6:$D$6,0)),IF(INDEX(Roster!$D$6:$D$108,MATCH(D1113,Roster!$A$6:$A$108,0))&gt;=10,INDEX(Inputs!$B$16:$D$16,1,MATCH(A1113,Inputs!$B$6:$D$6,0)),IF(INDEX(Roster!$D$6:$D$108,MATCH(D1113,Roster!$A$6:$A$108,0))&gt;=5,INDEX(Inputs!$B$15:$D$15,1,MATCH(A1113,Inputs!$B$6:$D$6,0)),0)))))</x:f>
        <x:v>90</x:v>
      </x:c>
      <x:c r="M1113" s="20" t="n">
        <x:f>G1113*I1113</x:f>
        <x:v>31135</x:v>
      </x:c>
      <x:c r="N1113" s="20" t="n">
        <x:f>G1113*J1113</x:f>
        <x:v>650</x:v>
      </x:c>
      <x:c r="O1113" s="20" t="n">
        <x:f>G1113*K1113</x:f>
        <x:v>0</x:v>
      </x:c>
      <x:c r="P1113" s="20" t="n">
        <x:f>G1113*L1113</x:f>
        <x:v>1170</x:v>
      </x:c>
      <x:c r="Q1113" s="20" t="n">
        <x:f>H1113*INDEX(Inputs!$B$13:$D$13,1,MATCH(A1113,Inputs!$B$6:$D$6,0))</x:f>
        <x:v>0</x:v>
      </x:c>
      <x:c r="R1113" s="20" t="n">
        <x:f>SUM(M1113:Q1113)</x:f>
        <x:v>32955</x:v>
      </x:c>
      <x:c r="S1113" s="20" t="n">
        <x:f>IF(AND(A1112=A1113,D1112=D1113),S1112+R1113,R1113)</x:f>
        <x:v>132990</x:v>
      </x:c>
      <x:c r="T1113" s="20" t="n">
        <x:f>MIN(S1113,INDEX(Inputs!$B$20:$D$20,1,MATCH(A1113,Inputs!$B$6:$D$6,0)))*INDEX(Inputs!$B$22:$D$22,1,MATCH(A1113,Inputs!$B$6:$D$6,0))+MAX(MIN(S1113,INDEX(Inputs!$B$21:$D$21,1,MATCH(A1113,Inputs!$B$6:$D$6,0)))-INDEX(Inputs!$B$20:$D$20,1,MATCH(A1113,Inputs!$B$6:$D$6,0)),0)*INDEX(Inputs!$B$23:$D$23,1,MATCH(A1113,Inputs!$B$6:$D$6,0))+MAX(S1113-INDEX(Inputs!$B$21:$D$21,1,MATCH(A1113,Inputs!$B$6:$D$6,0)),0)*INDEX(Inputs!$B$24:$D$24,1,MATCH(A1113,Inputs!$B$6:$D$6,0))</x:f>
        <x:v>9842.297</x:v>
      </x:c>
      <x:c r="U1113" s="20" t="n">
        <x:f>IF(AND(A1112=A1113,D1112=D1113),T1112,0)</x:f>
        <x:v>8142.6775</x:v>
      </x:c>
      <x:c r="V1113" s="20" t="n">
        <x:f>T1113-U1113</x:f>
        <x:v>1699.6195000000007</x:v>
      </x:c>
      <x:c r="W1113" s="20" t="n">
        <x:f>R1113+V1113</x:f>
        <x:v>34654.6195</x:v>
      </x:c>
      <x:c r="X1113" s="14" t="str">
        <x:f>IF(ABS(W1113-SUM(M1113:Q1113)-V1113)&lt;0.01,"OK","Check")</x:f>
        <x:v>OK</x:v>
      </x:c>
    </x:row>
    <x:row r="1114">
      <x:c r="A1114" s="14" t="n">
        <x:v>2028</x:v>
      </x:c>
      <x:c r="B1114" s="14" t="str">
        <x:v>Q1</x:v>
      </x:c>
      <x:c r="C1114" s="14" t="n">
        <x:v>1</x:v>
      </x:c>
      <x:c r="D1114" s="14" t="n">
        <x:v>72</x:v>
      </x:c>
      <x:c r="E1114" s="14" t="str">
        <x:f>INDEX(Roster!$B$6:$B$108,MATCH(D1114,Roster!$A$6:$A$108,0))</x:f>
      </x:c>
      <x:c r="F1114" s="14" t="str">
        <x:f>INDEX(Roster!$F$6:$F$108,MATCH(D1114,Roster!$A$6:$A$108,0))</x:f>
        <x:v>No</x:v>
      </x:c>
      <x:c r="G1114" s="14" t="n">
        <x:f>INDEX(Inputs!$B$7:$D$7,1,MATCH(A1114,Inputs!$B$6:$D$6,0))</x:f>
        <x:v>13</x:v>
      </x:c>
      <x:c r="H1114" s="14" t="n">
        <x:f>MIN(=INDEX(Inputs!$B$7:$D$7,1,MATCH(A1114,Inputs!$B$6:$D$6,0)),MAX(0,INDEX(Inputs!$B$14:$D$14,1,MATCH(A1114,Inputs!$B$6:$D$6,0))-(C1114-1)*=INDEX(Inputs!$B$7:$D$7,1,MATCH(A1114,Inputs!$B$6:$D$6,0))))</x:f>
        <x:v>13</x:v>
      </x:c>
      <x:c r="I1114" s="20" t="n">
        <x:f>INDEX(Inputs!$B$8:$D$8,1,MATCH(A1114,Inputs!$B$6:$D$6,0))</x:f>
        <x:v>2395</x:v>
      </x:c>
      <x:c r="J1114" s="20" t="n">
        <x:f>INDEX(Roster!$C$6:$C$108,MATCH(D1114,Roster!$A$6:$A$108,0))*(1+INDEX(Inputs!$B$9:$D$9,1,MATCH(A1114,Inputs!$B$6:$D$6,0)))</x:f>
        <x:v>150</x:v>
      </x:c>
      <x:c r="K1114" s="20" t="n">
        <x:f>IF(=INDEX(Roster!$F$6:$F$108,MATCH(D1114,Roster!$A$6:$A$108,0))="Yes",0,=INDEX(Inputs!$B$8:$D$8,1,MATCH(A1114,Inputs!$B$6:$D$6,0))*IF(=INDEX(Roster!$B$6:$B$108,MATCH(D1114,Roster!$A$6:$A$108,0))="Principal",INDEX(Inputs!$B$10:$D$10,1,MATCH(A1114,Inputs!$B$6:$D$6,0)),IF(=INDEX(Roster!$B$6:$B$108,MATCH(D1114,Roster!$A$6:$A$108,0))="Associate Principal",INDEX(Inputs!$B$11:$D$11,1,MATCH(A1114,Inputs!$B$6:$D$6,0)),IF(=INDEX(Roster!$B$6:$B$108,MATCH(D1114,Roster!$A$6:$A$108,0))="Assistant Principal",INDEX(Inputs!$B$12:$D$12,1,MATCH(A1114,Inputs!$B$6:$D$6,0)),0))))</x:f>
        <x:v>0</x:v>
      </x:c>
      <x:c r="L1114" s="20" t="n">
        <x:f>IF(INDEX(Roster!$D$6:$D$108,MATCH(D1114,Roster!$A$6:$A$108,0))&gt;=25,INDEX(Inputs!$B$19:$D$19,1,MATCH(A1114,Inputs!$B$6:$D$6,0)),IF(INDEX(Roster!$D$6:$D$108,MATCH(D1114,Roster!$A$6:$A$108,0))&gt;=20,INDEX(Inputs!$B$18:$D$18,1,MATCH(A1114,Inputs!$B$6:$D$6,0)),IF(INDEX(Roster!$D$6:$D$108,MATCH(D1114,Roster!$A$6:$A$108,0))&gt;=15,INDEX(Inputs!$B$17:$D$17,1,MATCH(A1114,Inputs!$B$6:$D$6,0)),IF(INDEX(Roster!$D$6:$D$108,MATCH(D1114,Roster!$A$6:$A$108,0))&gt;=10,INDEX(Inputs!$B$16:$D$16,1,MATCH(A1114,Inputs!$B$6:$D$6,0)),IF(INDEX(Roster!$D$6:$D$108,MATCH(D1114,Roster!$A$6:$A$108,0))&gt;=5,INDEX(Inputs!$B$15:$D$15,1,MATCH(A1114,Inputs!$B$6:$D$6,0)),0)))))</x:f>
        <x:v>80</x:v>
      </x:c>
      <x:c r="M1114" s="20" t="n">
        <x:f>G1114*I1114</x:f>
        <x:v>31135</x:v>
      </x:c>
      <x:c r="N1114" s="20" t="n">
        <x:f>G1114*J1114</x:f>
        <x:v>1950</x:v>
      </x:c>
      <x:c r="O1114" s="20" t="n">
        <x:f>G1114*K1114</x:f>
        <x:v>0</x:v>
      </x:c>
      <x:c r="P1114" s="20" t="n">
        <x:f>G1114*L1114</x:f>
        <x:v>1040</x:v>
      </x:c>
      <x:c r="Q1114" s="20" t="n">
        <x:f>H1114*INDEX(Inputs!$B$13:$D$13,1,MATCH(A1114,Inputs!$B$6:$D$6,0))</x:f>
        <x:v>390</x:v>
      </x:c>
      <x:c r="R1114" s="20" t="n">
        <x:f>SUM(M1114:Q1114)</x:f>
        <x:v>34515</x:v>
      </x:c>
      <x:c r="S1114" s="20" t="n">
        <x:f>IF(AND(A1113=A1114,D1113=D1114),S1113+R1114,R1114)</x:f>
        <x:v>34515</x:v>
      </x:c>
      <x:c r="T1114" s="20" t="n">
        <x:f>MIN(S1114,INDEX(Inputs!$B$20:$D$20,1,MATCH(A1114,Inputs!$B$6:$D$6,0)))*INDEX(Inputs!$B$22:$D$22,1,MATCH(A1114,Inputs!$B$6:$D$6,0))+MAX(MIN(S1114,INDEX(Inputs!$B$21:$D$21,1,MATCH(A1114,Inputs!$B$6:$D$6,0)))-INDEX(Inputs!$B$20:$D$20,1,MATCH(A1114,Inputs!$B$6:$D$6,0)),0)*INDEX(Inputs!$B$23:$D$23,1,MATCH(A1114,Inputs!$B$6:$D$6,0))+MAX(S1114-INDEX(Inputs!$B$21:$D$21,1,MATCH(A1114,Inputs!$B$6:$D$6,0)),0)*INDEX(Inputs!$B$24:$D$24,1,MATCH(A1114,Inputs!$B$6:$D$6,0))</x:f>
        <x:v>3130.3975</x:v>
      </x:c>
      <x:c r="U1114" s="20" t="n">
        <x:f>IF(AND(A1113=A1114,D1113=D1114),T1113,0)</x:f>
        <x:v>0</x:v>
      </x:c>
      <x:c r="V1114" s="20" t="n">
        <x:f>T1114-U1114</x:f>
        <x:v>3130.3975</x:v>
      </x:c>
      <x:c r="W1114" s="20" t="n">
        <x:f>R1114+V1114</x:f>
        <x:v>37645.3975</x:v>
      </x:c>
      <x:c r="X1114" s="14" t="str">
        <x:f>IF(ABS(W1114-SUM(M1114:Q1114)-V1114)&lt;0.01,"OK","Check")</x:f>
        <x:v>OK</x:v>
      </x:c>
    </x:row>
    <x:row r="1115">
      <x:c r="A1115" s="14" t="n">
        <x:v>2028</x:v>
      </x:c>
      <x:c r="B1115" s="14" t="str">
        <x:v>Q2</x:v>
      </x:c>
      <x:c r="C1115" s="14" t="n">
        <x:v>2</x:v>
      </x:c>
      <x:c r="D1115" s="14" t="n">
        <x:v>72</x:v>
      </x:c>
      <x:c r="E1115" s="14" t="str">
        <x:f>INDEX(Roster!$B$6:$B$108,MATCH(D1115,Roster!$A$6:$A$108,0))</x:f>
      </x:c>
      <x:c r="F1115" s="14" t="str">
        <x:f>INDEX(Roster!$F$6:$F$108,MATCH(D1115,Roster!$A$6:$A$108,0))</x:f>
        <x:v>No</x:v>
      </x:c>
      <x:c r="G1115" s="14" t="n">
        <x:f>INDEX(Inputs!$B$7:$D$7,1,MATCH(A1115,Inputs!$B$6:$D$6,0))</x:f>
        <x:v>13</x:v>
      </x:c>
      <x:c r="H1115" s="14" t="n">
        <x:f>MIN(=INDEX(Inputs!$B$7:$D$7,1,MATCH(A1115,Inputs!$B$6:$D$6,0)),MAX(0,INDEX(Inputs!$B$14:$D$14,1,MATCH(A1115,Inputs!$B$6:$D$6,0))-(C1115-1)*=INDEX(Inputs!$B$7:$D$7,1,MATCH(A1115,Inputs!$B$6:$D$6,0))))</x:f>
        <x:v>13</x:v>
      </x:c>
      <x:c r="I1115" s="20" t="n">
        <x:f>INDEX(Inputs!$B$8:$D$8,1,MATCH(A1115,Inputs!$B$6:$D$6,0))</x:f>
        <x:v>2395</x:v>
      </x:c>
      <x:c r="J1115" s="20" t="n">
        <x:f>INDEX(Roster!$C$6:$C$108,MATCH(D1115,Roster!$A$6:$A$108,0))*(1+INDEX(Inputs!$B$9:$D$9,1,MATCH(A1115,Inputs!$B$6:$D$6,0)))</x:f>
        <x:v>150</x:v>
      </x:c>
      <x:c r="K1115" s="20" t="n">
        <x:f>IF(=INDEX(Roster!$F$6:$F$108,MATCH(D1115,Roster!$A$6:$A$108,0))="Yes",0,=INDEX(Inputs!$B$8:$D$8,1,MATCH(A1115,Inputs!$B$6:$D$6,0))*IF(=INDEX(Roster!$B$6:$B$108,MATCH(D1115,Roster!$A$6:$A$108,0))="Principal",INDEX(Inputs!$B$10:$D$10,1,MATCH(A1115,Inputs!$B$6:$D$6,0)),IF(=INDEX(Roster!$B$6:$B$108,MATCH(D1115,Roster!$A$6:$A$108,0))="Associate Principal",INDEX(Inputs!$B$11:$D$11,1,MATCH(A1115,Inputs!$B$6:$D$6,0)),IF(=INDEX(Roster!$B$6:$B$108,MATCH(D1115,Roster!$A$6:$A$108,0))="Assistant Principal",INDEX(Inputs!$B$12:$D$12,1,MATCH(A1115,Inputs!$B$6:$D$6,0)),0))))</x:f>
        <x:v>0</x:v>
      </x:c>
      <x:c r="L1115" s="20" t="n">
        <x:f>IF(INDEX(Roster!$D$6:$D$108,MATCH(D1115,Roster!$A$6:$A$108,0))&gt;=25,INDEX(Inputs!$B$19:$D$19,1,MATCH(A1115,Inputs!$B$6:$D$6,0)),IF(INDEX(Roster!$D$6:$D$108,MATCH(D1115,Roster!$A$6:$A$108,0))&gt;=20,INDEX(Inputs!$B$18:$D$18,1,MATCH(A1115,Inputs!$B$6:$D$6,0)),IF(INDEX(Roster!$D$6:$D$108,MATCH(D1115,Roster!$A$6:$A$108,0))&gt;=15,INDEX(Inputs!$B$17:$D$17,1,MATCH(A1115,Inputs!$B$6:$D$6,0)),IF(INDEX(Roster!$D$6:$D$108,MATCH(D1115,Roster!$A$6:$A$108,0))&gt;=10,INDEX(Inputs!$B$16:$D$16,1,MATCH(A1115,Inputs!$B$6:$D$6,0)),IF(INDEX(Roster!$D$6:$D$108,MATCH(D1115,Roster!$A$6:$A$108,0))&gt;=5,INDEX(Inputs!$B$15:$D$15,1,MATCH(A1115,Inputs!$B$6:$D$6,0)),0)))))</x:f>
        <x:v>80</x:v>
      </x:c>
      <x:c r="M1115" s="20" t="n">
        <x:f>G1115*I1115</x:f>
        <x:v>31135</x:v>
      </x:c>
      <x:c r="N1115" s="20" t="n">
        <x:f>G1115*J1115</x:f>
        <x:v>1950</x:v>
      </x:c>
      <x:c r="O1115" s="20" t="n">
        <x:f>G1115*K1115</x:f>
        <x:v>0</x:v>
      </x:c>
      <x:c r="P1115" s="20" t="n">
        <x:f>G1115*L1115</x:f>
        <x:v>1040</x:v>
      </x:c>
      <x:c r="Q1115" s="20" t="n">
        <x:f>H1115*INDEX(Inputs!$B$13:$D$13,1,MATCH(A1115,Inputs!$B$6:$D$6,0))</x:f>
        <x:v>390</x:v>
      </x:c>
      <x:c r="R1115" s="20" t="n">
        <x:f>SUM(M1115:Q1115)</x:f>
        <x:v>34515</x:v>
      </x:c>
      <x:c r="S1115" s="20" t="n">
        <x:f>IF(AND(A1114=A1115,D1114=D1115),S1114+R1115,R1115)</x:f>
        <x:v>69030</x:v>
      </x:c>
      <x:c r="T1115" s="20" t="n">
        <x:f>MIN(S1115,INDEX(Inputs!$B$20:$D$20,1,MATCH(A1115,Inputs!$B$6:$D$6,0)))*INDEX(Inputs!$B$22:$D$22,1,MATCH(A1115,Inputs!$B$6:$D$6,0))+MAX(MIN(S1115,INDEX(Inputs!$B$21:$D$21,1,MATCH(A1115,Inputs!$B$6:$D$6,0)))-INDEX(Inputs!$B$20:$D$20,1,MATCH(A1115,Inputs!$B$6:$D$6,0)),0)*INDEX(Inputs!$B$23:$D$23,1,MATCH(A1115,Inputs!$B$6:$D$6,0))+MAX(S1115-INDEX(Inputs!$B$21:$D$21,1,MATCH(A1115,Inputs!$B$6:$D$6,0)),0)*INDEX(Inputs!$B$24:$D$24,1,MATCH(A1115,Inputs!$B$6:$D$6,0))</x:f>
        <x:v>5770.795</x:v>
      </x:c>
      <x:c r="U1115" s="20" t="n">
        <x:f>IF(AND(A1114=A1115,D1114=D1115),T1114,0)</x:f>
        <x:v>3130.3975</x:v>
      </x:c>
      <x:c r="V1115" s="20" t="n">
        <x:f>T1115-U1115</x:f>
        <x:v>2640.3975</x:v>
      </x:c>
      <x:c r="W1115" s="20" t="n">
        <x:f>R1115+V1115</x:f>
        <x:v>37155.3975</x:v>
      </x:c>
      <x:c r="X1115" s="14" t="str">
        <x:f>IF(ABS(W1115-SUM(M1115:Q1115)-V1115)&lt;0.01,"OK","Check")</x:f>
        <x:v>OK</x:v>
      </x:c>
    </x:row>
    <x:row r="1116">
      <x:c r="A1116" s="14" t="n">
        <x:v>2028</x:v>
      </x:c>
      <x:c r="B1116" s="14" t="str">
        <x:v>Q3</x:v>
      </x:c>
      <x:c r="C1116" s="14" t="n">
        <x:v>3</x:v>
      </x:c>
      <x:c r="D1116" s="14" t="n">
        <x:v>72</x:v>
      </x:c>
      <x:c r="E1116" s="14" t="str">
        <x:f>INDEX(Roster!$B$6:$B$108,MATCH(D1116,Roster!$A$6:$A$108,0))</x:f>
      </x:c>
      <x:c r="F1116" s="14" t="str">
        <x:f>INDEX(Roster!$F$6:$F$108,MATCH(D1116,Roster!$A$6:$A$108,0))</x:f>
        <x:v>No</x:v>
      </x:c>
      <x:c r="G1116" s="14" t="n">
        <x:f>INDEX(Inputs!$B$7:$D$7,1,MATCH(A1116,Inputs!$B$6:$D$6,0))</x:f>
        <x:v>13</x:v>
      </x:c>
      <x:c r="H1116" s="14" t="n">
        <x:f>MIN(=INDEX(Inputs!$B$7:$D$7,1,MATCH(A1116,Inputs!$B$6:$D$6,0)),MAX(0,INDEX(Inputs!$B$14:$D$14,1,MATCH(A1116,Inputs!$B$6:$D$6,0))-(C1116-1)*=INDEX(Inputs!$B$7:$D$7,1,MATCH(A1116,Inputs!$B$6:$D$6,0))))</x:f>
        <x:v>13</x:v>
      </x:c>
      <x:c r="I1116" s="20" t="n">
        <x:f>INDEX(Inputs!$B$8:$D$8,1,MATCH(A1116,Inputs!$B$6:$D$6,0))</x:f>
        <x:v>2395</x:v>
      </x:c>
      <x:c r="J1116" s="20" t="n">
        <x:f>INDEX(Roster!$C$6:$C$108,MATCH(D1116,Roster!$A$6:$A$108,0))*(1+INDEX(Inputs!$B$9:$D$9,1,MATCH(A1116,Inputs!$B$6:$D$6,0)))</x:f>
        <x:v>150</x:v>
      </x:c>
      <x:c r="K1116" s="20" t="n">
        <x:f>IF(=INDEX(Roster!$F$6:$F$108,MATCH(D1116,Roster!$A$6:$A$108,0))="Yes",0,=INDEX(Inputs!$B$8:$D$8,1,MATCH(A1116,Inputs!$B$6:$D$6,0))*IF(=INDEX(Roster!$B$6:$B$108,MATCH(D1116,Roster!$A$6:$A$108,0))="Principal",INDEX(Inputs!$B$10:$D$10,1,MATCH(A1116,Inputs!$B$6:$D$6,0)),IF(=INDEX(Roster!$B$6:$B$108,MATCH(D1116,Roster!$A$6:$A$108,0))="Associate Principal",INDEX(Inputs!$B$11:$D$11,1,MATCH(A1116,Inputs!$B$6:$D$6,0)),IF(=INDEX(Roster!$B$6:$B$108,MATCH(D1116,Roster!$A$6:$A$108,0))="Assistant Principal",INDEX(Inputs!$B$12:$D$12,1,MATCH(A1116,Inputs!$B$6:$D$6,0)),0))))</x:f>
        <x:v>0</x:v>
      </x:c>
      <x:c r="L1116" s="20" t="n">
        <x:f>IF(INDEX(Roster!$D$6:$D$108,MATCH(D1116,Roster!$A$6:$A$108,0))&gt;=25,INDEX(Inputs!$B$19:$D$19,1,MATCH(A1116,Inputs!$B$6:$D$6,0)),IF(INDEX(Roster!$D$6:$D$108,MATCH(D1116,Roster!$A$6:$A$108,0))&gt;=20,INDEX(Inputs!$B$18:$D$18,1,MATCH(A1116,Inputs!$B$6:$D$6,0)),IF(INDEX(Roster!$D$6:$D$108,MATCH(D1116,Roster!$A$6:$A$108,0))&gt;=15,INDEX(Inputs!$B$17:$D$17,1,MATCH(A1116,Inputs!$B$6:$D$6,0)),IF(INDEX(Roster!$D$6:$D$108,MATCH(D1116,Roster!$A$6:$A$108,0))&gt;=10,INDEX(Inputs!$B$16:$D$16,1,MATCH(A1116,Inputs!$B$6:$D$6,0)),IF(INDEX(Roster!$D$6:$D$108,MATCH(D1116,Roster!$A$6:$A$108,0))&gt;=5,INDEX(Inputs!$B$15:$D$15,1,MATCH(A1116,Inputs!$B$6:$D$6,0)),0)))))</x:f>
        <x:v>80</x:v>
      </x:c>
      <x:c r="M1116" s="20" t="n">
        <x:f>G1116*I1116</x:f>
        <x:v>31135</x:v>
      </x:c>
      <x:c r="N1116" s="20" t="n">
        <x:f>G1116*J1116</x:f>
        <x:v>1950</x:v>
      </x:c>
      <x:c r="O1116" s="20" t="n">
        <x:f>G1116*K1116</x:f>
        <x:v>0</x:v>
      </x:c>
      <x:c r="P1116" s="20" t="n">
        <x:f>G1116*L1116</x:f>
        <x:v>1040</x:v>
      </x:c>
      <x:c r="Q1116" s="20" t="n">
        <x:f>H1116*INDEX(Inputs!$B$13:$D$13,1,MATCH(A1116,Inputs!$B$6:$D$6,0))</x:f>
        <x:v>390</x:v>
      </x:c>
      <x:c r="R1116" s="20" t="n">
        <x:f>SUM(M1116:Q1116)</x:f>
        <x:v>34515</x:v>
      </x:c>
      <x:c r="S1116" s="20" t="n">
        <x:f>IF(AND(A1115=A1116,D1115=D1116),S1115+R1116,R1116)</x:f>
        <x:v>103545</x:v>
      </x:c>
      <x:c r="T1116" s="20" t="n">
        <x:f>MIN(S1116,INDEX(Inputs!$B$20:$D$20,1,MATCH(A1116,Inputs!$B$6:$D$6,0)))*INDEX(Inputs!$B$22:$D$22,1,MATCH(A1116,Inputs!$B$6:$D$6,0))+MAX(MIN(S1116,INDEX(Inputs!$B$21:$D$21,1,MATCH(A1116,Inputs!$B$6:$D$6,0)))-INDEX(Inputs!$B$20:$D$20,1,MATCH(A1116,Inputs!$B$6:$D$6,0)),0)*INDEX(Inputs!$B$23:$D$23,1,MATCH(A1116,Inputs!$B$6:$D$6,0))+MAX(S1116-INDEX(Inputs!$B$21:$D$21,1,MATCH(A1116,Inputs!$B$6:$D$6,0)),0)*INDEX(Inputs!$B$24:$D$24,1,MATCH(A1116,Inputs!$B$6:$D$6,0))</x:f>
        <x:v>8411.192500000001</x:v>
      </x:c>
      <x:c r="U1116" s="20" t="n">
        <x:f>IF(AND(A1115=A1116,D1115=D1116),T1115,0)</x:f>
        <x:v>5770.795</x:v>
      </x:c>
      <x:c r="V1116" s="20" t="n">
        <x:f>T1116-U1116</x:f>
        <x:v>2640.397500000001</x:v>
      </x:c>
      <x:c r="W1116" s="20" t="n">
        <x:f>R1116+V1116</x:f>
        <x:v>37155.3975</x:v>
      </x:c>
      <x:c r="X1116" s="14" t="str">
        <x:f>IF(ABS(W1116-SUM(M1116:Q1116)-V1116)&lt;0.01,"OK","Check")</x:f>
        <x:v>OK</x:v>
      </x:c>
    </x:row>
    <x:row r="1117">
      <x:c r="A1117" s="14" t="n">
        <x:v>2028</x:v>
      </x:c>
      <x:c r="B1117" s="14" t="str">
        <x:v>Q4</x:v>
      </x:c>
      <x:c r="C1117" s="14" t="n">
        <x:v>4</x:v>
      </x:c>
      <x:c r="D1117" s="14" t="n">
        <x:v>72</x:v>
      </x:c>
      <x:c r="E1117" s="14" t="str">
        <x:f>INDEX(Roster!$B$6:$B$108,MATCH(D1117,Roster!$A$6:$A$108,0))</x:f>
      </x:c>
      <x:c r="F1117" s="14" t="str">
        <x:f>INDEX(Roster!$F$6:$F$108,MATCH(D1117,Roster!$A$6:$A$108,0))</x:f>
        <x:v>No</x:v>
      </x:c>
      <x:c r="G1117" s="14" t="n">
        <x:f>INDEX(Inputs!$B$7:$D$7,1,MATCH(A1117,Inputs!$B$6:$D$6,0))</x:f>
        <x:v>13</x:v>
      </x:c>
      <x:c r="H1117" s="14" t="n">
        <x:f>MIN(=INDEX(Inputs!$B$7:$D$7,1,MATCH(A1117,Inputs!$B$6:$D$6,0)),MAX(0,INDEX(Inputs!$B$14:$D$14,1,MATCH(A1117,Inputs!$B$6:$D$6,0))-(C1117-1)*=INDEX(Inputs!$B$7:$D$7,1,MATCH(A1117,Inputs!$B$6:$D$6,0))))</x:f>
        <x:v>0</x:v>
      </x:c>
      <x:c r="I1117" s="20" t="n">
        <x:f>INDEX(Inputs!$B$8:$D$8,1,MATCH(A1117,Inputs!$B$6:$D$6,0))</x:f>
        <x:v>2395</x:v>
      </x:c>
      <x:c r="J1117" s="20" t="n">
        <x:f>INDEX(Roster!$C$6:$C$108,MATCH(D1117,Roster!$A$6:$A$108,0))*(1+INDEX(Inputs!$B$9:$D$9,1,MATCH(A1117,Inputs!$B$6:$D$6,0)))</x:f>
        <x:v>150</x:v>
      </x:c>
      <x:c r="K1117" s="20" t="n">
        <x:f>IF(=INDEX(Roster!$F$6:$F$108,MATCH(D1117,Roster!$A$6:$A$108,0))="Yes",0,=INDEX(Inputs!$B$8:$D$8,1,MATCH(A1117,Inputs!$B$6:$D$6,0))*IF(=INDEX(Roster!$B$6:$B$108,MATCH(D1117,Roster!$A$6:$A$108,0))="Principal",INDEX(Inputs!$B$10:$D$10,1,MATCH(A1117,Inputs!$B$6:$D$6,0)),IF(=INDEX(Roster!$B$6:$B$108,MATCH(D1117,Roster!$A$6:$A$108,0))="Associate Principal",INDEX(Inputs!$B$11:$D$11,1,MATCH(A1117,Inputs!$B$6:$D$6,0)),IF(=INDEX(Roster!$B$6:$B$108,MATCH(D1117,Roster!$A$6:$A$108,0))="Assistant Principal",INDEX(Inputs!$B$12:$D$12,1,MATCH(A1117,Inputs!$B$6:$D$6,0)),0))))</x:f>
        <x:v>0</x:v>
      </x:c>
      <x:c r="L1117" s="20" t="n">
        <x:f>IF(INDEX(Roster!$D$6:$D$108,MATCH(D1117,Roster!$A$6:$A$108,0))&gt;=25,INDEX(Inputs!$B$19:$D$19,1,MATCH(A1117,Inputs!$B$6:$D$6,0)),IF(INDEX(Roster!$D$6:$D$108,MATCH(D1117,Roster!$A$6:$A$108,0))&gt;=20,INDEX(Inputs!$B$18:$D$18,1,MATCH(A1117,Inputs!$B$6:$D$6,0)),IF(INDEX(Roster!$D$6:$D$108,MATCH(D1117,Roster!$A$6:$A$108,0))&gt;=15,INDEX(Inputs!$B$17:$D$17,1,MATCH(A1117,Inputs!$B$6:$D$6,0)),IF(INDEX(Roster!$D$6:$D$108,MATCH(D1117,Roster!$A$6:$A$108,0))&gt;=10,INDEX(Inputs!$B$16:$D$16,1,MATCH(A1117,Inputs!$B$6:$D$6,0)),IF(INDEX(Roster!$D$6:$D$108,MATCH(D1117,Roster!$A$6:$A$108,0))&gt;=5,INDEX(Inputs!$B$15:$D$15,1,MATCH(A1117,Inputs!$B$6:$D$6,0)),0)))))</x:f>
        <x:v>80</x:v>
      </x:c>
      <x:c r="M1117" s="20" t="n">
        <x:f>G1117*I1117</x:f>
        <x:v>31135</x:v>
      </x:c>
      <x:c r="N1117" s="20" t="n">
        <x:f>G1117*J1117</x:f>
        <x:v>1950</x:v>
      </x:c>
      <x:c r="O1117" s="20" t="n">
        <x:f>G1117*K1117</x:f>
        <x:v>0</x:v>
      </x:c>
      <x:c r="P1117" s="20" t="n">
        <x:f>G1117*L1117</x:f>
        <x:v>1040</x:v>
      </x:c>
      <x:c r="Q1117" s="20" t="n">
        <x:f>H1117*INDEX(Inputs!$B$13:$D$13,1,MATCH(A1117,Inputs!$B$6:$D$6,0))</x:f>
        <x:v>0</x:v>
      </x:c>
      <x:c r="R1117" s="20" t="n">
        <x:f>SUM(M1117:Q1117)</x:f>
        <x:v>34125</x:v>
      </x:c>
      <x:c r="S1117" s="20" t="n">
        <x:f>IF(AND(A1116=A1117,D1116=D1117),S1116+R1117,R1117)</x:f>
        <x:v>137670</x:v>
      </x:c>
      <x:c r="T1117" s="20" t="n">
        <x:f>MIN(S1117,INDEX(Inputs!$B$20:$D$20,1,MATCH(A1117,Inputs!$B$6:$D$6,0)))*INDEX(Inputs!$B$22:$D$22,1,MATCH(A1117,Inputs!$B$6:$D$6,0))+MAX(MIN(S1117,INDEX(Inputs!$B$21:$D$21,1,MATCH(A1117,Inputs!$B$6:$D$6,0)))-INDEX(Inputs!$B$20:$D$20,1,MATCH(A1117,Inputs!$B$6:$D$6,0)),0)*INDEX(Inputs!$B$23:$D$23,1,MATCH(A1117,Inputs!$B$6:$D$6,0))+MAX(S1117-INDEX(Inputs!$B$21:$D$21,1,MATCH(A1117,Inputs!$B$6:$D$6,0)),0)*INDEX(Inputs!$B$24:$D$24,1,MATCH(A1117,Inputs!$B$6:$D$6,0))</x:f>
        <x:v>9910.157</x:v>
      </x:c>
      <x:c r="U1117" s="20" t="n">
        <x:f>IF(AND(A1116=A1117,D1116=D1117),T1116,0)</x:f>
        <x:v>8411.192500000001</x:v>
      </x:c>
      <x:c r="V1117" s="20" t="n">
        <x:f>T1117-U1117</x:f>
        <x:v>1498.9644999999982</x:v>
      </x:c>
      <x:c r="W1117" s="20" t="n">
        <x:f>R1117+V1117</x:f>
        <x:v>35623.9645</x:v>
      </x:c>
      <x:c r="X1117" s="14" t="str">
        <x:f>IF(ABS(W1117-SUM(M1117:Q1117)-V1117)&lt;0.01,"OK","Check")</x:f>
        <x:v>OK</x:v>
      </x:c>
    </x:row>
    <x:row r="1118">
      <x:c r="A1118" s="14" t="n">
        <x:v>2028</x:v>
      </x:c>
      <x:c r="B1118" s="14" t="str">
        <x:v>Q1</x:v>
      </x:c>
      <x:c r="C1118" s="14" t="n">
        <x:v>1</x:v>
      </x:c>
      <x:c r="D1118" s="14" t="n">
        <x:v>73</x:v>
      </x:c>
      <x:c r="E1118" s="14" t="str">
        <x:f>INDEX(Roster!$B$6:$B$108,MATCH(D1118,Roster!$A$6:$A$108,0))</x:f>
        <x:v>Principal</x:v>
      </x:c>
      <x:c r="F1118" s="14" t="str">
        <x:f>INDEX(Roster!$F$6:$F$108,MATCH(D1118,Roster!$A$6:$A$108,0))</x:f>
        <x:v>Yes</x:v>
      </x:c>
      <x:c r="G1118" s="14" t="n">
        <x:f>INDEX(Inputs!$B$7:$D$7,1,MATCH(A1118,Inputs!$B$6:$D$6,0))</x:f>
        <x:v>13</x:v>
      </x:c>
      <x:c r="H1118" s="14" t="n">
        <x:f>MIN(=INDEX(Inputs!$B$7:$D$7,1,MATCH(A1118,Inputs!$B$6:$D$6,0)),MAX(0,INDEX(Inputs!$B$14:$D$14,1,MATCH(A1118,Inputs!$B$6:$D$6,0))-(C1118-1)*=INDEX(Inputs!$B$7:$D$7,1,MATCH(A1118,Inputs!$B$6:$D$6,0))))</x:f>
        <x:v>13</x:v>
      </x:c>
      <x:c r="I1118" s="20" t="n">
        <x:f>INDEX(Inputs!$B$8:$D$8,1,MATCH(A1118,Inputs!$B$6:$D$6,0))</x:f>
        <x:v>2395</x:v>
      </x:c>
      <x:c r="J1118" s="20" t="n">
        <x:f>INDEX(Roster!$C$6:$C$108,MATCH(D1118,Roster!$A$6:$A$108,0))*(1+INDEX(Inputs!$B$9:$D$9,1,MATCH(A1118,Inputs!$B$6:$D$6,0)))</x:f>
        <x:v>600</x:v>
      </x:c>
      <x:c r="K1118" s="20" t="n">
        <x:f>IF(=INDEX(Roster!$F$6:$F$108,MATCH(D1118,Roster!$A$6:$A$108,0))="Yes",0,=INDEX(Inputs!$B$8:$D$8,1,MATCH(A1118,Inputs!$B$6:$D$6,0))*IF(=INDEX(Roster!$B$6:$B$108,MATCH(D1118,Roster!$A$6:$A$108,0))="Principal",INDEX(Inputs!$B$10:$D$10,1,MATCH(A1118,Inputs!$B$6:$D$6,0)),IF(=INDEX(Roster!$B$6:$B$108,MATCH(D1118,Roster!$A$6:$A$108,0))="Associate Principal",INDEX(Inputs!$B$11:$D$11,1,MATCH(A1118,Inputs!$B$6:$D$6,0)),IF(=INDEX(Roster!$B$6:$B$108,MATCH(D1118,Roster!$A$6:$A$108,0))="Assistant Principal",INDEX(Inputs!$B$12:$D$12,1,MATCH(A1118,Inputs!$B$6:$D$6,0)),0))))</x:f>
        <x:v>0</x:v>
      </x:c>
      <x:c r="L1118" s="20" t="n">
        <x:f>IF(INDEX(Roster!$D$6:$D$108,MATCH(D1118,Roster!$A$6:$A$108,0))&gt;=25,INDEX(Inputs!$B$19:$D$19,1,MATCH(A1118,Inputs!$B$6:$D$6,0)),IF(INDEX(Roster!$D$6:$D$108,MATCH(D1118,Roster!$A$6:$A$108,0))&gt;=20,INDEX(Inputs!$B$18:$D$18,1,MATCH(A1118,Inputs!$B$6:$D$6,0)),IF(INDEX(Roster!$D$6:$D$108,MATCH(D1118,Roster!$A$6:$A$108,0))&gt;=15,INDEX(Inputs!$B$17:$D$17,1,MATCH(A1118,Inputs!$B$6:$D$6,0)),IF(INDEX(Roster!$D$6:$D$108,MATCH(D1118,Roster!$A$6:$A$108,0))&gt;=10,INDEX(Inputs!$B$16:$D$16,1,MATCH(A1118,Inputs!$B$6:$D$6,0)),IF(INDEX(Roster!$D$6:$D$108,MATCH(D1118,Roster!$A$6:$A$108,0))&gt;=5,INDEX(Inputs!$B$15:$D$15,1,MATCH(A1118,Inputs!$B$6:$D$6,0)),0)))))</x:f>
        <x:v>90</x:v>
      </x:c>
      <x:c r="M1118" s="20" t="n">
        <x:f>G1118*I1118</x:f>
        <x:v>31135</x:v>
      </x:c>
      <x:c r="N1118" s="20" t="n">
        <x:f>G1118*J1118</x:f>
        <x:v>7800</x:v>
      </x:c>
      <x:c r="O1118" s="20" t="n">
        <x:f>G1118*K1118</x:f>
        <x:v>0</x:v>
      </x:c>
      <x:c r="P1118" s="20" t="n">
        <x:f>G1118*L1118</x:f>
        <x:v>1170</x:v>
      </x:c>
      <x:c r="Q1118" s="20" t="n">
        <x:f>H1118*INDEX(Inputs!$B$13:$D$13,1,MATCH(A1118,Inputs!$B$6:$D$6,0))</x:f>
        <x:v>390</x:v>
      </x:c>
      <x:c r="R1118" s="20" t="n">
        <x:f>SUM(M1118:Q1118)</x:f>
        <x:v>40495</x:v>
      </x:c>
      <x:c r="S1118" s="20" t="n">
        <x:f>IF(AND(A1117=A1118,D1117=D1118),S1117+R1118,R1118)</x:f>
        <x:v>40495</x:v>
      </x:c>
      <x:c r="T1118" s="20" t="n">
        <x:f>MIN(S1118,INDEX(Inputs!$B$20:$D$20,1,MATCH(A1118,Inputs!$B$6:$D$6,0)))*INDEX(Inputs!$B$22:$D$22,1,MATCH(A1118,Inputs!$B$6:$D$6,0))+MAX(MIN(S1118,INDEX(Inputs!$B$21:$D$21,1,MATCH(A1118,Inputs!$B$6:$D$6,0)))-INDEX(Inputs!$B$20:$D$20,1,MATCH(A1118,Inputs!$B$6:$D$6,0)),0)*INDEX(Inputs!$B$23:$D$23,1,MATCH(A1118,Inputs!$B$6:$D$6,0))+MAX(S1118-INDEX(Inputs!$B$21:$D$21,1,MATCH(A1118,Inputs!$B$6:$D$6,0)),0)*INDEX(Inputs!$B$24:$D$24,1,MATCH(A1118,Inputs!$B$6:$D$6,0))</x:f>
        <x:v>3587.8675</x:v>
      </x:c>
      <x:c r="U1118" s="20" t="n">
        <x:f>IF(AND(A1117=A1118,D1117=D1118),T1117,0)</x:f>
        <x:v>0</x:v>
      </x:c>
      <x:c r="V1118" s="20" t="n">
        <x:f>T1118-U1118</x:f>
        <x:v>3587.8675</x:v>
      </x:c>
      <x:c r="W1118" s="20" t="n">
        <x:f>R1118+V1118</x:f>
        <x:v>44082.8675</x:v>
      </x:c>
      <x:c r="X1118" s="14" t="str">
        <x:f>IF(ABS(W1118-SUM(M1118:Q1118)-V1118)&lt;0.01,"OK","Check")</x:f>
        <x:v>OK</x:v>
      </x:c>
    </x:row>
    <x:row r="1119">
      <x:c r="A1119" s="14" t="n">
        <x:v>2028</x:v>
      </x:c>
      <x:c r="B1119" s="14" t="str">
        <x:v>Q2</x:v>
      </x:c>
      <x:c r="C1119" s="14" t="n">
        <x:v>2</x:v>
      </x:c>
      <x:c r="D1119" s="14" t="n">
        <x:v>73</x:v>
      </x:c>
      <x:c r="E1119" s="14" t="str">
        <x:f>INDEX(Roster!$B$6:$B$108,MATCH(D1119,Roster!$A$6:$A$108,0))</x:f>
        <x:v>Principal</x:v>
      </x:c>
      <x:c r="F1119" s="14" t="str">
        <x:f>INDEX(Roster!$F$6:$F$108,MATCH(D1119,Roster!$A$6:$A$108,0))</x:f>
        <x:v>Yes</x:v>
      </x:c>
      <x:c r="G1119" s="14" t="n">
        <x:f>INDEX(Inputs!$B$7:$D$7,1,MATCH(A1119,Inputs!$B$6:$D$6,0))</x:f>
        <x:v>13</x:v>
      </x:c>
      <x:c r="H1119" s="14" t="n">
        <x:f>MIN(=INDEX(Inputs!$B$7:$D$7,1,MATCH(A1119,Inputs!$B$6:$D$6,0)),MAX(0,INDEX(Inputs!$B$14:$D$14,1,MATCH(A1119,Inputs!$B$6:$D$6,0))-(C1119-1)*=INDEX(Inputs!$B$7:$D$7,1,MATCH(A1119,Inputs!$B$6:$D$6,0))))</x:f>
        <x:v>13</x:v>
      </x:c>
      <x:c r="I1119" s="20" t="n">
        <x:f>INDEX(Inputs!$B$8:$D$8,1,MATCH(A1119,Inputs!$B$6:$D$6,0))</x:f>
        <x:v>2395</x:v>
      </x:c>
      <x:c r="J1119" s="20" t="n">
        <x:f>INDEX(Roster!$C$6:$C$108,MATCH(D1119,Roster!$A$6:$A$108,0))*(1+INDEX(Inputs!$B$9:$D$9,1,MATCH(A1119,Inputs!$B$6:$D$6,0)))</x:f>
        <x:v>600</x:v>
      </x:c>
      <x:c r="K1119" s="20" t="n">
        <x:f>IF(=INDEX(Roster!$F$6:$F$108,MATCH(D1119,Roster!$A$6:$A$108,0))="Yes",0,=INDEX(Inputs!$B$8:$D$8,1,MATCH(A1119,Inputs!$B$6:$D$6,0))*IF(=INDEX(Roster!$B$6:$B$108,MATCH(D1119,Roster!$A$6:$A$108,0))="Principal",INDEX(Inputs!$B$10:$D$10,1,MATCH(A1119,Inputs!$B$6:$D$6,0)),IF(=INDEX(Roster!$B$6:$B$108,MATCH(D1119,Roster!$A$6:$A$108,0))="Associate Principal",INDEX(Inputs!$B$11:$D$11,1,MATCH(A1119,Inputs!$B$6:$D$6,0)),IF(=INDEX(Roster!$B$6:$B$108,MATCH(D1119,Roster!$A$6:$A$108,0))="Assistant Principal",INDEX(Inputs!$B$12:$D$12,1,MATCH(A1119,Inputs!$B$6:$D$6,0)),0))))</x:f>
        <x:v>0</x:v>
      </x:c>
      <x:c r="L1119" s="20" t="n">
        <x:f>IF(INDEX(Roster!$D$6:$D$108,MATCH(D1119,Roster!$A$6:$A$108,0))&gt;=25,INDEX(Inputs!$B$19:$D$19,1,MATCH(A1119,Inputs!$B$6:$D$6,0)),IF(INDEX(Roster!$D$6:$D$108,MATCH(D1119,Roster!$A$6:$A$108,0))&gt;=20,INDEX(Inputs!$B$18:$D$18,1,MATCH(A1119,Inputs!$B$6:$D$6,0)),IF(INDEX(Roster!$D$6:$D$108,MATCH(D1119,Roster!$A$6:$A$108,0))&gt;=15,INDEX(Inputs!$B$17:$D$17,1,MATCH(A1119,Inputs!$B$6:$D$6,0)),IF(INDEX(Roster!$D$6:$D$108,MATCH(D1119,Roster!$A$6:$A$108,0))&gt;=10,INDEX(Inputs!$B$16:$D$16,1,MATCH(A1119,Inputs!$B$6:$D$6,0)),IF(INDEX(Roster!$D$6:$D$108,MATCH(D1119,Roster!$A$6:$A$108,0))&gt;=5,INDEX(Inputs!$B$15:$D$15,1,MATCH(A1119,Inputs!$B$6:$D$6,0)),0)))))</x:f>
        <x:v>90</x:v>
      </x:c>
      <x:c r="M1119" s="20" t="n">
        <x:f>G1119*I1119</x:f>
        <x:v>31135</x:v>
      </x:c>
      <x:c r="N1119" s="20" t="n">
        <x:f>G1119*J1119</x:f>
        <x:v>7800</x:v>
      </x:c>
      <x:c r="O1119" s="20" t="n">
        <x:f>G1119*K1119</x:f>
        <x:v>0</x:v>
      </x:c>
      <x:c r="P1119" s="20" t="n">
        <x:f>G1119*L1119</x:f>
        <x:v>1170</x:v>
      </x:c>
      <x:c r="Q1119" s="20" t="n">
        <x:f>H1119*INDEX(Inputs!$B$13:$D$13,1,MATCH(A1119,Inputs!$B$6:$D$6,0))</x:f>
        <x:v>390</x:v>
      </x:c>
      <x:c r="R1119" s="20" t="n">
        <x:f>SUM(M1119:Q1119)</x:f>
        <x:v>40495</x:v>
      </x:c>
      <x:c r="S1119" s="20" t="n">
        <x:f>IF(AND(A1118=A1119,D1118=D1119),S1118+R1119,R1119)</x:f>
        <x:v>80990</x:v>
      </x:c>
      <x:c r="T1119" s="20" t="n">
        <x:f>MIN(S1119,INDEX(Inputs!$B$20:$D$20,1,MATCH(A1119,Inputs!$B$6:$D$6,0)))*INDEX(Inputs!$B$22:$D$22,1,MATCH(A1119,Inputs!$B$6:$D$6,0))+MAX(MIN(S1119,INDEX(Inputs!$B$21:$D$21,1,MATCH(A1119,Inputs!$B$6:$D$6,0)))-INDEX(Inputs!$B$20:$D$20,1,MATCH(A1119,Inputs!$B$6:$D$6,0)),0)*INDEX(Inputs!$B$23:$D$23,1,MATCH(A1119,Inputs!$B$6:$D$6,0))+MAX(S1119-INDEX(Inputs!$B$21:$D$21,1,MATCH(A1119,Inputs!$B$6:$D$6,0)),0)*INDEX(Inputs!$B$24:$D$24,1,MATCH(A1119,Inputs!$B$6:$D$6,0))</x:f>
        <x:v>6685.735</x:v>
      </x:c>
      <x:c r="U1119" s="20" t="n">
        <x:f>IF(AND(A1118=A1119,D1118=D1119),T1118,0)</x:f>
        <x:v>3587.8675</x:v>
      </x:c>
      <x:c r="V1119" s="20" t="n">
        <x:f>T1119-U1119</x:f>
        <x:v>3097.8675</x:v>
      </x:c>
      <x:c r="W1119" s="20" t="n">
        <x:f>R1119+V1119</x:f>
        <x:v>43592.8675</x:v>
      </x:c>
      <x:c r="X1119" s="14" t="str">
        <x:f>IF(ABS(W1119-SUM(M1119:Q1119)-V1119)&lt;0.01,"OK","Check")</x:f>
        <x:v>OK</x:v>
      </x:c>
    </x:row>
    <x:row r="1120">
      <x:c r="A1120" s="14" t="n">
        <x:v>2028</x:v>
      </x:c>
      <x:c r="B1120" s="14" t="str">
        <x:v>Q3</x:v>
      </x:c>
      <x:c r="C1120" s="14" t="n">
        <x:v>3</x:v>
      </x:c>
      <x:c r="D1120" s="14" t="n">
        <x:v>73</x:v>
      </x:c>
      <x:c r="E1120" s="14" t="str">
        <x:f>INDEX(Roster!$B$6:$B$108,MATCH(D1120,Roster!$A$6:$A$108,0))</x:f>
        <x:v>Principal</x:v>
      </x:c>
      <x:c r="F1120" s="14" t="str">
        <x:f>INDEX(Roster!$F$6:$F$108,MATCH(D1120,Roster!$A$6:$A$108,0))</x:f>
        <x:v>Yes</x:v>
      </x:c>
      <x:c r="G1120" s="14" t="n">
        <x:f>INDEX(Inputs!$B$7:$D$7,1,MATCH(A1120,Inputs!$B$6:$D$6,0))</x:f>
        <x:v>13</x:v>
      </x:c>
      <x:c r="H1120" s="14" t="n">
        <x:f>MIN(=INDEX(Inputs!$B$7:$D$7,1,MATCH(A1120,Inputs!$B$6:$D$6,0)),MAX(0,INDEX(Inputs!$B$14:$D$14,1,MATCH(A1120,Inputs!$B$6:$D$6,0))-(C1120-1)*=INDEX(Inputs!$B$7:$D$7,1,MATCH(A1120,Inputs!$B$6:$D$6,0))))</x:f>
        <x:v>13</x:v>
      </x:c>
      <x:c r="I1120" s="20" t="n">
        <x:f>INDEX(Inputs!$B$8:$D$8,1,MATCH(A1120,Inputs!$B$6:$D$6,0))</x:f>
        <x:v>2395</x:v>
      </x:c>
      <x:c r="J1120" s="20" t="n">
        <x:f>INDEX(Roster!$C$6:$C$108,MATCH(D1120,Roster!$A$6:$A$108,0))*(1+INDEX(Inputs!$B$9:$D$9,1,MATCH(A1120,Inputs!$B$6:$D$6,0)))</x:f>
        <x:v>600</x:v>
      </x:c>
      <x:c r="K1120" s="20" t="n">
        <x:f>IF(=INDEX(Roster!$F$6:$F$108,MATCH(D1120,Roster!$A$6:$A$108,0))="Yes",0,=INDEX(Inputs!$B$8:$D$8,1,MATCH(A1120,Inputs!$B$6:$D$6,0))*IF(=INDEX(Roster!$B$6:$B$108,MATCH(D1120,Roster!$A$6:$A$108,0))="Principal",INDEX(Inputs!$B$10:$D$10,1,MATCH(A1120,Inputs!$B$6:$D$6,0)),IF(=INDEX(Roster!$B$6:$B$108,MATCH(D1120,Roster!$A$6:$A$108,0))="Associate Principal",INDEX(Inputs!$B$11:$D$11,1,MATCH(A1120,Inputs!$B$6:$D$6,0)),IF(=INDEX(Roster!$B$6:$B$108,MATCH(D1120,Roster!$A$6:$A$108,0))="Assistant Principal",INDEX(Inputs!$B$12:$D$12,1,MATCH(A1120,Inputs!$B$6:$D$6,0)),0))))</x:f>
        <x:v>0</x:v>
      </x:c>
      <x:c r="L1120" s="20" t="n">
        <x:f>IF(INDEX(Roster!$D$6:$D$108,MATCH(D1120,Roster!$A$6:$A$108,0))&gt;=25,INDEX(Inputs!$B$19:$D$19,1,MATCH(A1120,Inputs!$B$6:$D$6,0)),IF(INDEX(Roster!$D$6:$D$108,MATCH(D1120,Roster!$A$6:$A$108,0))&gt;=20,INDEX(Inputs!$B$18:$D$18,1,MATCH(A1120,Inputs!$B$6:$D$6,0)),IF(INDEX(Roster!$D$6:$D$108,MATCH(D1120,Roster!$A$6:$A$108,0))&gt;=15,INDEX(Inputs!$B$17:$D$17,1,MATCH(A1120,Inputs!$B$6:$D$6,0)),IF(INDEX(Roster!$D$6:$D$108,MATCH(D1120,Roster!$A$6:$A$108,0))&gt;=10,INDEX(Inputs!$B$16:$D$16,1,MATCH(A1120,Inputs!$B$6:$D$6,0)),IF(INDEX(Roster!$D$6:$D$108,MATCH(D1120,Roster!$A$6:$A$108,0))&gt;=5,INDEX(Inputs!$B$15:$D$15,1,MATCH(A1120,Inputs!$B$6:$D$6,0)),0)))))</x:f>
        <x:v>90</x:v>
      </x:c>
      <x:c r="M1120" s="20" t="n">
        <x:f>G1120*I1120</x:f>
        <x:v>31135</x:v>
      </x:c>
      <x:c r="N1120" s="20" t="n">
        <x:f>G1120*J1120</x:f>
        <x:v>7800</x:v>
      </x:c>
      <x:c r="O1120" s="20" t="n">
        <x:f>G1120*K1120</x:f>
        <x:v>0</x:v>
      </x:c>
      <x:c r="P1120" s="20" t="n">
        <x:f>G1120*L1120</x:f>
        <x:v>1170</x:v>
      </x:c>
      <x:c r="Q1120" s="20" t="n">
        <x:f>H1120*INDEX(Inputs!$B$13:$D$13,1,MATCH(A1120,Inputs!$B$6:$D$6,0))</x:f>
        <x:v>390</x:v>
      </x:c>
      <x:c r="R1120" s="20" t="n">
        <x:f>SUM(M1120:Q1120)</x:f>
        <x:v>40495</x:v>
      </x:c>
      <x:c r="S1120" s="20" t="n">
        <x:f>IF(AND(A1119=A1120,D1119=D1120),S1119+R1120,R1120)</x:f>
        <x:v>121485</x:v>
      </x:c>
      <x:c r="T1120" s="20" t="n">
        <x:f>MIN(S1120,INDEX(Inputs!$B$20:$D$20,1,MATCH(A1120,Inputs!$B$6:$D$6,0)))*INDEX(Inputs!$B$22:$D$22,1,MATCH(A1120,Inputs!$B$6:$D$6,0))+MAX(MIN(S1120,INDEX(Inputs!$B$21:$D$21,1,MATCH(A1120,Inputs!$B$6:$D$6,0)))-INDEX(Inputs!$B$20:$D$20,1,MATCH(A1120,Inputs!$B$6:$D$6,0)),0)*INDEX(Inputs!$B$23:$D$23,1,MATCH(A1120,Inputs!$B$6:$D$6,0))+MAX(S1120-INDEX(Inputs!$B$21:$D$21,1,MATCH(A1120,Inputs!$B$6:$D$6,0)),0)*INDEX(Inputs!$B$24:$D$24,1,MATCH(A1120,Inputs!$B$6:$D$6,0))</x:f>
        <x:v>9675.4745</x:v>
      </x:c>
      <x:c r="U1120" s="20" t="n">
        <x:f>IF(AND(A1119=A1120,D1119=D1120),T1119,0)</x:f>
        <x:v>6685.735</x:v>
      </x:c>
      <x:c r="V1120" s="20" t="n">
        <x:f>T1120-U1120</x:f>
        <x:v>2989.7395000000006</x:v>
      </x:c>
      <x:c r="W1120" s="20" t="n">
        <x:f>R1120+V1120</x:f>
        <x:v>43484.7395</x:v>
      </x:c>
      <x:c r="X1120" s="14" t="str">
        <x:f>IF(ABS(W1120-SUM(M1120:Q1120)-V1120)&lt;0.01,"OK","Check")</x:f>
        <x:v>OK</x:v>
      </x:c>
    </x:row>
    <x:row r="1121">
      <x:c r="A1121" s="14" t="n">
        <x:v>2028</x:v>
      </x:c>
      <x:c r="B1121" s="14" t="str">
        <x:v>Q4</x:v>
      </x:c>
      <x:c r="C1121" s="14" t="n">
        <x:v>4</x:v>
      </x:c>
      <x:c r="D1121" s="14" t="n">
        <x:v>73</x:v>
      </x:c>
      <x:c r="E1121" s="14" t="str">
        <x:f>INDEX(Roster!$B$6:$B$108,MATCH(D1121,Roster!$A$6:$A$108,0))</x:f>
        <x:v>Principal</x:v>
      </x:c>
      <x:c r="F1121" s="14" t="str">
        <x:f>INDEX(Roster!$F$6:$F$108,MATCH(D1121,Roster!$A$6:$A$108,0))</x:f>
        <x:v>Yes</x:v>
      </x:c>
      <x:c r="G1121" s="14" t="n">
        <x:f>INDEX(Inputs!$B$7:$D$7,1,MATCH(A1121,Inputs!$B$6:$D$6,0))</x:f>
        <x:v>13</x:v>
      </x:c>
      <x:c r="H1121" s="14" t="n">
        <x:f>MIN(=INDEX(Inputs!$B$7:$D$7,1,MATCH(A1121,Inputs!$B$6:$D$6,0)),MAX(0,INDEX(Inputs!$B$14:$D$14,1,MATCH(A1121,Inputs!$B$6:$D$6,0))-(C1121-1)*=INDEX(Inputs!$B$7:$D$7,1,MATCH(A1121,Inputs!$B$6:$D$6,0))))</x:f>
        <x:v>0</x:v>
      </x:c>
      <x:c r="I1121" s="20" t="n">
        <x:f>INDEX(Inputs!$B$8:$D$8,1,MATCH(A1121,Inputs!$B$6:$D$6,0))</x:f>
        <x:v>2395</x:v>
      </x:c>
      <x:c r="J1121" s="20" t="n">
        <x:f>INDEX(Roster!$C$6:$C$108,MATCH(D1121,Roster!$A$6:$A$108,0))*(1+INDEX(Inputs!$B$9:$D$9,1,MATCH(A1121,Inputs!$B$6:$D$6,0)))</x:f>
        <x:v>600</x:v>
      </x:c>
      <x:c r="K1121" s="20" t="n">
        <x:f>IF(=INDEX(Roster!$F$6:$F$108,MATCH(D1121,Roster!$A$6:$A$108,0))="Yes",0,=INDEX(Inputs!$B$8:$D$8,1,MATCH(A1121,Inputs!$B$6:$D$6,0))*IF(=INDEX(Roster!$B$6:$B$108,MATCH(D1121,Roster!$A$6:$A$108,0))="Principal",INDEX(Inputs!$B$10:$D$10,1,MATCH(A1121,Inputs!$B$6:$D$6,0)),IF(=INDEX(Roster!$B$6:$B$108,MATCH(D1121,Roster!$A$6:$A$108,0))="Associate Principal",INDEX(Inputs!$B$11:$D$11,1,MATCH(A1121,Inputs!$B$6:$D$6,0)),IF(=INDEX(Roster!$B$6:$B$108,MATCH(D1121,Roster!$A$6:$A$108,0))="Assistant Principal",INDEX(Inputs!$B$12:$D$12,1,MATCH(A1121,Inputs!$B$6:$D$6,0)),0))))</x:f>
        <x:v>0</x:v>
      </x:c>
      <x:c r="L1121" s="20" t="n">
        <x:f>IF(INDEX(Roster!$D$6:$D$108,MATCH(D1121,Roster!$A$6:$A$108,0))&gt;=25,INDEX(Inputs!$B$19:$D$19,1,MATCH(A1121,Inputs!$B$6:$D$6,0)),IF(INDEX(Roster!$D$6:$D$108,MATCH(D1121,Roster!$A$6:$A$108,0))&gt;=20,INDEX(Inputs!$B$18:$D$18,1,MATCH(A1121,Inputs!$B$6:$D$6,0)),IF(INDEX(Roster!$D$6:$D$108,MATCH(D1121,Roster!$A$6:$A$108,0))&gt;=15,INDEX(Inputs!$B$17:$D$17,1,MATCH(A1121,Inputs!$B$6:$D$6,0)),IF(INDEX(Roster!$D$6:$D$108,MATCH(D1121,Roster!$A$6:$A$108,0))&gt;=10,INDEX(Inputs!$B$16:$D$16,1,MATCH(A1121,Inputs!$B$6:$D$6,0)),IF(INDEX(Roster!$D$6:$D$108,MATCH(D1121,Roster!$A$6:$A$108,0))&gt;=5,INDEX(Inputs!$B$15:$D$15,1,MATCH(A1121,Inputs!$B$6:$D$6,0)),0)))))</x:f>
        <x:v>90</x:v>
      </x:c>
      <x:c r="M1121" s="20" t="n">
        <x:f>G1121*I1121</x:f>
        <x:v>31135</x:v>
      </x:c>
      <x:c r="N1121" s="20" t="n">
        <x:f>G1121*J1121</x:f>
        <x:v>7800</x:v>
      </x:c>
      <x:c r="O1121" s="20" t="n">
        <x:f>G1121*K1121</x:f>
        <x:v>0</x:v>
      </x:c>
      <x:c r="P1121" s="20" t="n">
        <x:f>G1121*L1121</x:f>
        <x:v>1170</x:v>
      </x:c>
      <x:c r="Q1121" s="20" t="n">
        <x:f>H1121*INDEX(Inputs!$B$13:$D$13,1,MATCH(A1121,Inputs!$B$6:$D$6,0))</x:f>
        <x:v>0</x:v>
      </x:c>
      <x:c r="R1121" s="20" t="n">
        <x:f>SUM(M1121:Q1121)</x:f>
        <x:v>40105</x:v>
      </x:c>
      <x:c r="S1121" s="20" t="n">
        <x:f>IF(AND(A1120=A1121,D1120=D1121),S1120+R1121,R1121)</x:f>
        <x:v>161590</x:v>
      </x:c>
      <x:c r="T1121" s="20" t="n">
        <x:f>MIN(S1121,INDEX(Inputs!$B$20:$D$20,1,MATCH(A1121,Inputs!$B$6:$D$6,0)))*INDEX(Inputs!$B$22:$D$22,1,MATCH(A1121,Inputs!$B$6:$D$6,0))+MAX(MIN(S1121,INDEX(Inputs!$B$21:$D$21,1,MATCH(A1121,Inputs!$B$6:$D$6,0)))-INDEX(Inputs!$B$20:$D$20,1,MATCH(A1121,Inputs!$B$6:$D$6,0)),0)*INDEX(Inputs!$B$23:$D$23,1,MATCH(A1121,Inputs!$B$6:$D$6,0))+MAX(S1121-INDEX(Inputs!$B$21:$D$21,1,MATCH(A1121,Inputs!$B$6:$D$6,0)),0)*INDEX(Inputs!$B$24:$D$24,1,MATCH(A1121,Inputs!$B$6:$D$6,0))</x:f>
        <x:v>10256.997</x:v>
      </x:c>
      <x:c r="U1121" s="20" t="n">
        <x:f>IF(AND(A1120=A1121,D1120=D1121),T1120,0)</x:f>
        <x:v>9675.4745</x:v>
      </x:c>
      <x:c r="V1121" s="20" t="n">
        <x:f>T1121-U1121</x:f>
        <x:v>581.5224999999991</x:v>
      </x:c>
      <x:c r="W1121" s="20" t="n">
        <x:f>R1121+V1121</x:f>
        <x:v>40686.5225</x:v>
      </x:c>
      <x:c r="X1121" s="14" t="str">
        <x:f>IF(ABS(W1121-SUM(M1121:Q1121)-V1121)&lt;0.01,"OK","Check")</x:f>
        <x:v>OK</x:v>
      </x:c>
    </x:row>
    <x:row r="1122">
      <x:c r="A1122" s="14" t="n">
        <x:v>2028</x:v>
      </x:c>
      <x:c r="B1122" s="14" t="str">
        <x:v>Q1</x:v>
      </x:c>
      <x:c r="C1122" s="14" t="n">
        <x:v>1</x:v>
      </x:c>
      <x:c r="D1122" s="14" t="n">
        <x:v>74</x:v>
      </x:c>
      <x:c r="E1122" s="14" t="str">
        <x:f>INDEX(Roster!$B$6:$B$108,MATCH(D1122,Roster!$A$6:$A$108,0))</x:f>
      </x:c>
      <x:c r="F1122" s="14" t="str">
        <x:f>INDEX(Roster!$F$6:$F$108,MATCH(D1122,Roster!$A$6:$A$108,0))</x:f>
        <x:v>No</x:v>
      </x:c>
      <x:c r="G1122" s="14" t="n">
        <x:f>INDEX(Inputs!$B$7:$D$7,1,MATCH(A1122,Inputs!$B$6:$D$6,0))</x:f>
        <x:v>13</x:v>
      </x:c>
      <x:c r="H1122" s="14" t="n">
        <x:f>MIN(=INDEX(Inputs!$B$7:$D$7,1,MATCH(A1122,Inputs!$B$6:$D$6,0)),MAX(0,INDEX(Inputs!$B$14:$D$14,1,MATCH(A1122,Inputs!$B$6:$D$6,0))-(C1122-1)*=INDEX(Inputs!$B$7:$D$7,1,MATCH(A1122,Inputs!$B$6:$D$6,0))))</x:f>
        <x:v>13</x:v>
      </x:c>
      <x:c r="I1122" s="20" t="n">
        <x:f>INDEX(Inputs!$B$8:$D$8,1,MATCH(A1122,Inputs!$B$6:$D$6,0))</x:f>
        <x:v>2395</x:v>
      </x:c>
      <x:c r="J1122" s="20" t="n">
        <x:f>INDEX(Roster!$C$6:$C$108,MATCH(D1122,Roster!$A$6:$A$108,0))*(1+INDEX(Inputs!$B$9:$D$9,1,MATCH(A1122,Inputs!$B$6:$D$6,0)))</x:f>
        <x:v>75</x:v>
      </x:c>
      <x:c r="K1122" s="20" t="n">
        <x:f>IF(=INDEX(Roster!$F$6:$F$108,MATCH(D1122,Roster!$A$6:$A$108,0))="Yes",0,=INDEX(Inputs!$B$8:$D$8,1,MATCH(A1122,Inputs!$B$6:$D$6,0))*IF(=INDEX(Roster!$B$6:$B$108,MATCH(D1122,Roster!$A$6:$A$108,0))="Principal",INDEX(Inputs!$B$10:$D$10,1,MATCH(A1122,Inputs!$B$6:$D$6,0)),IF(=INDEX(Roster!$B$6:$B$108,MATCH(D1122,Roster!$A$6:$A$108,0))="Associate Principal",INDEX(Inputs!$B$11:$D$11,1,MATCH(A1122,Inputs!$B$6:$D$6,0)),IF(=INDEX(Roster!$B$6:$B$108,MATCH(D1122,Roster!$A$6:$A$108,0))="Assistant Principal",INDEX(Inputs!$B$12:$D$12,1,MATCH(A1122,Inputs!$B$6:$D$6,0)),0))))</x:f>
        <x:v>0</x:v>
      </x:c>
      <x:c r="L1122" s="20" t="n">
        <x:f>IF(INDEX(Roster!$D$6:$D$108,MATCH(D1122,Roster!$A$6:$A$108,0))&gt;=25,INDEX(Inputs!$B$19:$D$19,1,MATCH(A1122,Inputs!$B$6:$D$6,0)),IF(INDEX(Roster!$D$6:$D$108,MATCH(D1122,Roster!$A$6:$A$108,0))&gt;=20,INDEX(Inputs!$B$18:$D$18,1,MATCH(A1122,Inputs!$B$6:$D$6,0)),IF(INDEX(Roster!$D$6:$D$108,MATCH(D1122,Roster!$A$6:$A$108,0))&gt;=15,INDEX(Inputs!$B$17:$D$17,1,MATCH(A1122,Inputs!$B$6:$D$6,0)),IF(INDEX(Roster!$D$6:$D$108,MATCH(D1122,Roster!$A$6:$A$108,0))&gt;=10,INDEX(Inputs!$B$16:$D$16,1,MATCH(A1122,Inputs!$B$6:$D$6,0)),IF(INDEX(Roster!$D$6:$D$108,MATCH(D1122,Roster!$A$6:$A$108,0))&gt;=5,INDEX(Inputs!$B$15:$D$15,1,MATCH(A1122,Inputs!$B$6:$D$6,0)),0)))))</x:f>
        <x:v>90</x:v>
      </x:c>
      <x:c r="M1122" s="20" t="n">
        <x:f>G1122*I1122</x:f>
        <x:v>31135</x:v>
      </x:c>
      <x:c r="N1122" s="20" t="n">
        <x:f>G1122*J1122</x:f>
        <x:v>975</x:v>
      </x:c>
      <x:c r="O1122" s="20" t="n">
        <x:f>G1122*K1122</x:f>
        <x:v>0</x:v>
      </x:c>
      <x:c r="P1122" s="20" t="n">
        <x:f>G1122*L1122</x:f>
        <x:v>1170</x:v>
      </x:c>
      <x:c r="Q1122" s="20" t="n">
        <x:f>H1122*INDEX(Inputs!$B$13:$D$13,1,MATCH(A1122,Inputs!$B$6:$D$6,0))</x:f>
        <x:v>390</x:v>
      </x:c>
      <x:c r="R1122" s="20" t="n">
        <x:f>SUM(M1122:Q1122)</x:f>
        <x:v>33670</x:v>
      </x:c>
      <x:c r="S1122" s="20" t="n">
        <x:f>IF(AND(A1121=A1122,D1121=D1122),S1121+R1122,R1122)</x:f>
        <x:v>33670</x:v>
      </x:c>
      <x:c r="T1122" s="20" t="n">
        <x:f>MIN(S1122,INDEX(Inputs!$B$20:$D$20,1,MATCH(A1122,Inputs!$B$6:$D$6,0)))*INDEX(Inputs!$B$22:$D$22,1,MATCH(A1122,Inputs!$B$6:$D$6,0))+MAX(MIN(S1122,INDEX(Inputs!$B$21:$D$21,1,MATCH(A1122,Inputs!$B$6:$D$6,0)))-INDEX(Inputs!$B$20:$D$20,1,MATCH(A1122,Inputs!$B$6:$D$6,0)),0)*INDEX(Inputs!$B$23:$D$23,1,MATCH(A1122,Inputs!$B$6:$D$6,0))+MAX(S1122-INDEX(Inputs!$B$21:$D$21,1,MATCH(A1122,Inputs!$B$6:$D$6,0)),0)*INDEX(Inputs!$B$24:$D$24,1,MATCH(A1122,Inputs!$B$6:$D$6,0))</x:f>
        <x:v>3065.755</x:v>
      </x:c>
      <x:c r="U1122" s="20" t="n">
        <x:f>IF(AND(A1121=A1122,D1121=D1122),T1121,0)</x:f>
        <x:v>0</x:v>
      </x:c>
      <x:c r="V1122" s="20" t="n">
        <x:f>T1122-U1122</x:f>
        <x:v>3065.755</x:v>
      </x:c>
      <x:c r="W1122" s="20" t="n">
        <x:f>R1122+V1122</x:f>
        <x:v>36735.755</x:v>
      </x:c>
      <x:c r="X1122" s="14" t="str">
        <x:f>IF(ABS(W1122-SUM(M1122:Q1122)-V1122)&lt;0.01,"OK","Check")</x:f>
        <x:v>OK</x:v>
      </x:c>
    </x:row>
    <x:row r="1123">
      <x:c r="A1123" s="14" t="n">
        <x:v>2028</x:v>
      </x:c>
      <x:c r="B1123" s="14" t="str">
        <x:v>Q2</x:v>
      </x:c>
      <x:c r="C1123" s="14" t="n">
        <x:v>2</x:v>
      </x:c>
      <x:c r="D1123" s="14" t="n">
        <x:v>74</x:v>
      </x:c>
      <x:c r="E1123" s="14" t="str">
        <x:f>INDEX(Roster!$B$6:$B$108,MATCH(D1123,Roster!$A$6:$A$108,0))</x:f>
      </x:c>
      <x:c r="F1123" s="14" t="str">
        <x:f>INDEX(Roster!$F$6:$F$108,MATCH(D1123,Roster!$A$6:$A$108,0))</x:f>
        <x:v>No</x:v>
      </x:c>
      <x:c r="G1123" s="14" t="n">
        <x:f>INDEX(Inputs!$B$7:$D$7,1,MATCH(A1123,Inputs!$B$6:$D$6,0))</x:f>
        <x:v>13</x:v>
      </x:c>
      <x:c r="H1123" s="14" t="n">
        <x:f>MIN(=INDEX(Inputs!$B$7:$D$7,1,MATCH(A1123,Inputs!$B$6:$D$6,0)),MAX(0,INDEX(Inputs!$B$14:$D$14,1,MATCH(A1123,Inputs!$B$6:$D$6,0))-(C1123-1)*=INDEX(Inputs!$B$7:$D$7,1,MATCH(A1123,Inputs!$B$6:$D$6,0))))</x:f>
        <x:v>13</x:v>
      </x:c>
      <x:c r="I1123" s="20" t="n">
        <x:f>INDEX(Inputs!$B$8:$D$8,1,MATCH(A1123,Inputs!$B$6:$D$6,0))</x:f>
        <x:v>2395</x:v>
      </x:c>
      <x:c r="J1123" s="20" t="n">
        <x:f>INDEX(Roster!$C$6:$C$108,MATCH(D1123,Roster!$A$6:$A$108,0))*(1+INDEX(Inputs!$B$9:$D$9,1,MATCH(A1123,Inputs!$B$6:$D$6,0)))</x:f>
        <x:v>75</x:v>
      </x:c>
      <x:c r="K1123" s="20" t="n">
        <x:f>IF(=INDEX(Roster!$F$6:$F$108,MATCH(D1123,Roster!$A$6:$A$108,0))="Yes",0,=INDEX(Inputs!$B$8:$D$8,1,MATCH(A1123,Inputs!$B$6:$D$6,0))*IF(=INDEX(Roster!$B$6:$B$108,MATCH(D1123,Roster!$A$6:$A$108,0))="Principal",INDEX(Inputs!$B$10:$D$10,1,MATCH(A1123,Inputs!$B$6:$D$6,0)),IF(=INDEX(Roster!$B$6:$B$108,MATCH(D1123,Roster!$A$6:$A$108,0))="Associate Principal",INDEX(Inputs!$B$11:$D$11,1,MATCH(A1123,Inputs!$B$6:$D$6,0)),IF(=INDEX(Roster!$B$6:$B$108,MATCH(D1123,Roster!$A$6:$A$108,0))="Assistant Principal",INDEX(Inputs!$B$12:$D$12,1,MATCH(A1123,Inputs!$B$6:$D$6,0)),0))))</x:f>
        <x:v>0</x:v>
      </x:c>
      <x:c r="L1123" s="20" t="n">
        <x:f>IF(INDEX(Roster!$D$6:$D$108,MATCH(D1123,Roster!$A$6:$A$108,0))&gt;=25,INDEX(Inputs!$B$19:$D$19,1,MATCH(A1123,Inputs!$B$6:$D$6,0)),IF(INDEX(Roster!$D$6:$D$108,MATCH(D1123,Roster!$A$6:$A$108,0))&gt;=20,INDEX(Inputs!$B$18:$D$18,1,MATCH(A1123,Inputs!$B$6:$D$6,0)),IF(INDEX(Roster!$D$6:$D$108,MATCH(D1123,Roster!$A$6:$A$108,0))&gt;=15,INDEX(Inputs!$B$17:$D$17,1,MATCH(A1123,Inputs!$B$6:$D$6,0)),IF(INDEX(Roster!$D$6:$D$108,MATCH(D1123,Roster!$A$6:$A$108,0))&gt;=10,INDEX(Inputs!$B$16:$D$16,1,MATCH(A1123,Inputs!$B$6:$D$6,0)),IF(INDEX(Roster!$D$6:$D$108,MATCH(D1123,Roster!$A$6:$A$108,0))&gt;=5,INDEX(Inputs!$B$15:$D$15,1,MATCH(A1123,Inputs!$B$6:$D$6,0)),0)))))</x:f>
        <x:v>90</x:v>
      </x:c>
      <x:c r="M1123" s="20" t="n">
        <x:f>G1123*I1123</x:f>
        <x:v>31135</x:v>
      </x:c>
      <x:c r="N1123" s="20" t="n">
        <x:f>G1123*J1123</x:f>
        <x:v>975</x:v>
      </x:c>
      <x:c r="O1123" s="20" t="n">
        <x:f>G1123*K1123</x:f>
        <x:v>0</x:v>
      </x:c>
      <x:c r="P1123" s="20" t="n">
        <x:f>G1123*L1123</x:f>
        <x:v>1170</x:v>
      </x:c>
      <x:c r="Q1123" s="20" t="n">
        <x:f>H1123*INDEX(Inputs!$B$13:$D$13,1,MATCH(A1123,Inputs!$B$6:$D$6,0))</x:f>
        <x:v>390</x:v>
      </x:c>
      <x:c r="R1123" s="20" t="n">
        <x:f>SUM(M1123:Q1123)</x:f>
        <x:v>33670</x:v>
      </x:c>
      <x:c r="S1123" s="20" t="n">
        <x:f>IF(AND(A1122=A1123,D1122=D1123),S1122+R1123,R1123)</x:f>
        <x:v>67340</x:v>
      </x:c>
      <x:c r="T1123" s="20" t="n">
        <x:f>MIN(S1123,INDEX(Inputs!$B$20:$D$20,1,MATCH(A1123,Inputs!$B$6:$D$6,0)))*INDEX(Inputs!$B$22:$D$22,1,MATCH(A1123,Inputs!$B$6:$D$6,0))+MAX(MIN(S1123,INDEX(Inputs!$B$21:$D$21,1,MATCH(A1123,Inputs!$B$6:$D$6,0)))-INDEX(Inputs!$B$20:$D$20,1,MATCH(A1123,Inputs!$B$6:$D$6,0)),0)*INDEX(Inputs!$B$23:$D$23,1,MATCH(A1123,Inputs!$B$6:$D$6,0))+MAX(S1123-INDEX(Inputs!$B$21:$D$21,1,MATCH(A1123,Inputs!$B$6:$D$6,0)),0)*INDEX(Inputs!$B$24:$D$24,1,MATCH(A1123,Inputs!$B$6:$D$6,0))</x:f>
        <x:v>5641.51</x:v>
      </x:c>
      <x:c r="U1123" s="20" t="n">
        <x:f>IF(AND(A1122=A1123,D1122=D1123),T1122,0)</x:f>
        <x:v>3065.755</x:v>
      </x:c>
      <x:c r="V1123" s="20" t="n">
        <x:f>T1123-U1123</x:f>
        <x:v>2575.755</x:v>
      </x:c>
      <x:c r="W1123" s="20" t="n">
        <x:f>R1123+V1123</x:f>
        <x:v>36245.755</x:v>
      </x:c>
      <x:c r="X1123" s="14" t="str">
        <x:f>IF(ABS(W1123-SUM(M1123:Q1123)-V1123)&lt;0.01,"OK","Check")</x:f>
        <x:v>OK</x:v>
      </x:c>
    </x:row>
    <x:row r="1124">
      <x:c r="A1124" s="14" t="n">
        <x:v>2028</x:v>
      </x:c>
      <x:c r="B1124" s="14" t="str">
        <x:v>Q3</x:v>
      </x:c>
      <x:c r="C1124" s="14" t="n">
        <x:v>3</x:v>
      </x:c>
      <x:c r="D1124" s="14" t="n">
        <x:v>74</x:v>
      </x:c>
      <x:c r="E1124" s="14" t="str">
        <x:f>INDEX(Roster!$B$6:$B$108,MATCH(D1124,Roster!$A$6:$A$108,0))</x:f>
      </x:c>
      <x:c r="F1124" s="14" t="str">
        <x:f>INDEX(Roster!$F$6:$F$108,MATCH(D1124,Roster!$A$6:$A$108,0))</x:f>
        <x:v>No</x:v>
      </x:c>
      <x:c r="G1124" s="14" t="n">
        <x:f>INDEX(Inputs!$B$7:$D$7,1,MATCH(A1124,Inputs!$B$6:$D$6,0))</x:f>
        <x:v>13</x:v>
      </x:c>
      <x:c r="H1124" s="14" t="n">
        <x:f>MIN(=INDEX(Inputs!$B$7:$D$7,1,MATCH(A1124,Inputs!$B$6:$D$6,0)),MAX(0,INDEX(Inputs!$B$14:$D$14,1,MATCH(A1124,Inputs!$B$6:$D$6,0))-(C1124-1)*=INDEX(Inputs!$B$7:$D$7,1,MATCH(A1124,Inputs!$B$6:$D$6,0))))</x:f>
        <x:v>13</x:v>
      </x:c>
      <x:c r="I1124" s="20" t="n">
        <x:f>INDEX(Inputs!$B$8:$D$8,1,MATCH(A1124,Inputs!$B$6:$D$6,0))</x:f>
        <x:v>2395</x:v>
      </x:c>
      <x:c r="J1124" s="20" t="n">
        <x:f>INDEX(Roster!$C$6:$C$108,MATCH(D1124,Roster!$A$6:$A$108,0))*(1+INDEX(Inputs!$B$9:$D$9,1,MATCH(A1124,Inputs!$B$6:$D$6,0)))</x:f>
        <x:v>75</x:v>
      </x:c>
      <x:c r="K1124" s="20" t="n">
        <x:f>IF(=INDEX(Roster!$F$6:$F$108,MATCH(D1124,Roster!$A$6:$A$108,0))="Yes",0,=INDEX(Inputs!$B$8:$D$8,1,MATCH(A1124,Inputs!$B$6:$D$6,0))*IF(=INDEX(Roster!$B$6:$B$108,MATCH(D1124,Roster!$A$6:$A$108,0))="Principal",INDEX(Inputs!$B$10:$D$10,1,MATCH(A1124,Inputs!$B$6:$D$6,0)),IF(=INDEX(Roster!$B$6:$B$108,MATCH(D1124,Roster!$A$6:$A$108,0))="Associate Principal",INDEX(Inputs!$B$11:$D$11,1,MATCH(A1124,Inputs!$B$6:$D$6,0)),IF(=INDEX(Roster!$B$6:$B$108,MATCH(D1124,Roster!$A$6:$A$108,0))="Assistant Principal",INDEX(Inputs!$B$12:$D$12,1,MATCH(A1124,Inputs!$B$6:$D$6,0)),0))))</x:f>
        <x:v>0</x:v>
      </x:c>
      <x:c r="L1124" s="20" t="n">
        <x:f>IF(INDEX(Roster!$D$6:$D$108,MATCH(D1124,Roster!$A$6:$A$108,0))&gt;=25,INDEX(Inputs!$B$19:$D$19,1,MATCH(A1124,Inputs!$B$6:$D$6,0)),IF(INDEX(Roster!$D$6:$D$108,MATCH(D1124,Roster!$A$6:$A$108,0))&gt;=20,INDEX(Inputs!$B$18:$D$18,1,MATCH(A1124,Inputs!$B$6:$D$6,0)),IF(INDEX(Roster!$D$6:$D$108,MATCH(D1124,Roster!$A$6:$A$108,0))&gt;=15,INDEX(Inputs!$B$17:$D$17,1,MATCH(A1124,Inputs!$B$6:$D$6,0)),IF(INDEX(Roster!$D$6:$D$108,MATCH(D1124,Roster!$A$6:$A$108,0))&gt;=10,INDEX(Inputs!$B$16:$D$16,1,MATCH(A1124,Inputs!$B$6:$D$6,0)),IF(INDEX(Roster!$D$6:$D$108,MATCH(D1124,Roster!$A$6:$A$108,0))&gt;=5,INDEX(Inputs!$B$15:$D$15,1,MATCH(A1124,Inputs!$B$6:$D$6,0)),0)))))</x:f>
        <x:v>90</x:v>
      </x:c>
      <x:c r="M1124" s="20" t="n">
        <x:f>G1124*I1124</x:f>
        <x:v>31135</x:v>
      </x:c>
      <x:c r="N1124" s="20" t="n">
        <x:f>G1124*J1124</x:f>
        <x:v>975</x:v>
      </x:c>
      <x:c r="O1124" s="20" t="n">
        <x:f>G1124*K1124</x:f>
        <x:v>0</x:v>
      </x:c>
      <x:c r="P1124" s="20" t="n">
        <x:f>G1124*L1124</x:f>
        <x:v>1170</x:v>
      </x:c>
      <x:c r="Q1124" s="20" t="n">
        <x:f>H1124*INDEX(Inputs!$B$13:$D$13,1,MATCH(A1124,Inputs!$B$6:$D$6,0))</x:f>
        <x:v>390</x:v>
      </x:c>
      <x:c r="R1124" s="20" t="n">
        <x:f>SUM(M1124:Q1124)</x:f>
        <x:v>33670</x:v>
      </x:c>
      <x:c r="S1124" s="20" t="n">
        <x:f>IF(AND(A1123=A1124,D1123=D1124),S1123+R1124,R1124)</x:f>
        <x:v>101010</x:v>
      </x:c>
      <x:c r="T1124" s="20" t="n">
        <x:f>MIN(S1124,INDEX(Inputs!$B$20:$D$20,1,MATCH(A1124,Inputs!$B$6:$D$6,0)))*INDEX(Inputs!$B$22:$D$22,1,MATCH(A1124,Inputs!$B$6:$D$6,0))+MAX(MIN(S1124,INDEX(Inputs!$B$21:$D$21,1,MATCH(A1124,Inputs!$B$6:$D$6,0)))-INDEX(Inputs!$B$20:$D$20,1,MATCH(A1124,Inputs!$B$6:$D$6,0)),0)*INDEX(Inputs!$B$23:$D$23,1,MATCH(A1124,Inputs!$B$6:$D$6,0))+MAX(S1124-INDEX(Inputs!$B$21:$D$21,1,MATCH(A1124,Inputs!$B$6:$D$6,0)),0)*INDEX(Inputs!$B$24:$D$24,1,MATCH(A1124,Inputs!$B$6:$D$6,0))</x:f>
        <x:v>8217.265</x:v>
      </x:c>
      <x:c r="U1124" s="20" t="n">
        <x:f>IF(AND(A1123=A1124,D1123=D1124),T1123,0)</x:f>
        <x:v>5641.51</x:v>
      </x:c>
      <x:c r="V1124" s="20" t="n">
        <x:f>T1124-U1124</x:f>
        <x:v>2575.754999999999</x:v>
      </x:c>
      <x:c r="W1124" s="20" t="n">
        <x:f>R1124+V1124</x:f>
        <x:v>36245.755</x:v>
      </x:c>
      <x:c r="X1124" s="14" t="str">
        <x:f>IF(ABS(W1124-SUM(M1124:Q1124)-V1124)&lt;0.01,"OK","Check")</x:f>
        <x:v>OK</x:v>
      </x:c>
    </x:row>
    <x:row r="1125">
      <x:c r="A1125" s="14" t="n">
        <x:v>2028</x:v>
      </x:c>
      <x:c r="B1125" s="14" t="str">
        <x:v>Q4</x:v>
      </x:c>
      <x:c r="C1125" s="14" t="n">
        <x:v>4</x:v>
      </x:c>
      <x:c r="D1125" s="14" t="n">
        <x:v>74</x:v>
      </x:c>
      <x:c r="E1125" s="14" t="str">
        <x:f>INDEX(Roster!$B$6:$B$108,MATCH(D1125,Roster!$A$6:$A$108,0))</x:f>
      </x:c>
      <x:c r="F1125" s="14" t="str">
        <x:f>INDEX(Roster!$F$6:$F$108,MATCH(D1125,Roster!$A$6:$A$108,0))</x:f>
        <x:v>No</x:v>
      </x:c>
      <x:c r="G1125" s="14" t="n">
        <x:f>INDEX(Inputs!$B$7:$D$7,1,MATCH(A1125,Inputs!$B$6:$D$6,0))</x:f>
        <x:v>13</x:v>
      </x:c>
      <x:c r="H1125" s="14" t="n">
        <x:f>MIN(=INDEX(Inputs!$B$7:$D$7,1,MATCH(A1125,Inputs!$B$6:$D$6,0)),MAX(0,INDEX(Inputs!$B$14:$D$14,1,MATCH(A1125,Inputs!$B$6:$D$6,0))-(C1125-1)*=INDEX(Inputs!$B$7:$D$7,1,MATCH(A1125,Inputs!$B$6:$D$6,0))))</x:f>
        <x:v>0</x:v>
      </x:c>
      <x:c r="I1125" s="20" t="n">
        <x:f>INDEX(Inputs!$B$8:$D$8,1,MATCH(A1125,Inputs!$B$6:$D$6,0))</x:f>
        <x:v>2395</x:v>
      </x:c>
      <x:c r="J1125" s="20" t="n">
        <x:f>INDEX(Roster!$C$6:$C$108,MATCH(D1125,Roster!$A$6:$A$108,0))*(1+INDEX(Inputs!$B$9:$D$9,1,MATCH(A1125,Inputs!$B$6:$D$6,0)))</x:f>
        <x:v>75</x:v>
      </x:c>
      <x:c r="K1125" s="20" t="n">
        <x:f>IF(=INDEX(Roster!$F$6:$F$108,MATCH(D1125,Roster!$A$6:$A$108,0))="Yes",0,=INDEX(Inputs!$B$8:$D$8,1,MATCH(A1125,Inputs!$B$6:$D$6,0))*IF(=INDEX(Roster!$B$6:$B$108,MATCH(D1125,Roster!$A$6:$A$108,0))="Principal",INDEX(Inputs!$B$10:$D$10,1,MATCH(A1125,Inputs!$B$6:$D$6,0)),IF(=INDEX(Roster!$B$6:$B$108,MATCH(D1125,Roster!$A$6:$A$108,0))="Associate Principal",INDEX(Inputs!$B$11:$D$11,1,MATCH(A1125,Inputs!$B$6:$D$6,0)),IF(=INDEX(Roster!$B$6:$B$108,MATCH(D1125,Roster!$A$6:$A$108,0))="Assistant Principal",INDEX(Inputs!$B$12:$D$12,1,MATCH(A1125,Inputs!$B$6:$D$6,0)),0))))</x:f>
        <x:v>0</x:v>
      </x:c>
      <x:c r="L1125" s="20" t="n">
        <x:f>IF(INDEX(Roster!$D$6:$D$108,MATCH(D1125,Roster!$A$6:$A$108,0))&gt;=25,INDEX(Inputs!$B$19:$D$19,1,MATCH(A1125,Inputs!$B$6:$D$6,0)),IF(INDEX(Roster!$D$6:$D$108,MATCH(D1125,Roster!$A$6:$A$108,0))&gt;=20,INDEX(Inputs!$B$18:$D$18,1,MATCH(A1125,Inputs!$B$6:$D$6,0)),IF(INDEX(Roster!$D$6:$D$108,MATCH(D1125,Roster!$A$6:$A$108,0))&gt;=15,INDEX(Inputs!$B$17:$D$17,1,MATCH(A1125,Inputs!$B$6:$D$6,0)),IF(INDEX(Roster!$D$6:$D$108,MATCH(D1125,Roster!$A$6:$A$108,0))&gt;=10,INDEX(Inputs!$B$16:$D$16,1,MATCH(A1125,Inputs!$B$6:$D$6,0)),IF(INDEX(Roster!$D$6:$D$108,MATCH(D1125,Roster!$A$6:$A$108,0))&gt;=5,INDEX(Inputs!$B$15:$D$15,1,MATCH(A1125,Inputs!$B$6:$D$6,0)),0)))))</x:f>
        <x:v>90</x:v>
      </x:c>
      <x:c r="M1125" s="20" t="n">
        <x:f>G1125*I1125</x:f>
        <x:v>31135</x:v>
      </x:c>
      <x:c r="N1125" s="20" t="n">
        <x:f>G1125*J1125</x:f>
        <x:v>975</x:v>
      </x:c>
      <x:c r="O1125" s="20" t="n">
        <x:f>G1125*K1125</x:f>
        <x:v>0</x:v>
      </x:c>
      <x:c r="P1125" s="20" t="n">
        <x:f>G1125*L1125</x:f>
        <x:v>1170</x:v>
      </x:c>
      <x:c r="Q1125" s="20" t="n">
        <x:f>H1125*INDEX(Inputs!$B$13:$D$13,1,MATCH(A1125,Inputs!$B$6:$D$6,0))</x:f>
        <x:v>0</x:v>
      </x:c>
      <x:c r="R1125" s="20" t="n">
        <x:f>SUM(M1125:Q1125)</x:f>
        <x:v>33280</x:v>
      </x:c>
      <x:c r="S1125" s="20" t="n">
        <x:f>IF(AND(A1124=A1125,D1124=D1125),S1124+R1125,R1125)</x:f>
        <x:v>134290</x:v>
      </x:c>
      <x:c r="T1125" s="20" t="n">
        <x:f>MIN(S1125,INDEX(Inputs!$B$20:$D$20,1,MATCH(A1125,Inputs!$B$6:$D$6,0)))*INDEX(Inputs!$B$22:$D$22,1,MATCH(A1125,Inputs!$B$6:$D$6,0))+MAX(MIN(S1125,INDEX(Inputs!$B$21:$D$21,1,MATCH(A1125,Inputs!$B$6:$D$6,0)))-INDEX(Inputs!$B$20:$D$20,1,MATCH(A1125,Inputs!$B$6:$D$6,0)),0)*INDEX(Inputs!$B$23:$D$23,1,MATCH(A1125,Inputs!$B$6:$D$6,0))+MAX(S1125-INDEX(Inputs!$B$21:$D$21,1,MATCH(A1125,Inputs!$B$6:$D$6,0)),0)*INDEX(Inputs!$B$24:$D$24,1,MATCH(A1125,Inputs!$B$6:$D$6,0))</x:f>
        <x:v>9861.146999999999</x:v>
      </x:c>
      <x:c r="U1125" s="20" t="n">
        <x:f>IF(AND(A1124=A1125,D1124=D1125),T1124,0)</x:f>
        <x:v>8217.265</x:v>
      </x:c>
      <x:c r="V1125" s="20" t="n">
        <x:f>T1125-U1125</x:f>
        <x:v>1643.8819999999996</x:v>
      </x:c>
      <x:c r="W1125" s="20" t="n">
        <x:f>R1125+V1125</x:f>
        <x:v>34923.882</x:v>
      </x:c>
      <x:c r="X1125" s="14" t="str">
        <x:f>IF(ABS(W1125-SUM(M1125:Q1125)-V1125)&lt;0.01,"OK","Check")</x:f>
        <x:v>OK</x:v>
      </x:c>
    </x:row>
    <x:row r="1126">
      <x:c r="A1126" s="14" t="n">
        <x:v>2028</x:v>
      </x:c>
      <x:c r="B1126" s="14" t="str">
        <x:v>Q1</x:v>
      </x:c>
      <x:c r="C1126" s="14" t="n">
        <x:v>1</x:v>
      </x:c>
      <x:c r="D1126" s="14" t="n">
        <x:v>75</x:v>
      </x:c>
      <x:c r="E1126" s="14" t="str">
        <x:f>INDEX(Roster!$B$6:$B$108,MATCH(D1126,Roster!$A$6:$A$108,0))</x:f>
        <x:v>Associate Principal</x:v>
      </x:c>
      <x:c r="F1126" s="14" t="str">
        <x:f>INDEX(Roster!$F$6:$F$108,MATCH(D1126,Roster!$A$6:$A$108,0))</x:f>
        <x:v>Yes</x:v>
      </x:c>
      <x:c r="G1126" s="14" t="n">
        <x:f>INDEX(Inputs!$B$7:$D$7,1,MATCH(A1126,Inputs!$B$6:$D$6,0))</x:f>
        <x:v>13</x:v>
      </x:c>
      <x:c r="H1126" s="14" t="n">
        <x:f>MIN(=INDEX(Inputs!$B$7:$D$7,1,MATCH(A1126,Inputs!$B$6:$D$6,0)),MAX(0,INDEX(Inputs!$B$14:$D$14,1,MATCH(A1126,Inputs!$B$6:$D$6,0))-(C1126-1)*=INDEX(Inputs!$B$7:$D$7,1,MATCH(A1126,Inputs!$B$6:$D$6,0))))</x:f>
        <x:v>13</x:v>
      </x:c>
      <x:c r="I1126" s="20" t="n">
        <x:f>INDEX(Inputs!$B$8:$D$8,1,MATCH(A1126,Inputs!$B$6:$D$6,0))</x:f>
        <x:v>2395</x:v>
      </x:c>
      <x:c r="J1126" s="20" t="n">
        <x:f>INDEX(Roster!$C$6:$C$108,MATCH(D1126,Roster!$A$6:$A$108,0))*(1+INDEX(Inputs!$B$9:$D$9,1,MATCH(A1126,Inputs!$B$6:$D$6,0)))</x:f>
        <x:v>350</x:v>
      </x:c>
      <x:c r="K1126" s="20" t="n">
        <x:f>IF(=INDEX(Roster!$F$6:$F$108,MATCH(D1126,Roster!$A$6:$A$108,0))="Yes",0,=INDEX(Inputs!$B$8:$D$8,1,MATCH(A1126,Inputs!$B$6:$D$6,0))*IF(=INDEX(Roster!$B$6:$B$108,MATCH(D1126,Roster!$A$6:$A$108,0))="Principal",INDEX(Inputs!$B$10:$D$10,1,MATCH(A1126,Inputs!$B$6:$D$6,0)),IF(=INDEX(Roster!$B$6:$B$108,MATCH(D1126,Roster!$A$6:$A$108,0))="Associate Principal",INDEX(Inputs!$B$11:$D$11,1,MATCH(A1126,Inputs!$B$6:$D$6,0)),IF(=INDEX(Roster!$B$6:$B$108,MATCH(D1126,Roster!$A$6:$A$108,0))="Assistant Principal",INDEX(Inputs!$B$12:$D$12,1,MATCH(A1126,Inputs!$B$6:$D$6,0)),0))))</x:f>
        <x:v>0</x:v>
      </x:c>
      <x:c r="L1126" s="20" t="n">
        <x:f>IF(INDEX(Roster!$D$6:$D$108,MATCH(D1126,Roster!$A$6:$A$108,0))&gt;=25,INDEX(Inputs!$B$19:$D$19,1,MATCH(A1126,Inputs!$B$6:$D$6,0)),IF(INDEX(Roster!$D$6:$D$108,MATCH(D1126,Roster!$A$6:$A$108,0))&gt;=20,INDEX(Inputs!$B$18:$D$18,1,MATCH(A1126,Inputs!$B$6:$D$6,0)),IF(INDEX(Roster!$D$6:$D$108,MATCH(D1126,Roster!$A$6:$A$108,0))&gt;=15,INDEX(Inputs!$B$17:$D$17,1,MATCH(A1126,Inputs!$B$6:$D$6,0)),IF(INDEX(Roster!$D$6:$D$108,MATCH(D1126,Roster!$A$6:$A$108,0))&gt;=10,INDEX(Inputs!$B$16:$D$16,1,MATCH(A1126,Inputs!$B$6:$D$6,0)),IF(INDEX(Roster!$D$6:$D$108,MATCH(D1126,Roster!$A$6:$A$108,0))&gt;=5,INDEX(Inputs!$B$15:$D$15,1,MATCH(A1126,Inputs!$B$6:$D$6,0)),0)))))</x:f>
        <x:v>90</x:v>
      </x:c>
      <x:c r="M1126" s="20" t="n">
        <x:f>G1126*I1126</x:f>
        <x:v>31135</x:v>
      </x:c>
      <x:c r="N1126" s="20" t="n">
        <x:f>G1126*J1126</x:f>
        <x:v>4550</x:v>
      </x:c>
      <x:c r="O1126" s="20" t="n">
        <x:f>G1126*K1126</x:f>
        <x:v>0</x:v>
      </x:c>
      <x:c r="P1126" s="20" t="n">
        <x:f>G1126*L1126</x:f>
        <x:v>1170</x:v>
      </x:c>
      <x:c r="Q1126" s="20" t="n">
        <x:f>H1126*INDEX(Inputs!$B$13:$D$13,1,MATCH(A1126,Inputs!$B$6:$D$6,0))</x:f>
        <x:v>390</x:v>
      </x:c>
      <x:c r="R1126" s="20" t="n">
        <x:f>SUM(M1126:Q1126)</x:f>
        <x:v>37245</x:v>
      </x:c>
      <x:c r="S1126" s="20" t="n">
        <x:f>IF(AND(A1125=A1126,D1125=D1126),S1125+R1126,R1126)</x:f>
        <x:v>37245</x:v>
      </x:c>
      <x:c r="T1126" s="20" t="n">
        <x:f>MIN(S1126,INDEX(Inputs!$B$20:$D$20,1,MATCH(A1126,Inputs!$B$6:$D$6,0)))*INDEX(Inputs!$B$22:$D$22,1,MATCH(A1126,Inputs!$B$6:$D$6,0))+MAX(MIN(S1126,INDEX(Inputs!$B$21:$D$21,1,MATCH(A1126,Inputs!$B$6:$D$6,0)))-INDEX(Inputs!$B$20:$D$20,1,MATCH(A1126,Inputs!$B$6:$D$6,0)),0)*INDEX(Inputs!$B$23:$D$23,1,MATCH(A1126,Inputs!$B$6:$D$6,0))+MAX(S1126-INDEX(Inputs!$B$21:$D$21,1,MATCH(A1126,Inputs!$B$6:$D$6,0)),0)*INDEX(Inputs!$B$24:$D$24,1,MATCH(A1126,Inputs!$B$6:$D$6,0))</x:f>
        <x:v>3339.2425</x:v>
      </x:c>
      <x:c r="U1126" s="20" t="n">
        <x:f>IF(AND(A1125=A1126,D1125=D1126),T1125,0)</x:f>
        <x:v>0</x:v>
      </x:c>
      <x:c r="V1126" s="20" t="n">
        <x:f>T1126-U1126</x:f>
        <x:v>3339.2425</x:v>
      </x:c>
      <x:c r="W1126" s="20" t="n">
        <x:f>R1126+V1126</x:f>
        <x:v>40584.2425</x:v>
      </x:c>
      <x:c r="X1126" s="14" t="str">
        <x:f>IF(ABS(W1126-SUM(M1126:Q1126)-V1126)&lt;0.01,"OK","Check")</x:f>
        <x:v>OK</x:v>
      </x:c>
    </x:row>
    <x:row r="1127">
      <x:c r="A1127" s="14" t="n">
        <x:v>2028</x:v>
      </x:c>
      <x:c r="B1127" s="14" t="str">
        <x:v>Q2</x:v>
      </x:c>
      <x:c r="C1127" s="14" t="n">
        <x:v>2</x:v>
      </x:c>
      <x:c r="D1127" s="14" t="n">
        <x:v>75</x:v>
      </x:c>
      <x:c r="E1127" s="14" t="str">
        <x:f>INDEX(Roster!$B$6:$B$108,MATCH(D1127,Roster!$A$6:$A$108,0))</x:f>
        <x:v>Associate Principal</x:v>
      </x:c>
      <x:c r="F1127" s="14" t="str">
        <x:f>INDEX(Roster!$F$6:$F$108,MATCH(D1127,Roster!$A$6:$A$108,0))</x:f>
        <x:v>Yes</x:v>
      </x:c>
      <x:c r="G1127" s="14" t="n">
        <x:f>INDEX(Inputs!$B$7:$D$7,1,MATCH(A1127,Inputs!$B$6:$D$6,0))</x:f>
        <x:v>13</x:v>
      </x:c>
      <x:c r="H1127" s="14" t="n">
        <x:f>MIN(=INDEX(Inputs!$B$7:$D$7,1,MATCH(A1127,Inputs!$B$6:$D$6,0)),MAX(0,INDEX(Inputs!$B$14:$D$14,1,MATCH(A1127,Inputs!$B$6:$D$6,0))-(C1127-1)*=INDEX(Inputs!$B$7:$D$7,1,MATCH(A1127,Inputs!$B$6:$D$6,0))))</x:f>
        <x:v>13</x:v>
      </x:c>
      <x:c r="I1127" s="20" t="n">
        <x:f>INDEX(Inputs!$B$8:$D$8,1,MATCH(A1127,Inputs!$B$6:$D$6,0))</x:f>
        <x:v>2395</x:v>
      </x:c>
      <x:c r="J1127" s="20" t="n">
        <x:f>INDEX(Roster!$C$6:$C$108,MATCH(D1127,Roster!$A$6:$A$108,0))*(1+INDEX(Inputs!$B$9:$D$9,1,MATCH(A1127,Inputs!$B$6:$D$6,0)))</x:f>
        <x:v>350</x:v>
      </x:c>
      <x:c r="K1127" s="20" t="n">
        <x:f>IF(=INDEX(Roster!$F$6:$F$108,MATCH(D1127,Roster!$A$6:$A$108,0))="Yes",0,=INDEX(Inputs!$B$8:$D$8,1,MATCH(A1127,Inputs!$B$6:$D$6,0))*IF(=INDEX(Roster!$B$6:$B$108,MATCH(D1127,Roster!$A$6:$A$108,0))="Principal",INDEX(Inputs!$B$10:$D$10,1,MATCH(A1127,Inputs!$B$6:$D$6,0)),IF(=INDEX(Roster!$B$6:$B$108,MATCH(D1127,Roster!$A$6:$A$108,0))="Associate Principal",INDEX(Inputs!$B$11:$D$11,1,MATCH(A1127,Inputs!$B$6:$D$6,0)),IF(=INDEX(Roster!$B$6:$B$108,MATCH(D1127,Roster!$A$6:$A$108,0))="Assistant Principal",INDEX(Inputs!$B$12:$D$12,1,MATCH(A1127,Inputs!$B$6:$D$6,0)),0))))</x:f>
        <x:v>0</x:v>
      </x:c>
      <x:c r="L1127" s="20" t="n">
        <x:f>IF(INDEX(Roster!$D$6:$D$108,MATCH(D1127,Roster!$A$6:$A$108,0))&gt;=25,INDEX(Inputs!$B$19:$D$19,1,MATCH(A1127,Inputs!$B$6:$D$6,0)),IF(INDEX(Roster!$D$6:$D$108,MATCH(D1127,Roster!$A$6:$A$108,0))&gt;=20,INDEX(Inputs!$B$18:$D$18,1,MATCH(A1127,Inputs!$B$6:$D$6,0)),IF(INDEX(Roster!$D$6:$D$108,MATCH(D1127,Roster!$A$6:$A$108,0))&gt;=15,INDEX(Inputs!$B$17:$D$17,1,MATCH(A1127,Inputs!$B$6:$D$6,0)),IF(INDEX(Roster!$D$6:$D$108,MATCH(D1127,Roster!$A$6:$A$108,0))&gt;=10,INDEX(Inputs!$B$16:$D$16,1,MATCH(A1127,Inputs!$B$6:$D$6,0)),IF(INDEX(Roster!$D$6:$D$108,MATCH(D1127,Roster!$A$6:$A$108,0))&gt;=5,INDEX(Inputs!$B$15:$D$15,1,MATCH(A1127,Inputs!$B$6:$D$6,0)),0)))))</x:f>
        <x:v>90</x:v>
      </x:c>
      <x:c r="M1127" s="20" t="n">
        <x:f>G1127*I1127</x:f>
        <x:v>31135</x:v>
      </x:c>
      <x:c r="N1127" s="20" t="n">
        <x:f>G1127*J1127</x:f>
        <x:v>4550</x:v>
      </x:c>
      <x:c r="O1127" s="20" t="n">
        <x:f>G1127*K1127</x:f>
        <x:v>0</x:v>
      </x:c>
      <x:c r="P1127" s="20" t="n">
        <x:f>G1127*L1127</x:f>
        <x:v>1170</x:v>
      </x:c>
      <x:c r="Q1127" s="20" t="n">
        <x:f>H1127*INDEX(Inputs!$B$13:$D$13,1,MATCH(A1127,Inputs!$B$6:$D$6,0))</x:f>
        <x:v>390</x:v>
      </x:c>
      <x:c r="R1127" s="20" t="n">
        <x:f>SUM(M1127:Q1127)</x:f>
        <x:v>37245</x:v>
      </x:c>
      <x:c r="S1127" s="20" t="n">
        <x:f>IF(AND(A1126=A1127,D1126=D1127),S1126+R1127,R1127)</x:f>
        <x:v>74490</x:v>
      </x:c>
      <x:c r="T1127" s="20" t="n">
        <x:f>MIN(S1127,INDEX(Inputs!$B$20:$D$20,1,MATCH(A1127,Inputs!$B$6:$D$6,0)))*INDEX(Inputs!$B$22:$D$22,1,MATCH(A1127,Inputs!$B$6:$D$6,0))+MAX(MIN(S1127,INDEX(Inputs!$B$21:$D$21,1,MATCH(A1127,Inputs!$B$6:$D$6,0)))-INDEX(Inputs!$B$20:$D$20,1,MATCH(A1127,Inputs!$B$6:$D$6,0)),0)*INDEX(Inputs!$B$23:$D$23,1,MATCH(A1127,Inputs!$B$6:$D$6,0))+MAX(S1127-INDEX(Inputs!$B$21:$D$21,1,MATCH(A1127,Inputs!$B$6:$D$6,0)),0)*INDEX(Inputs!$B$24:$D$24,1,MATCH(A1127,Inputs!$B$6:$D$6,0))</x:f>
        <x:v>6188.485</x:v>
      </x:c>
      <x:c r="U1127" s="20" t="n">
        <x:f>IF(AND(A1126=A1127,D1126=D1127),T1126,0)</x:f>
        <x:v>3339.2425</x:v>
      </x:c>
      <x:c r="V1127" s="20" t="n">
        <x:f>T1127-U1127</x:f>
        <x:v>2849.2425</x:v>
      </x:c>
      <x:c r="W1127" s="20" t="n">
        <x:f>R1127+V1127</x:f>
        <x:v>40094.2425</x:v>
      </x:c>
      <x:c r="X1127" s="14" t="str">
        <x:f>IF(ABS(W1127-SUM(M1127:Q1127)-V1127)&lt;0.01,"OK","Check")</x:f>
        <x:v>OK</x:v>
      </x:c>
    </x:row>
    <x:row r="1128">
      <x:c r="A1128" s="14" t="n">
        <x:v>2028</x:v>
      </x:c>
      <x:c r="B1128" s="14" t="str">
        <x:v>Q3</x:v>
      </x:c>
      <x:c r="C1128" s="14" t="n">
        <x:v>3</x:v>
      </x:c>
      <x:c r="D1128" s="14" t="n">
        <x:v>75</x:v>
      </x:c>
      <x:c r="E1128" s="14" t="str">
        <x:f>INDEX(Roster!$B$6:$B$108,MATCH(D1128,Roster!$A$6:$A$108,0))</x:f>
        <x:v>Associate Principal</x:v>
      </x:c>
      <x:c r="F1128" s="14" t="str">
        <x:f>INDEX(Roster!$F$6:$F$108,MATCH(D1128,Roster!$A$6:$A$108,0))</x:f>
        <x:v>Yes</x:v>
      </x:c>
      <x:c r="G1128" s="14" t="n">
        <x:f>INDEX(Inputs!$B$7:$D$7,1,MATCH(A1128,Inputs!$B$6:$D$6,0))</x:f>
        <x:v>13</x:v>
      </x:c>
      <x:c r="H1128" s="14" t="n">
        <x:f>MIN(=INDEX(Inputs!$B$7:$D$7,1,MATCH(A1128,Inputs!$B$6:$D$6,0)),MAX(0,INDEX(Inputs!$B$14:$D$14,1,MATCH(A1128,Inputs!$B$6:$D$6,0))-(C1128-1)*=INDEX(Inputs!$B$7:$D$7,1,MATCH(A1128,Inputs!$B$6:$D$6,0))))</x:f>
        <x:v>13</x:v>
      </x:c>
      <x:c r="I1128" s="20" t="n">
        <x:f>INDEX(Inputs!$B$8:$D$8,1,MATCH(A1128,Inputs!$B$6:$D$6,0))</x:f>
        <x:v>2395</x:v>
      </x:c>
      <x:c r="J1128" s="20" t="n">
        <x:f>INDEX(Roster!$C$6:$C$108,MATCH(D1128,Roster!$A$6:$A$108,0))*(1+INDEX(Inputs!$B$9:$D$9,1,MATCH(A1128,Inputs!$B$6:$D$6,0)))</x:f>
        <x:v>350</x:v>
      </x:c>
      <x:c r="K1128" s="20" t="n">
        <x:f>IF(=INDEX(Roster!$F$6:$F$108,MATCH(D1128,Roster!$A$6:$A$108,0))="Yes",0,=INDEX(Inputs!$B$8:$D$8,1,MATCH(A1128,Inputs!$B$6:$D$6,0))*IF(=INDEX(Roster!$B$6:$B$108,MATCH(D1128,Roster!$A$6:$A$108,0))="Principal",INDEX(Inputs!$B$10:$D$10,1,MATCH(A1128,Inputs!$B$6:$D$6,0)),IF(=INDEX(Roster!$B$6:$B$108,MATCH(D1128,Roster!$A$6:$A$108,0))="Associate Principal",INDEX(Inputs!$B$11:$D$11,1,MATCH(A1128,Inputs!$B$6:$D$6,0)),IF(=INDEX(Roster!$B$6:$B$108,MATCH(D1128,Roster!$A$6:$A$108,0))="Assistant Principal",INDEX(Inputs!$B$12:$D$12,1,MATCH(A1128,Inputs!$B$6:$D$6,0)),0))))</x:f>
        <x:v>0</x:v>
      </x:c>
      <x:c r="L1128" s="20" t="n">
        <x:f>IF(INDEX(Roster!$D$6:$D$108,MATCH(D1128,Roster!$A$6:$A$108,0))&gt;=25,INDEX(Inputs!$B$19:$D$19,1,MATCH(A1128,Inputs!$B$6:$D$6,0)),IF(INDEX(Roster!$D$6:$D$108,MATCH(D1128,Roster!$A$6:$A$108,0))&gt;=20,INDEX(Inputs!$B$18:$D$18,1,MATCH(A1128,Inputs!$B$6:$D$6,0)),IF(INDEX(Roster!$D$6:$D$108,MATCH(D1128,Roster!$A$6:$A$108,0))&gt;=15,INDEX(Inputs!$B$17:$D$17,1,MATCH(A1128,Inputs!$B$6:$D$6,0)),IF(INDEX(Roster!$D$6:$D$108,MATCH(D1128,Roster!$A$6:$A$108,0))&gt;=10,INDEX(Inputs!$B$16:$D$16,1,MATCH(A1128,Inputs!$B$6:$D$6,0)),IF(INDEX(Roster!$D$6:$D$108,MATCH(D1128,Roster!$A$6:$A$108,0))&gt;=5,INDEX(Inputs!$B$15:$D$15,1,MATCH(A1128,Inputs!$B$6:$D$6,0)),0)))))</x:f>
        <x:v>90</x:v>
      </x:c>
      <x:c r="M1128" s="20" t="n">
        <x:f>G1128*I1128</x:f>
        <x:v>31135</x:v>
      </x:c>
      <x:c r="N1128" s="20" t="n">
        <x:f>G1128*J1128</x:f>
        <x:v>4550</x:v>
      </x:c>
      <x:c r="O1128" s="20" t="n">
        <x:f>G1128*K1128</x:f>
        <x:v>0</x:v>
      </x:c>
      <x:c r="P1128" s="20" t="n">
        <x:f>G1128*L1128</x:f>
        <x:v>1170</x:v>
      </x:c>
      <x:c r="Q1128" s="20" t="n">
        <x:f>H1128*INDEX(Inputs!$B$13:$D$13,1,MATCH(A1128,Inputs!$B$6:$D$6,0))</x:f>
        <x:v>390</x:v>
      </x:c>
      <x:c r="R1128" s="20" t="n">
        <x:f>SUM(M1128:Q1128)</x:f>
        <x:v>37245</x:v>
      </x:c>
      <x:c r="S1128" s="20" t="n">
        <x:f>IF(AND(A1127=A1128,D1127=D1128),S1127+R1128,R1128)</x:f>
        <x:v>111735</x:v>
      </x:c>
      <x:c r="T1128" s="20" t="n">
        <x:f>MIN(S1128,INDEX(Inputs!$B$20:$D$20,1,MATCH(A1128,Inputs!$B$6:$D$6,0)))*INDEX(Inputs!$B$22:$D$22,1,MATCH(A1128,Inputs!$B$6:$D$6,0))+MAX(MIN(S1128,INDEX(Inputs!$B$21:$D$21,1,MATCH(A1128,Inputs!$B$6:$D$6,0)))-INDEX(Inputs!$B$20:$D$20,1,MATCH(A1128,Inputs!$B$6:$D$6,0)),0)*INDEX(Inputs!$B$23:$D$23,1,MATCH(A1128,Inputs!$B$6:$D$6,0))+MAX(S1128-INDEX(Inputs!$B$21:$D$21,1,MATCH(A1128,Inputs!$B$6:$D$6,0)),0)*INDEX(Inputs!$B$24:$D$24,1,MATCH(A1128,Inputs!$B$6:$D$6,0))</x:f>
        <x:v>9037.7275</x:v>
      </x:c>
      <x:c r="U1128" s="20" t="n">
        <x:f>IF(AND(A1127=A1128,D1127=D1128),T1127,0)</x:f>
        <x:v>6188.485</x:v>
      </x:c>
      <x:c r="V1128" s="20" t="n">
        <x:f>T1128-U1128</x:f>
        <x:v>2849.242500000001</x:v>
      </x:c>
      <x:c r="W1128" s="20" t="n">
        <x:f>R1128+V1128</x:f>
        <x:v>40094.2425</x:v>
      </x:c>
      <x:c r="X1128" s="14" t="str">
        <x:f>IF(ABS(W1128-SUM(M1128:Q1128)-V1128)&lt;0.01,"OK","Check")</x:f>
        <x:v>OK</x:v>
      </x:c>
    </x:row>
    <x:row r="1129">
      <x:c r="A1129" s="14" t="n">
        <x:v>2028</x:v>
      </x:c>
      <x:c r="B1129" s="14" t="str">
        <x:v>Q4</x:v>
      </x:c>
      <x:c r="C1129" s="14" t="n">
        <x:v>4</x:v>
      </x:c>
      <x:c r="D1129" s="14" t="n">
        <x:v>75</x:v>
      </x:c>
      <x:c r="E1129" s="14" t="str">
        <x:f>INDEX(Roster!$B$6:$B$108,MATCH(D1129,Roster!$A$6:$A$108,0))</x:f>
        <x:v>Associate Principal</x:v>
      </x:c>
      <x:c r="F1129" s="14" t="str">
        <x:f>INDEX(Roster!$F$6:$F$108,MATCH(D1129,Roster!$A$6:$A$108,0))</x:f>
        <x:v>Yes</x:v>
      </x:c>
      <x:c r="G1129" s="14" t="n">
        <x:f>INDEX(Inputs!$B$7:$D$7,1,MATCH(A1129,Inputs!$B$6:$D$6,0))</x:f>
        <x:v>13</x:v>
      </x:c>
      <x:c r="H1129" s="14" t="n">
        <x:f>MIN(=INDEX(Inputs!$B$7:$D$7,1,MATCH(A1129,Inputs!$B$6:$D$6,0)),MAX(0,INDEX(Inputs!$B$14:$D$14,1,MATCH(A1129,Inputs!$B$6:$D$6,0))-(C1129-1)*=INDEX(Inputs!$B$7:$D$7,1,MATCH(A1129,Inputs!$B$6:$D$6,0))))</x:f>
        <x:v>0</x:v>
      </x:c>
      <x:c r="I1129" s="20" t="n">
        <x:f>INDEX(Inputs!$B$8:$D$8,1,MATCH(A1129,Inputs!$B$6:$D$6,0))</x:f>
        <x:v>2395</x:v>
      </x:c>
      <x:c r="J1129" s="20" t="n">
        <x:f>INDEX(Roster!$C$6:$C$108,MATCH(D1129,Roster!$A$6:$A$108,0))*(1+INDEX(Inputs!$B$9:$D$9,1,MATCH(A1129,Inputs!$B$6:$D$6,0)))</x:f>
        <x:v>350</x:v>
      </x:c>
      <x:c r="K1129" s="20" t="n">
        <x:f>IF(=INDEX(Roster!$F$6:$F$108,MATCH(D1129,Roster!$A$6:$A$108,0))="Yes",0,=INDEX(Inputs!$B$8:$D$8,1,MATCH(A1129,Inputs!$B$6:$D$6,0))*IF(=INDEX(Roster!$B$6:$B$108,MATCH(D1129,Roster!$A$6:$A$108,0))="Principal",INDEX(Inputs!$B$10:$D$10,1,MATCH(A1129,Inputs!$B$6:$D$6,0)),IF(=INDEX(Roster!$B$6:$B$108,MATCH(D1129,Roster!$A$6:$A$108,0))="Associate Principal",INDEX(Inputs!$B$11:$D$11,1,MATCH(A1129,Inputs!$B$6:$D$6,0)),IF(=INDEX(Roster!$B$6:$B$108,MATCH(D1129,Roster!$A$6:$A$108,0))="Assistant Principal",INDEX(Inputs!$B$12:$D$12,1,MATCH(A1129,Inputs!$B$6:$D$6,0)),0))))</x:f>
        <x:v>0</x:v>
      </x:c>
      <x:c r="L1129" s="20" t="n">
        <x:f>IF(INDEX(Roster!$D$6:$D$108,MATCH(D1129,Roster!$A$6:$A$108,0))&gt;=25,INDEX(Inputs!$B$19:$D$19,1,MATCH(A1129,Inputs!$B$6:$D$6,0)),IF(INDEX(Roster!$D$6:$D$108,MATCH(D1129,Roster!$A$6:$A$108,0))&gt;=20,INDEX(Inputs!$B$18:$D$18,1,MATCH(A1129,Inputs!$B$6:$D$6,0)),IF(INDEX(Roster!$D$6:$D$108,MATCH(D1129,Roster!$A$6:$A$108,0))&gt;=15,INDEX(Inputs!$B$17:$D$17,1,MATCH(A1129,Inputs!$B$6:$D$6,0)),IF(INDEX(Roster!$D$6:$D$108,MATCH(D1129,Roster!$A$6:$A$108,0))&gt;=10,INDEX(Inputs!$B$16:$D$16,1,MATCH(A1129,Inputs!$B$6:$D$6,0)),IF(INDEX(Roster!$D$6:$D$108,MATCH(D1129,Roster!$A$6:$A$108,0))&gt;=5,INDEX(Inputs!$B$15:$D$15,1,MATCH(A1129,Inputs!$B$6:$D$6,0)),0)))))</x:f>
        <x:v>90</x:v>
      </x:c>
      <x:c r="M1129" s="20" t="n">
        <x:f>G1129*I1129</x:f>
        <x:v>31135</x:v>
      </x:c>
      <x:c r="N1129" s="20" t="n">
        <x:f>G1129*J1129</x:f>
        <x:v>4550</x:v>
      </x:c>
      <x:c r="O1129" s="20" t="n">
        <x:f>G1129*K1129</x:f>
        <x:v>0</x:v>
      </x:c>
      <x:c r="P1129" s="20" t="n">
        <x:f>G1129*L1129</x:f>
        <x:v>1170</x:v>
      </x:c>
      <x:c r="Q1129" s="20" t="n">
        <x:f>H1129*INDEX(Inputs!$B$13:$D$13,1,MATCH(A1129,Inputs!$B$6:$D$6,0))</x:f>
        <x:v>0</x:v>
      </x:c>
      <x:c r="R1129" s="20" t="n">
        <x:f>SUM(M1129:Q1129)</x:f>
        <x:v>36855</x:v>
      </x:c>
      <x:c r="S1129" s="20" t="n">
        <x:f>IF(AND(A1128=A1129,D1128=D1129),S1128+R1129,R1129)</x:f>
        <x:v>148590</x:v>
      </x:c>
      <x:c r="T1129" s="20" t="n">
        <x:f>MIN(S1129,INDEX(Inputs!$B$20:$D$20,1,MATCH(A1129,Inputs!$B$6:$D$6,0)))*INDEX(Inputs!$B$22:$D$22,1,MATCH(A1129,Inputs!$B$6:$D$6,0))+MAX(MIN(S1129,INDEX(Inputs!$B$21:$D$21,1,MATCH(A1129,Inputs!$B$6:$D$6,0)))-INDEX(Inputs!$B$20:$D$20,1,MATCH(A1129,Inputs!$B$6:$D$6,0)),0)*INDEX(Inputs!$B$23:$D$23,1,MATCH(A1129,Inputs!$B$6:$D$6,0))+MAX(S1129-INDEX(Inputs!$B$21:$D$21,1,MATCH(A1129,Inputs!$B$6:$D$6,0)),0)*INDEX(Inputs!$B$24:$D$24,1,MATCH(A1129,Inputs!$B$6:$D$6,0))</x:f>
        <x:v>10068.497</x:v>
      </x:c>
      <x:c r="U1129" s="20" t="n">
        <x:f>IF(AND(A1128=A1129,D1128=D1129),T1128,0)</x:f>
        <x:v>9037.7275</x:v>
      </x:c>
      <x:c r="V1129" s="20" t="n">
        <x:f>T1129-U1129</x:f>
        <x:v>1030.7694999999985</x:v>
      </x:c>
      <x:c r="W1129" s="20" t="n">
        <x:f>R1129+V1129</x:f>
        <x:v>37885.769499999995</x:v>
      </x:c>
      <x:c r="X1129" s="14" t="str">
        <x:f>IF(ABS(W1129-SUM(M1129:Q1129)-V1129)&lt;0.01,"OK","Check")</x:f>
        <x:v>OK</x:v>
      </x:c>
    </x:row>
    <x:row r="1130">
      <x:c r="A1130" s="14" t="n">
        <x:v>2028</x:v>
      </x:c>
      <x:c r="B1130" s="14" t="str">
        <x:v>Q1</x:v>
      </x:c>
      <x:c r="C1130" s="14" t="n">
        <x:v>1</x:v>
      </x:c>
      <x:c r="D1130" s="14" t="n">
        <x:v>76</x:v>
      </x:c>
      <x:c r="E1130" s="14" t="str">
        <x:f>INDEX(Roster!$B$6:$B$108,MATCH(D1130,Roster!$A$6:$A$108,0))</x:f>
      </x:c>
      <x:c r="F1130" s="14" t="str">
        <x:f>INDEX(Roster!$F$6:$F$108,MATCH(D1130,Roster!$A$6:$A$108,0))</x:f>
        <x:v>No</x:v>
      </x:c>
      <x:c r="G1130" s="14" t="n">
        <x:f>INDEX(Inputs!$B$7:$D$7,1,MATCH(A1130,Inputs!$B$6:$D$6,0))</x:f>
        <x:v>13</x:v>
      </x:c>
      <x:c r="H1130" s="14" t="n">
        <x:f>MIN(=INDEX(Inputs!$B$7:$D$7,1,MATCH(A1130,Inputs!$B$6:$D$6,0)),MAX(0,INDEX(Inputs!$B$14:$D$14,1,MATCH(A1130,Inputs!$B$6:$D$6,0))-(C1130-1)*=INDEX(Inputs!$B$7:$D$7,1,MATCH(A1130,Inputs!$B$6:$D$6,0))))</x:f>
        <x:v>13</x:v>
      </x:c>
      <x:c r="I1130" s="20" t="n">
        <x:f>INDEX(Inputs!$B$8:$D$8,1,MATCH(A1130,Inputs!$B$6:$D$6,0))</x:f>
        <x:v>2395</x:v>
      </x:c>
      <x:c r="J1130" s="20" t="n">
        <x:f>INDEX(Roster!$C$6:$C$108,MATCH(D1130,Roster!$A$6:$A$108,0))*(1+INDEX(Inputs!$B$9:$D$9,1,MATCH(A1130,Inputs!$B$6:$D$6,0)))</x:f>
        <x:v>60</x:v>
      </x:c>
      <x:c r="K1130" s="20" t="n">
        <x:f>IF(=INDEX(Roster!$F$6:$F$108,MATCH(D1130,Roster!$A$6:$A$108,0))="Yes",0,=INDEX(Inputs!$B$8:$D$8,1,MATCH(A1130,Inputs!$B$6:$D$6,0))*IF(=INDEX(Roster!$B$6:$B$108,MATCH(D1130,Roster!$A$6:$A$108,0))="Principal",INDEX(Inputs!$B$10:$D$10,1,MATCH(A1130,Inputs!$B$6:$D$6,0)),IF(=INDEX(Roster!$B$6:$B$108,MATCH(D1130,Roster!$A$6:$A$108,0))="Associate Principal",INDEX(Inputs!$B$11:$D$11,1,MATCH(A1130,Inputs!$B$6:$D$6,0)),IF(=INDEX(Roster!$B$6:$B$108,MATCH(D1130,Roster!$A$6:$A$108,0))="Assistant Principal",INDEX(Inputs!$B$12:$D$12,1,MATCH(A1130,Inputs!$B$6:$D$6,0)),0))))</x:f>
        <x:v>0</x:v>
      </x:c>
      <x:c r="L1130" s="20" t="n">
        <x:f>IF(INDEX(Roster!$D$6:$D$108,MATCH(D1130,Roster!$A$6:$A$108,0))&gt;=25,INDEX(Inputs!$B$19:$D$19,1,MATCH(A1130,Inputs!$B$6:$D$6,0)),IF(INDEX(Roster!$D$6:$D$108,MATCH(D1130,Roster!$A$6:$A$108,0))&gt;=20,INDEX(Inputs!$B$18:$D$18,1,MATCH(A1130,Inputs!$B$6:$D$6,0)),IF(INDEX(Roster!$D$6:$D$108,MATCH(D1130,Roster!$A$6:$A$108,0))&gt;=15,INDEX(Inputs!$B$17:$D$17,1,MATCH(A1130,Inputs!$B$6:$D$6,0)),IF(INDEX(Roster!$D$6:$D$108,MATCH(D1130,Roster!$A$6:$A$108,0))&gt;=10,INDEX(Inputs!$B$16:$D$16,1,MATCH(A1130,Inputs!$B$6:$D$6,0)),IF(INDEX(Roster!$D$6:$D$108,MATCH(D1130,Roster!$A$6:$A$108,0))&gt;=5,INDEX(Inputs!$B$15:$D$15,1,MATCH(A1130,Inputs!$B$6:$D$6,0)),0)))))</x:f>
        <x:v>90</x:v>
      </x:c>
      <x:c r="M1130" s="20" t="n">
        <x:f>G1130*I1130</x:f>
        <x:v>31135</x:v>
      </x:c>
      <x:c r="N1130" s="20" t="n">
        <x:f>G1130*J1130</x:f>
        <x:v>780</x:v>
      </x:c>
      <x:c r="O1130" s="20" t="n">
        <x:f>G1130*K1130</x:f>
        <x:v>0</x:v>
      </x:c>
      <x:c r="P1130" s="20" t="n">
        <x:f>G1130*L1130</x:f>
        <x:v>1170</x:v>
      </x:c>
      <x:c r="Q1130" s="20" t="n">
        <x:f>H1130*INDEX(Inputs!$B$13:$D$13,1,MATCH(A1130,Inputs!$B$6:$D$6,0))</x:f>
        <x:v>390</x:v>
      </x:c>
      <x:c r="R1130" s="20" t="n">
        <x:f>SUM(M1130:Q1130)</x:f>
        <x:v>33475</x:v>
      </x:c>
      <x:c r="S1130" s="20" t="n">
        <x:f>IF(AND(A1129=A1130,D1129=D1130),S1129+R1130,R1130)</x:f>
        <x:v>33475</x:v>
      </x:c>
      <x:c r="T1130" s="20" t="n">
        <x:f>MIN(S1130,INDEX(Inputs!$B$20:$D$20,1,MATCH(A1130,Inputs!$B$6:$D$6,0)))*INDEX(Inputs!$B$22:$D$22,1,MATCH(A1130,Inputs!$B$6:$D$6,0))+MAX(MIN(S1130,INDEX(Inputs!$B$21:$D$21,1,MATCH(A1130,Inputs!$B$6:$D$6,0)))-INDEX(Inputs!$B$20:$D$20,1,MATCH(A1130,Inputs!$B$6:$D$6,0)),0)*INDEX(Inputs!$B$23:$D$23,1,MATCH(A1130,Inputs!$B$6:$D$6,0))+MAX(S1130-INDEX(Inputs!$B$21:$D$21,1,MATCH(A1130,Inputs!$B$6:$D$6,0)),0)*INDEX(Inputs!$B$24:$D$24,1,MATCH(A1130,Inputs!$B$6:$D$6,0))</x:f>
        <x:v>3050.8374999999996</x:v>
      </x:c>
      <x:c r="U1130" s="20" t="n">
        <x:f>IF(AND(A1129=A1130,D1129=D1130),T1129,0)</x:f>
        <x:v>0</x:v>
      </x:c>
      <x:c r="V1130" s="20" t="n">
        <x:f>T1130-U1130</x:f>
        <x:v>3050.8374999999996</x:v>
      </x:c>
      <x:c r="W1130" s="20" t="n">
        <x:f>R1130+V1130</x:f>
        <x:v>36525.8375</x:v>
      </x:c>
      <x:c r="X1130" s="14" t="str">
        <x:f>IF(ABS(W1130-SUM(M1130:Q1130)-V1130)&lt;0.01,"OK","Check")</x:f>
        <x:v>OK</x:v>
      </x:c>
    </x:row>
    <x:row r="1131">
      <x:c r="A1131" s="14" t="n">
        <x:v>2028</x:v>
      </x:c>
      <x:c r="B1131" s="14" t="str">
        <x:v>Q2</x:v>
      </x:c>
      <x:c r="C1131" s="14" t="n">
        <x:v>2</x:v>
      </x:c>
      <x:c r="D1131" s="14" t="n">
        <x:v>76</x:v>
      </x:c>
      <x:c r="E1131" s="14" t="str">
        <x:f>INDEX(Roster!$B$6:$B$108,MATCH(D1131,Roster!$A$6:$A$108,0))</x:f>
      </x:c>
      <x:c r="F1131" s="14" t="str">
        <x:f>INDEX(Roster!$F$6:$F$108,MATCH(D1131,Roster!$A$6:$A$108,0))</x:f>
        <x:v>No</x:v>
      </x:c>
      <x:c r="G1131" s="14" t="n">
        <x:f>INDEX(Inputs!$B$7:$D$7,1,MATCH(A1131,Inputs!$B$6:$D$6,0))</x:f>
        <x:v>13</x:v>
      </x:c>
      <x:c r="H1131" s="14" t="n">
        <x:f>MIN(=INDEX(Inputs!$B$7:$D$7,1,MATCH(A1131,Inputs!$B$6:$D$6,0)),MAX(0,INDEX(Inputs!$B$14:$D$14,1,MATCH(A1131,Inputs!$B$6:$D$6,0))-(C1131-1)*=INDEX(Inputs!$B$7:$D$7,1,MATCH(A1131,Inputs!$B$6:$D$6,0))))</x:f>
        <x:v>13</x:v>
      </x:c>
      <x:c r="I1131" s="20" t="n">
        <x:f>INDEX(Inputs!$B$8:$D$8,1,MATCH(A1131,Inputs!$B$6:$D$6,0))</x:f>
        <x:v>2395</x:v>
      </x:c>
      <x:c r="J1131" s="20" t="n">
        <x:f>INDEX(Roster!$C$6:$C$108,MATCH(D1131,Roster!$A$6:$A$108,0))*(1+INDEX(Inputs!$B$9:$D$9,1,MATCH(A1131,Inputs!$B$6:$D$6,0)))</x:f>
        <x:v>60</x:v>
      </x:c>
      <x:c r="K1131" s="20" t="n">
        <x:f>IF(=INDEX(Roster!$F$6:$F$108,MATCH(D1131,Roster!$A$6:$A$108,0))="Yes",0,=INDEX(Inputs!$B$8:$D$8,1,MATCH(A1131,Inputs!$B$6:$D$6,0))*IF(=INDEX(Roster!$B$6:$B$108,MATCH(D1131,Roster!$A$6:$A$108,0))="Principal",INDEX(Inputs!$B$10:$D$10,1,MATCH(A1131,Inputs!$B$6:$D$6,0)),IF(=INDEX(Roster!$B$6:$B$108,MATCH(D1131,Roster!$A$6:$A$108,0))="Associate Principal",INDEX(Inputs!$B$11:$D$11,1,MATCH(A1131,Inputs!$B$6:$D$6,0)),IF(=INDEX(Roster!$B$6:$B$108,MATCH(D1131,Roster!$A$6:$A$108,0))="Assistant Principal",INDEX(Inputs!$B$12:$D$12,1,MATCH(A1131,Inputs!$B$6:$D$6,0)),0))))</x:f>
        <x:v>0</x:v>
      </x:c>
      <x:c r="L1131" s="20" t="n">
        <x:f>IF(INDEX(Roster!$D$6:$D$108,MATCH(D1131,Roster!$A$6:$A$108,0))&gt;=25,INDEX(Inputs!$B$19:$D$19,1,MATCH(A1131,Inputs!$B$6:$D$6,0)),IF(INDEX(Roster!$D$6:$D$108,MATCH(D1131,Roster!$A$6:$A$108,0))&gt;=20,INDEX(Inputs!$B$18:$D$18,1,MATCH(A1131,Inputs!$B$6:$D$6,0)),IF(INDEX(Roster!$D$6:$D$108,MATCH(D1131,Roster!$A$6:$A$108,0))&gt;=15,INDEX(Inputs!$B$17:$D$17,1,MATCH(A1131,Inputs!$B$6:$D$6,0)),IF(INDEX(Roster!$D$6:$D$108,MATCH(D1131,Roster!$A$6:$A$108,0))&gt;=10,INDEX(Inputs!$B$16:$D$16,1,MATCH(A1131,Inputs!$B$6:$D$6,0)),IF(INDEX(Roster!$D$6:$D$108,MATCH(D1131,Roster!$A$6:$A$108,0))&gt;=5,INDEX(Inputs!$B$15:$D$15,1,MATCH(A1131,Inputs!$B$6:$D$6,0)),0)))))</x:f>
        <x:v>90</x:v>
      </x:c>
      <x:c r="M1131" s="20" t="n">
        <x:f>G1131*I1131</x:f>
        <x:v>31135</x:v>
      </x:c>
      <x:c r="N1131" s="20" t="n">
        <x:f>G1131*J1131</x:f>
        <x:v>780</x:v>
      </x:c>
      <x:c r="O1131" s="20" t="n">
        <x:f>G1131*K1131</x:f>
        <x:v>0</x:v>
      </x:c>
      <x:c r="P1131" s="20" t="n">
        <x:f>G1131*L1131</x:f>
        <x:v>1170</x:v>
      </x:c>
      <x:c r="Q1131" s="20" t="n">
        <x:f>H1131*INDEX(Inputs!$B$13:$D$13,1,MATCH(A1131,Inputs!$B$6:$D$6,0))</x:f>
        <x:v>390</x:v>
      </x:c>
      <x:c r="R1131" s="20" t="n">
        <x:f>SUM(M1131:Q1131)</x:f>
        <x:v>33475</x:v>
      </x:c>
      <x:c r="S1131" s="20" t="n">
        <x:f>IF(AND(A1130=A1131,D1130=D1131),S1130+R1131,R1131)</x:f>
        <x:v>66950</x:v>
      </x:c>
      <x:c r="T1131" s="20" t="n">
        <x:f>MIN(S1131,INDEX(Inputs!$B$20:$D$20,1,MATCH(A1131,Inputs!$B$6:$D$6,0)))*INDEX(Inputs!$B$22:$D$22,1,MATCH(A1131,Inputs!$B$6:$D$6,0))+MAX(MIN(S1131,INDEX(Inputs!$B$21:$D$21,1,MATCH(A1131,Inputs!$B$6:$D$6,0)))-INDEX(Inputs!$B$20:$D$20,1,MATCH(A1131,Inputs!$B$6:$D$6,0)),0)*INDEX(Inputs!$B$23:$D$23,1,MATCH(A1131,Inputs!$B$6:$D$6,0))+MAX(S1131-INDEX(Inputs!$B$21:$D$21,1,MATCH(A1131,Inputs!$B$6:$D$6,0)),0)*INDEX(Inputs!$B$24:$D$24,1,MATCH(A1131,Inputs!$B$6:$D$6,0))</x:f>
        <x:v>5611.675</x:v>
      </x:c>
      <x:c r="U1131" s="20" t="n">
        <x:f>IF(AND(A1130=A1131,D1130=D1131),T1130,0)</x:f>
        <x:v>3050.8374999999996</x:v>
      </x:c>
      <x:c r="V1131" s="20" t="n">
        <x:f>T1131-U1131</x:f>
        <x:v>2560.8375000000005</x:v>
      </x:c>
      <x:c r="W1131" s="20" t="n">
        <x:f>R1131+V1131</x:f>
        <x:v>36035.8375</x:v>
      </x:c>
      <x:c r="X1131" s="14" t="str">
        <x:f>IF(ABS(W1131-SUM(M1131:Q1131)-V1131)&lt;0.01,"OK","Check")</x:f>
        <x:v>OK</x:v>
      </x:c>
    </x:row>
    <x:row r="1132">
      <x:c r="A1132" s="14" t="n">
        <x:v>2028</x:v>
      </x:c>
      <x:c r="B1132" s="14" t="str">
        <x:v>Q3</x:v>
      </x:c>
      <x:c r="C1132" s="14" t="n">
        <x:v>3</x:v>
      </x:c>
      <x:c r="D1132" s="14" t="n">
        <x:v>76</x:v>
      </x:c>
      <x:c r="E1132" s="14" t="str">
        <x:f>INDEX(Roster!$B$6:$B$108,MATCH(D1132,Roster!$A$6:$A$108,0))</x:f>
      </x:c>
      <x:c r="F1132" s="14" t="str">
        <x:f>INDEX(Roster!$F$6:$F$108,MATCH(D1132,Roster!$A$6:$A$108,0))</x:f>
        <x:v>No</x:v>
      </x:c>
      <x:c r="G1132" s="14" t="n">
        <x:f>INDEX(Inputs!$B$7:$D$7,1,MATCH(A1132,Inputs!$B$6:$D$6,0))</x:f>
        <x:v>13</x:v>
      </x:c>
      <x:c r="H1132" s="14" t="n">
        <x:f>MIN(=INDEX(Inputs!$B$7:$D$7,1,MATCH(A1132,Inputs!$B$6:$D$6,0)),MAX(0,INDEX(Inputs!$B$14:$D$14,1,MATCH(A1132,Inputs!$B$6:$D$6,0))-(C1132-1)*=INDEX(Inputs!$B$7:$D$7,1,MATCH(A1132,Inputs!$B$6:$D$6,0))))</x:f>
        <x:v>13</x:v>
      </x:c>
      <x:c r="I1132" s="20" t="n">
        <x:f>INDEX(Inputs!$B$8:$D$8,1,MATCH(A1132,Inputs!$B$6:$D$6,0))</x:f>
        <x:v>2395</x:v>
      </x:c>
      <x:c r="J1132" s="20" t="n">
        <x:f>INDEX(Roster!$C$6:$C$108,MATCH(D1132,Roster!$A$6:$A$108,0))*(1+INDEX(Inputs!$B$9:$D$9,1,MATCH(A1132,Inputs!$B$6:$D$6,0)))</x:f>
        <x:v>60</x:v>
      </x:c>
      <x:c r="K1132" s="20" t="n">
        <x:f>IF(=INDEX(Roster!$F$6:$F$108,MATCH(D1132,Roster!$A$6:$A$108,0))="Yes",0,=INDEX(Inputs!$B$8:$D$8,1,MATCH(A1132,Inputs!$B$6:$D$6,0))*IF(=INDEX(Roster!$B$6:$B$108,MATCH(D1132,Roster!$A$6:$A$108,0))="Principal",INDEX(Inputs!$B$10:$D$10,1,MATCH(A1132,Inputs!$B$6:$D$6,0)),IF(=INDEX(Roster!$B$6:$B$108,MATCH(D1132,Roster!$A$6:$A$108,0))="Associate Principal",INDEX(Inputs!$B$11:$D$11,1,MATCH(A1132,Inputs!$B$6:$D$6,0)),IF(=INDEX(Roster!$B$6:$B$108,MATCH(D1132,Roster!$A$6:$A$108,0))="Assistant Principal",INDEX(Inputs!$B$12:$D$12,1,MATCH(A1132,Inputs!$B$6:$D$6,0)),0))))</x:f>
        <x:v>0</x:v>
      </x:c>
      <x:c r="L1132" s="20" t="n">
        <x:f>IF(INDEX(Roster!$D$6:$D$108,MATCH(D1132,Roster!$A$6:$A$108,0))&gt;=25,INDEX(Inputs!$B$19:$D$19,1,MATCH(A1132,Inputs!$B$6:$D$6,0)),IF(INDEX(Roster!$D$6:$D$108,MATCH(D1132,Roster!$A$6:$A$108,0))&gt;=20,INDEX(Inputs!$B$18:$D$18,1,MATCH(A1132,Inputs!$B$6:$D$6,0)),IF(INDEX(Roster!$D$6:$D$108,MATCH(D1132,Roster!$A$6:$A$108,0))&gt;=15,INDEX(Inputs!$B$17:$D$17,1,MATCH(A1132,Inputs!$B$6:$D$6,0)),IF(INDEX(Roster!$D$6:$D$108,MATCH(D1132,Roster!$A$6:$A$108,0))&gt;=10,INDEX(Inputs!$B$16:$D$16,1,MATCH(A1132,Inputs!$B$6:$D$6,0)),IF(INDEX(Roster!$D$6:$D$108,MATCH(D1132,Roster!$A$6:$A$108,0))&gt;=5,INDEX(Inputs!$B$15:$D$15,1,MATCH(A1132,Inputs!$B$6:$D$6,0)),0)))))</x:f>
        <x:v>90</x:v>
      </x:c>
      <x:c r="M1132" s="20" t="n">
        <x:f>G1132*I1132</x:f>
        <x:v>31135</x:v>
      </x:c>
      <x:c r="N1132" s="20" t="n">
        <x:f>G1132*J1132</x:f>
        <x:v>780</x:v>
      </x:c>
      <x:c r="O1132" s="20" t="n">
        <x:f>G1132*K1132</x:f>
        <x:v>0</x:v>
      </x:c>
      <x:c r="P1132" s="20" t="n">
        <x:f>G1132*L1132</x:f>
        <x:v>1170</x:v>
      </x:c>
      <x:c r="Q1132" s="20" t="n">
        <x:f>H1132*INDEX(Inputs!$B$13:$D$13,1,MATCH(A1132,Inputs!$B$6:$D$6,0))</x:f>
        <x:v>390</x:v>
      </x:c>
      <x:c r="R1132" s="20" t="n">
        <x:f>SUM(M1132:Q1132)</x:f>
        <x:v>33475</x:v>
      </x:c>
      <x:c r="S1132" s="20" t="n">
        <x:f>IF(AND(A1131=A1132,D1131=D1132),S1131+R1132,R1132)</x:f>
        <x:v>100425</x:v>
      </x:c>
      <x:c r="T1132" s="20" t="n">
        <x:f>MIN(S1132,INDEX(Inputs!$B$20:$D$20,1,MATCH(A1132,Inputs!$B$6:$D$6,0)))*INDEX(Inputs!$B$22:$D$22,1,MATCH(A1132,Inputs!$B$6:$D$6,0))+MAX(MIN(S1132,INDEX(Inputs!$B$21:$D$21,1,MATCH(A1132,Inputs!$B$6:$D$6,0)))-INDEX(Inputs!$B$20:$D$20,1,MATCH(A1132,Inputs!$B$6:$D$6,0)),0)*INDEX(Inputs!$B$23:$D$23,1,MATCH(A1132,Inputs!$B$6:$D$6,0))+MAX(S1132-INDEX(Inputs!$B$21:$D$21,1,MATCH(A1132,Inputs!$B$6:$D$6,0)),0)*INDEX(Inputs!$B$24:$D$24,1,MATCH(A1132,Inputs!$B$6:$D$6,0))</x:f>
        <x:v>8172.5125</x:v>
      </x:c>
      <x:c r="U1132" s="20" t="n">
        <x:f>IF(AND(A1131=A1132,D1131=D1132),T1131,0)</x:f>
        <x:v>5611.675</x:v>
      </x:c>
      <x:c r="V1132" s="20" t="n">
        <x:f>T1132-U1132</x:f>
        <x:v>2560.8374999999996</x:v>
      </x:c>
      <x:c r="W1132" s="20" t="n">
        <x:f>R1132+V1132</x:f>
        <x:v>36035.8375</x:v>
      </x:c>
      <x:c r="X1132" s="14" t="str">
        <x:f>IF(ABS(W1132-SUM(M1132:Q1132)-V1132)&lt;0.01,"OK","Check")</x:f>
        <x:v>OK</x:v>
      </x:c>
    </x:row>
    <x:row r="1133">
      <x:c r="A1133" s="14" t="n">
        <x:v>2028</x:v>
      </x:c>
      <x:c r="B1133" s="14" t="str">
        <x:v>Q4</x:v>
      </x:c>
      <x:c r="C1133" s="14" t="n">
        <x:v>4</x:v>
      </x:c>
      <x:c r="D1133" s="14" t="n">
        <x:v>76</x:v>
      </x:c>
      <x:c r="E1133" s="14" t="str">
        <x:f>INDEX(Roster!$B$6:$B$108,MATCH(D1133,Roster!$A$6:$A$108,0))</x:f>
      </x:c>
      <x:c r="F1133" s="14" t="str">
        <x:f>INDEX(Roster!$F$6:$F$108,MATCH(D1133,Roster!$A$6:$A$108,0))</x:f>
        <x:v>No</x:v>
      </x:c>
      <x:c r="G1133" s="14" t="n">
        <x:f>INDEX(Inputs!$B$7:$D$7,1,MATCH(A1133,Inputs!$B$6:$D$6,0))</x:f>
        <x:v>13</x:v>
      </x:c>
      <x:c r="H1133" s="14" t="n">
        <x:f>MIN(=INDEX(Inputs!$B$7:$D$7,1,MATCH(A1133,Inputs!$B$6:$D$6,0)),MAX(0,INDEX(Inputs!$B$14:$D$14,1,MATCH(A1133,Inputs!$B$6:$D$6,0))-(C1133-1)*=INDEX(Inputs!$B$7:$D$7,1,MATCH(A1133,Inputs!$B$6:$D$6,0))))</x:f>
        <x:v>0</x:v>
      </x:c>
      <x:c r="I1133" s="20" t="n">
        <x:f>INDEX(Inputs!$B$8:$D$8,1,MATCH(A1133,Inputs!$B$6:$D$6,0))</x:f>
        <x:v>2395</x:v>
      </x:c>
      <x:c r="J1133" s="20" t="n">
        <x:f>INDEX(Roster!$C$6:$C$108,MATCH(D1133,Roster!$A$6:$A$108,0))*(1+INDEX(Inputs!$B$9:$D$9,1,MATCH(A1133,Inputs!$B$6:$D$6,0)))</x:f>
        <x:v>60</x:v>
      </x:c>
      <x:c r="K1133" s="20" t="n">
        <x:f>IF(=INDEX(Roster!$F$6:$F$108,MATCH(D1133,Roster!$A$6:$A$108,0))="Yes",0,=INDEX(Inputs!$B$8:$D$8,1,MATCH(A1133,Inputs!$B$6:$D$6,0))*IF(=INDEX(Roster!$B$6:$B$108,MATCH(D1133,Roster!$A$6:$A$108,0))="Principal",INDEX(Inputs!$B$10:$D$10,1,MATCH(A1133,Inputs!$B$6:$D$6,0)),IF(=INDEX(Roster!$B$6:$B$108,MATCH(D1133,Roster!$A$6:$A$108,0))="Associate Principal",INDEX(Inputs!$B$11:$D$11,1,MATCH(A1133,Inputs!$B$6:$D$6,0)),IF(=INDEX(Roster!$B$6:$B$108,MATCH(D1133,Roster!$A$6:$A$108,0))="Assistant Principal",INDEX(Inputs!$B$12:$D$12,1,MATCH(A1133,Inputs!$B$6:$D$6,0)),0))))</x:f>
        <x:v>0</x:v>
      </x:c>
      <x:c r="L1133" s="20" t="n">
        <x:f>IF(INDEX(Roster!$D$6:$D$108,MATCH(D1133,Roster!$A$6:$A$108,0))&gt;=25,INDEX(Inputs!$B$19:$D$19,1,MATCH(A1133,Inputs!$B$6:$D$6,0)),IF(INDEX(Roster!$D$6:$D$108,MATCH(D1133,Roster!$A$6:$A$108,0))&gt;=20,INDEX(Inputs!$B$18:$D$18,1,MATCH(A1133,Inputs!$B$6:$D$6,0)),IF(INDEX(Roster!$D$6:$D$108,MATCH(D1133,Roster!$A$6:$A$108,0))&gt;=15,INDEX(Inputs!$B$17:$D$17,1,MATCH(A1133,Inputs!$B$6:$D$6,0)),IF(INDEX(Roster!$D$6:$D$108,MATCH(D1133,Roster!$A$6:$A$108,0))&gt;=10,INDEX(Inputs!$B$16:$D$16,1,MATCH(A1133,Inputs!$B$6:$D$6,0)),IF(INDEX(Roster!$D$6:$D$108,MATCH(D1133,Roster!$A$6:$A$108,0))&gt;=5,INDEX(Inputs!$B$15:$D$15,1,MATCH(A1133,Inputs!$B$6:$D$6,0)),0)))))</x:f>
        <x:v>90</x:v>
      </x:c>
      <x:c r="M1133" s="20" t="n">
        <x:f>G1133*I1133</x:f>
        <x:v>31135</x:v>
      </x:c>
      <x:c r="N1133" s="20" t="n">
        <x:f>G1133*J1133</x:f>
        <x:v>780</x:v>
      </x:c>
      <x:c r="O1133" s="20" t="n">
        <x:f>G1133*K1133</x:f>
        <x:v>0</x:v>
      </x:c>
      <x:c r="P1133" s="20" t="n">
        <x:f>G1133*L1133</x:f>
        <x:v>1170</x:v>
      </x:c>
      <x:c r="Q1133" s="20" t="n">
        <x:f>H1133*INDEX(Inputs!$B$13:$D$13,1,MATCH(A1133,Inputs!$B$6:$D$6,0))</x:f>
        <x:v>0</x:v>
      </x:c>
      <x:c r="R1133" s="20" t="n">
        <x:f>SUM(M1133:Q1133)</x:f>
        <x:v>33085</x:v>
      </x:c>
      <x:c r="S1133" s="20" t="n">
        <x:f>IF(AND(A1132=A1133,D1132=D1133),S1132+R1133,R1133)</x:f>
        <x:v>133510</x:v>
      </x:c>
      <x:c r="T1133" s="20" t="n">
        <x:f>MIN(S1133,INDEX(Inputs!$B$20:$D$20,1,MATCH(A1133,Inputs!$B$6:$D$6,0)))*INDEX(Inputs!$B$22:$D$22,1,MATCH(A1133,Inputs!$B$6:$D$6,0))+MAX(MIN(S1133,INDEX(Inputs!$B$21:$D$21,1,MATCH(A1133,Inputs!$B$6:$D$6,0)))-INDEX(Inputs!$B$20:$D$20,1,MATCH(A1133,Inputs!$B$6:$D$6,0)),0)*INDEX(Inputs!$B$23:$D$23,1,MATCH(A1133,Inputs!$B$6:$D$6,0))+MAX(S1133-INDEX(Inputs!$B$21:$D$21,1,MATCH(A1133,Inputs!$B$6:$D$6,0)),0)*INDEX(Inputs!$B$24:$D$24,1,MATCH(A1133,Inputs!$B$6:$D$6,0))</x:f>
        <x:v>9849.837</x:v>
      </x:c>
      <x:c r="U1133" s="20" t="n">
        <x:f>IF(AND(A1132=A1133,D1132=D1133),T1132,0)</x:f>
        <x:v>8172.5125</x:v>
      </x:c>
      <x:c r="V1133" s="20" t="n">
        <x:f>T1133-U1133</x:f>
        <x:v>1677.3244999999997</x:v>
      </x:c>
      <x:c r="W1133" s="20" t="n">
        <x:f>R1133+V1133</x:f>
        <x:v>34762.3245</x:v>
      </x:c>
      <x:c r="X1133" s="14" t="str">
        <x:f>IF(ABS(W1133-SUM(M1133:Q1133)-V1133)&lt;0.01,"OK","Check")</x:f>
        <x:v>OK</x:v>
      </x:c>
    </x:row>
    <x:row r="1134">
      <x:c r="A1134" s="14" t="n">
        <x:v>2028</x:v>
      </x:c>
      <x:c r="B1134" s="14" t="str">
        <x:v>Q1</x:v>
      </x:c>
      <x:c r="C1134" s="14" t="n">
        <x:v>1</x:v>
      </x:c>
      <x:c r="D1134" s="14" t="n">
        <x:v>77</x:v>
      </x:c>
      <x:c r="E1134" s="14" t="str">
        <x:f>INDEX(Roster!$B$6:$B$108,MATCH(D1134,Roster!$A$6:$A$108,0))</x:f>
      </x:c>
      <x:c r="F1134" s="14" t="str">
        <x:f>INDEX(Roster!$F$6:$F$108,MATCH(D1134,Roster!$A$6:$A$108,0))</x:f>
        <x:v>No</x:v>
      </x:c>
      <x:c r="G1134" s="14" t="n">
        <x:f>INDEX(Inputs!$B$7:$D$7,1,MATCH(A1134,Inputs!$B$6:$D$6,0))</x:f>
        <x:v>13</x:v>
      </x:c>
      <x:c r="H1134" s="14" t="n">
        <x:f>MIN(=INDEX(Inputs!$B$7:$D$7,1,MATCH(A1134,Inputs!$B$6:$D$6,0)),MAX(0,INDEX(Inputs!$B$14:$D$14,1,MATCH(A1134,Inputs!$B$6:$D$6,0))-(C1134-1)*=INDEX(Inputs!$B$7:$D$7,1,MATCH(A1134,Inputs!$B$6:$D$6,0))))</x:f>
        <x:v>13</x:v>
      </x:c>
      <x:c r="I1134" s="20" t="n">
        <x:f>INDEX(Inputs!$B$8:$D$8,1,MATCH(A1134,Inputs!$B$6:$D$6,0))</x:f>
        <x:v>2395</x:v>
      </x:c>
      <x:c r="J1134" s="20" t="n">
        <x:f>INDEX(Roster!$C$6:$C$108,MATCH(D1134,Roster!$A$6:$A$108,0))*(1+INDEX(Inputs!$B$9:$D$9,1,MATCH(A1134,Inputs!$B$6:$D$6,0)))</x:f>
        <x:v>50</x:v>
      </x:c>
      <x:c r="K1134" s="20" t="n">
        <x:f>IF(=INDEX(Roster!$F$6:$F$108,MATCH(D1134,Roster!$A$6:$A$108,0))="Yes",0,=INDEX(Inputs!$B$8:$D$8,1,MATCH(A1134,Inputs!$B$6:$D$6,0))*IF(=INDEX(Roster!$B$6:$B$108,MATCH(D1134,Roster!$A$6:$A$108,0))="Principal",INDEX(Inputs!$B$10:$D$10,1,MATCH(A1134,Inputs!$B$6:$D$6,0)),IF(=INDEX(Roster!$B$6:$B$108,MATCH(D1134,Roster!$A$6:$A$108,0))="Associate Principal",INDEX(Inputs!$B$11:$D$11,1,MATCH(A1134,Inputs!$B$6:$D$6,0)),IF(=INDEX(Roster!$B$6:$B$108,MATCH(D1134,Roster!$A$6:$A$108,0))="Assistant Principal",INDEX(Inputs!$B$12:$D$12,1,MATCH(A1134,Inputs!$B$6:$D$6,0)),0))))</x:f>
        <x:v>0</x:v>
      </x:c>
      <x:c r="L1134" s="20" t="n">
        <x:f>IF(INDEX(Roster!$D$6:$D$108,MATCH(D1134,Roster!$A$6:$A$108,0))&gt;=25,INDEX(Inputs!$B$19:$D$19,1,MATCH(A1134,Inputs!$B$6:$D$6,0)),IF(INDEX(Roster!$D$6:$D$108,MATCH(D1134,Roster!$A$6:$A$108,0))&gt;=20,INDEX(Inputs!$B$18:$D$18,1,MATCH(A1134,Inputs!$B$6:$D$6,0)),IF(INDEX(Roster!$D$6:$D$108,MATCH(D1134,Roster!$A$6:$A$108,0))&gt;=15,INDEX(Inputs!$B$17:$D$17,1,MATCH(A1134,Inputs!$B$6:$D$6,0)),IF(INDEX(Roster!$D$6:$D$108,MATCH(D1134,Roster!$A$6:$A$108,0))&gt;=10,INDEX(Inputs!$B$16:$D$16,1,MATCH(A1134,Inputs!$B$6:$D$6,0)),IF(INDEX(Roster!$D$6:$D$108,MATCH(D1134,Roster!$A$6:$A$108,0))&gt;=5,INDEX(Inputs!$B$15:$D$15,1,MATCH(A1134,Inputs!$B$6:$D$6,0)),0)))))</x:f>
        <x:v>90</x:v>
      </x:c>
      <x:c r="M1134" s="20" t="n">
        <x:f>G1134*I1134</x:f>
        <x:v>31135</x:v>
      </x:c>
      <x:c r="N1134" s="20" t="n">
        <x:f>G1134*J1134</x:f>
        <x:v>650</x:v>
      </x:c>
      <x:c r="O1134" s="20" t="n">
        <x:f>G1134*K1134</x:f>
        <x:v>0</x:v>
      </x:c>
      <x:c r="P1134" s="20" t="n">
        <x:f>G1134*L1134</x:f>
        <x:v>1170</x:v>
      </x:c>
      <x:c r="Q1134" s="20" t="n">
        <x:f>H1134*INDEX(Inputs!$B$13:$D$13,1,MATCH(A1134,Inputs!$B$6:$D$6,0))</x:f>
        <x:v>390</x:v>
      </x:c>
      <x:c r="R1134" s="20" t="n">
        <x:f>SUM(M1134:Q1134)</x:f>
        <x:v>33345</x:v>
      </x:c>
      <x:c r="S1134" s="20" t="n">
        <x:f>IF(AND(A1133=A1134,D1133=D1134),S1133+R1134,R1134)</x:f>
        <x:v>33345</x:v>
      </x:c>
      <x:c r="T1134" s="20" t="n">
        <x:f>MIN(S1134,INDEX(Inputs!$B$20:$D$20,1,MATCH(A1134,Inputs!$B$6:$D$6,0)))*INDEX(Inputs!$B$22:$D$22,1,MATCH(A1134,Inputs!$B$6:$D$6,0))+MAX(MIN(S1134,INDEX(Inputs!$B$21:$D$21,1,MATCH(A1134,Inputs!$B$6:$D$6,0)))-INDEX(Inputs!$B$20:$D$20,1,MATCH(A1134,Inputs!$B$6:$D$6,0)),0)*INDEX(Inputs!$B$23:$D$23,1,MATCH(A1134,Inputs!$B$6:$D$6,0))+MAX(S1134-INDEX(Inputs!$B$21:$D$21,1,MATCH(A1134,Inputs!$B$6:$D$6,0)),0)*INDEX(Inputs!$B$24:$D$24,1,MATCH(A1134,Inputs!$B$6:$D$6,0))</x:f>
        <x:v>3040.8925</x:v>
      </x:c>
      <x:c r="U1134" s="20" t="n">
        <x:f>IF(AND(A1133=A1134,D1133=D1134),T1133,0)</x:f>
        <x:v>0</x:v>
      </x:c>
      <x:c r="V1134" s="20" t="n">
        <x:f>T1134-U1134</x:f>
        <x:v>3040.8925</x:v>
      </x:c>
      <x:c r="W1134" s="20" t="n">
        <x:f>R1134+V1134</x:f>
        <x:v>36385.8925</x:v>
      </x:c>
      <x:c r="X1134" s="14" t="str">
        <x:f>IF(ABS(W1134-SUM(M1134:Q1134)-V1134)&lt;0.01,"OK","Check")</x:f>
        <x:v>OK</x:v>
      </x:c>
    </x:row>
    <x:row r="1135">
      <x:c r="A1135" s="14" t="n">
        <x:v>2028</x:v>
      </x:c>
      <x:c r="B1135" s="14" t="str">
        <x:v>Q2</x:v>
      </x:c>
      <x:c r="C1135" s="14" t="n">
        <x:v>2</x:v>
      </x:c>
      <x:c r="D1135" s="14" t="n">
        <x:v>77</x:v>
      </x:c>
      <x:c r="E1135" s="14" t="str">
        <x:f>INDEX(Roster!$B$6:$B$108,MATCH(D1135,Roster!$A$6:$A$108,0))</x:f>
      </x:c>
      <x:c r="F1135" s="14" t="str">
        <x:f>INDEX(Roster!$F$6:$F$108,MATCH(D1135,Roster!$A$6:$A$108,0))</x:f>
        <x:v>No</x:v>
      </x:c>
      <x:c r="G1135" s="14" t="n">
        <x:f>INDEX(Inputs!$B$7:$D$7,1,MATCH(A1135,Inputs!$B$6:$D$6,0))</x:f>
        <x:v>13</x:v>
      </x:c>
      <x:c r="H1135" s="14" t="n">
        <x:f>MIN(=INDEX(Inputs!$B$7:$D$7,1,MATCH(A1135,Inputs!$B$6:$D$6,0)),MAX(0,INDEX(Inputs!$B$14:$D$14,1,MATCH(A1135,Inputs!$B$6:$D$6,0))-(C1135-1)*=INDEX(Inputs!$B$7:$D$7,1,MATCH(A1135,Inputs!$B$6:$D$6,0))))</x:f>
        <x:v>13</x:v>
      </x:c>
      <x:c r="I1135" s="20" t="n">
        <x:f>INDEX(Inputs!$B$8:$D$8,1,MATCH(A1135,Inputs!$B$6:$D$6,0))</x:f>
        <x:v>2395</x:v>
      </x:c>
      <x:c r="J1135" s="20" t="n">
        <x:f>INDEX(Roster!$C$6:$C$108,MATCH(D1135,Roster!$A$6:$A$108,0))*(1+INDEX(Inputs!$B$9:$D$9,1,MATCH(A1135,Inputs!$B$6:$D$6,0)))</x:f>
        <x:v>50</x:v>
      </x:c>
      <x:c r="K1135" s="20" t="n">
        <x:f>IF(=INDEX(Roster!$F$6:$F$108,MATCH(D1135,Roster!$A$6:$A$108,0))="Yes",0,=INDEX(Inputs!$B$8:$D$8,1,MATCH(A1135,Inputs!$B$6:$D$6,0))*IF(=INDEX(Roster!$B$6:$B$108,MATCH(D1135,Roster!$A$6:$A$108,0))="Principal",INDEX(Inputs!$B$10:$D$10,1,MATCH(A1135,Inputs!$B$6:$D$6,0)),IF(=INDEX(Roster!$B$6:$B$108,MATCH(D1135,Roster!$A$6:$A$108,0))="Associate Principal",INDEX(Inputs!$B$11:$D$11,1,MATCH(A1135,Inputs!$B$6:$D$6,0)),IF(=INDEX(Roster!$B$6:$B$108,MATCH(D1135,Roster!$A$6:$A$108,0))="Assistant Principal",INDEX(Inputs!$B$12:$D$12,1,MATCH(A1135,Inputs!$B$6:$D$6,0)),0))))</x:f>
        <x:v>0</x:v>
      </x:c>
      <x:c r="L1135" s="20" t="n">
        <x:f>IF(INDEX(Roster!$D$6:$D$108,MATCH(D1135,Roster!$A$6:$A$108,0))&gt;=25,INDEX(Inputs!$B$19:$D$19,1,MATCH(A1135,Inputs!$B$6:$D$6,0)),IF(INDEX(Roster!$D$6:$D$108,MATCH(D1135,Roster!$A$6:$A$108,0))&gt;=20,INDEX(Inputs!$B$18:$D$18,1,MATCH(A1135,Inputs!$B$6:$D$6,0)),IF(INDEX(Roster!$D$6:$D$108,MATCH(D1135,Roster!$A$6:$A$108,0))&gt;=15,INDEX(Inputs!$B$17:$D$17,1,MATCH(A1135,Inputs!$B$6:$D$6,0)),IF(INDEX(Roster!$D$6:$D$108,MATCH(D1135,Roster!$A$6:$A$108,0))&gt;=10,INDEX(Inputs!$B$16:$D$16,1,MATCH(A1135,Inputs!$B$6:$D$6,0)),IF(INDEX(Roster!$D$6:$D$108,MATCH(D1135,Roster!$A$6:$A$108,0))&gt;=5,INDEX(Inputs!$B$15:$D$15,1,MATCH(A1135,Inputs!$B$6:$D$6,0)),0)))))</x:f>
        <x:v>90</x:v>
      </x:c>
      <x:c r="M1135" s="20" t="n">
        <x:f>G1135*I1135</x:f>
        <x:v>31135</x:v>
      </x:c>
      <x:c r="N1135" s="20" t="n">
        <x:f>G1135*J1135</x:f>
        <x:v>650</x:v>
      </x:c>
      <x:c r="O1135" s="20" t="n">
        <x:f>G1135*K1135</x:f>
        <x:v>0</x:v>
      </x:c>
      <x:c r="P1135" s="20" t="n">
        <x:f>G1135*L1135</x:f>
        <x:v>1170</x:v>
      </x:c>
      <x:c r="Q1135" s="20" t="n">
        <x:f>H1135*INDEX(Inputs!$B$13:$D$13,1,MATCH(A1135,Inputs!$B$6:$D$6,0))</x:f>
        <x:v>390</x:v>
      </x:c>
      <x:c r="R1135" s="20" t="n">
        <x:f>SUM(M1135:Q1135)</x:f>
        <x:v>33345</x:v>
      </x:c>
      <x:c r="S1135" s="20" t="n">
        <x:f>IF(AND(A1134=A1135,D1134=D1135),S1134+R1135,R1135)</x:f>
        <x:v>66690</x:v>
      </x:c>
      <x:c r="T1135" s="20" t="n">
        <x:f>MIN(S1135,INDEX(Inputs!$B$20:$D$20,1,MATCH(A1135,Inputs!$B$6:$D$6,0)))*INDEX(Inputs!$B$22:$D$22,1,MATCH(A1135,Inputs!$B$6:$D$6,0))+MAX(MIN(S1135,INDEX(Inputs!$B$21:$D$21,1,MATCH(A1135,Inputs!$B$6:$D$6,0)))-INDEX(Inputs!$B$20:$D$20,1,MATCH(A1135,Inputs!$B$6:$D$6,0)),0)*INDEX(Inputs!$B$23:$D$23,1,MATCH(A1135,Inputs!$B$6:$D$6,0))+MAX(S1135-INDEX(Inputs!$B$21:$D$21,1,MATCH(A1135,Inputs!$B$6:$D$6,0)),0)*INDEX(Inputs!$B$24:$D$24,1,MATCH(A1135,Inputs!$B$6:$D$6,0))</x:f>
        <x:v>5591.785</x:v>
      </x:c>
      <x:c r="U1135" s="20" t="n">
        <x:f>IF(AND(A1134=A1135,D1134=D1135),T1134,0)</x:f>
        <x:v>3040.8925</x:v>
      </x:c>
      <x:c r="V1135" s="20" t="n">
        <x:f>T1135-U1135</x:f>
        <x:v>2550.8925</x:v>
      </x:c>
      <x:c r="W1135" s="20" t="n">
        <x:f>R1135+V1135</x:f>
        <x:v>35895.8925</x:v>
      </x:c>
      <x:c r="X1135" s="14" t="str">
        <x:f>IF(ABS(W1135-SUM(M1135:Q1135)-V1135)&lt;0.01,"OK","Check")</x:f>
        <x:v>OK</x:v>
      </x:c>
    </x:row>
    <x:row r="1136">
      <x:c r="A1136" s="14" t="n">
        <x:v>2028</x:v>
      </x:c>
      <x:c r="B1136" s="14" t="str">
        <x:v>Q3</x:v>
      </x:c>
      <x:c r="C1136" s="14" t="n">
        <x:v>3</x:v>
      </x:c>
      <x:c r="D1136" s="14" t="n">
        <x:v>77</x:v>
      </x:c>
      <x:c r="E1136" s="14" t="str">
        <x:f>INDEX(Roster!$B$6:$B$108,MATCH(D1136,Roster!$A$6:$A$108,0))</x:f>
      </x:c>
      <x:c r="F1136" s="14" t="str">
        <x:f>INDEX(Roster!$F$6:$F$108,MATCH(D1136,Roster!$A$6:$A$108,0))</x:f>
        <x:v>No</x:v>
      </x:c>
      <x:c r="G1136" s="14" t="n">
        <x:f>INDEX(Inputs!$B$7:$D$7,1,MATCH(A1136,Inputs!$B$6:$D$6,0))</x:f>
        <x:v>13</x:v>
      </x:c>
      <x:c r="H1136" s="14" t="n">
        <x:f>MIN(=INDEX(Inputs!$B$7:$D$7,1,MATCH(A1136,Inputs!$B$6:$D$6,0)),MAX(0,INDEX(Inputs!$B$14:$D$14,1,MATCH(A1136,Inputs!$B$6:$D$6,0))-(C1136-1)*=INDEX(Inputs!$B$7:$D$7,1,MATCH(A1136,Inputs!$B$6:$D$6,0))))</x:f>
        <x:v>13</x:v>
      </x:c>
      <x:c r="I1136" s="20" t="n">
        <x:f>INDEX(Inputs!$B$8:$D$8,1,MATCH(A1136,Inputs!$B$6:$D$6,0))</x:f>
        <x:v>2395</x:v>
      </x:c>
      <x:c r="J1136" s="20" t="n">
        <x:f>INDEX(Roster!$C$6:$C$108,MATCH(D1136,Roster!$A$6:$A$108,0))*(1+INDEX(Inputs!$B$9:$D$9,1,MATCH(A1136,Inputs!$B$6:$D$6,0)))</x:f>
        <x:v>50</x:v>
      </x:c>
      <x:c r="K1136" s="20" t="n">
        <x:f>IF(=INDEX(Roster!$F$6:$F$108,MATCH(D1136,Roster!$A$6:$A$108,0))="Yes",0,=INDEX(Inputs!$B$8:$D$8,1,MATCH(A1136,Inputs!$B$6:$D$6,0))*IF(=INDEX(Roster!$B$6:$B$108,MATCH(D1136,Roster!$A$6:$A$108,0))="Principal",INDEX(Inputs!$B$10:$D$10,1,MATCH(A1136,Inputs!$B$6:$D$6,0)),IF(=INDEX(Roster!$B$6:$B$108,MATCH(D1136,Roster!$A$6:$A$108,0))="Associate Principal",INDEX(Inputs!$B$11:$D$11,1,MATCH(A1136,Inputs!$B$6:$D$6,0)),IF(=INDEX(Roster!$B$6:$B$108,MATCH(D1136,Roster!$A$6:$A$108,0))="Assistant Principal",INDEX(Inputs!$B$12:$D$12,1,MATCH(A1136,Inputs!$B$6:$D$6,0)),0))))</x:f>
        <x:v>0</x:v>
      </x:c>
      <x:c r="L1136" s="20" t="n">
        <x:f>IF(INDEX(Roster!$D$6:$D$108,MATCH(D1136,Roster!$A$6:$A$108,0))&gt;=25,INDEX(Inputs!$B$19:$D$19,1,MATCH(A1136,Inputs!$B$6:$D$6,0)),IF(INDEX(Roster!$D$6:$D$108,MATCH(D1136,Roster!$A$6:$A$108,0))&gt;=20,INDEX(Inputs!$B$18:$D$18,1,MATCH(A1136,Inputs!$B$6:$D$6,0)),IF(INDEX(Roster!$D$6:$D$108,MATCH(D1136,Roster!$A$6:$A$108,0))&gt;=15,INDEX(Inputs!$B$17:$D$17,1,MATCH(A1136,Inputs!$B$6:$D$6,0)),IF(INDEX(Roster!$D$6:$D$108,MATCH(D1136,Roster!$A$6:$A$108,0))&gt;=10,INDEX(Inputs!$B$16:$D$16,1,MATCH(A1136,Inputs!$B$6:$D$6,0)),IF(INDEX(Roster!$D$6:$D$108,MATCH(D1136,Roster!$A$6:$A$108,0))&gt;=5,INDEX(Inputs!$B$15:$D$15,1,MATCH(A1136,Inputs!$B$6:$D$6,0)),0)))))</x:f>
        <x:v>90</x:v>
      </x:c>
      <x:c r="M1136" s="20" t="n">
        <x:f>G1136*I1136</x:f>
        <x:v>31135</x:v>
      </x:c>
      <x:c r="N1136" s="20" t="n">
        <x:f>G1136*J1136</x:f>
        <x:v>650</x:v>
      </x:c>
      <x:c r="O1136" s="20" t="n">
        <x:f>G1136*K1136</x:f>
        <x:v>0</x:v>
      </x:c>
      <x:c r="P1136" s="20" t="n">
        <x:f>G1136*L1136</x:f>
        <x:v>1170</x:v>
      </x:c>
      <x:c r="Q1136" s="20" t="n">
        <x:f>H1136*INDEX(Inputs!$B$13:$D$13,1,MATCH(A1136,Inputs!$B$6:$D$6,0))</x:f>
        <x:v>390</x:v>
      </x:c>
      <x:c r="R1136" s="20" t="n">
        <x:f>SUM(M1136:Q1136)</x:f>
        <x:v>33345</x:v>
      </x:c>
      <x:c r="S1136" s="20" t="n">
        <x:f>IF(AND(A1135=A1136,D1135=D1136),S1135+R1136,R1136)</x:f>
        <x:v>100035</x:v>
      </x:c>
      <x:c r="T1136" s="20" t="n">
        <x:f>MIN(S1136,INDEX(Inputs!$B$20:$D$20,1,MATCH(A1136,Inputs!$B$6:$D$6,0)))*INDEX(Inputs!$B$22:$D$22,1,MATCH(A1136,Inputs!$B$6:$D$6,0))+MAX(MIN(S1136,INDEX(Inputs!$B$21:$D$21,1,MATCH(A1136,Inputs!$B$6:$D$6,0)))-INDEX(Inputs!$B$20:$D$20,1,MATCH(A1136,Inputs!$B$6:$D$6,0)),0)*INDEX(Inputs!$B$23:$D$23,1,MATCH(A1136,Inputs!$B$6:$D$6,0))+MAX(S1136-INDEX(Inputs!$B$21:$D$21,1,MATCH(A1136,Inputs!$B$6:$D$6,0)),0)*INDEX(Inputs!$B$24:$D$24,1,MATCH(A1136,Inputs!$B$6:$D$6,0))</x:f>
        <x:v>8142.6775</x:v>
      </x:c>
      <x:c r="U1136" s="20" t="n">
        <x:f>IF(AND(A1135=A1136,D1135=D1136),T1135,0)</x:f>
        <x:v>5591.785</x:v>
      </x:c>
      <x:c r="V1136" s="20" t="n">
        <x:f>T1136-U1136</x:f>
        <x:v>2550.8925</x:v>
      </x:c>
      <x:c r="W1136" s="20" t="n">
        <x:f>R1136+V1136</x:f>
        <x:v>35895.8925</x:v>
      </x:c>
      <x:c r="X1136" s="14" t="str">
        <x:f>IF(ABS(W1136-SUM(M1136:Q1136)-V1136)&lt;0.01,"OK","Check")</x:f>
        <x:v>OK</x:v>
      </x:c>
    </x:row>
    <x:row r="1137">
      <x:c r="A1137" s="14" t="n">
        <x:v>2028</x:v>
      </x:c>
      <x:c r="B1137" s="14" t="str">
        <x:v>Q4</x:v>
      </x:c>
      <x:c r="C1137" s="14" t="n">
        <x:v>4</x:v>
      </x:c>
      <x:c r="D1137" s="14" t="n">
        <x:v>77</x:v>
      </x:c>
      <x:c r="E1137" s="14" t="str">
        <x:f>INDEX(Roster!$B$6:$B$108,MATCH(D1137,Roster!$A$6:$A$108,0))</x:f>
      </x:c>
      <x:c r="F1137" s="14" t="str">
        <x:f>INDEX(Roster!$F$6:$F$108,MATCH(D1137,Roster!$A$6:$A$108,0))</x:f>
        <x:v>No</x:v>
      </x:c>
      <x:c r="G1137" s="14" t="n">
        <x:f>INDEX(Inputs!$B$7:$D$7,1,MATCH(A1137,Inputs!$B$6:$D$6,0))</x:f>
        <x:v>13</x:v>
      </x:c>
      <x:c r="H1137" s="14" t="n">
        <x:f>MIN(=INDEX(Inputs!$B$7:$D$7,1,MATCH(A1137,Inputs!$B$6:$D$6,0)),MAX(0,INDEX(Inputs!$B$14:$D$14,1,MATCH(A1137,Inputs!$B$6:$D$6,0))-(C1137-1)*=INDEX(Inputs!$B$7:$D$7,1,MATCH(A1137,Inputs!$B$6:$D$6,0))))</x:f>
        <x:v>0</x:v>
      </x:c>
      <x:c r="I1137" s="20" t="n">
        <x:f>INDEX(Inputs!$B$8:$D$8,1,MATCH(A1137,Inputs!$B$6:$D$6,0))</x:f>
        <x:v>2395</x:v>
      </x:c>
      <x:c r="J1137" s="20" t="n">
        <x:f>INDEX(Roster!$C$6:$C$108,MATCH(D1137,Roster!$A$6:$A$108,0))*(1+INDEX(Inputs!$B$9:$D$9,1,MATCH(A1137,Inputs!$B$6:$D$6,0)))</x:f>
        <x:v>50</x:v>
      </x:c>
      <x:c r="K1137" s="20" t="n">
        <x:f>IF(=INDEX(Roster!$F$6:$F$108,MATCH(D1137,Roster!$A$6:$A$108,0))="Yes",0,=INDEX(Inputs!$B$8:$D$8,1,MATCH(A1137,Inputs!$B$6:$D$6,0))*IF(=INDEX(Roster!$B$6:$B$108,MATCH(D1137,Roster!$A$6:$A$108,0))="Principal",INDEX(Inputs!$B$10:$D$10,1,MATCH(A1137,Inputs!$B$6:$D$6,0)),IF(=INDEX(Roster!$B$6:$B$108,MATCH(D1137,Roster!$A$6:$A$108,0))="Associate Principal",INDEX(Inputs!$B$11:$D$11,1,MATCH(A1137,Inputs!$B$6:$D$6,0)),IF(=INDEX(Roster!$B$6:$B$108,MATCH(D1137,Roster!$A$6:$A$108,0))="Assistant Principal",INDEX(Inputs!$B$12:$D$12,1,MATCH(A1137,Inputs!$B$6:$D$6,0)),0))))</x:f>
        <x:v>0</x:v>
      </x:c>
      <x:c r="L1137" s="20" t="n">
        <x:f>IF(INDEX(Roster!$D$6:$D$108,MATCH(D1137,Roster!$A$6:$A$108,0))&gt;=25,INDEX(Inputs!$B$19:$D$19,1,MATCH(A1137,Inputs!$B$6:$D$6,0)),IF(INDEX(Roster!$D$6:$D$108,MATCH(D1137,Roster!$A$6:$A$108,0))&gt;=20,INDEX(Inputs!$B$18:$D$18,1,MATCH(A1137,Inputs!$B$6:$D$6,0)),IF(INDEX(Roster!$D$6:$D$108,MATCH(D1137,Roster!$A$6:$A$108,0))&gt;=15,INDEX(Inputs!$B$17:$D$17,1,MATCH(A1137,Inputs!$B$6:$D$6,0)),IF(INDEX(Roster!$D$6:$D$108,MATCH(D1137,Roster!$A$6:$A$108,0))&gt;=10,INDEX(Inputs!$B$16:$D$16,1,MATCH(A1137,Inputs!$B$6:$D$6,0)),IF(INDEX(Roster!$D$6:$D$108,MATCH(D1137,Roster!$A$6:$A$108,0))&gt;=5,INDEX(Inputs!$B$15:$D$15,1,MATCH(A1137,Inputs!$B$6:$D$6,0)),0)))))</x:f>
        <x:v>90</x:v>
      </x:c>
      <x:c r="M1137" s="20" t="n">
        <x:f>G1137*I1137</x:f>
        <x:v>31135</x:v>
      </x:c>
      <x:c r="N1137" s="20" t="n">
        <x:f>G1137*J1137</x:f>
        <x:v>650</x:v>
      </x:c>
      <x:c r="O1137" s="20" t="n">
        <x:f>G1137*K1137</x:f>
        <x:v>0</x:v>
      </x:c>
      <x:c r="P1137" s="20" t="n">
        <x:f>G1137*L1137</x:f>
        <x:v>1170</x:v>
      </x:c>
      <x:c r="Q1137" s="20" t="n">
        <x:f>H1137*INDEX(Inputs!$B$13:$D$13,1,MATCH(A1137,Inputs!$B$6:$D$6,0))</x:f>
        <x:v>0</x:v>
      </x:c>
      <x:c r="R1137" s="20" t="n">
        <x:f>SUM(M1137:Q1137)</x:f>
        <x:v>32955</x:v>
      </x:c>
      <x:c r="S1137" s="20" t="n">
        <x:f>IF(AND(A1136=A1137,D1136=D1137),S1136+R1137,R1137)</x:f>
        <x:v>132990</x:v>
      </x:c>
      <x:c r="T1137" s="20" t="n">
        <x:f>MIN(S1137,INDEX(Inputs!$B$20:$D$20,1,MATCH(A1137,Inputs!$B$6:$D$6,0)))*INDEX(Inputs!$B$22:$D$22,1,MATCH(A1137,Inputs!$B$6:$D$6,0))+MAX(MIN(S1137,INDEX(Inputs!$B$21:$D$21,1,MATCH(A1137,Inputs!$B$6:$D$6,0)))-INDEX(Inputs!$B$20:$D$20,1,MATCH(A1137,Inputs!$B$6:$D$6,0)),0)*INDEX(Inputs!$B$23:$D$23,1,MATCH(A1137,Inputs!$B$6:$D$6,0))+MAX(S1137-INDEX(Inputs!$B$21:$D$21,1,MATCH(A1137,Inputs!$B$6:$D$6,0)),0)*INDEX(Inputs!$B$24:$D$24,1,MATCH(A1137,Inputs!$B$6:$D$6,0))</x:f>
        <x:v>9842.297</x:v>
      </x:c>
      <x:c r="U1137" s="20" t="n">
        <x:f>IF(AND(A1136=A1137,D1136=D1137),T1136,0)</x:f>
        <x:v>8142.6775</x:v>
      </x:c>
      <x:c r="V1137" s="20" t="n">
        <x:f>T1137-U1137</x:f>
        <x:v>1699.6195000000007</x:v>
      </x:c>
      <x:c r="W1137" s="20" t="n">
        <x:f>R1137+V1137</x:f>
        <x:v>34654.6195</x:v>
      </x:c>
      <x:c r="X1137" s="14" t="str">
        <x:f>IF(ABS(W1137-SUM(M1137:Q1137)-V1137)&lt;0.01,"OK","Check")</x:f>
        <x:v>OK</x:v>
      </x:c>
    </x:row>
    <x:row r="1138">
      <x:c r="A1138" s="14" t="n">
        <x:v>2028</x:v>
      </x:c>
      <x:c r="B1138" s="14" t="str">
        <x:v>Q1</x:v>
      </x:c>
      <x:c r="C1138" s="14" t="n">
        <x:v>1</x:v>
      </x:c>
      <x:c r="D1138" s="14" t="n">
        <x:v>78</x:v>
      </x:c>
      <x:c r="E1138" s="14" t="str">
        <x:f>INDEX(Roster!$B$6:$B$108,MATCH(D1138,Roster!$A$6:$A$108,0))</x:f>
      </x:c>
      <x:c r="F1138" s="14" t="str">
        <x:f>INDEX(Roster!$F$6:$F$108,MATCH(D1138,Roster!$A$6:$A$108,0))</x:f>
        <x:v>No</x:v>
      </x:c>
      <x:c r="G1138" s="14" t="n">
        <x:f>INDEX(Inputs!$B$7:$D$7,1,MATCH(A1138,Inputs!$B$6:$D$6,0))</x:f>
        <x:v>13</x:v>
      </x:c>
      <x:c r="H1138" s="14" t="n">
        <x:f>MIN(=INDEX(Inputs!$B$7:$D$7,1,MATCH(A1138,Inputs!$B$6:$D$6,0)),MAX(0,INDEX(Inputs!$B$14:$D$14,1,MATCH(A1138,Inputs!$B$6:$D$6,0))-(C1138-1)*=INDEX(Inputs!$B$7:$D$7,1,MATCH(A1138,Inputs!$B$6:$D$6,0))))</x:f>
        <x:v>13</x:v>
      </x:c>
      <x:c r="I1138" s="20" t="n">
        <x:f>INDEX(Inputs!$B$8:$D$8,1,MATCH(A1138,Inputs!$B$6:$D$6,0))</x:f>
        <x:v>2395</x:v>
      </x:c>
      <x:c r="J1138" s="20" t="n">
        <x:f>INDEX(Roster!$C$6:$C$108,MATCH(D1138,Roster!$A$6:$A$108,0))*(1+INDEX(Inputs!$B$9:$D$9,1,MATCH(A1138,Inputs!$B$6:$D$6,0)))</x:f>
        <x:v>75</x:v>
      </x:c>
      <x:c r="K1138" s="20" t="n">
        <x:f>IF(=INDEX(Roster!$F$6:$F$108,MATCH(D1138,Roster!$A$6:$A$108,0))="Yes",0,=INDEX(Inputs!$B$8:$D$8,1,MATCH(A1138,Inputs!$B$6:$D$6,0))*IF(=INDEX(Roster!$B$6:$B$108,MATCH(D1138,Roster!$A$6:$A$108,0))="Principal",INDEX(Inputs!$B$10:$D$10,1,MATCH(A1138,Inputs!$B$6:$D$6,0)),IF(=INDEX(Roster!$B$6:$B$108,MATCH(D1138,Roster!$A$6:$A$108,0))="Associate Principal",INDEX(Inputs!$B$11:$D$11,1,MATCH(A1138,Inputs!$B$6:$D$6,0)),IF(=INDEX(Roster!$B$6:$B$108,MATCH(D1138,Roster!$A$6:$A$108,0))="Assistant Principal",INDEX(Inputs!$B$12:$D$12,1,MATCH(A1138,Inputs!$B$6:$D$6,0)),0))))</x:f>
        <x:v>0</x:v>
      </x:c>
      <x:c r="L1138" s="20" t="n">
        <x:f>IF(INDEX(Roster!$D$6:$D$108,MATCH(D1138,Roster!$A$6:$A$108,0))&gt;=25,INDEX(Inputs!$B$19:$D$19,1,MATCH(A1138,Inputs!$B$6:$D$6,0)),IF(INDEX(Roster!$D$6:$D$108,MATCH(D1138,Roster!$A$6:$A$108,0))&gt;=20,INDEX(Inputs!$B$18:$D$18,1,MATCH(A1138,Inputs!$B$6:$D$6,0)),IF(INDEX(Roster!$D$6:$D$108,MATCH(D1138,Roster!$A$6:$A$108,0))&gt;=15,INDEX(Inputs!$B$17:$D$17,1,MATCH(A1138,Inputs!$B$6:$D$6,0)),IF(INDEX(Roster!$D$6:$D$108,MATCH(D1138,Roster!$A$6:$A$108,0))&gt;=10,INDEX(Inputs!$B$16:$D$16,1,MATCH(A1138,Inputs!$B$6:$D$6,0)),IF(INDEX(Roster!$D$6:$D$108,MATCH(D1138,Roster!$A$6:$A$108,0))&gt;=5,INDEX(Inputs!$B$15:$D$15,1,MATCH(A1138,Inputs!$B$6:$D$6,0)),0)))))</x:f>
        <x:v>90</x:v>
      </x:c>
      <x:c r="M1138" s="20" t="n">
        <x:f>G1138*I1138</x:f>
        <x:v>31135</x:v>
      </x:c>
      <x:c r="N1138" s="20" t="n">
        <x:f>G1138*J1138</x:f>
        <x:v>975</x:v>
      </x:c>
      <x:c r="O1138" s="20" t="n">
        <x:f>G1138*K1138</x:f>
        <x:v>0</x:v>
      </x:c>
      <x:c r="P1138" s="20" t="n">
        <x:f>G1138*L1138</x:f>
        <x:v>1170</x:v>
      </x:c>
      <x:c r="Q1138" s="20" t="n">
        <x:f>H1138*INDEX(Inputs!$B$13:$D$13,1,MATCH(A1138,Inputs!$B$6:$D$6,0))</x:f>
        <x:v>390</x:v>
      </x:c>
      <x:c r="R1138" s="20" t="n">
        <x:f>SUM(M1138:Q1138)</x:f>
        <x:v>33670</x:v>
      </x:c>
      <x:c r="S1138" s="20" t="n">
        <x:f>IF(AND(A1137=A1138,D1137=D1138),S1137+R1138,R1138)</x:f>
        <x:v>33670</x:v>
      </x:c>
      <x:c r="T1138" s="20" t="n">
        <x:f>MIN(S1138,INDEX(Inputs!$B$20:$D$20,1,MATCH(A1138,Inputs!$B$6:$D$6,0)))*INDEX(Inputs!$B$22:$D$22,1,MATCH(A1138,Inputs!$B$6:$D$6,0))+MAX(MIN(S1138,INDEX(Inputs!$B$21:$D$21,1,MATCH(A1138,Inputs!$B$6:$D$6,0)))-INDEX(Inputs!$B$20:$D$20,1,MATCH(A1138,Inputs!$B$6:$D$6,0)),0)*INDEX(Inputs!$B$23:$D$23,1,MATCH(A1138,Inputs!$B$6:$D$6,0))+MAX(S1138-INDEX(Inputs!$B$21:$D$21,1,MATCH(A1138,Inputs!$B$6:$D$6,0)),0)*INDEX(Inputs!$B$24:$D$24,1,MATCH(A1138,Inputs!$B$6:$D$6,0))</x:f>
        <x:v>3065.755</x:v>
      </x:c>
      <x:c r="U1138" s="20" t="n">
        <x:f>IF(AND(A1137=A1138,D1137=D1138),T1137,0)</x:f>
        <x:v>0</x:v>
      </x:c>
      <x:c r="V1138" s="20" t="n">
        <x:f>T1138-U1138</x:f>
        <x:v>3065.755</x:v>
      </x:c>
      <x:c r="W1138" s="20" t="n">
        <x:f>R1138+V1138</x:f>
        <x:v>36735.755</x:v>
      </x:c>
      <x:c r="X1138" s="14" t="str">
        <x:f>IF(ABS(W1138-SUM(M1138:Q1138)-V1138)&lt;0.01,"OK","Check")</x:f>
        <x:v>OK</x:v>
      </x:c>
    </x:row>
    <x:row r="1139">
      <x:c r="A1139" s="14" t="n">
        <x:v>2028</x:v>
      </x:c>
      <x:c r="B1139" s="14" t="str">
        <x:v>Q2</x:v>
      </x:c>
      <x:c r="C1139" s="14" t="n">
        <x:v>2</x:v>
      </x:c>
      <x:c r="D1139" s="14" t="n">
        <x:v>78</x:v>
      </x:c>
      <x:c r="E1139" s="14" t="str">
        <x:f>INDEX(Roster!$B$6:$B$108,MATCH(D1139,Roster!$A$6:$A$108,0))</x:f>
      </x:c>
      <x:c r="F1139" s="14" t="str">
        <x:f>INDEX(Roster!$F$6:$F$108,MATCH(D1139,Roster!$A$6:$A$108,0))</x:f>
        <x:v>No</x:v>
      </x:c>
      <x:c r="G1139" s="14" t="n">
        <x:f>INDEX(Inputs!$B$7:$D$7,1,MATCH(A1139,Inputs!$B$6:$D$6,0))</x:f>
        <x:v>13</x:v>
      </x:c>
      <x:c r="H1139" s="14" t="n">
        <x:f>MIN(=INDEX(Inputs!$B$7:$D$7,1,MATCH(A1139,Inputs!$B$6:$D$6,0)),MAX(0,INDEX(Inputs!$B$14:$D$14,1,MATCH(A1139,Inputs!$B$6:$D$6,0))-(C1139-1)*=INDEX(Inputs!$B$7:$D$7,1,MATCH(A1139,Inputs!$B$6:$D$6,0))))</x:f>
        <x:v>13</x:v>
      </x:c>
      <x:c r="I1139" s="20" t="n">
        <x:f>INDEX(Inputs!$B$8:$D$8,1,MATCH(A1139,Inputs!$B$6:$D$6,0))</x:f>
        <x:v>2395</x:v>
      </x:c>
      <x:c r="J1139" s="20" t="n">
        <x:f>INDEX(Roster!$C$6:$C$108,MATCH(D1139,Roster!$A$6:$A$108,0))*(1+INDEX(Inputs!$B$9:$D$9,1,MATCH(A1139,Inputs!$B$6:$D$6,0)))</x:f>
        <x:v>75</x:v>
      </x:c>
      <x:c r="K1139" s="20" t="n">
        <x:f>IF(=INDEX(Roster!$F$6:$F$108,MATCH(D1139,Roster!$A$6:$A$108,0))="Yes",0,=INDEX(Inputs!$B$8:$D$8,1,MATCH(A1139,Inputs!$B$6:$D$6,0))*IF(=INDEX(Roster!$B$6:$B$108,MATCH(D1139,Roster!$A$6:$A$108,0))="Principal",INDEX(Inputs!$B$10:$D$10,1,MATCH(A1139,Inputs!$B$6:$D$6,0)),IF(=INDEX(Roster!$B$6:$B$108,MATCH(D1139,Roster!$A$6:$A$108,0))="Associate Principal",INDEX(Inputs!$B$11:$D$11,1,MATCH(A1139,Inputs!$B$6:$D$6,0)),IF(=INDEX(Roster!$B$6:$B$108,MATCH(D1139,Roster!$A$6:$A$108,0))="Assistant Principal",INDEX(Inputs!$B$12:$D$12,1,MATCH(A1139,Inputs!$B$6:$D$6,0)),0))))</x:f>
        <x:v>0</x:v>
      </x:c>
      <x:c r="L1139" s="20" t="n">
        <x:f>IF(INDEX(Roster!$D$6:$D$108,MATCH(D1139,Roster!$A$6:$A$108,0))&gt;=25,INDEX(Inputs!$B$19:$D$19,1,MATCH(A1139,Inputs!$B$6:$D$6,0)),IF(INDEX(Roster!$D$6:$D$108,MATCH(D1139,Roster!$A$6:$A$108,0))&gt;=20,INDEX(Inputs!$B$18:$D$18,1,MATCH(A1139,Inputs!$B$6:$D$6,0)),IF(INDEX(Roster!$D$6:$D$108,MATCH(D1139,Roster!$A$6:$A$108,0))&gt;=15,INDEX(Inputs!$B$17:$D$17,1,MATCH(A1139,Inputs!$B$6:$D$6,0)),IF(INDEX(Roster!$D$6:$D$108,MATCH(D1139,Roster!$A$6:$A$108,0))&gt;=10,INDEX(Inputs!$B$16:$D$16,1,MATCH(A1139,Inputs!$B$6:$D$6,0)),IF(INDEX(Roster!$D$6:$D$108,MATCH(D1139,Roster!$A$6:$A$108,0))&gt;=5,INDEX(Inputs!$B$15:$D$15,1,MATCH(A1139,Inputs!$B$6:$D$6,0)),0)))))</x:f>
        <x:v>90</x:v>
      </x:c>
      <x:c r="M1139" s="20" t="n">
        <x:f>G1139*I1139</x:f>
        <x:v>31135</x:v>
      </x:c>
      <x:c r="N1139" s="20" t="n">
        <x:f>G1139*J1139</x:f>
        <x:v>975</x:v>
      </x:c>
      <x:c r="O1139" s="20" t="n">
        <x:f>G1139*K1139</x:f>
        <x:v>0</x:v>
      </x:c>
      <x:c r="P1139" s="20" t="n">
        <x:f>G1139*L1139</x:f>
        <x:v>1170</x:v>
      </x:c>
      <x:c r="Q1139" s="20" t="n">
        <x:f>H1139*INDEX(Inputs!$B$13:$D$13,1,MATCH(A1139,Inputs!$B$6:$D$6,0))</x:f>
        <x:v>390</x:v>
      </x:c>
      <x:c r="R1139" s="20" t="n">
        <x:f>SUM(M1139:Q1139)</x:f>
        <x:v>33670</x:v>
      </x:c>
      <x:c r="S1139" s="20" t="n">
        <x:f>IF(AND(A1138=A1139,D1138=D1139),S1138+R1139,R1139)</x:f>
        <x:v>67340</x:v>
      </x:c>
      <x:c r="T1139" s="20" t="n">
        <x:f>MIN(S1139,INDEX(Inputs!$B$20:$D$20,1,MATCH(A1139,Inputs!$B$6:$D$6,0)))*INDEX(Inputs!$B$22:$D$22,1,MATCH(A1139,Inputs!$B$6:$D$6,0))+MAX(MIN(S1139,INDEX(Inputs!$B$21:$D$21,1,MATCH(A1139,Inputs!$B$6:$D$6,0)))-INDEX(Inputs!$B$20:$D$20,1,MATCH(A1139,Inputs!$B$6:$D$6,0)),0)*INDEX(Inputs!$B$23:$D$23,1,MATCH(A1139,Inputs!$B$6:$D$6,0))+MAX(S1139-INDEX(Inputs!$B$21:$D$21,1,MATCH(A1139,Inputs!$B$6:$D$6,0)),0)*INDEX(Inputs!$B$24:$D$24,1,MATCH(A1139,Inputs!$B$6:$D$6,0))</x:f>
        <x:v>5641.51</x:v>
      </x:c>
      <x:c r="U1139" s="20" t="n">
        <x:f>IF(AND(A1138=A1139,D1138=D1139),T1138,0)</x:f>
        <x:v>3065.755</x:v>
      </x:c>
      <x:c r="V1139" s="20" t="n">
        <x:f>T1139-U1139</x:f>
        <x:v>2575.755</x:v>
      </x:c>
      <x:c r="W1139" s="20" t="n">
        <x:f>R1139+V1139</x:f>
        <x:v>36245.755</x:v>
      </x:c>
      <x:c r="X1139" s="14" t="str">
        <x:f>IF(ABS(W1139-SUM(M1139:Q1139)-V1139)&lt;0.01,"OK","Check")</x:f>
        <x:v>OK</x:v>
      </x:c>
    </x:row>
    <x:row r="1140">
      <x:c r="A1140" s="14" t="n">
        <x:v>2028</x:v>
      </x:c>
      <x:c r="B1140" s="14" t="str">
        <x:v>Q3</x:v>
      </x:c>
      <x:c r="C1140" s="14" t="n">
        <x:v>3</x:v>
      </x:c>
      <x:c r="D1140" s="14" t="n">
        <x:v>78</x:v>
      </x:c>
      <x:c r="E1140" s="14" t="str">
        <x:f>INDEX(Roster!$B$6:$B$108,MATCH(D1140,Roster!$A$6:$A$108,0))</x:f>
      </x:c>
      <x:c r="F1140" s="14" t="str">
        <x:f>INDEX(Roster!$F$6:$F$108,MATCH(D1140,Roster!$A$6:$A$108,0))</x:f>
        <x:v>No</x:v>
      </x:c>
      <x:c r="G1140" s="14" t="n">
        <x:f>INDEX(Inputs!$B$7:$D$7,1,MATCH(A1140,Inputs!$B$6:$D$6,0))</x:f>
        <x:v>13</x:v>
      </x:c>
      <x:c r="H1140" s="14" t="n">
        <x:f>MIN(=INDEX(Inputs!$B$7:$D$7,1,MATCH(A1140,Inputs!$B$6:$D$6,0)),MAX(0,INDEX(Inputs!$B$14:$D$14,1,MATCH(A1140,Inputs!$B$6:$D$6,0))-(C1140-1)*=INDEX(Inputs!$B$7:$D$7,1,MATCH(A1140,Inputs!$B$6:$D$6,0))))</x:f>
        <x:v>13</x:v>
      </x:c>
      <x:c r="I1140" s="20" t="n">
        <x:f>INDEX(Inputs!$B$8:$D$8,1,MATCH(A1140,Inputs!$B$6:$D$6,0))</x:f>
        <x:v>2395</x:v>
      </x:c>
      <x:c r="J1140" s="20" t="n">
        <x:f>INDEX(Roster!$C$6:$C$108,MATCH(D1140,Roster!$A$6:$A$108,0))*(1+INDEX(Inputs!$B$9:$D$9,1,MATCH(A1140,Inputs!$B$6:$D$6,0)))</x:f>
        <x:v>75</x:v>
      </x:c>
      <x:c r="K1140" s="20" t="n">
        <x:f>IF(=INDEX(Roster!$F$6:$F$108,MATCH(D1140,Roster!$A$6:$A$108,0))="Yes",0,=INDEX(Inputs!$B$8:$D$8,1,MATCH(A1140,Inputs!$B$6:$D$6,0))*IF(=INDEX(Roster!$B$6:$B$108,MATCH(D1140,Roster!$A$6:$A$108,0))="Principal",INDEX(Inputs!$B$10:$D$10,1,MATCH(A1140,Inputs!$B$6:$D$6,0)),IF(=INDEX(Roster!$B$6:$B$108,MATCH(D1140,Roster!$A$6:$A$108,0))="Associate Principal",INDEX(Inputs!$B$11:$D$11,1,MATCH(A1140,Inputs!$B$6:$D$6,0)),IF(=INDEX(Roster!$B$6:$B$108,MATCH(D1140,Roster!$A$6:$A$108,0))="Assistant Principal",INDEX(Inputs!$B$12:$D$12,1,MATCH(A1140,Inputs!$B$6:$D$6,0)),0))))</x:f>
        <x:v>0</x:v>
      </x:c>
      <x:c r="L1140" s="20" t="n">
        <x:f>IF(INDEX(Roster!$D$6:$D$108,MATCH(D1140,Roster!$A$6:$A$108,0))&gt;=25,INDEX(Inputs!$B$19:$D$19,1,MATCH(A1140,Inputs!$B$6:$D$6,0)),IF(INDEX(Roster!$D$6:$D$108,MATCH(D1140,Roster!$A$6:$A$108,0))&gt;=20,INDEX(Inputs!$B$18:$D$18,1,MATCH(A1140,Inputs!$B$6:$D$6,0)),IF(INDEX(Roster!$D$6:$D$108,MATCH(D1140,Roster!$A$6:$A$108,0))&gt;=15,INDEX(Inputs!$B$17:$D$17,1,MATCH(A1140,Inputs!$B$6:$D$6,0)),IF(INDEX(Roster!$D$6:$D$108,MATCH(D1140,Roster!$A$6:$A$108,0))&gt;=10,INDEX(Inputs!$B$16:$D$16,1,MATCH(A1140,Inputs!$B$6:$D$6,0)),IF(INDEX(Roster!$D$6:$D$108,MATCH(D1140,Roster!$A$6:$A$108,0))&gt;=5,INDEX(Inputs!$B$15:$D$15,1,MATCH(A1140,Inputs!$B$6:$D$6,0)),0)))))</x:f>
        <x:v>90</x:v>
      </x:c>
      <x:c r="M1140" s="20" t="n">
        <x:f>G1140*I1140</x:f>
        <x:v>31135</x:v>
      </x:c>
      <x:c r="N1140" s="20" t="n">
        <x:f>G1140*J1140</x:f>
        <x:v>975</x:v>
      </x:c>
      <x:c r="O1140" s="20" t="n">
        <x:f>G1140*K1140</x:f>
        <x:v>0</x:v>
      </x:c>
      <x:c r="P1140" s="20" t="n">
        <x:f>G1140*L1140</x:f>
        <x:v>1170</x:v>
      </x:c>
      <x:c r="Q1140" s="20" t="n">
        <x:f>H1140*INDEX(Inputs!$B$13:$D$13,1,MATCH(A1140,Inputs!$B$6:$D$6,0))</x:f>
        <x:v>390</x:v>
      </x:c>
      <x:c r="R1140" s="20" t="n">
        <x:f>SUM(M1140:Q1140)</x:f>
        <x:v>33670</x:v>
      </x:c>
      <x:c r="S1140" s="20" t="n">
        <x:f>IF(AND(A1139=A1140,D1139=D1140),S1139+R1140,R1140)</x:f>
        <x:v>101010</x:v>
      </x:c>
      <x:c r="T1140" s="20" t="n">
        <x:f>MIN(S1140,INDEX(Inputs!$B$20:$D$20,1,MATCH(A1140,Inputs!$B$6:$D$6,0)))*INDEX(Inputs!$B$22:$D$22,1,MATCH(A1140,Inputs!$B$6:$D$6,0))+MAX(MIN(S1140,INDEX(Inputs!$B$21:$D$21,1,MATCH(A1140,Inputs!$B$6:$D$6,0)))-INDEX(Inputs!$B$20:$D$20,1,MATCH(A1140,Inputs!$B$6:$D$6,0)),0)*INDEX(Inputs!$B$23:$D$23,1,MATCH(A1140,Inputs!$B$6:$D$6,0))+MAX(S1140-INDEX(Inputs!$B$21:$D$21,1,MATCH(A1140,Inputs!$B$6:$D$6,0)),0)*INDEX(Inputs!$B$24:$D$24,1,MATCH(A1140,Inputs!$B$6:$D$6,0))</x:f>
        <x:v>8217.265</x:v>
      </x:c>
      <x:c r="U1140" s="20" t="n">
        <x:f>IF(AND(A1139=A1140,D1139=D1140),T1139,0)</x:f>
        <x:v>5641.51</x:v>
      </x:c>
      <x:c r="V1140" s="20" t="n">
        <x:f>T1140-U1140</x:f>
        <x:v>2575.754999999999</x:v>
      </x:c>
      <x:c r="W1140" s="20" t="n">
        <x:f>R1140+V1140</x:f>
        <x:v>36245.755</x:v>
      </x:c>
      <x:c r="X1140" s="14" t="str">
        <x:f>IF(ABS(W1140-SUM(M1140:Q1140)-V1140)&lt;0.01,"OK","Check")</x:f>
        <x:v>OK</x:v>
      </x:c>
    </x:row>
    <x:row r="1141">
      <x:c r="A1141" s="14" t="n">
        <x:v>2028</x:v>
      </x:c>
      <x:c r="B1141" s="14" t="str">
        <x:v>Q4</x:v>
      </x:c>
      <x:c r="C1141" s="14" t="n">
        <x:v>4</x:v>
      </x:c>
      <x:c r="D1141" s="14" t="n">
        <x:v>78</x:v>
      </x:c>
      <x:c r="E1141" s="14" t="str">
        <x:f>INDEX(Roster!$B$6:$B$108,MATCH(D1141,Roster!$A$6:$A$108,0))</x:f>
      </x:c>
      <x:c r="F1141" s="14" t="str">
        <x:f>INDEX(Roster!$F$6:$F$108,MATCH(D1141,Roster!$A$6:$A$108,0))</x:f>
        <x:v>No</x:v>
      </x:c>
      <x:c r="G1141" s="14" t="n">
        <x:f>INDEX(Inputs!$B$7:$D$7,1,MATCH(A1141,Inputs!$B$6:$D$6,0))</x:f>
        <x:v>13</x:v>
      </x:c>
      <x:c r="H1141" s="14" t="n">
        <x:f>MIN(=INDEX(Inputs!$B$7:$D$7,1,MATCH(A1141,Inputs!$B$6:$D$6,0)),MAX(0,INDEX(Inputs!$B$14:$D$14,1,MATCH(A1141,Inputs!$B$6:$D$6,0))-(C1141-1)*=INDEX(Inputs!$B$7:$D$7,1,MATCH(A1141,Inputs!$B$6:$D$6,0))))</x:f>
        <x:v>0</x:v>
      </x:c>
      <x:c r="I1141" s="20" t="n">
        <x:f>INDEX(Inputs!$B$8:$D$8,1,MATCH(A1141,Inputs!$B$6:$D$6,0))</x:f>
        <x:v>2395</x:v>
      </x:c>
      <x:c r="J1141" s="20" t="n">
        <x:f>INDEX(Roster!$C$6:$C$108,MATCH(D1141,Roster!$A$6:$A$108,0))*(1+INDEX(Inputs!$B$9:$D$9,1,MATCH(A1141,Inputs!$B$6:$D$6,0)))</x:f>
        <x:v>75</x:v>
      </x:c>
      <x:c r="K1141" s="20" t="n">
        <x:f>IF(=INDEX(Roster!$F$6:$F$108,MATCH(D1141,Roster!$A$6:$A$108,0))="Yes",0,=INDEX(Inputs!$B$8:$D$8,1,MATCH(A1141,Inputs!$B$6:$D$6,0))*IF(=INDEX(Roster!$B$6:$B$108,MATCH(D1141,Roster!$A$6:$A$108,0))="Principal",INDEX(Inputs!$B$10:$D$10,1,MATCH(A1141,Inputs!$B$6:$D$6,0)),IF(=INDEX(Roster!$B$6:$B$108,MATCH(D1141,Roster!$A$6:$A$108,0))="Associate Principal",INDEX(Inputs!$B$11:$D$11,1,MATCH(A1141,Inputs!$B$6:$D$6,0)),IF(=INDEX(Roster!$B$6:$B$108,MATCH(D1141,Roster!$A$6:$A$108,0))="Assistant Principal",INDEX(Inputs!$B$12:$D$12,1,MATCH(A1141,Inputs!$B$6:$D$6,0)),0))))</x:f>
        <x:v>0</x:v>
      </x:c>
      <x:c r="L1141" s="20" t="n">
        <x:f>IF(INDEX(Roster!$D$6:$D$108,MATCH(D1141,Roster!$A$6:$A$108,0))&gt;=25,INDEX(Inputs!$B$19:$D$19,1,MATCH(A1141,Inputs!$B$6:$D$6,0)),IF(INDEX(Roster!$D$6:$D$108,MATCH(D1141,Roster!$A$6:$A$108,0))&gt;=20,INDEX(Inputs!$B$18:$D$18,1,MATCH(A1141,Inputs!$B$6:$D$6,0)),IF(INDEX(Roster!$D$6:$D$108,MATCH(D1141,Roster!$A$6:$A$108,0))&gt;=15,INDEX(Inputs!$B$17:$D$17,1,MATCH(A1141,Inputs!$B$6:$D$6,0)),IF(INDEX(Roster!$D$6:$D$108,MATCH(D1141,Roster!$A$6:$A$108,0))&gt;=10,INDEX(Inputs!$B$16:$D$16,1,MATCH(A1141,Inputs!$B$6:$D$6,0)),IF(INDEX(Roster!$D$6:$D$108,MATCH(D1141,Roster!$A$6:$A$108,0))&gt;=5,INDEX(Inputs!$B$15:$D$15,1,MATCH(A1141,Inputs!$B$6:$D$6,0)),0)))))</x:f>
        <x:v>90</x:v>
      </x:c>
      <x:c r="M1141" s="20" t="n">
        <x:f>G1141*I1141</x:f>
        <x:v>31135</x:v>
      </x:c>
      <x:c r="N1141" s="20" t="n">
        <x:f>G1141*J1141</x:f>
        <x:v>975</x:v>
      </x:c>
      <x:c r="O1141" s="20" t="n">
        <x:f>G1141*K1141</x:f>
        <x:v>0</x:v>
      </x:c>
      <x:c r="P1141" s="20" t="n">
        <x:f>G1141*L1141</x:f>
        <x:v>1170</x:v>
      </x:c>
      <x:c r="Q1141" s="20" t="n">
        <x:f>H1141*INDEX(Inputs!$B$13:$D$13,1,MATCH(A1141,Inputs!$B$6:$D$6,0))</x:f>
        <x:v>0</x:v>
      </x:c>
      <x:c r="R1141" s="20" t="n">
        <x:f>SUM(M1141:Q1141)</x:f>
        <x:v>33280</x:v>
      </x:c>
      <x:c r="S1141" s="20" t="n">
        <x:f>IF(AND(A1140=A1141,D1140=D1141),S1140+R1141,R1141)</x:f>
        <x:v>134290</x:v>
      </x:c>
      <x:c r="T1141" s="20" t="n">
        <x:f>MIN(S1141,INDEX(Inputs!$B$20:$D$20,1,MATCH(A1141,Inputs!$B$6:$D$6,0)))*INDEX(Inputs!$B$22:$D$22,1,MATCH(A1141,Inputs!$B$6:$D$6,0))+MAX(MIN(S1141,INDEX(Inputs!$B$21:$D$21,1,MATCH(A1141,Inputs!$B$6:$D$6,0)))-INDEX(Inputs!$B$20:$D$20,1,MATCH(A1141,Inputs!$B$6:$D$6,0)),0)*INDEX(Inputs!$B$23:$D$23,1,MATCH(A1141,Inputs!$B$6:$D$6,0))+MAX(S1141-INDEX(Inputs!$B$21:$D$21,1,MATCH(A1141,Inputs!$B$6:$D$6,0)),0)*INDEX(Inputs!$B$24:$D$24,1,MATCH(A1141,Inputs!$B$6:$D$6,0))</x:f>
        <x:v>9861.146999999999</x:v>
      </x:c>
      <x:c r="U1141" s="20" t="n">
        <x:f>IF(AND(A1140=A1141,D1140=D1141),T1140,0)</x:f>
        <x:v>8217.265</x:v>
      </x:c>
      <x:c r="V1141" s="20" t="n">
        <x:f>T1141-U1141</x:f>
        <x:v>1643.8819999999996</x:v>
      </x:c>
      <x:c r="W1141" s="20" t="n">
        <x:f>R1141+V1141</x:f>
        <x:v>34923.882</x:v>
      </x:c>
      <x:c r="X1141" s="14" t="str">
        <x:f>IF(ABS(W1141-SUM(M1141:Q1141)-V1141)&lt;0.01,"OK","Check")</x:f>
        <x:v>OK</x:v>
      </x:c>
    </x:row>
    <x:row r="1142">
      <x:c r="A1142" s="14" t="n">
        <x:v>2028</x:v>
      </x:c>
      <x:c r="B1142" s="14" t="str">
        <x:v>Q1</x:v>
      </x:c>
      <x:c r="C1142" s="14" t="n">
        <x:v>1</x:v>
      </x:c>
      <x:c r="D1142" s="14" t="n">
        <x:v>79</x:v>
      </x:c>
      <x:c r="E1142" s="14" t="str">
        <x:f>INDEX(Roster!$B$6:$B$108,MATCH(D1142,Roster!$A$6:$A$108,0))</x:f>
      </x:c>
      <x:c r="F1142" s="14" t="str">
        <x:f>INDEX(Roster!$F$6:$F$108,MATCH(D1142,Roster!$A$6:$A$108,0))</x:f>
        <x:v>No</x:v>
      </x:c>
      <x:c r="G1142" s="14" t="n">
        <x:f>INDEX(Inputs!$B$7:$D$7,1,MATCH(A1142,Inputs!$B$6:$D$6,0))</x:f>
        <x:v>13</x:v>
      </x:c>
      <x:c r="H1142" s="14" t="n">
        <x:f>MIN(=INDEX(Inputs!$B$7:$D$7,1,MATCH(A1142,Inputs!$B$6:$D$6,0)),MAX(0,INDEX(Inputs!$B$14:$D$14,1,MATCH(A1142,Inputs!$B$6:$D$6,0))-(C1142-1)*=INDEX(Inputs!$B$7:$D$7,1,MATCH(A1142,Inputs!$B$6:$D$6,0))))</x:f>
        <x:v>13</x:v>
      </x:c>
      <x:c r="I1142" s="20" t="n">
        <x:f>INDEX(Inputs!$B$8:$D$8,1,MATCH(A1142,Inputs!$B$6:$D$6,0))</x:f>
        <x:v>2395</x:v>
      </x:c>
      <x:c r="J1142" s="20" t="n">
        <x:f>INDEX(Roster!$C$6:$C$108,MATCH(D1142,Roster!$A$6:$A$108,0))*(1+INDEX(Inputs!$B$9:$D$9,1,MATCH(A1142,Inputs!$B$6:$D$6,0)))</x:f>
        <x:v>20</x:v>
      </x:c>
      <x:c r="K1142" s="20" t="n">
        <x:f>IF(=INDEX(Roster!$F$6:$F$108,MATCH(D1142,Roster!$A$6:$A$108,0))="Yes",0,=INDEX(Inputs!$B$8:$D$8,1,MATCH(A1142,Inputs!$B$6:$D$6,0))*IF(=INDEX(Roster!$B$6:$B$108,MATCH(D1142,Roster!$A$6:$A$108,0))="Principal",INDEX(Inputs!$B$10:$D$10,1,MATCH(A1142,Inputs!$B$6:$D$6,0)),IF(=INDEX(Roster!$B$6:$B$108,MATCH(D1142,Roster!$A$6:$A$108,0))="Associate Principal",INDEX(Inputs!$B$11:$D$11,1,MATCH(A1142,Inputs!$B$6:$D$6,0)),IF(=INDEX(Roster!$B$6:$B$108,MATCH(D1142,Roster!$A$6:$A$108,0))="Assistant Principal",INDEX(Inputs!$B$12:$D$12,1,MATCH(A1142,Inputs!$B$6:$D$6,0)),0))))</x:f>
        <x:v>0</x:v>
      </x:c>
      <x:c r="L1142" s="20" t="n">
        <x:f>IF(INDEX(Roster!$D$6:$D$108,MATCH(D1142,Roster!$A$6:$A$108,0))&gt;=25,INDEX(Inputs!$B$19:$D$19,1,MATCH(A1142,Inputs!$B$6:$D$6,0)),IF(INDEX(Roster!$D$6:$D$108,MATCH(D1142,Roster!$A$6:$A$108,0))&gt;=20,INDEX(Inputs!$B$18:$D$18,1,MATCH(A1142,Inputs!$B$6:$D$6,0)),IF(INDEX(Roster!$D$6:$D$108,MATCH(D1142,Roster!$A$6:$A$108,0))&gt;=15,INDEX(Inputs!$B$17:$D$17,1,MATCH(A1142,Inputs!$B$6:$D$6,0)),IF(INDEX(Roster!$D$6:$D$108,MATCH(D1142,Roster!$A$6:$A$108,0))&gt;=10,INDEX(Inputs!$B$16:$D$16,1,MATCH(A1142,Inputs!$B$6:$D$6,0)),IF(INDEX(Roster!$D$6:$D$108,MATCH(D1142,Roster!$A$6:$A$108,0))&gt;=5,INDEX(Inputs!$B$15:$D$15,1,MATCH(A1142,Inputs!$B$6:$D$6,0)),0)))))</x:f>
        <x:v>50</x:v>
      </x:c>
      <x:c r="M1142" s="20" t="n">
        <x:f>G1142*I1142</x:f>
        <x:v>31135</x:v>
      </x:c>
      <x:c r="N1142" s="20" t="n">
        <x:f>G1142*J1142</x:f>
        <x:v>260</x:v>
      </x:c>
      <x:c r="O1142" s="20" t="n">
        <x:f>G1142*K1142</x:f>
        <x:v>0</x:v>
      </x:c>
      <x:c r="P1142" s="20" t="n">
        <x:f>G1142*L1142</x:f>
        <x:v>650</x:v>
      </x:c>
      <x:c r="Q1142" s="20" t="n">
        <x:f>H1142*INDEX(Inputs!$B$13:$D$13,1,MATCH(A1142,Inputs!$B$6:$D$6,0))</x:f>
        <x:v>390</x:v>
      </x:c>
      <x:c r="R1142" s="20" t="n">
        <x:f>SUM(M1142:Q1142)</x:f>
        <x:v>32435</x:v>
      </x:c>
      <x:c r="S1142" s="20" t="n">
        <x:f>IF(AND(A1141=A1142,D1141=D1142),S1141+R1142,R1142)</x:f>
        <x:v>32435</x:v>
      </x:c>
      <x:c r="T1142" s="20" t="n">
        <x:f>MIN(S1142,INDEX(Inputs!$B$20:$D$20,1,MATCH(A1142,Inputs!$B$6:$D$6,0)))*INDEX(Inputs!$B$22:$D$22,1,MATCH(A1142,Inputs!$B$6:$D$6,0))+MAX(MIN(S1142,INDEX(Inputs!$B$21:$D$21,1,MATCH(A1142,Inputs!$B$6:$D$6,0)))-INDEX(Inputs!$B$20:$D$20,1,MATCH(A1142,Inputs!$B$6:$D$6,0)),0)*INDEX(Inputs!$B$23:$D$23,1,MATCH(A1142,Inputs!$B$6:$D$6,0))+MAX(S1142-INDEX(Inputs!$B$21:$D$21,1,MATCH(A1142,Inputs!$B$6:$D$6,0)),0)*INDEX(Inputs!$B$24:$D$24,1,MATCH(A1142,Inputs!$B$6:$D$6,0))</x:f>
        <x:v>2971.2775</x:v>
      </x:c>
      <x:c r="U1142" s="20" t="n">
        <x:f>IF(AND(A1141=A1142,D1141=D1142),T1141,0)</x:f>
        <x:v>0</x:v>
      </x:c>
      <x:c r="V1142" s="20" t="n">
        <x:f>T1142-U1142</x:f>
        <x:v>2971.2775</x:v>
      </x:c>
      <x:c r="W1142" s="20" t="n">
        <x:f>R1142+V1142</x:f>
        <x:v>35406.2775</x:v>
      </x:c>
      <x:c r="X1142" s="14" t="str">
        <x:f>IF(ABS(W1142-SUM(M1142:Q1142)-V1142)&lt;0.01,"OK","Check")</x:f>
        <x:v>OK</x:v>
      </x:c>
    </x:row>
    <x:row r="1143">
      <x:c r="A1143" s="14" t="n">
        <x:v>2028</x:v>
      </x:c>
      <x:c r="B1143" s="14" t="str">
        <x:v>Q2</x:v>
      </x:c>
      <x:c r="C1143" s="14" t="n">
        <x:v>2</x:v>
      </x:c>
      <x:c r="D1143" s="14" t="n">
        <x:v>79</x:v>
      </x:c>
      <x:c r="E1143" s="14" t="str">
        <x:f>INDEX(Roster!$B$6:$B$108,MATCH(D1143,Roster!$A$6:$A$108,0))</x:f>
      </x:c>
      <x:c r="F1143" s="14" t="str">
        <x:f>INDEX(Roster!$F$6:$F$108,MATCH(D1143,Roster!$A$6:$A$108,0))</x:f>
        <x:v>No</x:v>
      </x:c>
      <x:c r="G1143" s="14" t="n">
        <x:f>INDEX(Inputs!$B$7:$D$7,1,MATCH(A1143,Inputs!$B$6:$D$6,0))</x:f>
        <x:v>13</x:v>
      </x:c>
      <x:c r="H1143" s="14" t="n">
        <x:f>MIN(=INDEX(Inputs!$B$7:$D$7,1,MATCH(A1143,Inputs!$B$6:$D$6,0)),MAX(0,INDEX(Inputs!$B$14:$D$14,1,MATCH(A1143,Inputs!$B$6:$D$6,0))-(C1143-1)*=INDEX(Inputs!$B$7:$D$7,1,MATCH(A1143,Inputs!$B$6:$D$6,0))))</x:f>
        <x:v>13</x:v>
      </x:c>
      <x:c r="I1143" s="20" t="n">
        <x:f>INDEX(Inputs!$B$8:$D$8,1,MATCH(A1143,Inputs!$B$6:$D$6,0))</x:f>
        <x:v>2395</x:v>
      </x:c>
      <x:c r="J1143" s="20" t="n">
        <x:f>INDEX(Roster!$C$6:$C$108,MATCH(D1143,Roster!$A$6:$A$108,0))*(1+INDEX(Inputs!$B$9:$D$9,1,MATCH(A1143,Inputs!$B$6:$D$6,0)))</x:f>
        <x:v>20</x:v>
      </x:c>
      <x:c r="K1143" s="20" t="n">
        <x:f>IF(=INDEX(Roster!$F$6:$F$108,MATCH(D1143,Roster!$A$6:$A$108,0))="Yes",0,=INDEX(Inputs!$B$8:$D$8,1,MATCH(A1143,Inputs!$B$6:$D$6,0))*IF(=INDEX(Roster!$B$6:$B$108,MATCH(D1143,Roster!$A$6:$A$108,0))="Principal",INDEX(Inputs!$B$10:$D$10,1,MATCH(A1143,Inputs!$B$6:$D$6,0)),IF(=INDEX(Roster!$B$6:$B$108,MATCH(D1143,Roster!$A$6:$A$108,0))="Associate Principal",INDEX(Inputs!$B$11:$D$11,1,MATCH(A1143,Inputs!$B$6:$D$6,0)),IF(=INDEX(Roster!$B$6:$B$108,MATCH(D1143,Roster!$A$6:$A$108,0))="Assistant Principal",INDEX(Inputs!$B$12:$D$12,1,MATCH(A1143,Inputs!$B$6:$D$6,0)),0))))</x:f>
        <x:v>0</x:v>
      </x:c>
      <x:c r="L1143" s="20" t="n">
        <x:f>IF(INDEX(Roster!$D$6:$D$108,MATCH(D1143,Roster!$A$6:$A$108,0))&gt;=25,INDEX(Inputs!$B$19:$D$19,1,MATCH(A1143,Inputs!$B$6:$D$6,0)),IF(INDEX(Roster!$D$6:$D$108,MATCH(D1143,Roster!$A$6:$A$108,0))&gt;=20,INDEX(Inputs!$B$18:$D$18,1,MATCH(A1143,Inputs!$B$6:$D$6,0)),IF(INDEX(Roster!$D$6:$D$108,MATCH(D1143,Roster!$A$6:$A$108,0))&gt;=15,INDEX(Inputs!$B$17:$D$17,1,MATCH(A1143,Inputs!$B$6:$D$6,0)),IF(INDEX(Roster!$D$6:$D$108,MATCH(D1143,Roster!$A$6:$A$108,0))&gt;=10,INDEX(Inputs!$B$16:$D$16,1,MATCH(A1143,Inputs!$B$6:$D$6,0)),IF(INDEX(Roster!$D$6:$D$108,MATCH(D1143,Roster!$A$6:$A$108,0))&gt;=5,INDEX(Inputs!$B$15:$D$15,1,MATCH(A1143,Inputs!$B$6:$D$6,0)),0)))))</x:f>
        <x:v>50</x:v>
      </x:c>
      <x:c r="M1143" s="20" t="n">
        <x:f>G1143*I1143</x:f>
        <x:v>31135</x:v>
      </x:c>
      <x:c r="N1143" s="20" t="n">
        <x:f>G1143*J1143</x:f>
        <x:v>260</x:v>
      </x:c>
      <x:c r="O1143" s="20" t="n">
        <x:f>G1143*K1143</x:f>
        <x:v>0</x:v>
      </x:c>
      <x:c r="P1143" s="20" t="n">
        <x:f>G1143*L1143</x:f>
        <x:v>650</x:v>
      </x:c>
      <x:c r="Q1143" s="20" t="n">
        <x:f>H1143*INDEX(Inputs!$B$13:$D$13,1,MATCH(A1143,Inputs!$B$6:$D$6,0))</x:f>
        <x:v>390</x:v>
      </x:c>
      <x:c r="R1143" s="20" t="n">
        <x:f>SUM(M1143:Q1143)</x:f>
        <x:v>32435</x:v>
      </x:c>
      <x:c r="S1143" s="20" t="n">
        <x:f>IF(AND(A1142=A1143,D1142=D1143),S1142+R1143,R1143)</x:f>
        <x:v>64870</x:v>
      </x:c>
      <x:c r="T1143" s="20" t="n">
        <x:f>MIN(S1143,INDEX(Inputs!$B$20:$D$20,1,MATCH(A1143,Inputs!$B$6:$D$6,0)))*INDEX(Inputs!$B$22:$D$22,1,MATCH(A1143,Inputs!$B$6:$D$6,0))+MAX(MIN(S1143,INDEX(Inputs!$B$21:$D$21,1,MATCH(A1143,Inputs!$B$6:$D$6,0)))-INDEX(Inputs!$B$20:$D$20,1,MATCH(A1143,Inputs!$B$6:$D$6,0)),0)*INDEX(Inputs!$B$23:$D$23,1,MATCH(A1143,Inputs!$B$6:$D$6,0))+MAX(S1143-INDEX(Inputs!$B$21:$D$21,1,MATCH(A1143,Inputs!$B$6:$D$6,0)),0)*INDEX(Inputs!$B$24:$D$24,1,MATCH(A1143,Inputs!$B$6:$D$6,0))</x:f>
        <x:v>5452.555</x:v>
      </x:c>
      <x:c r="U1143" s="20" t="n">
        <x:f>IF(AND(A1142=A1143,D1142=D1143),T1142,0)</x:f>
        <x:v>2971.2775</x:v>
      </x:c>
      <x:c r="V1143" s="20" t="n">
        <x:f>T1143-U1143</x:f>
        <x:v>2481.2775</x:v>
      </x:c>
      <x:c r="W1143" s="20" t="n">
        <x:f>R1143+V1143</x:f>
        <x:v>34916.2775</x:v>
      </x:c>
      <x:c r="X1143" s="14" t="str">
        <x:f>IF(ABS(W1143-SUM(M1143:Q1143)-V1143)&lt;0.01,"OK","Check")</x:f>
        <x:v>OK</x:v>
      </x:c>
    </x:row>
    <x:row r="1144">
      <x:c r="A1144" s="14" t="n">
        <x:v>2028</x:v>
      </x:c>
      <x:c r="B1144" s="14" t="str">
        <x:v>Q3</x:v>
      </x:c>
      <x:c r="C1144" s="14" t="n">
        <x:v>3</x:v>
      </x:c>
      <x:c r="D1144" s="14" t="n">
        <x:v>79</x:v>
      </x:c>
      <x:c r="E1144" s="14" t="str">
        <x:f>INDEX(Roster!$B$6:$B$108,MATCH(D1144,Roster!$A$6:$A$108,0))</x:f>
      </x:c>
      <x:c r="F1144" s="14" t="str">
        <x:f>INDEX(Roster!$F$6:$F$108,MATCH(D1144,Roster!$A$6:$A$108,0))</x:f>
        <x:v>No</x:v>
      </x:c>
      <x:c r="G1144" s="14" t="n">
        <x:f>INDEX(Inputs!$B$7:$D$7,1,MATCH(A1144,Inputs!$B$6:$D$6,0))</x:f>
        <x:v>13</x:v>
      </x:c>
      <x:c r="H1144" s="14" t="n">
        <x:f>MIN(=INDEX(Inputs!$B$7:$D$7,1,MATCH(A1144,Inputs!$B$6:$D$6,0)),MAX(0,INDEX(Inputs!$B$14:$D$14,1,MATCH(A1144,Inputs!$B$6:$D$6,0))-(C1144-1)*=INDEX(Inputs!$B$7:$D$7,1,MATCH(A1144,Inputs!$B$6:$D$6,0))))</x:f>
        <x:v>13</x:v>
      </x:c>
      <x:c r="I1144" s="20" t="n">
        <x:f>INDEX(Inputs!$B$8:$D$8,1,MATCH(A1144,Inputs!$B$6:$D$6,0))</x:f>
        <x:v>2395</x:v>
      </x:c>
      <x:c r="J1144" s="20" t="n">
        <x:f>INDEX(Roster!$C$6:$C$108,MATCH(D1144,Roster!$A$6:$A$108,0))*(1+INDEX(Inputs!$B$9:$D$9,1,MATCH(A1144,Inputs!$B$6:$D$6,0)))</x:f>
        <x:v>20</x:v>
      </x:c>
      <x:c r="K1144" s="20" t="n">
        <x:f>IF(=INDEX(Roster!$F$6:$F$108,MATCH(D1144,Roster!$A$6:$A$108,0))="Yes",0,=INDEX(Inputs!$B$8:$D$8,1,MATCH(A1144,Inputs!$B$6:$D$6,0))*IF(=INDEX(Roster!$B$6:$B$108,MATCH(D1144,Roster!$A$6:$A$108,0))="Principal",INDEX(Inputs!$B$10:$D$10,1,MATCH(A1144,Inputs!$B$6:$D$6,0)),IF(=INDEX(Roster!$B$6:$B$108,MATCH(D1144,Roster!$A$6:$A$108,0))="Associate Principal",INDEX(Inputs!$B$11:$D$11,1,MATCH(A1144,Inputs!$B$6:$D$6,0)),IF(=INDEX(Roster!$B$6:$B$108,MATCH(D1144,Roster!$A$6:$A$108,0))="Assistant Principal",INDEX(Inputs!$B$12:$D$12,1,MATCH(A1144,Inputs!$B$6:$D$6,0)),0))))</x:f>
        <x:v>0</x:v>
      </x:c>
      <x:c r="L1144" s="20" t="n">
        <x:f>IF(INDEX(Roster!$D$6:$D$108,MATCH(D1144,Roster!$A$6:$A$108,0))&gt;=25,INDEX(Inputs!$B$19:$D$19,1,MATCH(A1144,Inputs!$B$6:$D$6,0)),IF(INDEX(Roster!$D$6:$D$108,MATCH(D1144,Roster!$A$6:$A$108,0))&gt;=20,INDEX(Inputs!$B$18:$D$18,1,MATCH(A1144,Inputs!$B$6:$D$6,0)),IF(INDEX(Roster!$D$6:$D$108,MATCH(D1144,Roster!$A$6:$A$108,0))&gt;=15,INDEX(Inputs!$B$17:$D$17,1,MATCH(A1144,Inputs!$B$6:$D$6,0)),IF(INDEX(Roster!$D$6:$D$108,MATCH(D1144,Roster!$A$6:$A$108,0))&gt;=10,INDEX(Inputs!$B$16:$D$16,1,MATCH(A1144,Inputs!$B$6:$D$6,0)),IF(INDEX(Roster!$D$6:$D$108,MATCH(D1144,Roster!$A$6:$A$108,0))&gt;=5,INDEX(Inputs!$B$15:$D$15,1,MATCH(A1144,Inputs!$B$6:$D$6,0)),0)))))</x:f>
        <x:v>50</x:v>
      </x:c>
      <x:c r="M1144" s="20" t="n">
        <x:f>G1144*I1144</x:f>
        <x:v>31135</x:v>
      </x:c>
      <x:c r="N1144" s="20" t="n">
        <x:f>G1144*J1144</x:f>
        <x:v>260</x:v>
      </x:c>
      <x:c r="O1144" s="20" t="n">
        <x:f>G1144*K1144</x:f>
        <x:v>0</x:v>
      </x:c>
      <x:c r="P1144" s="20" t="n">
        <x:f>G1144*L1144</x:f>
        <x:v>650</x:v>
      </x:c>
      <x:c r="Q1144" s="20" t="n">
        <x:f>H1144*INDEX(Inputs!$B$13:$D$13,1,MATCH(A1144,Inputs!$B$6:$D$6,0))</x:f>
        <x:v>390</x:v>
      </x:c>
      <x:c r="R1144" s="20" t="n">
        <x:f>SUM(M1144:Q1144)</x:f>
        <x:v>32435</x:v>
      </x:c>
      <x:c r="S1144" s="20" t="n">
        <x:f>IF(AND(A1143=A1144,D1143=D1144),S1143+R1144,R1144)</x:f>
        <x:v>97305</x:v>
      </x:c>
      <x:c r="T1144" s="20" t="n">
        <x:f>MIN(S1144,INDEX(Inputs!$B$20:$D$20,1,MATCH(A1144,Inputs!$B$6:$D$6,0)))*INDEX(Inputs!$B$22:$D$22,1,MATCH(A1144,Inputs!$B$6:$D$6,0))+MAX(MIN(S1144,INDEX(Inputs!$B$21:$D$21,1,MATCH(A1144,Inputs!$B$6:$D$6,0)))-INDEX(Inputs!$B$20:$D$20,1,MATCH(A1144,Inputs!$B$6:$D$6,0)),0)*INDEX(Inputs!$B$23:$D$23,1,MATCH(A1144,Inputs!$B$6:$D$6,0))+MAX(S1144-INDEX(Inputs!$B$21:$D$21,1,MATCH(A1144,Inputs!$B$6:$D$6,0)),0)*INDEX(Inputs!$B$24:$D$24,1,MATCH(A1144,Inputs!$B$6:$D$6,0))</x:f>
        <x:v>7933.8324999999995</x:v>
      </x:c>
      <x:c r="U1144" s="20" t="n">
        <x:f>IF(AND(A1143=A1144,D1143=D1144),T1143,0)</x:f>
        <x:v>5452.555</x:v>
      </x:c>
      <x:c r="V1144" s="20" t="n">
        <x:f>T1144-U1144</x:f>
        <x:v>2481.2774999999992</x:v>
      </x:c>
      <x:c r="W1144" s="20" t="n">
        <x:f>R1144+V1144</x:f>
        <x:v>34916.2775</x:v>
      </x:c>
      <x:c r="X1144" s="14" t="str">
        <x:f>IF(ABS(W1144-SUM(M1144:Q1144)-V1144)&lt;0.01,"OK","Check")</x:f>
        <x:v>OK</x:v>
      </x:c>
    </x:row>
    <x:row r="1145">
      <x:c r="A1145" s="14" t="n">
        <x:v>2028</x:v>
      </x:c>
      <x:c r="B1145" s="14" t="str">
        <x:v>Q4</x:v>
      </x:c>
      <x:c r="C1145" s="14" t="n">
        <x:v>4</x:v>
      </x:c>
      <x:c r="D1145" s="14" t="n">
        <x:v>79</x:v>
      </x:c>
      <x:c r="E1145" s="14" t="str">
        <x:f>INDEX(Roster!$B$6:$B$108,MATCH(D1145,Roster!$A$6:$A$108,0))</x:f>
      </x:c>
      <x:c r="F1145" s="14" t="str">
        <x:f>INDEX(Roster!$F$6:$F$108,MATCH(D1145,Roster!$A$6:$A$108,0))</x:f>
        <x:v>No</x:v>
      </x:c>
      <x:c r="G1145" s="14" t="n">
        <x:f>INDEX(Inputs!$B$7:$D$7,1,MATCH(A1145,Inputs!$B$6:$D$6,0))</x:f>
        <x:v>13</x:v>
      </x:c>
      <x:c r="H1145" s="14" t="n">
        <x:f>MIN(=INDEX(Inputs!$B$7:$D$7,1,MATCH(A1145,Inputs!$B$6:$D$6,0)),MAX(0,INDEX(Inputs!$B$14:$D$14,1,MATCH(A1145,Inputs!$B$6:$D$6,0))-(C1145-1)*=INDEX(Inputs!$B$7:$D$7,1,MATCH(A1145,Inputs!$B$6:$D$6,0))))</x:f>
        <x:v>0</x:v>
      </x:c>
      <x:c r="I1145" s="20" t="n">
        <x:f>INDEX(Inputs!$B$8:$D$8,1,MATCH(A1145,Inputs!$B$6:$D$6,0))</x:f>
        <x:v>2395</x:v>
      </x:c>
      <x:c r="J1145" s="20" t="n">
        <x:f>INDEX(Roster!$C$6:$C$108,MATCH(D1145,Roster!$A$6:$A$108,0))*(1+INDEX(Inputs!$B$9:$D$9,1,MATCH(A1145,Inputs!$B$6:$D$6,0)))</x:f>
        <x:v>20</x:v>
      </x:c>
      <x:c r="K1145" s="20" t="n">
        <x:f>IF(=INDEX(Roster!$F$6:$F$108,MATCH(D1145,Roster!$A$6:$A$108,0))="Yes",0,=INDEX(Inputs!$B$8:$D$8,1,MATCH(A1145,Inputs!$B$6:$D$6,0))*IF(=INDEX(Roster!$B$6:$B$108,MATCH(D1145,Roster!$A$6:$A$108,0))="Principal",INDEX(Inputs!$B$10:$D$10,1,MATCH(A1145,Inputs!$B$6:$D$6,0)),IF(=INDEX(Roster!$B$6:$B$108,MATCH(D1145,Roster!$A$6:$A$108,0))="Associate Principal",INDEX(Inputs!$B$11:$D$11,1,MATCH(A1145,Inputs!$B$6:$D$6,0)),IF(=INDEX(Roster!$B$6:$B$108,MATCH(D1145,Roster!$A$6:$A$108,0))="Assistant Principal",INDEX(Inputs!$B$12:$D$12,1,MATCH(A1145,Inputs!$B$6:$D$6,0)),0))))</x:f>
        <x:v>0</x:v>
      </x:c>
      <x:c r="L1145" s="20" t="n">
        <x:f>IF(INDEX(Roster!$D$6:$D$108,MATCH(D1145,Roster!$A$6:$A$108,0))&gt;=25,INDEX(Inputs!$B$19:$D$19,1,MATCH(A1145,Inputs!$B$6:$D$6,0)),IF(INDEX(Roster!$D$6:$D$108,MATCH(D1145,Roster!$A$6:$A$108,0))&gt;=20,INDEX(Inputs!$B$18:$D$18,1,MATCH(A1145,Inputs!$B$6:$D$6,0)),IF(INDEX(Roster!$D$6:$D$108,MATCH(D1145,Roster!$A$6:$A$108,0))&gt;=15,INDEX(Inputs!$B$17:$D$17,1,MATCH(A1145,Inputs!$B$6:$D$6,0)),IF(INDEX(Roster!$D$6:$D$108,MATCH(D1145,Roster!$A$6:$A$108,0))&gt;=10,INDEX(Inputs!$B$16:$D$16,1,MATCH(A1145,Inputs!$B$6:$D$6,0)),IF(INDEX(Roster!$D$6:$D$108,MATCH(D1145,Roster!$A$6:$A$108,0))&gt;=5,INDEX(Inputs!$B$15:$D$15,1,MATCH(A1145,Inputs!$B$6:$D$6,0)),0)))))</x:f>
        <x:v>50</x:v>
      </x:c>
      <x:c r="M1145" s="20" t="n">
        <x:f>G1145*I1145</x:f>
        <x:v>31135</x:v>
      </x:c>
      <x:c r="N1145" s="20" t="n">
        <x:f>G1145*J1145</x:f>
        <x:v>260</x:v>
      </x:c>
      <x:c r="O1145" s="20" t="n">
        <x:f>G1145*K1145</x:f>
        <x:v>0</x:v>
      </x:c>
      <x:c r="P1145" s="20" t="n">
        <x:f>G1145*L1145</x:f>
        <x:v>650</x:v>
      </x:c>
      <x:c r="Q1145" s="20" t="n">
        <x:f>H1145*INDEX(Inputs!$B$13:$D$13,1,MATCH(A1145,Inputs!$B$6:$D$6,0))</x:f>
        <x:v>0</x:v>
      </x:c>
      <x:c r="R1145" s="20" t="n">
        <x:f>SUM(M1145:Q1145)</x:f>
        <x:v>32045</x:v>
      </x:c>
      <x:c r="S1145" s="20" t="n">
        <x:f>IF(AND(A1144=A1145,D1144=D1145),S1144+R1145,R1145)</x:f>
        <x:v>129350</x:v>
      </x:c>
      <x:c r="T1145" s="20" t="n">
        <x:f>MIN(S1145,INDEX(Inputs!$B$20:$D$20,1,MATCH(A1145,Inputs!$B$6:$D$6,0)))*INDEX(Inputs!$B$22:$D$22,1,MATCH(A1145,Inputs!$B$6:$D$6,0))+MAX(MIN(S1145,INDEX(Inputs!$B$21:$D$21,1,MATCH(A1145,Inputs!$B$6:$D$6,0)))-INDEX(Inputs!$B$20:$D$20,1,MATCH(A1145,Inputs!$B$6:$D$6,0)),0)*INDEX(Inputs!$B$23:$D$23,1,MATCH(A1145,Inputs!$B$6:$D$6,0))+MAX(S1145-INDEX(Inputs!$B$21:$D$21,1,MATCH(A1145,Inputs!$B$6:$D$6,0)),0)*INDEX(Inputs!$B$24:$D$24,1,MATCH(A1145,Inputs!$B$6:$D$6,0))</x:f>
        <x:v>9789.517</x:v>
      </x:c>
      <x:c r="U1145" s="20" t="n">
        <x:f>IF(AND(A1144=A1145,D1144=D1145),T1144,0)</x:f>
        <x:v>7933.8324999999995</x:v>
      </x:c>
      <x:c r="V1145" s="20" t="n">
        <x:f>T1145-U1145</x:f>
        <x:v>1855.6845000000003</x:v>
      </x:c>
      <x:c r="W1145" s="20" t="n">
        <x:f>R1145+V1145</x:f>
        <x:v>33900.6845</x:v>
      </x:c>
      <x:c r="X1145" s="14" t="str">
        <x:f>IF(ABS(W1145-SUM(M1145:Q1145)-V1145)&lt;0.01,"OK","Check")</x:f>
        <x:v>OK</x:v>
      </x:c>
    </x:row>
    <x:row r="1146">
      <x:c r="A1146" s="14" t="n">
        <x:v>2028</x:v>
      </x:c>
      <x:c r="B1146" s="14" t="str">
        <x:v>Q1</x:v>
      </x:c>
      <x:c r="C1146" s="14" t="n">
        <x:v>1</x:v>
      </x:c>
      <x:c r="D1146" s="14" t="n">
        <x:v>80</x:v>
      </x:c>
      <x:c r="E1146" s="14" t="str">
        <x:f>INDEX(Roster!$B$6:$B$108,MATCH(D1146,Roster!$A$6:$A$108,0))</x:f>
      </x:c>
      <x:c r="F1146" s="14" t="str">
        <x:f>INDEX(Roster!$F$6:$F$108,MATCH(D1146,Roster!$A$6:$A$108,0))</x:f>
        <x:v>No</x:v>
      </x:c>
      <x:c r="G1146" s="14" t="n">
        <x:f>INDEX(Inputs!$B$7:$D$7,1,MATCH(A1146,Inputs!$B$6:$D$6,0))</x:f>
        <x:v>13</x:v>
      </x:c>
      <x:c r="H1146" s="14" t="n">
        <x:f>MIN(=INDEX(Inputs!$B$7:$D$7,1,MATCH(A1146,Inputs!$B$6:$D$6,0)),MAX(0,INDEX(Inputs!$B$14:$D$14,1,MATCH(A1146,Inputs!$B$6:$D$6,0))-(C1146-1)*=INDEX(Inputs!$B$7:$D$7,1,MATCH(A1146,Inputs!$B$6:$D$6,0))))</x:f>
        <x:v>13</x:v>
      </x:c>
      <x:c r="I1146" s="20" t="n">
        <x:f>INDEX(Inputs!$B$8:$D$8,1,MATCH(A1146,Inputs!$B$6:$D$6,0))</x:f>
        <x:v>2395</x:v>
      </x:c>
      <x:c r="J1146" s="20" t="n">
        <x:f>INDEX(Roster!$C$6:$C$108,MATCH(D1146,Roster!$A$6:$A$108,0))*(1+INDEX(Inputs!$B$9:$D$9,1,MATCH(A1146,Inputs!$B$6:$D$6,0)))</x:f>
        <x:v>60</x:v>
      </x:c>
      <x:c r="K1146" s="20" t="n">
        <x:f>IF(=INDEX(Roster!$F$6:$F$108,MATCH(D1146,Roster!$A$6:$A$108,0))="Yes",0,=INDEX(Inputs!$B$8:$D$8,1,MATCH(A1146,Inputs!$B$6:$D$6,0))*IF(=INDEX(Roster!$B$6:$B$108,MATCH(D1146,Roster!$A$6:$A$108,0))="Principal",INDEX(Inputs!$B$10:$D$10,1,MATCH(A1146,Inputs!$B$6:$D$6,0)),IF(=INDEX(Roster!$B$6:$B$108,MATCH(D1146,Roster!$A$6:$A$108,0))="Associate Principal",INDEX(Inputs!$B$11:$D$11,1,MATCH(A1146,Inputs!$B$6:$D$6,0)),IF(=INDEX(Roster!$B$6:$B$108,MATCH(D1146,Roster!$A$6:$A$108,0))="Assistant Principal",INDEX(Inputs!$B$12:$D$12,1,MATCH(A1146,Inputs!$B$6:$D$6,0)),0))))</x:f>
        <x:v>0</x:v>
      </x:c>
      <x:c r="L1146" s="20" t="n">
        <x:f>IF(INDEX(Roster!$D$6:$D$108,MATCH(D1146,Roster!$A$6:$A$108,0))&gt;=25,INDEX(Inputs!$B$19:$D$19,1,MATCH(A1146,Inputs!$B$6:$D$6,0)),IF(INDEX(Roster!$D$6:$D$108,MATCH(D1146,Roster!$A$6:$A$108,0))&gt;=20,INDEX(Inputs!$B$18:$D$18,1,MATCH(A1146,Inputs!$B$6:$D$6,0)),IF(INDEX(Roster!$D$6:$D$108,MATCH(D1146,Roster!$A$6:$A$108,0))&gt;=15,INDEX(Inputs!$B$17:$D$17,1,MATCH(A1146,Inputs!$B$6:$D$6,0)),IF(INDEX(Roster!$D$6:$D$108,MATCH(D1146,Roster!$A$6:$A$108,0))&gt;=10,INDEX(Inputs!$B$16:$D$16,1,MATCH(A1146,Inputs!$B$6:$D$6,0)),IF(INDEX(Roster!$D$6:$D$108,MATCH(D1146,Roster!$A$6:$A$108,0))&gt;=5,INDEX(Inputs!$B$15:$D$15,1,MATCH(A1146,Inputs!$B$6:$D$6,0)),0)))))</x:f>
        <x:v>90</x:v>
      </x:c>
      <x:c r="M1146" s="20" t="n">
        <x:f>G1146*I1146</x:f>
        <x:v>31135</x:v>
      </x:c>
      <x:c r="N1146" s="20" t="n">
        <x:f>G1146*J1146</x:f>
        <x:v>780</x:v>
      </x:c>
      <x:c r="O1146" s="20" t="n">
        <x:f>G1146*K1146</x:f>
        <x:v>0</x:v>
      </x:c>
      <x:c r="P1146" s="20" t="n">
        <x:f>G1146*L1146</x:f>
        <x:v>1170</x:v>
      </x:c>
      <x:c r="Q1146" s="20" t="n">
        <x:f>H1146*INDEX(Inputs!$B$13:$D$13,1,MATCH(A1146,Inputs!$B$6:$D$6,0))</x:f>
        <x:v>390</x:v>
      </x:c>
      <x:c r="R1146" s="20" t="n">
        <x:f>SUM(M1146:Q1146)</x:f>
        <x:v>33475</x:v>
      </x:c>
      <x:c r="S1146" s="20" t="n">
        <x:f>IF(AND(A1145=A1146,D1145=D1146),S1145+R1146,R1146)</x:f>
        <x:v>33475</x:v>
      </x:c>
      <x:c r="T1146" s="20" t="n">
        <x:f>MIN(S1146,INDEX(Inputs!$B$20:$D$20,1,MATCH(A1146,Inputs!$B$6:$D$6,0)))*INDEX(Inputs!$B$22:$D$22,1,MATCH(A1146,Inputs!$B$6:$D$6,0))+MAX(MIN(S1146,INDEX(Inputs!$B$21:$D$21,1,MATCH(A1146,Inputs!$B$6:$D$6,0)))-INDEX(Inputs!$B$20:$D$20,1,MATCH(A1146,Inputs!$B$6:$D$6,0)),0)*INDEX(Inputs!$B$23:$D$23,1,MATCH(A1146,Inputs!$B$6:$D$6,0))+MAX(S1146-INDEX(Inputs!$B$21:$D$21,1,MATCH(A1146,Inputs!$B$6:$D$6,0)),0)*INDEX(Inputs!$B$24:$D$24,1,MATCH(A1146,Inputs!$B$6:$D$6,0))</x:f>
        <x:v>3050.8374999999996</x:v>
      </x:c>
      <x:c r="U1146" s="20" t="n">
        <x:f>IF(AND(A1145=A1146,D1145=D1146),T1145,0)</x:f>
        <x:v>0</x:v>
      </x:c>
      <x:c r="V1146" s="20" t="n">
        <x:f>T1146-U1146</x:f>
        <x:v>3050.8374999999996</x:v>
      </x:c>
      <x:c r="W1146" s="20" t="n">
        <x:f>R1146+V1146</x:f>
        <x:v>36525.8375</x:v>
      </x:c>
      <x:c r="X1146" s="14" t="str">
        <x:f>IF(ABS(W1146-SUM(M1146:Q1146)-V1146)&lt;0.01,"OK","Check")</x:f>
        <x:v>OK</x:v>
      </x:c>
    </x:row>
    <x:row r="1147">
      <x:c r="A1147" s="14" t="n">
        <x:v>2028</x:v>
      </x:c>
      <x:c r="B1147" s="14" t="str">
        <x:v>Q2</x:v>
      </x:c>
      <x:c r="C1147" s="14" t="n">
        <x:v>2</x:v>
      </x:c>
      <x:c r="D1147" s="14" t="n">
        <x:v>80</x:v>
      </x:c>
      <x:c r="E1147" s="14" t="str">
        <x:f>INDEX(Roster!$B$6:$B$108,MATCH(D1147,Roster!$A$6:$A$108,0))</x:f>
      </x:c>
      <x:c r="F1147" s="14" t="str">
        <x:f>INDEX(Roster!$F$6:$F$108,MATCH(D1147,Roster!$A$6:$A$108,0))</x:f>
        <x:v>No</x:v>
      </x:c>
      <x:c r="G1147" s="14" t="n">
        <x:f>INDEX(Inputs!$B$7:$D$7,1,MATCH(A1147,Inputs!$B$6:$D$6,0))</x:f>
        <x:v>13</x:v>
      </x:c>
      <x:c r="H1147" s="14" t="n">
        <x:f>MIN(=INDEX(Inputs!$B$7:$D$7,1,MATCH(A1147,Inputs!$B$6:$D$6,0)),MAX(0,INDEX(Inputs!$B$14:$D$14,1,MATCH(A1147,Inputs!$B$6:$D$6,0))-(C1147-1)*=INDEX(Inputs!$B$7:$D$7,1,MATCH(A1147,Inputs!$B$6:$D$6,0))))</x:f>
        <x:v>13</x:v>
      </x:c>
      <x:c r="I1147" s="20" t="n">
        <x:f>INDEX(Inputs!$B$8:$D$8,1,MATCH(A1147,Inputs!$B$6:$D$6,0))</x:f>
        <x:v>2395</x:v>
      </x:c>
      <x:c r="J1147" s="20" t="n">
        <x:f>INDEX(Roster!$C$6:$C$108,MATCH(D1147,Roster!$A$6:$A$108,0))*(1+INDEX(Inputs!$B$9:$D$9,1,MATCH(A1147,Inputs!$B$6:$D$6,0)))</x:f>
        <x:v>60</x:v>
      </x:c>
      <x:c r="K1147" s="20" t="n">
        <x:f>IF(=INDEX(Roster!$F$6:$F$108,MATCH(D1147,Roster!$A$6:$A$108,0))="Yes",0,=INDEX(Inputs!$B$8:$D$8,1,MATCH(A1147,Inputs!$B$6:$D$6,0))*IF(=INDEX(Roster!$B$6:$B$108,MATCH(D1147,Roster!$A$6:$A$108,0))="Principal",INDEX(Inputs!$B$10:$D$10,1,MATCH(A1147,Inputs!$B$6:$D$6,0)),IF(=INDEX(Roster!$B$6:$B$108,MATCH(D1147,Roster!$A$6:$A$108,0))="Associate Principal",INDEX(Inputs!$B$11:$D$11,1,MATCH(A1147,Inputs!$B$6:$D$6,0)),IF(=INDEX(Roster!$B$6:$B$108,MATCH(D1147,Roster!$A$6:$A$108,0))="Assistant Principal",INDEX(Inputs!$B$12:$D$12,1,MATCH(A1147,Inputs!$B$6:$D$6,0)),0))))</x:f>
        <x:v>0</x:v>
      </x:c>
      <x:c r="L1147" s="20" t="n">
        <x:f>IF(INDEX(Roster!$D$6:$D$108,MATCH(D1147,Roster!$A$6:$A$108,0))&gt;=25,INDEX(Inputs!$B$19:$D$19,1,MATCH(A1147,Inputs!$B$6:$D$6,0)),IF(INDEX(Roster!$D$6:$D$108,MATCH(D1147,Roster!$A$6:$A$108,0))&gt;=20,INDEX(Inputs!$B$18:$D$18,1,MATCH(A1147,Inputs!$B$6:$D$6,0)),IF(INDEX(Roster!$D$6:$D$108,MATCH(D1147,Roster!$A$6:$A$108,0))&gt;=15,INDEX(Inputs!$B$17:$D$17,1,MATCH(A1147,Inputs!$B$6:$D$6,0)),IF(INDEX(Roster!$D$6:$D$108,MATCH(D1147,Roster!$A$6:$A$108,0))&gt;=10,INDEX(Inputs!$B$16:$D$16,1,MATCH(A1147,Inputs!$B$6:$D$6,0)),IF(INDEX(Roster!$D$6:$D$108,MATCH(D1147,Roster!$A$6:$A$108,0))&gt;=5,INDEX(Inputs!$B$15:$D$15,1,MATCH(A1147,Inputs!$B$6:$D$6,0)),0)))))</x:f>
        <x:v>90</x:v>
      </x:c>
      <x:c r="M1147" s="20" t="n">
        <x:f>G1147*I1147</x:f>
        <x:v>31135</x:v>
      </x:c>
      <x:c r="N1147" s="20" t="n">
        <x:f>G1147*J1147</x:f>
        <x:v>780</x:v>
      </x:c>
      <x:c r="O1147" s="20" t="n">
        <x:f>G1147*K1147</x:f>
        <x:v>0</x:v>
      </x:c>
      <x:c r="P1147" s="20" t="n">
        <x:f>G1147*L1147</x:f>
        <x:v>1170</x:v>
      </x:c>
      <x:c r="Q1147" s="20" t="n">
        <x:f>H1147*INDEX(Inputs!$B$13:$D$13,1,MATCH(A1147,Inputs!$B$6:$D$6,0))</x:f>
        <x:v>390</x:v>
      </x:c>
      <x:c r="R1147" s="20" t="n">
        <x:f>SUM(M1147:Q1147)</x:f>
        <x:v>33475</x:v>
      </x:c>
      <x:c r="S1147" s="20" t="n">
        <x:f>IF(AND(A1146=A1147,D1146=D1147),S1146+R1147,R1147)</x:f>
        <x:v>66950</x:v>
      </x:c>
      <x:c r="T1147" s="20" t="n">
        <x:f>MIN(S1147,INDEX(Inputs!$B$20:$D$20,1,MATCH(A1147,Inputs!$B$6:$D$6,0)))*INDEX(Inputs!$B$22:$D$22,1,MATCH(A1147,Inputs!$B$6:$D$6,0))+MAX(MIN(S1147,INDEX(Inputs!$B$21:$D$21,1,MATCH(A1147,Inputs!$B$6:$D$6,0)))-INDEX(Inputs!$B$20:$D$20,1,MATCH(A1147,Inputs!$B$6:$D$6,0)),0)*INDEX(Inputs!$B$23:$D$23,1,MATCH(A1147,Inputs!$B$6:$D$6,0))+MAX(S1147-INDEX(Inputs!$B$21:$D$21,1,MATCH(A1147,Inputs!$B$6:$D$6,0)),0)*INDEX(Inputs!$B$24:$D$24,1,MATCH(A1147,Inputs!$B$6:$D$6,0))</x:f>
        <x:v>5611.675</x:v>
      </x:c>
      <x:c r="U1147" s="20" t="n">
        <x:f>IF(AND(A1146=A1147,D1146=D1147),T1146,0)</x:f>
        <x:v>3050.8374999999996</x:v>
      </x:c>
      <x:c r="V1147" s="20" t="n">
        <x:f>T1147-U1147</x:f>
        <x:v>2560.8375000000005</x:v>
      </x:c>
      <x:c r="W1147" s="20" t="n">
        <x:f>R1147+V1147</x:f>
        <x:v>36035.8375</x:v>
      </x:c>
      <x:c r="X1147" s="14" t="str">
        <x:f>IF(ABS(W1147-SUM(M1147:Q1147)-V1147)&lt;0.01,"OK","Check")</x:f>
        <x:v>OK</x:v>
      </x:c>
    </x:row>
    <x:row r="1148">
      <x:c r="A1148" s="14" t="n">
        <x:v>2028</x:v>
      </x:c>
      <x:c r="B1148" s="14" t="str">
        <x:v>Q3</x:v>
      </x:c>
      <x:c r="C1148" s="14" t="n">
        <x:v>3</x:v>
      </x:c>
      <x:c r="D1148" s="14" t="n">
        <x:v>80</x:v>
      </x:c>
      <x:c r="E1148" s="14" t="str">
        <x:f>INDEX(Roster!$B$6:$B$108,MATCH(D1148,Roster!$A$6:$A$108,0))</x:f>
      </x:c>
      <x:c r="F1148" s="14" t="str">
        <x:f>INDEX(Roster!$F$6:$F$108,MATCH(D1148,Roster!$A$6:$A$108,0))</x:f>
        <x:v>No</x:v>
      </x:c>
      <x:c r="G1148" s="14" t="n">
        <x:f>INDEX(Inputs!$B$7:$D$7,1,MATCH(A1148,Inputs!$B$6:$D$6,0))</x:f>
        <x:v>13</x:v>
      </x:c>
      <x:c r="H1148" s="14" t="n">
        <x:f>MIN(=INDEX(Inputs!$B$7:$D$7,1,MATCH(A1148,Inputs!$B$6:$D$6,0)),MAX(0,INDEX(Inputs!$B$14:$D$14,1,MATCH(A1148,Inputs!$B$6:$D$6,0))-(C1148-1)*=INDEX(Inputs!$B$7:$D$7,1,MATCH(A1148,Inputs!$B$6:$D$6,0))))</x:f>
        <x:v>13</x:v>
      </x:c>
      <x:c r="I1148" s="20" t="n">
        <x:f>INDEX(Inputs!$B$8:$D$8,1,MATCH(A1148,Inputs!$B$6:$D$6,0))</x:f>
        <x:v>2395</x:v>
      </x:c>
      <x:c r="J1148" s="20" t="n">
        <x:f>INDEX(Roster!$C$6:$C$108,MATCH(D1148,Roster!$A$6:$A$108,0))*(1+INDEX(Inputs!$B$9:$D$9,1,MATCH(A1148,Inputs!$B$6:$D$6,0)))</x:f>
        <x:v>60</x:v>
      </x:c>
      <x:c r="K1148" s="20" t="n">
        <x:f>IF(=INDEX(Roster!$F$6:$F$108,MATCH(D1148,Roster!$A$6:$A$108,0))="Yes",0,=INDEX(Inputs!$B$8:$D$8,1,MATCH(A1148,Inputs!$B$6:$D$6,0))*IF(=INDEX(Roster!$B$6:$B$108,MATCH(D1148,Roster!$A$6:$A$108,0))="Principal",INDEX(Inputs!$B$10:$D$10,1,MATCH(A1148,Inputs!$B$6:$D$6,0)),IF(=INDEX(Roster!$B$6:$B$108,MATCH(D1148,Roster!$A$6:$A$108,0))="Associate Principal",INDEX(Inputs!$B$11:$D$11,1,MATCH(A1148,Inputs!$B$6:$D$6,0)),IF(=INDEX(Roster!$B$6:$B$108,MATCH(D1148,Roster!$A$6:$A$108,0))="Assistant Principal",INDEX(Inputs!$B$12:$D$12,1,MATCH(A1148,Inputs!$B$6:$D$6,0)),0))))</x:f>
        <x:v>0</x:v>
      </x:c>
      <x:c r="L1148" s="20" t="n">
        <x:f>IF(INDEX(Roster!$D$6:$D$108,MATCH(D1148,Roster!$A$6:$A$108,0))&gt;=25,INDEX(Inputs!$B$19:$D$19,1,MATCH(A1148,Inputs!$B$6:$D$6,0)),IF(INDEX(Roster!$D$6:$D$108,MATCH(D1148,Roster!$A$6:$A$108,0))&gt;=20,INDEX(Inputs!$B$18:$D$18,1,MATCH(A1148,Inputs!$B$6:$D$6,0)),IF(INDEX(Roster!$D$6:$D$108,MATCH(D1148,Roster!$A$6:$A$108,0))&gt;=15,INDEX(Inputs!$B$17:$D$17,1,MATCH(A1148,Inputs!$B$6:$D$6,0)),IF(INDEX(Roster!$D$6:$D$108,MATCH(D1148,Roster!$A$6:$A$108,0))&gt;=10,INDEX(Inputs!$B$16:$D$16,1,MATCH(A1148,Inputs!$B$6:$D$6,0)),IF(INDEX(Roster!$D$6:$D$108,MATCH(D1148,Roster!$A$6:$A$108,0))&gt;=5,INDEX(Inputs!$B$15:$D$15,1,MATCH(A1148,Inputs!$B$6:$D$6,0)),0)))))</x:f>
        <x:v>90</x:v>
      </x:c>
      <x:c r="M1148" s="20" t="n">
        <x:f>G1148*I1148</x:f>
        <x:v>31135</x:v>
      </x:c>
      <x:c r="N1148" s="20" t="n">
        <x:f>G1148*J1148</x:f>
        <x:v>780</x:v>
      </x:c>
      <x:c r="O1148" s="20" t="n">
        <x:f>G1148*K1148</x:f>
        <x:v>0</x:v>
      </x:c>
      <x:c r="P1148" s="20" t="n">
        <x:f>G1148*L1148</x:f>
        <x:v>1170</x:v>
      </x:c>
      <x:c r="Q1148" s="20" t="n">
        <x:f>H1148*INDEX(Inputs!$B$13:$D$13,1,MATCH(A1148,Inputs!$B$6:$D$6,0))</x:f>
        <x:v>390</x:v>
      </x:c>
      <x:c r="R1148" s="20" t="n">
        <x:f>SUM(M1148:Q1148)</x:f>
        <x:v>33475</x:v>
      </x:c>
      <x:c r="S1148" s="20" t="n">
        <x:f>IF(AND(A1147=A1148,D1147=D1148),S1147+R1148,R1148)</x:f>
        <x:v>100425</x:v>
      </x:c>
      <x:c r="T1148" s="20" t="n">
        <x:f>MIN(S1148,INDEX(Inputs!$B$20:$D$20,1,MATCH(A1148,Inputs!$B$6:$D$6,0)))*INDEX(Inputs!$B$22:$D$22,1,MATCH(A1148,Inputs!$B$6:$D$6,0))+MAX(MIN(S1148,INDEX(Inputs!$B$21:$D$21,1,MATCH(A1148,Inputs!$B$6:$D$6,0)))-INDEX(Inputs!$B$20:$D$20,1,MATCH(A1148,Inputs!$B$6:$D$6,0)),0)*INDEX(Inputs!$B$23:$D$23,1,MATCH(A1148,Inputs!$B$6:$D$6,0))+MAX(S1148-INDEX(Inputs!$B$21:$D$21,1,MATCH(A1148,Inputs!$B$6:$D$6,0)),0)*INDEX(Inputs!$B$24:$D$24,1,MATCH(A1148,Inputs!$B$6:$D$6,0))</x:f>
        <x:v>8172.5125</x:v>
      </x:c>
      <x:c r="U1148" s="20" t="n">
        <x:f>IF(AND(A1147=A1148,D1147=D1148),T1147,0)</x:f>
        <x:v>5611.675</x:v>
      </x:c>
      <x:c r="V1148" s="20" t="n">
        <x:f>T1148-U1148</x:f>
        <x:v>2560.8374999999996</x:v>
      </x:c>
      <x:c r="W1148" s="20" t="n">
        <x:f>R1148+V1148</x:f>
        <x:v>36035.8375</x:v>
      </x:c>
      <x:c r="X1148" s="14" t="str">
        <x:f>IF(ABS(W1148-SUM(M1148:Q1148)-V1148)&lt;0.01,"OK","Check")</x:f>
        <x:v>OK</x:v>
      </x:c>
    </x:row>
    <x:row r="1149">
      <x:c r="A1149" s="14" t="n">
        <x:v>2028</x:v>
      </x:c>
      <x:c r="B1149" s="14" t="str">
        <x:v>Q4</x:v>
      </x:c>
      <x:c r="C1149" s="14" t="n">
        <x:v>4</x:v>
      </x:c>
      <x:c r="D1149" s="14" t="n">
        <x:v>80</x:v>
      </x:c>
      <x:c r="E1149" s="14" t="str">
        <x:f>INDEX(Roster!$B$6:$B$108,MATCH(D1149,Roster!$A$6:$A$108,0))</x:f>
      </x:c>
      <x:c r="F1149" s="14" t="str">
        <x:f>INDEX(Roster!$F$6:$F$108,MATCH(D1149,Roster!$A$6:$A$108,0))</x:f>
        <x:v>No</x:v>
      </x:c>
      <x:c r="G1149" s="14" t="n">
        <x:f>INDEX(Inputs!$B$7:$D$7,1,MATCH(A1149,Inputs!$B$6:$D$6,0))</x:f>
        <x:v>13</x:v>
      </x:c>
      <x:c r="H1149" s="14" t="n">
        <x:f>MIN(=INDEX(Inputs!$B$7:$D$7,1,MATCH(A1149,Inputs!$B$6:$D$6,0)),MAX(0,INDEX(Inputs!$B$14:$D$14,1,MATCH(A1149,Inputs!$B$6:$D$6,0))-(C1149-1)*=INDEX(Inputs!$B$7:$D$7,1,MATCH(A1149,Inputs!$B$6:$D$6,0))))</x:f>
        <x:v>0</x:v>
      </x:c>
      <x:c r="I1149" s="20" t="n">
        <x:f>INDEX(Inputs!$B$8:$D$8,1,MATCH(A1149,Inputs!$B$6:$D$6,0))</x:f>
        <x:v>2395</x:v>
      </x:c>
      <x:c r="J1149" s="20" t="n">
        <x:f>INDEX(Roster!$C$6:$C$108,MATCH(D1149,Roster!$A$6:$A$108,0))*(1+INDEX(Inputs!$B$9:$D$9,1,MATCH(A1149,Inputs!$B$6:$D$6,0)))</x:f>
        <x:v>60</x:v>
      </x:c>
      <x:c r="K1149" s="20" t="n">
        <x:f>IF(=INDEX(Roster!$F$6:$F$108,MATCH(D1149,Roster!$A$6:$A$108,0))="Yes",0,=INDEX(Inputs!$B$8:$D$8,1,MATCH(A1149,Inputs!$B$6:$D$6,0))*IF(=INDEX(Roster!$B$6:$B$108,MATCH(D1149,Roster!$A$6:$A$108,0))="Principal",INDEX(Inputs!$B$10:$D$10,1,MATCH(A1149,Inputs!$B$6:$D$6,0)),IF(=INDEX(Roster!$B$6:$B$108,MATCH(D1149,Roster!$A$6:$A$108,0))="Associate Principal",INDEX(Inputs!$B$11:$D$11,1,MATCH(A1149,Inputs!$B$6:$D$6,0)),IF(=INDEX(Roster!$B$6:$B$108,MATCH(D1149,Roster!$A$6:$A$108,0))="Assistant Principal",INDEX(Inputs!$B$12:$D$12,1,MATCH(A1149,Inputs!$B$6:$D$6,0)),0))))</x:f>
        <x:v>0</x:v>
      </x:c>
      <x:c r="L1149" s="20" t="n">
        <x:f>IF(INDEX(Roster!$D$6:$D$108,MATCH(D1149,Roster!$A$6:$A$108,0))&gt;=25,INDEX(Inputs!$B$19:$D$19,1,MATCH(A1149,Inputs!$B$6:$D$6,0)),IF(INDEX(Roster!$D$6:$D$108,MATCH(D1149,Roster!$A$6:$A$108,0))&gt;=20,INDEX(Inputs!$B$18:$D$18,1,MATCH(A1149,Inputs!$B$6:$D$6,0)),IF(INDEX(Roster!$D$6:$D$108,MATCH(D1149,Roster!$A$6:$A$108,0))&gt;=15,INDEX(Inputs!$B$17:$D$17,1,MATCH(A1149,Inputs!$B$6:$D$6,0)),IF(INDEX(Roster!$D$6:$D$108,MATCH(D1149,Roster!$A$6:$A$108,0))&gt;=10,INDEX(Inputs!$B$16:$D$16,1,MATCH(A1149,Inputs!$B$6:$D$6,0)),IF(INDEX(Roster!$D$6:$D$108,MATCH(D1149,Roster!$A$6:$A$108,0))&gt;=5,INDEX(Inputs!$B$15:$D$15,1,MATCH(A1149,Inputs!$B$6:$D$6,0)),0)))))</x:f>
        <x:v>90</x:v>
      </x:c>
      <x:c r="M1149" s="20" t="n">
        <x:f>G1149*I1149</x:f>
        <x:v>31135</x:v>
      </x:c>
      <x:c r="N1149" s="20" t="n">
        <x:f>G1149*J1149</x:f>
        <x:v>780</x:v>
      </x:c>
      <x:c r="O1149" s="20" t="n">
        <x:f>G1149*K1149</x:f>
        <x:v>0</x:v>
      </x:c>
      <x:c r="P1149" s="20" t="n">
        <x:f>G1149*L1149</x:f>
        <x:v>1170</x:v>
      </x:c>
      <x:c r="Q1149" s="20" t="n">
        <x:f>H1149*INDEX(Inputs!$B$13:$D$13,1,MATCH(A1149,Inputs!$B$6:$D$6,0))</x:f>
        <x:v>0</x:v>
      </x:c>
      <x:c r="R1149" s="20" t="n">
        <x:f>SUM(M1149:Q1149)</x:f>
        <x:v>33085</x:v>
      </x:c>
      <x:c r="S1149" s="20" t="n">
        <x:f>IF(AND(A1148=A1149,D1148=D1149),S1148+R1149,R1149)</x:f>
        <x:v>133510</x:v>
      </x:c>
      <x:c r="T1149" s="20" t="n">
        <x:f>MIN(S1149,INDEX(Inputs!$B$20:$D$20,1,MATCH(A1149,Inputs!$B$6:$D$6,0)))*INDEX(Inputs!$B$22:$D$22,1,MATCH(A1149,Inputs!$B$6:$D$6,0))+MAX(MIN(S1149,INDEX(Inputs!$B$21:$D$21,1,MATCH(A1149,Inputs!$B$6:$D$6,0)))-INDEX(Inputs!$B$20:$D$20,1,MATCH(A1149,Inputs!$B$6:$D$6,0)),0)*INDEX(Inputs!$B$23:$D$23,1,MATCH(A1149,Inputs!$B$6:$D$6,0))+MAX(S1149-INDEX(Inputs!$B$21:$D$21,1,MATCH(A1149,Inputs!$B$6:$D$6,0)),0)*INDEX(Inputs!$B$24:$D$24,1,MATCH(A1149,Inputs!$B$6:$D$6,0))</x:f>
        <x:v>9849.837</x:v>
      </x:c>
      <x:c r="U1149" s="20" t="n">
        <x:f>IF(AND(A1148=A1149,D1148=D1149),T1148,0)</x:f>
        <x:v>8172.5125</x:v>
      </x:c>
      <x:c r="V1149" s="20" t="n">
        <x:f>T1149-U1149</x:f>
        <x:v>1677.3244999999997</x:v>
      </x:c>
      <x:c r="W1149" s="20" t="n">
        <x:f>R1149+V1149</x:f>
        <x:v>34762.3245</x:v>
      </x:c>
      <x:c r="X1149" s="14" t="str">
        <x:f>IF(ABS(W1149-SUM(M1149:Q1149)-V1149)&lt;0.01,"OK","Check")</x:f>
        <x:v>OK</x:v>
      </x:c>
    </x:row>
    <x:row r="1150">
      <x:c r="A1150" s="14" t="n">
        <x:v>2028</x:v>
      </x:c>
      <x:c r="B1150" s="14" t="str">
        <x:v>Q1</x:v>
      </x:c>
      <x:c r="C1150" s="14" t="n">
        <x:v>1</x:v>
      </x:c>
      <x:c r="D1150" s="14" t="n">
        <x:v>81</x:v>
      </x:c>
      <x:c r="E1150" s="14" t="str">
        <x:f>INDEX(Roster!$B$6:$B$108,MATCH(D1150,Roster!$A$6:$A$108,0))</x:f>
      </x:c>
      <x:c r="F1150" s="14" t="str">
        <x:f>INDEX(Roster!$F$6:$F$108,MATCH(D1150,Roster!$A$6:$A$108,0))</x:f>
        <x:v>No</x:v>
      </x:c>
      <x:c r="G1150" s="14" t="n">
        <x:f>INDEX(Inputs!$B$7:$D$7,1,MATCH(A1150,Inputs!$B$6:$D$6,0))</x:f>
        <x:v>13</x:v>
      </x:c>
      <x:c r="H1150" s="14" t="n">
        <x:f>MIN(=INDEX(Inputs!$B$7:$D$7,1,MATCH(A1150,Inputs!$B$6:$D$6,0)),MAX(0,INDEX(Inputs!$B$14:$D$14,1,MATCH(A1150,Inputs!$B$6:$D$6,0))-(C1150-1)*=INDEX(Inputs!$B$7:$D$7,1,MATCH(A1150,Inputs!$B$6:$D$6,0))))</x:f>
        <x:v>13</x:v>
      </x:c>
      <x:c r="I1150" s="20" t="n">
        <x:f>INDEX(Inputs!$B$8:$D$8,1,MATCH(A1150,Inputs!$B$6:$D$6,0))</x:f>
        <x:v>2395</x:v>
      </x:c>
      <x:c r="J1150" s="20" t="n">
        <x:f>INDEX(Roster!$C$6:$C$108,MATCH(D1150,Roster!$A$6:$A$108,0))*(1+INDEX(Inputs!$B$9:$D$9,1,MATCH(A1150,Inputs!$B$6:$D$6,0)))</x:f>
        <x:v>400</x:v>
      </x:c>
      <x:c r="K1150" s="20" t="n">
        <x:f>IF(=INDEX(Roster!$F$6:$F$108,MATCH(D1150,Roster!$A$6:$A$108,0))="Yes",0,=INDEX(Inputs!$B$8:$D$8,1,MATCH(A1150,Inputs!$B$6:$D$6,0))*IF(=INDEX(Roster!$B$6:$B$108,MATCH(D1150,Roster!$A$6:$A$108,0))="Principal",INDEX(Inputs!$B$10:$D$10,1,MATCH(A1150,Inputs!$B$6:$D$6,0)),IF(=INDEX(Roster!$B$6:$B$108,MATCH(D1150,Roster!$A$6:$A$108,0))="Associate Principal",INDEX(Inputs!$B$11:$D$11,1,MATCH(A1150,Inputs!$B$6:$D$6,0)),IF(=INDEX(Roster!$B$6:$B$108,MATCH(D1150,Roster!$A$6:$A$108,0))="Assistant Principal",INDEX(Inputs!$B$12:$D$12,1,MATCH(A1150,Inputs!$B$6:$D$6,0)),0))))</x:f>
        <x:v>0</x:v>
      </x:c>
      <x:c r="L1150" s="20" t="n">
        <x:f>IF(INDEX(Roster!$D$6:$D$108,MATCH(D1150,Roster!$A$6:$A$108,0))&gt;=25,INDEX(Inputs!$B$19:$D$19,1,MATCH(A1150,Inputs!$B$6:$D$6,0)),IF(INDEX(Roster!$D$6:$D$108,MATCH(D1150,Roster!$A$6:$A$108,0))&gt;=20,INDEX(Inputs!$B$18:$D$18,1,MATCH(A1150,Inputs!$B$6:$D$6,0)),IF(INDEX(Roster!$D$6:$D$108,MATCH(D1150,Roster!$A$6:$A$108,0))&gt;=15,INDEX(Inputs!$B$17:$D$17,1,MATCH(A1150,Inputs!$B$6:$D$6,0)),IF(INDEX(Roster!$D$6:$D$108,MATCH(D1150,Roster!$A$6:$A$108,0))&gt;=10,INDEX(Inputs!$B$16:$D$16,1,MATCH(A1150,Inputs!$B$6:$D$6,0)),IF(INDEX(Roster!$D$6:$D$108,MATCH(D1150,Roster!$A$6:$A$108,0))&gt;=5,INDEX(Inputs!$B$15:$D$15,1,MATCH(A1150,Inputs!$B$6:$D$6,0)),0)))))</x:f>
        <x:v>90</x:v>
      </x:c>
      <x:c r="M1150" s="20" t="n">
        <x:f>G1150*I1150</x:f>
        <x:v>31135</x:v>
      </x:c>
      <x:c r="N1150" s="20" t="n">
        <x:f>G1150*J1150</x:f>
        <x:v>5200</x:v>
      </x:c>
      <x:c r="O1150" s="20" t="n">
        <x:f>G1150*K1150</x:f>
        <x:v>0</x:v>
      </x:c>
      <x:c r="P1150" s="20" t="n">
        <x:f>G1150*L1150</x:f>
        <x:v>1170</x:v>
      </x:c>
      <x:c r="Q1150" s="20" t="n">
        <x:f>H1150*INDEX(Inputs!$B$13:$D$13,1,MATCH(A1150,Inputs!$B$6:$D$6,0))</x:f>
        <x:v>390</x:v>
      </x:c>
      <x:c r="R1150" s="20" t="n">
        <x:f>SUM(M1150:Q1150)</x:f>
        <x:v>37895</x:v>
      </x:c>
      <x:c r="S1150" s="20" t="n">
        <x:f>IF(AND(A1149=A1150,D1149=D1150),S1149+R1150,R1150)</x:f>
        <x:v>37895</x:v>
      </x:c>
      <x:c r="T1150" s="20" t="n">
        <x:f>MIN(S1150,INDEX(Inputs!$B$20:$D$20,1,MATCH(A1150,Inputs!$B$6:$D$6,0)))*INDEX(Inputs!$B$22:$D$22,1,MATCH(A1150,Inputs!$B$6:$D$6,0))+MAX(MIN(S1150,INDEX(Inputs!$B$21:$D$21,1,MATCH(A1150,Inputs!$B$6:$D$6,0)))-INDEX(Inputs!$B$20:$D$20,1,MATCH(A1150,Inputs!$B$6:$D$6,0)),0)*INDEX(Inputs!$B$23:$D$23,1,MATCH(A1150,Inputs!$B$6:$D$6,0))+MAX(S1150-INDEX(Inputs!$B$21:$D$21,1,MATCH(A1150,Inputs!$B$6:$D$6,0)),0)*INDEX(Inputs!$B$24:$D$24,1,MATCH(A1150,Inputs!$B$6:$D$6,0))</x:f>
        <x:v>3388.9674999999997</x:v>
      </x:c>
      <x:c r="U1150" s="20" t="n">
        <x:f>IF(AND(A1149=A1150,D1149=D1150),T1149,0)</x:f>
        <x:v>0</x:v>
      </x:c>
      <x:c r="V1150" s="20" t="n">
        <x:f>T1150-U1150</x:f>
        <x:v>3388.9674999999997</x:v>
      </x:c>
      <x:c r="W1150" s="20" t="n">
        <x:f>R1150+V1150</x:f>
        <x:v>41283.9675</x:v>
      </x:c>
      <x:c r="X1150" s="14" t="str">
        <x:f>IF(ABS(W1150-SUM(M1150:Q1150)-V1150)&lt;0.01,"OK","Check")</x:f>
        <x:v>OK</x:v>
      </x:c>
    </x:row>
    <x:row r="1151">
      <x:c r="A1151" s="14" t="n">
        <x:v>2028</x:v>
      </x:c>
      <x:c r="B1151" s="14" t="str">
        <x:v>Q2</x:v>
      </x:c>
      <x:c r="C1151" s="14" t="n">
        <x:v>2</x:v>
      </x:c>
      <x:c r="D1151" s="14" t="n">
        <x:v>81</x:v>
      </x:c>
      <x:c r="E1151" s="14" t="str">
        <x:f>INDEX(Roster!$B$6:$B$108,MATCH(D1151,Roster!$A$6:$A$108,0))</x:f>
      </x:c>
      <x:c r="F1151" s="14" t="str">
        <x:f>INDEX(Roster!$F$6:$F$108,MATCH(D1151,Roster!$A$6:$A$108,0))</x:f>
        <x:v>No</x:v>
      </x:c>
      <x:c r="G1151" s="14" t="n">
        <x:f>INDEX(Inputs!$B$7:$D$7,1,MATCH(A1151,Inputs!$B$6:$D$6,0))</x:f>
        <x:v>13</x:v>
      </x:c>
      <x:c r="H1151" s="14" t="n">
        <x:f>MIN(=INDEX(Inputs!$B$7:$D$7,1,MATCH(A1151,Inputs!$B$6:$D$6,0)),MAX(0,INDEX(Inputs!$B$14:$D$14,1,MATCH(A1151,Inputs!$B$6:$D$6,0))-(C1151-1)*=INDEX(Inputs!$B$7:$D$7,1,MATCH(A1151,Inputs!$B$6:$D$6,0))))</x:f>
        <x:v>13</x:v>
      </x:c>
      <x:c r="I1151" s="20" t="n">
        <x:f>INDEX(Inputs!$B$8:$D$8,1,MATCH(A1151,Inputs!$B$6:$D$6,0))</x:f>
        <x:v>2395</x:v>
      </x:c>
      <x:c r="J1151" s="20" t="n">
        <x:f>INDEX(Roster!$C$6:$C$108,MATCH(D1151,Roster!$A$6:$A$108,0))*(1+INDEX(Inputs!$B$9:$D$9,1,MATCH(A1151,Inputs!$B$6:$D$6,0)))</x:f>
        <x:v>400</x:v>
      </x:c>
      <x:c r="K1151" s="20" t="n">
        <x:f>IF(=INDEX(Roster!$F$6:$F$108,MATCH(D1151,Roster!$A$6:$A$108,0))="Yes",0,=INDEX(Inputs!$B$8:$D$8,1,MATCH(A1151,Inputs!$B$6:$D$6,0))*IF(=INDEX(Roster!$B$6:$B$108,MATCH(D1151,Roster!$A$6:$A$108,0))="Principal",INDEX(Inputs!$B$10:$D$10,1,MATCH(A1151,Inputs!$B$6:$D$6,0)),IF(=INDEX(Roster!$B$6:$B$108,MATCH(D1151,Roster!$A$6:$A$108,0))="Associate Principal",INDEX(Inputs!$B$11:$D$11,1,MATCH(A1151,Inputs!$B$6:$D$6,0)),IF(=INDEX(Roster!$B$6:$B$108,MATCH(D1151,Roster!$A$6:$A$108,0))="Assistant Principal",INDEX(Inputs!$B$12:$D$12,1,MATCH(A1151,Inputs!$B$6:$D$6,0)),0))))</x:f>
        <x:v>0</x:v>
      </x:c>
      <x:c r="L1151" s="20" t="n">
        <x:f>IF(INDEX(Roster!$D$6:$D$108,MATCH(D1151,Roster!$A$6:$A$108,0))&gt;=25,INDEX(Inputs!$B$19:$D$19,1,MATCH(A1151,Inputs!$B$6:$D$6,0)),IF(INDEX(Roster!$D$6:$D$108,MATCH(D1151,Roster!$A$6:$A$108,0))&gt;=20,INDEX(Inputs!$B$18:$D$18,1,MATCH(A1151,Inputs!$B$6:$D$6,0)),IF(INDEX(Roster!$D$6:$D$108,MATCH(D1151,Roster!$A$6:$A$108,0))&gt;=15,INDEX(Inputs!$B$17:$D$17,1,MATCH(A1151,Inputs!$B$6:$D$6,0)),IF(INDEX(Roster!$D$6:$D$108,MATCH(D1151,Roster!$A$6:$A$108,0))&gt;=10,INDEX(Inputs!$B$16:$D$16,1,MATCH(A1151,Inputs!$B$6:$D$6,0)),IF(INDEX(Roster!$D$6:$D$108,MATCH(D1151,Roster!$A$6:$A$108,0))&gt;=5,INDEX(Inputs!$B$15:$D$15,1,MATCH(A1151,Inputs!$B$6:$D$6,0)),0)))))</x:f>
        <x:v>90</x:v>
      </x:c>
      <x:c r="M1151" s="20" t="n">
        <x:f>G1151*I1151</x:f>
        <x:v>31135</x:v>
      </x:c>
      <x:c r="N1151" s="20" t="n">
        <x:f>G1151*J1151</x:f>
        <x:v>5200</x:v>
      </x:c>
      <x:c r="O1151" s="20" t="n">
        <x:f>G1151*K1151</x:f>
        <x:v>0</x:v>
      </x:c>
      <x:c r="P1151" s="20" t="n">
        <x:f>G1151*L1151</x:f>
        <x:v>1170</x:v>
      </x:c>
      <x:c r="Q1151" s="20" t="n">
        <x:f>H1151*INDEX(Inputs!$B$13:$D$13,1,MATCH(A1151,Inputs!$B$6:$D$6,0))</x:f>
        <x:v>390</x:v>
      </x:c>
      <x:c r="R1151" s="20" t="n">
        <x:f>SUM(M1151:Q1151)</x:f>
        <x:v>37895</x:v>
      </x:c>
      <x:c r="S1151" s="20" t="n">
        <x:f>IF(AND(A1150=A1151,D1150=D1151),S1150+R1151,R1151)</x:f>
        <x:v>75790</x:v>
      </x:c>
      <x:c r="T1151" s="20" t="n">
        <x:f>MIN(S1151,INDEX(Inputs!$B$20:$D$20,1,MATCH(A1151,Inputs!$B$6:$D$6,0)))*INDEX(Inputs!$B$22:$D$22,1,MATCH(A1151,Inputs!$B$6:$D$6,0))+MAX(MIN(S1151,INDEX(Inputs!$B$21:$D$21,1,MATCH(A1151,Inputs!$B$6:$D$6,0)))-INDEX(Inputs!$B$20:$D$20,1,MATCH(A1151,Inputs!$B$6:$D$6,0)),0)*INDEX(Inputs!$B$23:$D$23,1,MATCH(A1151,Inputs!$B$6:$D$6,0))+MAX(S1151-INDEX(Inputs!$B$21:$D$21,1,MATCH(A1151,Inputs!$B$6:$D$6,0)),0)*INDEX(Inputs!$B$24:$D$24,1,MATCH(A1151,Inputs!$B$6:$D$6,0))</x:f>
        <x:v>6287.9349999999995</x:v>
      </x:c>
      <x:c r="U1151" s="20" t="n">
        <x:f>IF(AND(A1150=A1151,D1150=D1151),T1150,0)</x:f>
        <x:v>3388.9674999999997</x:v>
      </x:c>
      <x:c r="V1151" s="20" t="n">
        <x:f>T1151-U1151</x:f>
        <x:v>2898.9674999999997</x:v>
      </x:c>
      <x:c r="W1151" s="20" t="n">
        <x:f>R1151+V1151</x:f>
        <x:v>40793.9675</x:v>
      </x:c>
      <x:c r="X1151" s="14" t="str">
        <x:f>IF(ABS(W1151-SUM(M1151:Q1151)-V1151)&lt;0.01,"OK","Check")</x:f>
        <x:v>OK</x:v>
      </x:c>
    </x:row>
    <x:row r="1152">
      <x:c r="A1152" s="14" t="n">
        <x:v>2028</x:v>
      </x:c>
      <x:c r="B1152" s="14" t="str">
        <x:v>Q3</x:v>
      </x:c>
      <x:c r="C1152" s="14" t="n">
        <x:v>3</x:v>
      </x:c>
      <x:c r="D1152" s="14" t="n">
        <x:v>81</x:v>
      </x:c>
      <x:c r="E1152" s="14" t="str">
        <x:f>INDEX(Roster!$B$6:$B$108,MATCH(D1152,Roster!$A$6:$A$108,0))</x:f>
      </x:c>
      <x:c r="F1152" s="14" t="str">
        <x:f>INDEX(Roster!$F$6:$F$108,MATCH(D1152,Roster!$A$6:$A$108,0))</x:f>
        <x:v>No</x:v>
      </x:c>
      <x:c r="G1152" s="14" t="n">
        <x:f>INDEX(Inputs!$B$7:$D$7,1,MATCH(A1152,Inputs!$B$6:$D$6,0))</x:f>
        <x:v>13</x:v>
      </x:c>
      <x:c r="H1152" s="14" t="n">
        <x:f>MIN(=INDEX(Inputs!$B$7:$D$7,1,MATCH(A1152,Inputs!$B$6:$D$6,0)),MAX(0,INDEX(Inputs!$B$14:$D$14,1,MATCH(A1152,Inputs!$B$6:$D$6,0))-(C1152-1)*=INDEX(Inputs!$B$7:$D$7,1,MATCH(A1152,Inputs!$B$6:$D$6,0))))</x:f>
        <x:v>13</x:v>
      </x:c>
      <x:c r="I1152" s="20" t="n">
        <x:f>INDEX(Inputs!$B$8:$D$8,1,MATCH(A1152,Inputs!$B$6:$D$6,0))</x:f>
        <x:v>2395</x:v>
      </x:c>
      <x:c r="J1152" s="20" t="n">
        <x:f>INDEX(Roster!$C$6:$C$108,MATCH(D1152,Roster!$A$6:$A$108,0))*(1+INDEX(Inputs!$B$9:$D$9,1,MATCH(A1152,Inputs!$B$6:$D$6,0)))</x:f>
        <x:v>400</x:v>
      </x:c>
      <x:c r="K1152" s="20" t="n">
        <x:f>IF(=INDEX(Roster!$F$6:$F$108,MATCH(D1152,Roster!$A$6:$A$108,0))="Yes",0,=INDEX(Inputs!$B$8:$D$8,1,MATCH(A1152,Inputs!$B$6:$D$6,0))*IF(=INDEX(Roster!$B$6:$B$108,MATCH(D1152,Roster!$A$6:$A$108,0))="Principal",INDEX(Inputs!$B$10:$D$10,1,MATCH(A1152,Inputs!$B$6:$D$6,0)),IF(=INDEX(Roster!$B$6:$B$108,MATCH(D1152,Roster!$A$6:$A$108,0))="Associate Principal",INDEX(Inputs!$B$11:$D$11,1,MATCH(A1152,Inputs!$B$6:$D$6,0)),IF(=INDEX(Roster!$B$6:$B$108,MATCH(D1152,Roster!$A$6:$A$108,0))="Assistant Principal",INDEX(Inputs!$B$12:$D$12,1,MATCH(A1152,Inputs!$B$6:$D$6,0)),0))))</x:f>
        <x:v>0</x:v>
      </x:c>
      <x:c r="L1152" s="20" t="n">
        <x:f>IF(INDEX(Roster!$D$6:$D$108,MATCH(D1152,Roster!$A$6:$A$108,0))&gt;=25,INDEX(Inputs!$B$19:$D$19,1,MATCH(A1152,Inputs!$B$6:$D$6,0)),IF(INDEX(Roster!$D$6:$D$108,MATCH(D1152,Roster!$A$6:$A$108,0))&gt;=20,INDEX(Inputs!$B$18:$D$18,1,MATCH(A1152,Inputs!$B$6:$D$6,0)),IF(INDEX(Roster!$D$6:$D$108,MATCH(D1152,Roster!$A$6:$A$108,0))&gt;=15,INDEX(Inputs!$B$17:$D$17,1,MATCH(A1152,Inputs!$B$6:$D$6,0)),IF(INDEX(Roster!$D$6:$D$108,MATCH(D1152,Roster!$A$6:$A$108,0))&gt;=10,INDEX(Inputs!$B$16:$D$16,1,MATCH(A1152,Inputs!$B$6:$D$6,0)),IF(INDEX(Roster!$D$6:$D$108,MATCH(D1152,Roster!$A$6:$A$108,0))&gt;=5,INDEX(Inputs!$B$15:$D$15,1,MATCH(A1152,Inputs!$B$6:$D$6,0)),0)))))</x:f>
        <x:v>90</x:v>
      </x:c>
      <x:c r="M1152" s="20" t="n">
        <x:f>G1152*I1152</x:f>
        <x:v>31135</x:v>
      </x:c>
      <x:c r="N1152" s="20" t="n">
        <x:f>G1152*J1152</x:f>
        <x:v>5200</x:v>
      </x:c>
      <x:c r="O1152" s="20" t="n">
        <x:f>G1152*K1152</x:f>
        <x:v>0</x:v>
      </x:c>
      <x:c r="P1152" s="20" t="n">
        <x:f>G1152*L1152</x:f>
        <x:v>1170</x:v>
      </x:c>
      <x:c r="Q1152" s="20" t="n">
        <x:f>H1152*INDEX(Inputs!$B$13:$D$13,1,MATCH(A1152,Inputs!$B$6:$D$6,0))</x:f>
        <x:v>390</x:v>
      </x:c>
      <x:c r="R1152" s="20" t="n">
        <x:f>SUM(M1152:Q1152)</x:f>
        <x:v>37895</x:v>
      </x:c>
      <x:c r="S1152" s="20" t="n">
        <x:f>IF(AND(A1151=A1152,D1151=D1152),S1151+R1152,R1152)</x:f>
        <x:v>113685</x:v>
      </x:c>
      <x:c r="T1152" s="20" t="n">
        <x:f>MIN(S1152,INDEX(Inputs!$B$20:$D$20,1,MATCH(A1152,Inputs!$B$6:$D$6,0)))*INDEX(Inputs!$B$22:$D$22,1,MATCH(A1152,Inputs!$B$6:$D$6,0))+MAX(MIN(S1152,INDEX(Inputs!$B$21:$D$21,1,MATCH(A1152,Inputs!$B$6:$D$6,0)))-INDEX(Inputs!$B$20:$D$20,1,MATCH(A1152,Inputs!$B$6:$D$6,0)),0)*INDEX(Inputs!$B$23:$D$23,1,MATCH(A1152,Inputs!$B$6:$D$6,0))+MAX(S1152-INDEX(Inputs!$B$21:$D$21,1,MATCH(A1152,Inputs!$B$6:$D$6,0)),0)*INDEX(Inputs!$B$24:$D$24,1,MATCH(A1152,Inputs!$B$6:$D$6,0))</x:f>
        <x:v>9186.9025</x:v>
      </x:c>
      <x:c r="U1152" s="20" t="n">
        <x:f>IF(AND(A1151=A1152,D1151=D1152),T1151,0)</x:f>
        <x:v>6287.9349999999995</x:v>
      </x:c>
      <x:c r="V1152" s="20" t="n">
        <x:f>T1152-U1152</x:f>
        <x:v>2898.9675000000007</x:v>
      </x:c>
      <x:c r="W1152" s="20" t="n">
        <x:f>R1152+V1152</x:f>
        <x:v>40793.9675</x:v>
      </x:c>
      <x:c r="X1152" s="14" t="str">
        <x:f>IF(ABS(W1152-SUM(M1152:Q1152)-V1152)&lt;0.01,"OK","Check")</x:f>
        <x:v>OK</x:v>
      </x:c>
    </x:row>
    <x:row r="1153">
      <x:c r="A1153" s="14" t="n">
        <x:v>2028</x:v>
      </x:c>
      <x:c r="B1153" s="14" t="str">
        <x:v>Q4</x:v>
      </x:c>
      <x:c r="C1153" s="14" t="n">
        <x:v>4</x:v>
      </x:c>
      <x:c r="D1153" s="14" t="n">
        <x:v>81</x:v>
      </x:c>
      <x:c r="E1153" s="14" t="str">
        <x:f>INDEX(Roster!$B$6:$B$108,MATCH(D1153,Roster!$A$6:$A$108,0))</x:f>
      </x:c>
      <x:c r="F1153" s="14" t="str">
        <x:f>INDEX(Roster!$F$6:$F$108,MATCH(D1153,Roster!$A$6:$A$108,0))</x:f>
        <x:v>No</x:v>
      </x:c>
      <x:c r="G1153" s="14" t="n">
        <x:f>INDEX(Inputs!$B$7:$D$7,1,MATCH(A1153,Inputs!$B$6:$D$6,0))</x:f>
        <x:v>13</x:v>
      </x:c>
      <x:c r="H1153" s="14" t="n">
        <x:f>MIN(=INDEX(Inputs!$B$7:$D$7,1,MATCH(A1153,Inputs!$B$6:$D$6,0)),MAX(0,INDEX(Inputs!$B$14:$D$14,1,MATCH(A1153,Inputs!$B$6:$D$6,0))-(C1153-1)*=INDEX(Inputs!$B$7:$D$7,1,MATCH(A1153,Inputs!$B$6:$D$6,0))))</x:f>
        <x:v>0</x:v>
      </x:c>
      <x:c r="I1153" s="20" t="n">
        <x:f>INDEX(Inputs!$B$8:$D$8,1,MATCH(A1153,Inputs!$B$6:$D$6,0))</x:f>
        <x:v>2395</x:v>
      </x:c>
      <x:c r="J1153" s="20" t="n">
        <x:f>INDEX(Roster!$C$6:$C$108,MATCH(D1153,Roster!$A$6:$A$108,0))*(1+INDEX(Inputs!$B$9:$D$9,1,MATCH(A1153,Inputs!$B$6:$D$6,0)))</x:f>
        <x:v>400</x:v>
      </x:c>
      <x:c r="K1153" s="20" t="n">
        <x:f>IF(=INDEX(Roster!$F$6:$F$108,MATCH(D1153,Roster!$A$6:$A$108,0))="Yes",0,=INDEX(Inputs!$B$8:$D$8,1,MATCH(A1153,Inputs!$B$6:$D$6,0))*IF(=INDEX(Roster!$B$6:$B$108,MATCH(D1153,Roster!$A$6:$A$108,0))="Principal",INDEX(Inputs!$B$10:$D$10,1,MATCH(A1153,Inputs!$B$6:$D$6,0)),IF(=INDEX(Roster!$B$6:$B$108,MATCH(D1153,Roster!$A$6:$A$108,0))="Associate Principal",INDEX(Inputs!$B$11:$D$11,1,MATCH(A1153,Inputs!$B$6:$D$6,0)),IF(=INDEX(Roster!$B$6:$B$108,MATCH(D1153,Roster!$A$6:$A$108,0))="Assistant Principal",INDEX(Inputs!$B$12:$D$12,1,MATCH(A1153,Inputs!$B$6:$D$6,0)),0))))</x:f>
        <x:v>0</x:v>
      </x:c>
      <x:c r="L1153" s="20" t="n">
        <x:f>IF(INDEX(Roster!$D$6:$D$108,MATCH(D1153,Roster!$A$6:$A$108,0))&gt;=25,INDEX(Inputs!$B$19:$D$19,1,MATCH(A1153,Inputs!$B$6:$D$6,0)),IF(INDEX(Roster!$D$6:$D$108,MATCH(D1153,Roster!$A$6:$A$108,0))&gt;=20,INDEX(Inputs!$B$18:$D$18,1,MATCH(A1153,Inputs!$B$6:$D$6,0)),IF(INDEX(Roster!$D$6:$D$108,MATCH(D1153,Roster!$A$6:$A$108,0))&gt;=15,INDEX(Inputs!$B$17:$D$17,1,MATCH(A1153,Inputs!$B$6:$D$6,0)),IF(INDEX(Roster!$D$6:$D$108,MATCH(D1153,Roster!$A$6:$A$108,0))&gt;=10,INDEX(Inputs!$B$16:$D$16,1,MATCH(A1153,Inputs!$B$6:$D$6,0)),IF(INDEX(Roster!$D$6:$D$108,MATCH(D1153,Roster!$A$6:$A$108,0))&gt;=5,INDEX(Inputs!$B$15:$D$15,1,MATCH(A1153,Inputs!$B$6:$D$6,0)),0)))))</x:f>
        <x:v>90</x:v>
      </x:c>
      <x:c r="M1153" s="20" t="n">
        <x:f>G1153*I1153</x:f>
        <x:v>31135</x:v>
      </x:c>
      <x:c r="N1153" s="20" t="n">
        <x:f>G1153*J1153</x:f>
        <x:v>5200</x:v>
      </x:c>
      <x:c r="O1153" s="20" t="n">
        <x:f>G1153*K1153</x:f>
        <x:v>0</x:v>
      </x:c>
      <x:c r="P1153" s="20" t="n">
        <x:f>G1153*L1153</x:f>
        <x:v>1170</x:v>
      </x:c>
      <x:c r="Q1153" s="20" t="n">
        <x:f>H1153*INDEX(Inputs!$B$13:$D$13,1,MATCH(A1153,Inputs!$B$6:$D$6,0))</x:f>
        <x:v>0</x:v>
      </x:c>
      <x:c r="R1153" s="20" t="n">
        <x:f>SUM(M1153:Q1153)</x:f>
        <x:v>37505</x:v>
      </x:c>
      <x:c r="S1153" s="20" t="n">
        <x:f>IF(AND(A1152=A1153,D1152=D1153),S1152+R1153,R1153)</x:f>
        <x:v>151190</x:v>
      </x:c>
      <x:c r="T1153" s="20" t="n">
        <x:f>MIN(S1153,INDEX(Inputs!$B$20:$D$20,1,MATCH(A1153,Inputs!$B$6:$D$6,0)))*INDEX(Inputs!$B$22:$D$22,1,MATCH(A1153,Inputs!$B$6:$D$6,0))+MAX(MIN(S1153,INDEX(Inputs!$B$21:$D$21,1,MATCH(A1153,Inputs!$B$6:$D$6,0)))-INDEX(Inputs!$B$20:$D$20,1,MATCH(A1153,Inputs!$B$6:$D$6,0)),0)*INDEX(Inputs!$B$23:$D$23,1,MATCH(A1153,Inputs!$B$6:$D$6,0))+MAX(S1153-INDEX(Inputs!$B$21:$D$21,1,MATCH(A1153,Inputs!$B$6:$D$6,0)),0)*INDEX(Inputs!$B$24:$D$24,1,MATCH(A1153,Inputs!$B$6:$D$6,0))</x:f>
        <x:v>10106.197</x:v>
      </x:c>
      <x:c r="U1153" s="20" t="n">
        <x:f>IF(AND(A1152=A1153,D1152=D1153),T1152,0)</x:f>
        <x:v>9186.9025</x:v>
      </x:c>
      <x:c r="V1153" s="20" t="n">
        <x:f>T1153-U1153</x:f>
        <x:v>919.2945</x:v>
      </x:c>
      <x:c r="W1153" s="20" t="n">
        <x:f>R1153+V1153</x:f>
        <x:v>38424.2945</x:v>
      </x:c>
      <x:c r="X1153" s="14" t="str">
        <x:f>IF(ABS(W1153-SUM(M1153:Q1153)-V1153)&lt;0.01,"OK","Check")</x:f>
        <x:v>OK</x:v>
      </x:c>
    </x:row>
    <x:row r="1154">
      <x:c r="A1154" s="14" t="n">
        <x:v>2028</x:v>
      </x:c>
      <x:c r="B1154" s="14" t="str">
        <x:v>Q1</x:v>
      </x:c>
      <x:c r="C1154" s="14" t="n">
        <x:v>1</x:v>
      </x:c>
      <x:c r="D1154" s="14" t="n">
        <x:v>82</x:v>
      </x:c>
      <x:c r="E1154" s="14" t="str">
        <x:f>INDEX(Roster!$B$6:$B$108,MATCH(D1154,Roster!$A$6:$A$108,0))</x:f>
      </x:c>
      <x:c r="F1154" s="14" t="str">
        <x:f>INDEX(Roster!$F$6:$F$108,MATCH(D1154,Roster!$A$6:$A$108,0))</x:f>
        <x:v>No</x:v>
      </x:c>
      <x:c r="G1154" s="14" t="n">
        <x:f>INDEX(Inputs!$B$7:$D$7,1,MATCH(A1154,Inputs!$B$6:$D$6,0))</x:f>
        <x:v>13</x:v>
      </x:c>
      <x:c r="H1154" s="14" t="n">
        <x:f>MIN(=INDEX(Inputs!$B$7:$D$7,1,MATCH(A1154,Inputs!$B$6:$D$6,0)),MAX(0,INDEX(Inputs!$B$14:$D$14,1,MATCH(A1154,Inputs!$B$6:$D$6,0))-(C1154-1)*=INDEX(Inputs!$B$7:$D$7,1,MATCH(A1154,Inputs!$B$6:$D$6,0))))</x:f>
        <x:v>13</x:v>
      </x:c>
      <x:c r="I1154" s="20" t="n">
        <x:f>INDEX(Inputs!$B$8:$D$8,1,MATCH(A1154,Inputs!$B$6:$D$6,0))</x:f>
        <x:v>2395</x:v>
      </x:c>
      <x:c r="J1154" s="20" t="n">
        <x:f>INDEX(Roster!$C$6:$C$108,MATCH(D1154,Roster!$A$6:$A$108,0))*(1+INDEX(Inputs!$B$9:$D$9,1,MATCH(A1154,Inputs!$B$6:$D$6,0)))</x:f>
        <x:v>100</x:v>
      </x:c>
      <x:c r="K1154" s="20" t="n">
        <x:f>IF(=INDEX(Roster!$F$6:$F$108,MATCH(D1154,Roster!$A$6:$A$108,0))="Yes",0,=INDEX(Inputs!$B$8:$D$8,1,MATCH(A1154,Inputs!$B$6:$D$6,0))*IF(=INDEX(Roster!$B$6:$B$108,MATCH(D1154,Roster!$A$6:$A$108,0))="Principal",INDEX(Inputs!$B$10:$D$10,1,MATCH(A1154,Inputs!$B$6:$D$6,0)),IF(=INDEX(Roster!$B$6:$B$108,MATCH(D1154,Roster!$A$6:$A$108,0))="Associate Principal",INDEX(Inputs!$B$11:$D$11,1,MATCH(A1154,Inputs!$B$6:$D$6,0)),IF(=INDEX(Roster!$B$6:$B$108,MATCH(D1154,Roster!$A$6:$A$108,0))="Assistant Principal",INDEX(Inputs!$B$12:$D$12,1,MATCH(A1154,Inputs!$B$6:$D$6,0)),0))))</x:f>
        <x:v>0</x:v>
      </x:c>
      <x:c r="L1154" s="20" t="n">
        <x:f>IF(INDEX(Roster!$D$6:$D$108,MATCH(D1154,Roster!$A$6:$A$108,0))&gt;=25,INDEX(Inputs!$B$19:$D$19,1,MATCH(A1154,Inputs!$B$6:$D$6,0)),IF(INDEX(Roster!$D$6:$D$108,MATCH(D1154,Roster!$A$6:$A$108,0))&gt;=20,INDEX(Inputs!$B$18:$D$18,1,MATCH(A1154,Inputs!$B$6:$D$6,0)),IF(INDEX(Roster!$D$6:$D$108,MATCH(D1154,Roster!$A$6:$A$108,0))&gt;=15,INDEX(Inputs!$B$17:$D$17,1,MATCH(A1154,Inputs!$B$6:$D$6,0)),IF(INDEX(Roster!$D$6:$D$108,MATCH(D1154,Roster!$A$6:$A$108,0))&gt;=10,INDEX(Inputs!$B$16:$D$16,1,MATCH(A1154,Inputs!$B$6:$D$6,0)),IF(INDEX(Roster!$D$6:$D$108,MATCH(D1154,Roster!$A$6:$A$108,0))&gt;=5,INDEX(Inputs!$B$15:$D$15,1,MATCH(A1154,Inputs!$B$6:$D$6,0)),0)))))</x:f>
        <x:v>90</x:v>
      </x:c>
      <x:c r="M1154" s="20" t="n">
        <x:f>G1154*I1154</x:f>
        <x:v>31135</x:v>
      </x:c>
      <x:c r="N1154" s="20" t="n">
        <x:f>G1154*J1154</x:f>
        <x:v>1300</x:v>
      </x:c>
      <x:c r="O1154" s="20" t="n">
        <x:f>G1154*K1154</x:f>
        <x:v>0</x:v>
      </x:c>
      <x:c r="P1154" s="20" t="n">
        <x:f>G1154*L1154</x:f>
        <x:v>1170</x:v>
      </x:c>
      <x:c r="Q1154" s="20" t="n">
        <x:f>H1154*INDEX(Inputs!$B$13:$D$13,1,MATCH(A1154,Inputs!$B$6:$D$6,0))</x:f>
        <x:v>390</x:v>
      </x:c>
      <x:c r="R1154" s="20" t="n">
        <x:f>SUM(M1154:Q1154)</x:f>
        <x:v>33995</x:v>
      </x:c>
      <x:c r="S1154" s="20" t="n">
        <x:f>IF(AND(A1153=A1154,D1153=D1154),S1153+R1154,R1154)</x:f>
        <x:v>33995</x:v>
      </x:c>
      <x:c r="T1154" s="20" t="n">
        <x:f>MIN(S1154,INDEX(Inputs!$B$20:$D$20,1,MATCH(A1154,Inputs!$B$6:$D$6,0)))*INDEX(Inputs!$B$22:$D$22,1,MATCH(A1154,Inputs!$B$6:$D$6,0))+MAX(MIN(S1154,INDEX(Inputs!$B$21:$D$21,1,MATCH(A1154,Inputs!$B$6:$D$6,0)))-INDEX(Inputs!$B$20:$D$20,1,MATCH(A1154,Inputs!$B$6:$D$6,0)),0)*INDEX(Inputs!$B$23:$D$23,1,MATCH(A1154,Inputs!$B$6:$D$6,0))+MAX(S1154-INDEX(Inputs!$B$21:$D$21,1,MATCH(A1154,Inputs!$B$6:$D$6,0)),0)*INDEX(Inputs!$B$24:$D$24,1,MATCH(A1154,Inputs!$B$6:$D$6,0))</x:f>
        <x:v>3090.6175</x:v>
      </x:c>
      <x:c r="U1154" s="20" t="n">
        <x:f>IF(AND(A1153=A1154,D1153=D1154),T1153,0)</x:f>
        <x:v>0</x:v>
      </x:c>
      <x:c r="V1154" s="20" t="n">
        <x:f>T1154-U1154</x:f>
        <x:v>3090.6175</x:v>
      </x:c>
      <x:c r="W1154" s="20" t="n">
        <x:f>R1154+V1154</x:f>
        <x:v>37085.6175</x:v>
      </x:c>
      <x:c r="X1154" s="14" t="str">
        <x:f>IF(ABS(W1154-SUM(M1154:Q1154)-V1154)&lt;0.01,"OK","Check")</x:f>
        <x:v>OK</x:v>
      </x:c>
    </x:row>
    <x:row r="1155">
      <x:c r="A1155" s="14" t="n">
        <x:v>2028</x:v>
      </x:c>
      <x:c r="B1155" s="14" t="str">
        <x:v>Q2</x:v>
      </x:c>
      <x:c r="C1155" s="14" t="n">
        <x:v>2</x:v>
      </x:c>
      <x:c r="D1155" s="14" t="n">
        <x:v>82</x:v>
      </x:c>
      <x:c r="E1155" s="14" t="str">
        <x:f>INDEX(Roster!$B$6:$B$108,MATCH(D1155,Roster!$A$6:$A$108,0))</x:f>
      </x:c>
      <x:c r="F1155" s="14" t="str">
        <x:f>INDEX(Roster!$F$6:$F$108,MATCH(D1155,Roster!$A$6:$A$108,0))</x:f>
        <x:v>No</x:v>
      </x:c>
      <x:c r="G1155" s="14" t="n">
        <x:f>INDEX(Inputs!$B$7:$D$7,1,MATCH(A1155,Inputs!$B$6:$D$6,0))</x:f>
        <x:v>13</x:v>
      </x:c>
      <x:c r="H1155" s="14" t="n">
        <x:f>MIN(=INDEX(Inputs!$B$7:$D$7,1,MATCH(A1155,Inputs!$B$6:$D$6,0)),MAX(0,INDEX(Inputs!$B$14:$D$14,1,MATCH(A1155,Inputs!$B$6:$D$6,0))-(C1155-1)*=INDEX(Inputs!$B$7:$D$7,1,MATCH(A1155,Inputs!$B$6:$D$6,0))))</x:f>
        <x:v>13</x:v>
      </x:c>
      <x:c r="I1155" s="20" t="n">
        <x:f>INDEX(Inputs!$B$8:$D$8,1,MATCH(A1155,Inputs!$B$6:$D$6,0))</x:f>
        <x:v>2395</x:v>
      </x:c>
      <x:c r="J1155" s="20" t="n">
        <x:f>INDEX(Roster!$C$6:$C$108,MATCH(D1155,Roster!$A$6:$A$108,0))*(1+INDEX(Inputs!$B$9:$D$9,1,MATCH(A1155,Inputs!$B$6:$D$6,0)))</x:f>
        <x:v>100</x:v>
      </x:c>
      <x:c r="K1155" s="20" t="n">
        <x:f>IF(=INDEX(Roster!$F$6:$F$108,MATCH(D1155,Roster!$A$6:$A$108,0))="Yes",0,=INDEX(Inputs!$B$8:$D$8,1,MATCH(A1155,Inputs!$B$6:$D$6,0))*IF(=INDEX(Roster!$B$6:$B$108,MATCH(D1155,Roster!$A$6:$A$108,0))="Principal",INDEX(Inputs!$B$10:$D$10,1,MATCH(A1155,Inputs!$B$6:$D$6,0)),IF(=INDEX(Roster!$B$6:$B$108,MATCH(D1155,Roster!$A$6:$A$108,0))="Associate Principal",INDEX(Inputs!$B$11:$D$11,1,MATCH(A1155,Inputs!$B$6:$D$6,0)),IF(=INDEX(Roster!$B$6:$B$108,MATCH(D1155,Roster!$A$6:$A$108,0))="Assistant Principal",INDEX(Inputs!$B$12:$D$12,1,MATCH(A1155,Inputs!$B$6:$D$6,0)),0))))</x:f>
        <x:v>0</x:v>
      </x:c>
      <x:c r="L1155" s="20" t="n">
        <x:f>IF(INDEX(Roster!$D$6:$D$108,MATCH(D1155,Roster!$A$6:$A$108,0))&gt;=25,INDEX(Inputs!$B$19:$D$19,1,MATCH(A1155,Inputs!$B$6:$D$6,0)),IF(INDEX(Roster!$D$6:$D$108,MATCH(D1155,Roster!$A$6:$A$108,0))&gt;=20,INDEX(Inputs!$B$18:$D$18,1,MATCH(A1155,Inputs!$B$6:$D$6,0)),IF(INDEX(Roster!$D$6:$D$108,MATCH(D1155,Roster!$A$6:$A$108,0))&gt;=15,INDEX(Inputs!$B$17:$D$17,1,MATCH(A1155,Inputs!$B$6:$D$6,0)),IF(INDEX(Roster!$D$6:$D$108,MATCH(D1155,Roster!$A$6:$A$108,0))&gt;=10,INDEX(Inputs!$B$16:$D$16,1,MATCH(A1155,Inputs!$B$6:$D$6,0)),IF(INDEX(Roster!$D$6:$D$108,MATCH(D1155,Roster!$A$6:$A$108,0))&gt;=5,INDEX(Inputs!$B$15:$D$15,1,MATCH(A1155,Inputs!$B$6:$D$6,0)),0)))))</x:f>
        <x:v>90</x:v>
      </x:c>
      <x:c r="M1155" s="20" t="n">
        <x:f>G1155*I1155</x:f>
        <x:v>31135</x:v>
      </x:c>
      <x:c r="N1155" s="20" t="n">
        <x:f>G1155*J1155</x:f>
        <x:v>1300</x:v>
      </x:c>
      <x:c r="O1155" s="20" t="n">
        <x:f>G1155*K1155</x:f>
        <x:v>0</x:v>
      </x:c>
      <x:c r="P1155" s="20" t="n">
        <x:f>G1155*L1155</x:f>
        <x:v>1170</x:v>
      </x:c>
      <x:c r="Q1155" s="20" t="n">
        <x:f>H1155*INDEX(Inputs!$B$13:$D$13,1,MATCH(A1155,Inputs!$B$6:$D$6,0))</x:f>
        <x:v>390</x:v>
      </x:c>
      <x:c r="R1155" s="20" t="n">
        <x:f>SUM(M1155:Q1155)</x:f>
        <x:v>33995</x:v>
      </x:c>
      <x:c r="S1155" s="20" t="n">
        <x:f>IF(AND(A1154=A1155,D1154=D1155),S1154+R1155,R1155)</x:f>
        <x:v>67990</x:v>
      </x:c>
      <x:c r="T1155" s="20" t="n">
        <x:f>MIN(S1155,INDEX(Inputs!$B$20:$D$20,1,MATCH(A1155,Inputs!$B$6:$D$6,0)))*INDEX(Inputs!$B$22:$D$22,1,MATCH(A1155,Inputs!$B$6:$D$6,0))+MAX(MIN(S1155,INDEX(Inputs!$B$21:$D$21,1,MATCH(A1155,Inputs!$B$6:$D$6,0)))-INDEX(Inputs!$B$20:$D$20,1,MATCH(A1155,Inputs!$B$6:$D$6,0)),0)*INDEX(Inputs!$B$23:$D$23,1,MATCH(A1155,Inputs!$B$6:$D$6,0))+MAX(S1155-INDEX(Inputs!$B$21:$D$21,1,MATCH(A1155,Inputs!$B$6:$D$6,0)),0)*INDEX(Inputs!$B$24:$D$24,1,MATCH(A1155,Inputs!$B$6:$D$6,0))</x:f>
        <x:v>5691.235</x:v>
      </x:c>
      <x:c r="U1155" s="20" t="n">
        <x:f>IF(AND(A1154=A1155,D1154=D1155),T1154,0)</x:f>
        <x:v>3090.6175</x:v>
      </x:c>
      <x:c r="V1155" s="20" t="n">
        <x:f>T1155-U1155</x:f>
        <x:v>2600.6175</x:v>
      </x:c>
      <x:c r="W1155" s="20" t="n">
        <x:f>R1155+V1155</x:f>
        <x:v>36595.6175</x:v>
      </x:c>
      <x:c r="X1155" s="14" t="str">
        <x:f>IF(ABS(W1155-SUM(M1155:Q1155)-V1155)&lt;0.01,"OK","Check")</x:f>
        <x:v>OK</x:v>
      </x:c>
    </x:row>
    <x:row r="1156">
      <x:c r="A1156" s="14" t="n">
        <x:v>2028</x:v>
      </x:c>
      <x:c r="B1156" s="14" t="str">
        <x:v>Q3</x:v>
      </x:c>
      <x:c r="C1156" s="14" t="n">
        <x:v>3</x:v>
      </x:c>
      <x:c r="D1156" s="14" t="n">
        <x:v>82</x:v>
      </x:c>
      <x:c r="E1156" s="14" t="str">
        <x:f>INDEX(Roster!$B$6:$B$108,MATCH(D1156,Roster!$A$6:$A$108,0))</x:f>
      </x:c>
      <x:c r="F1156" s="14" t="str">
        <x:f>INDEX(Roster!$F$6:$F$108,MATCH(D1156,Roster!$A$6:$A$108,0))</x:f>
        <x:v>No</x:v>
      </x:c>
      <x:c r="G1156" s="14" t="n">
        <x:f>INDEX(Inputs!$B$7:$D$7,1,MATCH(A1156,Inputs!$B$6:$D$6,0))</x:f>
        <x:v>13</x:v>
      </x:c>
      <x:c r="H1156" s="14" t="n">
        <x:f>MIN(=INDEX(Inputs!$B$7:$D$7,1,MATCH(A1156,Inputs!$B$6:$D$6,0)),MAX(0,INDEX(Inputs!$B$14:$D$14,1,MATCH(A1156,Inputs!$B$6:$D$6,0))-(C1156-1)*=INDEX(Inputs!$B$7:$D$7,1,MATCH(A1156,Inputs!$B$6:$D$6,0))))</x:f>
        <x:v>13</x:v>
      </x:c>
      <x:c r="I1156" s="20" t="n">
        <x:f>INDEX(Inputs!$B$8:$D$8,1,MATCH(A1156,Inputs!$B$6:$D$6,0))</x:f>
        <x:v>2395</x:v>
      </x:c>
      <x:c r="J1156" s="20" t="n">
        <x:f>INDEX(Roster!$C$6:$C$108,MATCH(D1156,Roster!$A$6:$A$108,0))*(1+INDEX(Inputs!$B$9:$D$9,1,MATCH(A1156,Inputs!$B$6:$D$6,0)))</x:f>
        <x:v>100</x:v>
      </x:c>
      <x:c r="K1156" s="20" t="n">
        <x:f>IF(=INDEX(Roster!$F$6:$F$108,MATCH(D1156,Roster!$A$6:$A$108,0))="Yes",0,=INDEX(Inputs!$B$8:$D$8,1,MATCH(A1156,Inputs!$B$6:$D$6,0))*IF(=INDEX(Roster!$B$6:$B$108,MATCH(D1156,Roster!$A$6:$A$108,0))="Principal",INDEX(Inputs!$B$10:$D$10,1,MATCH(A1156,Inputs!$B$6:$D$6,0)),IF(=INDEX(Roster!$B$6:$B$108,MATCH(D1156,Roster!$A$6:$A$108,0))="Associate Principal",INDEX(Inputs!$B$11:$D$11,1,MATCH(A1156,Inputs!$B$6:$D$6,0)),IF(=INDEX(Roster!$B$6:$B$108,MATCH(D1156,Roster!$A$6:$A$108,0))="Assistant Principal",INDEX(Inputs!$B$12:$D$12,1,MATCH(A1156,Inputs!$B$6:$D$6,0)),0))))</x:f>
        <x:v>0</x:v>
      </x:c>
      <x:c r="L1156" s="20" t="n">
        <x:f>IF(INDEX(Roster!$D$6:$D$108,MATCH(D1156,Roster!$A$6:$A$108,0))&gt;=25,INDEX(Inputs!$B$19:$D$19,1,MATCH(A1156,Inputs!$B$6:$D$6,0)),IF(INDEX(Roster!$D$6:$D$108,MATCH(D1156,Roster!$A$6:$A$108,0))&gt;=20,INDEX(Inputs!$B$18:$D$18,1,MATCH(A1156,Inputs!$B$6:$D$6,0)),IF(INDEX(Roster!$D$6:$D$108,MATCH(D1156,Roster!$A$6:$A$108,0))&gt;=15,INDEX(Inputs!$B$17:$D$17,1,MATCH(A1156,Inputs!$B$6:$D$6,0)),IF(INDEX(Roster!$D$6:$D$108,MATCH(D1156,Roster!$A$6:$A$108,0))&gt;=10,INDEX(Inputs!$B$16:$D$16,1,MATCH(A1156,Inputs!$B$6:$D$6,0)),IF(INDEX(Roster!$D$6:$D$108,MATCH(D1156,Roster!$A$6:$A$108,0))&gt;=5,INDEX(Inputs!$B$15:$D$15,1,MATCH(A1156,Inputs!$B$6:$D$6,0)),0)))))</x:f>
        <x:v>90</x:v>
      </x:c>
      <x:c r="M1156" s="20" t="n">
        <x:f>G1156*I1156</x:f>
        <x:v>31135</x:v>
      </x:c>
      <x:c r="N1156" s="20" t="n">
        <x:f>G1156*J1156</x:f>
        <x:v>1300</x:v>
      </x:c>
      <x:c r="O1156" s="20" t="n">
        <x:f>G1156*K1156</x:f>
        <x:v>0</x:v>
      </x:c>
      <x:c r="P1156" s="20" t="n">
        <x:f>G1156*L1156</x:f>
        <x:v>1170</x:v>
      </x:c>
      <x:c r="Q1156" s="20" t="n">
        <x:f>H1156*INDEX(Inputs!$B$13:$D$13,1,MATCH(A1156,Inputs!$B$6:$D$6,0))</x:f>
        <x:v>390</x:v>
      </x:c>
      <x:c r="R1156" s="20" t="n">
        <x:f>SUM(M1156:Q1156)</x:f>
        <x:v>33995</x:v>
      </x:c>
      <x:c r="S1156" s="20" t="n">
        <x:f>IF(AND(A1155=A1156,D1155=D1156),S1155+R1156,R1156)</x:f>
        <x:v>101985</x:v>
      </x:c>
      <x:c r="T1156" s="20" t="n">
        <x:f>MIN(S1156,INDEX(Inputs!$B$20:$D$20,1,MATCH(A1156,Inputs!$B$6:$D$6,0)))*INDEX(Inputs!$B$22:$D$22,1,MATCH(A1156,Inputs!$B$6:$D$6,0))+MAX(MIN(S1156,INDEX(Inputs!$B$21:$D$21,1,MATCH(A1156,Inputs!$B$6:$D$6,0)))-INDEX(Inputs!$B$20:$D$20,1,MATCH(A1156,Inputs!$B$6:$D$6,0)),0)*INDEX(Inputs!$B$23:$D$23,1,MATCH(A1156,Inputs!$B$6:$D$6,0))+MAX(S1156-INDEX(Inputs!$B$21:$D$21,1,MATCH(A1156,Inputs!$B$6:$D$6,0)),0)*INDEX(Inputs!$B$24:$D$24,1,MATCH(A1156,Inputs!$B$6:$D$6,0))</x:f>
        <x:v>8291.8525</x:v>
      </x:c>
      <x:c r="U1156" s="20" t="n">
        <x:f>IF(AND(A1155=A1156,D1155=D1156),T1155,0)</x:f>
        <x:v>5691.235</x:v>
      </x:c>
      <x:c r="V1156" s="20" t="n">
        <x:f>T1156-U1156</x:f>
        <x:v>2600.617500000001</x:v>
      </x:c>
      <x:c r="W1156" s="20" t="n">
        <x:f>R1156+V1156</x:f>
        <x:v>36595.6175</x:v>
      </x:c>
      <x:c r="X1156" s="14" t="str">
        <x:f>IF(ABS(W1156-SUM(M1156:Q1156)-V1156)&lt;0.01,"OK","Check")</x:f>
        <x:v>OK</x:v>
      </x:c>
    </x:row>
    <x:row r="1157">
      <x:c r="A1157" s="14" t="n">
        <x:v>2028</x:v>
      </x:c>
      <x:c r="B1157" s="14" t="str">
        <x:v>Q4</x:v>
      </x:c>
      <x:c r="C1157" s="14" t="n">
        <x:v>4</x:v>
      </x:c>
      <x:c r="D1157" s="14" t="n">
        <x:v>82</x:v>
      </x:c>
      <x:c r="E1157" s="14" t="str">
        <x:f>INDEX(Roster!$B$6:$B$108,MATCH(D1157,Roster!$A$6:$A$108,0))</x:f>
      </x:c>
      <x:c r="F1157" s="14" t="str">
        <x:f>INDEX(Roster!$F$6:$F$108,MATCH(D1157,Roster!$A$6:$A$108,0))</x:f>
        <x:v>No</x:v>
      </x:c>
      <x:c r="G1157" s="14" t="n">
        <x:f>INDEX(Inputs!$B$7:$D$7,1,MATCH(A1157,Inputs!$B$6:$D$6,0))</x:f>
        <x:v>13</x:v>
      </x:c>
      <x:c r="H1157" s="14" t="n">
        <x:f>MIN(=INDEX(Inputs!$B$7:$D$7,1,MATCH(A1157,Inputs!$B$6:$D$6,0)),MAX(0,INDEX(Inputs!$B$14:$D$14,1,MATCH(A1157,Inputs!$B$6:$D$6,0))-(C1157-1)*=INDEX(Inputs!$B$7:$D$7,1,MATCH(A1157,Inputs!$B$6:$D$6,0))))</x:f>
        <x:v>0</x:v>
      </x:c>
      <x:c r="I1157" s="20" t="n">
        <x:f>INDEX(Inputs!$B$8:$D$8,1,MATCH(A1157,Inputs!$B$6:$D$6,0))</x:f>
        <x:v>2395</x:v>
      </x:c>
      <x:c r="J1157" s="20" t="n">
        <x:f>INDEX(Roster!$C$6:$C$108,MATCH(D1157,Roster!$A$6:$A$108,0))*(1+INDEX(Inputs!$B$9:$D$9,1,MATCH(A1157,Inputs!$B$6:$D$6,0)))</x:f>
        <x:v>100</x:v>
      </x:c>
      <x:c r="K1157" s="20" t="n">
        <x:f>IF(=INDEX(Roster!$F$6:$F$108,MATCH(D1157,Roster!$A$6:$A$108,0))="Yes",0,=INDEX(Inputs!$B$8:$D$8,1,MATCH(A1157,Inputs!$B$6:$D$6,0))*IF(=INDEX(Roster!$B$6:$B$108,MATCH(D1157,Roster!$A$6:$A$108,0))="Principal",INDEX(Inputs!$B$10:$D$10,1,MATCH(A1157,Inputs!$B$6:$D$6,0)),IF(=INDEX(Roster!$B$6:$B$108,MATCH(D1157,Roster!$A$6:$A$108,0))="Associate Principal",INDEX(Inputs!$B$11:$D$11,1,MATCH(A1157,Inputs!$B$6:$D$6,0)),IF(=INDEX(Roster!$B$6:$B$108,MATCH(D1157,Roster!$A$6:$A$108,0))="Assistant Principal",INDEX(Inputs!$B$12:$D$12,1,MATCH(A1157,Inputs!$B$6:$D$6,0)),0))))</x:f>
        <x:v>0</x:v>
      </x:c>
      <x:c r="L1157" s="20" t="n">
        <x:f>IF(INDEX(Roster!$D$6:$D$108,MATCH(D1157,Roster!$A$6:$A$108,0))&gt;=25,INDEX(Inputs!$B$19:$D$19,1,MATCH(A1157,Inputs!$B$6:$D$6,0)),IF(INDEX(Roster!$D$6:$D$108,MATCH(D1157,Roster!$A$6:$A$108,0))&gt;=20,INDEX(Inputs!$B$18:$D$18,1,MATCH(A1157,Inputs!$B$6:$D$6,0)),IF(INDEX(Roster!$D$6:$D$108,MATCH(D1157,Roster!$A$6:$A$108,0))&gt;=15,INDEX(Inputs!$B$17:$D$17,1,MATCH(A1157,Inputs!$B$6:$D$6,0)),IF(INDEX(Roster!$D$6:$D$108,MATCH(D1157,Roster!$A$6:$A$108,0))&gt;=10,INDEX(Inputs!$B$16:$D$16,1,MATCH(A1157,Inputs!$B$6:$D$6,0)),IF(INDEX(Roster!$D$6:$D$108,MATCH(D1157,Roster!$A$6:$A$108,0))&gt;=5,INDEX(Inputs!$B$15:$D$15,1,MATCH(A1157,Inputs!$B$6:$D$6,0)),0)))))</x:f>
        <x:v>90</x:v>
      </x:c>
      <x:c r="M1157" s="20" t="n">
        <x:f>G1157*I1157</x:f>
        <x:v>31135</x:v>
      </x:c>
      <x:c r="N1157" s="20" t="n">
        <x:f>G1157*J1157</x:f>
        <x:v>1300</x:v>
      </x:c>
      <x:c r="O1157" s="20" t="n">
        <x:f>G1157*K1157</x:f>
        <x:v>0</x:v>
      </x:c>
      <x:c r="P1157" s="20" t="n">
        <x:f>G1157*L1157</x:f>
        <x:v>1170</x:v>
      </x:c>
      <x:c r="Q1157" s="20" t="n">
        <x:f>H1157*INDEX(Inputs!$B$13:$D$13,1,MATCH(A1157,Inputs!$B$6:$D$6,0))</x:f>
        <x:v>0</x:v>
      </x:c>
      <x:c r="R1157" s="20" t="n">
        <x:f>SUM(M1157:Q1157)</x:f>
        <x:v>33605</x:v>
      </x:c>
      <x:c r="S1157" s="20" t="n">
        <x:f>IF(AND(A1156=A1157,D1156=D1157),S1156+R1157,R1157)</x:f>
        <x:v>135590</x:v>
      </x:c>
      <x:c r="T1157" s="20" t="n">
        <x:f>MIN(S1157,INDEX(Inputs!$B$20:$D$20,1,MATCH(A1157,Inputs!$B$6:$D$6,0)))*INDEX(Inputs!$B$22:$D$22,1,MATCH(A1157,Inputs!$B$6:$D$6,0))+MAX(MIN(S1157,INDEX(Inputs!$B$21:$D$21,1,MATCH(A1157,Inputs!$B$6:$D$6,0)))-INDEX(Inputs!$B$20:$D$20,1,MATCH(A1157,Inputs!$B$6:$D$6,0)),0)*INDEX(Inputs!$B$23:$D$23,1,MATCH(A1157,Inputs!$B$6:$D$6,0))+MAX(S1157-INDEX(Inputs!$B$21:$D$21,1,MATCH(A1157,Inputs!$B$6:$D$6,0)),0)*INDEX(Inputs!$B$24:$D$24,1,MATCH(A1157,Inputs!$B$6:$D$6,0))</x:f>
        <x:v>9879.997</x:v>
      </x:c>
      <x:c r="U1157" s="20" t="n">
        <x:f>IF(AND(A1156=A1157,D1156=D1157),T1156,0)</x:f>
        <x:v>8291.8525</x:v>
      </x:c>
      <x:c r="V1157" s="20" t="n">
        <x:f>T1157-U1157</x:f>
        <x:v>1588.1444999999985</x:v>
      </x:c>
      <x:c r="W1157" s="20" t="n">
        <x:f>R1157+V1157</x:f>
        <x:v>35193.144499999995</x:v>
      </x:c>
      <x:c r="X1157" s="14" t="str">
        <x:f>IF(ABS(W1157-SUM(M1157:Q1157)-V1157)&lt;0.01,"OK","Check")</x:f>
        <x:v>OK</x:v>
      </x:c>
    </x:row>
    <x:row r="1158">
      <x:c r="A1158" s="14" t="n">
        <x:v>2028</x:v>
      </x:c>
      <x:c r="B1158" s="14" t="str">
        <x:v>Q1</x:v>
      </x:c>
      <x:c r="C1158" s="14" t="n">
        <x:v>1</x:v>
      </x:c>
      <x:c r="D1158" s="14" t="n">
        <x:v>83</x:v>
      </x:c>
      <x:c r="E1158" s="14" t="str">
        <x:f>INDEX(Roster!$B$6:$B$108,MATCH(D1158,Roster!$A$6:$A$108,0))</x:f>
      </x:c>
      <x:c r="F1158" s="14" t="str">
        <x:f>INDEX(Roster!$F$6:$F$108,MATCH(D1158,Roster!$A$6:$A$108,0))</x:f>
        <x:v>No</x:v>
      </x:c>
      <x:c r="G1158" s="14" t="n">
        <x:f>INDEX(Inputs!$B$7:$D$7,1,MATCH(A1158,Inputs!$B$6:$D$6,0))</x:f>
        <x:v>13</x:v>
      </x:c>
      <x:c r="H1158" s="14" t="n">
        <x:f>MIN(=INDEX(Inputs!$B$7:$D$7,1,MATCH(A1158,Inputs!$B$6:$D$6,0)),MAX(0,INDEX(Inputs!$B$14:$D$14,1,MATCH(A1158,Inputs!$B$6:$D$6,0))-(C1158-1)*=INDEX(Inputs!$B$7:$D$7,1,MATCH(A1158,Inputs!$B$6:$D$6,0))))</x:f>
        <x:v>13</x:v>
      </x:c>
      <x:c r="I1158" s="20" t="n">
        <x:f>INDEX(Inputs!$B$8:$D$8,1,MATCH(A1158,Inputs!$B$6:$D$6,0))</x:f>
        <x:v>2395</x:v>
      </x:c>
      <x:c r="J1158" s="20" t="n">
        <x:f>INDEX(Roster!$C$6:$C$108,MATCH(D1158,Roster!$A$6:$A$108,0))*(1+INDEX(Inputs!$B$9:$D$9,1,MATCH(A1158,Inputs!$B$6:$D$6,0)))</x:f>
        <x:v>125</x:v>
      </x:c>
      <x:c r="K1158" s="20" t="n">
        <x:f>IF(=INDEX(Roster!$F$6:$F$108,MATCH(D1158,Roster!$A$6:$A$108,0))="Yes",0,=INDEX(Inputs!$B$8:$D$8,1,MATCH(A1158,Inputs!$B$6:$D$6,0))*IF(=INDEX(Roster!$B$6:$B$108,MATCH(D1158,Roster!$A$6:$A$108,0))="Principal",INDEX(Inputs!$B$10:$D$10,1,MATCH(A1158,Inputs!$B$6:$D$6,0)),IF(=INDEX(Roster!$B$6:$B$108,MATCH(D1158,Roster!$A$6:$A$108,0))="Associate Principal",INDEX(Inputs!$B$11:$D$11,1,MATCH(A1158,Inputs!$B$6:$D$6,0)),IF(=INDEX(Roster!$B$6:$B$108,MATCH(D1158,Roster!$A$6:$A$108,0))="Assistant Principal",INDEX(Inputs!$B$12:$D$12,1,MATCH(A1158,Inputs!$B$6:$D$6,0)),0))))</x:f>
        <x:v>0</x:v>
      </x:c>
      <x:c r="L1158" s="20" t="n">
        <x:f>IF(INDEX(Roster!$D$6:$D$108,MATCH(D1158,Roster!$A$6:$A$108,0))&gt;=25,INDEX(Inputs!$B$19:$D$19,1,MATCH(A1158,Inputs!$B$6:$D$6,0)),IF(INDEX(Roster!$D$6:$D$108,MATCH(D1158,Roster!$A$6:$A$108,0))&gt;=20,INDEX(Inputs!$B$18:$D$18,1,MATCH(A1158,Inputs!$B$6:$D$6,0)),IF(INDEX(Roster!$D$6:$D$108,MATCH(D1158,Roster!$A$6:$A$108,0))&gt;=15,INDEX(Inputs!$B$17:$D$17,1,MATCH(A1158,Inputs!$B$6:$D$6,0)),IF(INDEX(Roster!$D$6:$D$108,MATCH(D1158,Roster!$A$6:$A$108,0))&gt;=10,INDEX(Inputs!$B$16:$D$16,1,MATCH(A1158,Inputs!$B$6:$D$6,0)),IF(INDEX(Roster!$D$6:$D$108,MATCH(D1158,Roster!$A$6:$A$108,0))&gt;=5,INDEX(Inputs!$B$15:$D$15,1,MATCH(A1158,Inputs!$B$6:$D$6,0)),0)))))</x:f>
        <x:v>90</x:v>
      </x:c>
      <x:c r="M1158" s="20" t="n">
        <x:f>G1158*I1158</x:f>
        <x:v>31135</x:v>
      </x:c>
      <x:c r="N1158" s="20" t="n">
        <x:f>G1158*J1158</x:f>
        <x:v>1625</x:v>
      </x:c>
      <x:c r="O1158" s="20" t="n">
        <x:f>G1158*K1158</x:f>
        <x:v>0</x:v>
      </x:c>
      <x:c r="P1158" s="20" t="n">
        <x:f>G1158*L1158</x:f>
        <x:v>1170</x:v>
      </x:c>
      <x:c r="Q1158" s="20" t="n">
        <x:f>H1158*INDEX(Inputs!$B$13:$D$13,1,MATCH(A1158,Inputs!$B$6:$D$6,0))</x:f>
        <x:v>390</x:v>
      </x:c>
      <x:c r="R1158" s="20" t="n">
        <x:f>SUM(M1158:Q1158)</x:f>
        <x:v>34320</x:v>
      </x:c>
      <x:c r="S1158" s="20" t="n">
        <x:f>IF(AND(A1157=A1158,D1157=D1158),S1157+R1158,R1158)</x:f>
        <x:v>34320</x:v>
      </x:c>
      <x:c r="T1158" s="20" t="n">
        <x:f>MIN(S1158,INDEX(Inputs!$B$20:$D$20,1,MATCH(A1158,Inputs!$B$6:$D$6,0)))*INDEX(Inputs!$B$22:$D$22,1,MATCH(A1158,Inputs!$B$6:$D$6,0))+MAX(MIN(S1158,INDEX(Inputs!$B$21:$D$21,1,MATCH(A1158,Inputs!$B$6:$D$6,0)))-INDEX(Inputs!$B$20:$D$20,1,MATCH(A1158,Inputs!$B$6:$D$6,0)),0)*INDEX(Inputs!$B$23:$D$23,1,MATCH(A1158,Inputs!$B$6:$D$6,0))+MAX(S1158-INDEX(Inputs!$B$21:$D$21,1,MATCH(A1158,Inputs!$B$6:$D$6,0)),0)*INDEX(Inputs!$B$24:$D$24,1,MATCH(A1158,Inputs!$B$6:$D$6,0))</x:f>
        <x:v>3115.48</x:v>
      </x:c>
      <x:c r="U1158" s="20" t="n">
        <x:f>IF(AND(A1157=A1158,D1157=D1158),T1157,0)</x:f>
        <x:v>0</x:v>
      </x:c>
      <x:c r="V1158" s="20" t="n">
        <x:f>T1158-U1158</x:f>
        <x:v>3115.48</x:v>
      </x:c>
      <x:c r="W1158" s="20" t="n">
        <x:f>R1158+V1158</x:f>
        <x:v>37435.48</x:v>
      </x:c>
      <x:c r="X1158" s="14" t="str">
        <x:f>IF(ABS(W1158-SUM(M1158:Q1158)-V1158)&lt;0.01,"OK","Check")</x:f>
        <x:v>OK</x:v>
      </x:c>
    </x:row>
    <x:row r="1159">
      <x:c r="A1159" s="14" t="n">
        <x:v>2028</x:v>
      </x:c>
      <x:c r="B1159" s="14" t="str">
        <x:v>Q2</x:v>
      </x:c>
      <x:c r="C1159" s="14" t="n">
        <x:v>2</x:v>
      </x:c>
      <x:c r="D1159" s="14" t="n">
        <x:v>83</x:v>
      </x:c>
      <x:c r="E1159" s="14" t="str">
        <x:f>INDEX(Roster!$B$6:$B$108,MATCH(D1159,Roster!$A$6:$A$108,0))</x:f>
      </x:c>
      <x:c r="F1159" s="14" t="str">
        <x:f>INDEX(Roster!$F$6:$F$108,MATCH(D1159,Roster!$A$6:$A$108,0))</x:f>
        <x:v>No</x:v>
      </x:c>
      <x:c r="G1159" s="14" t="n">
        <x:f>INDEX(Inputs!$B$7:$D$7,1,MATCH(A1159,Inputs!$B$6:$D$6,0))</x:f>
        <x:v>13</x:v>
      </x:c>
      <x:c r="H1159" s="14" t="n">
        <x:f>MIN(=INDEX(Inputs!$B$7:$D$7,1,MATCH(A1159,Inputs!$B$6:$D$6,0)),MAX(0,INDEX(Inputs!$B$14:$D$14,1,MATCH(A1159,Inputs!$B$6:$D$6,0))-(C1159-1)*=INDEX(Inputs!$B$7:$D$7,1,MATCH(A1159,Inputs!$B$6:$D$6,0))))</x:f>
        <x:v>13</x:v>
      </x:c>
      <x:c r="I1159" s="20" t="n">
        <x:f>INDEX(Inputs!$B$8:$D$8,1,MATCH(A1159,Inputs!$B$6:$D$6,0))</x:f>
        <x:v>2395</x:v>
      </x:c>
      <x:c r="J1159" s="20" t="n">
        <x:f>INDEX(Roster!$C$6:$C$108,MATCH(D1159,Roster!$A$6:$A$108,0))*(1+INDEX(Inputs!$B$9:$D$9,1,MATCH(A1159,Inputs!$B$6:$D$6,0)))</x:f>
        <x:v>125</x:v>
      </x:c>
      <x:c r="K1159" s="20" t="n">
        <x:f>IF(=INDEX(Roster!$F$6:$F$108,MATCH(D1159,Roster!$A$6:$A$108,0))="Yes",0,=INDEX(Inputs!$B$8:$D$8,1,MATCH(A1159,Inputs!$B$6:$D$6,0))*IF(=INDEX(Roster!$B$6:$B$108,MATCH(D1159,Roster!$A$6:$A$108,0))="Principal",INDEX(Inputs!$B$10:$D$10,1,MATCH(A1159,Inputs!$B$6:$D$6,0)),IF(=INDEX(Roster!$B$6:$B$108,MATCH(D1159,Roster!$A$6:$A$108,0))="Associate Principal",INDEX(Inputs!$B$11:$D$11,1,MATCH(A1159,Inputs!$B$6:$D$6,0)),IF(=INDEX(Roster!$B$6:$B$108,MATCH(D1159,Roster!$A$6:$A$108,0))="Assistant Principal",INDEX(Inputs!$B$12:$D$12,1,MATCH(A1159,Inputs!$B$6:$D$6,0)),0))))</x:f>
        <x:v>0</x:v>
      </x:c>
      <x:c r="L1159" s="20" t="n">
        <x:f>IF(INDEX(Roster!$D$6:$D$108,MATCH(D1159,Roster!$A$6:$A$108,0))&gt;=25,INDEX(Inputs!$B$19:$D$19,1,MATCH(A1159,Inputs!$B$6:$D$6,0)),IF(INDEX(Roster!$D$6:$D$108,MATCH(D1159,Roster!$A$6:$A$108,0))&gt;=20,INDEX(Inputs!$B$18:$D$18,1,MATCH(A1159,Inputs!$B$6:$D$6,0)),IF(INDEX(Roster!$D$6:$D$108,MATCH(D1159,Roster!$A$6:$A$108,0))&gt;=15,INDEX(Inputs!$B$17:$D$17,1,MATCH(A1159,Inputs!$B$6:$D$6,0)),IF(INDEX(Roster!$D$6:$D$108,MATCH(D1159,Roster!$A$6:$A$108,0))&gt;=10,INDEX(Inputs!$B$16:$D$16,1,MATCH(A1159,Inputs!$B$6:$D$6,0)),IF(INDEX(Roster!$D$6:$D$108,MATCH(D1159,Roster!$A$6:$A$108,0))&gt;=5,INDEX(Inputs!$B$15:$D$15,1,MATCH(A1159,Inputs!$B$6:$D$6,0)),0)))))</x:f>
        <x:v>90</x:v>
      </x:c>
      <x:c r="M1159" s="20" t="n">
        <x:f>G1159*I1159</x:f>
        <x:v>31135</x:v>
      </x:c>
      <x:c r="N1159" s="20" t="n">
        <x:f>G1159*J1159</x:f>
        <x:v>1625</x:v>
      </x:c>
      <x:c r="O1159" s="20" t="n">
        <x:f>G1159*K1159</x:f>
        <x:v>0</x:v>
      </x:c>
      <x:c r="P1159" s="20" t="n">
        <x:f>G1159*L1159</x:f>
        <x:v>1170</x:v>
      </x:c>
      <x:c r="Q1159" s="20" t="n">
        <x:f>H1159*INDEX(Inputs!$B$13:$D$13,1,MATCH(A1159,Inputs!$B$6:$D$6,0))</x:f>
        <x:v>390</x:v>
      </x:c>
      <x:c r="R1159" s="20" t="n">
        <x:f>SUM(M1159:Q1159)</x:f>
        <x:v>34320</x:v>
      </x:c>
      <x:c r="S1159" s="20" t="n">
        <x:f>IF(AND(A1158=A1159,D1158=D1159),S1158+R1159,R1159)</x:f>
        <x:v>68640</x:v>
      </x:c>
      <x:c r="T1159" s="20" t="n">
        <x:f>MIN(S1159,INDEX(Inputs!$B$20:$D$20,1,MATCH(A1159,Inputs!$B$6:$D$6,0)))*INDEX(Inputs!$B$22:$D$22,1,MATCH(A1159,Inputs!$B$6:$D$6,0))+MAX(MIN(S1159,INDEX(Inputs!$B$21:$D$21,1,MATCH(A1159,Inputs!$B$6:$D$6,0)))-INDEX(Inputs!$B$20:$D$20,1,MATCH(A1159,Inputs!$B$6:$D$6,0)),0)*INDEX(Inputs!$B$23:$D$23,1,MATCH(A1159,Inputs!$B$6:$D$6,0))+MAX(S1159-INDEX(Inputs!$B$21:$D$21,1,MATCH(A1159,Inputs!$B$6:$D$6,0)),0)*INDEX(Inputs!$B$24:$D$24,1,MATCH(A1159,Inputs!$B$6:$D$6,0))</x:f>
        <x:v>5740.96</x:v>
      </x:c>
      <x:c r="U1159" s="20" t="n">
        <x:f>IF(AND(A1158=A1159,D1158=D1159),T1158,0)</x:f>
        <x:v>3115.48</x:v>
      </x:c>
      <x:c r="V1159" s="20" t="n">
        <x:f>T1159-U1159</x:f>
        <x:v>2625.48</x:v>
      </x:c>
      <x:c r="W1159" s="20" t="n">
        <x:f>R1159+V1159</x:f>
        <x:v>36945.48</x:v>
      </x:c>
      <x:c r="X1159" s="14" t="str">
        <x:f>IF(ABS(W1159-SUM(M1159:Q1159)-V1159)&lt;0.01,"OK","Check")</x:f>
        <x:v>OK</x:v>
      </x:c>
    </x:row>
    <x:row r="1160">
      <x:c r="A1160" s="14" t="n">
        <x:v>2028</x:v>
      </x:c>
      <x:c r="B1160" s="14" t="str">
        <x:v>Q3</x:v>
      </x:c>
      <x:c r="C1160" s="14" t="n">
        <x:v>3</x:v>
      </x:c>
      <x:c r="D1160" s="14" t="n">
        <x:v>83</x:v>
      </x:c>
      <x:c r="E1160" s="14" t="str">
        <x:f>INDEX(Roster!$B$6:$B$108,MATCH(D1160,Roster!$A$6:$A$108,0))</x:f>
      </x:c>
      <x:c r="F1160" s="14" t="str">
        <x:f>INDEX(Roster!$F$6:$F$108,MATCH(D1160,Roster!$A$6:$A$108,0))</x:f>
        <x:v>No</x:v>
      </x:c>
      <x:c r="G1160" s="14" t="n">
        <x:f>INDEX(Inputs!$B$7:$D$7,1,MATCH(A1160,Inputs!$B$6:$D$6,0))</x:f>
        <x:v>13</x:v>
      </x:c>
      <x:c r="H1160" s="14" t="n">
        <x:f>MIN(=INDEX(Inputs!$B$7:$D$7,1,MATCH(A1160,Inputs!$B$6:$D$6,0)),MAX(0,INDEX(Inputs!$B$14:$D$14,1,MATCH(A1160,Inputs!$B$6:$D$6,0))-(C1160-1)*=INDEX(Inputs!$B$7:$D$7,1,MATCH(A1160,Inputs!$B$6:$D$6,0))))</x:f>
        <x:v>13</x:v>
      </x:c>
      <x:c r="I1160" s="20" t="n">
        <x:f>INDEX(Inputs!$B$8:$D$8,1,MATCH(A1160,Inputs!$B$6:$D$6,0))</x:f>
        <x:v>2395</x:v>
      </x:c>
      <x:c r="J1160" s="20" t="n">
        <x:f>INDEX(Roster!$C$6:$C$108,MATCH(D1160,Roster!$A$6:$A$108,0))*(1+INDEX(Inputs!$B$9:$D$9,1,MATCH(A1160,Inputs!$B$6:$D$6,0)))</x:f>
        <x:v>125</x:v>
      </x:c>
      <x:c r="K1160" s="20" t="n">
        <x:f>IF(=INDEX(Roster!$F$6:$F$108,MATCH(D1160,Roster!$A$6:$A$108,0))="Yes",0,=INDEX(Inputs!$B$8:$D$8,1,MATCH(A1160,Inputs!$B$6:$D$6,0))*IF(=INDEX(Roster!$B$6:$B$108,MATCH(D1160,Roster!$A$6:$A$108,0))="Principal",INDEX(Inputs!$B$10:$D$10,1,MATCH(A1160,Inputs!$B$6:$D$6,0)),IF(=INDEX(Roster!$B$6:$B$108,MATCH(D1160,Roster!$A$6:$A$108,0))="Associate Principal",INDEX(Inputs!$B$11:$D$11,1,MATCH(A1160,Inputs!$B$6:$D$6,0)),IF(=INDEX(Roster!$B$6:$B$108,MATCH(D1160,Roster!$A$6:$A$108,0))="Assistant Principal",INDEX(Inputs!$B$12:$D$12,1,MATCH(A1160,Inputs!$B$6:$D$6,0)),0))))</x:f>
        <x:v>0</x:v>
      </x:c>
      <x:c r="L1160" s="20" t="n">
        <x:f>IF(INDEX(Roster!$D$6:$D$108,MATCH(D1160,Roster!$A$6:$A$108,0))&gt;=25,INDEX(Inputs!$B$19:$D$19,1,MATCH(A1160,Inputs!$B$6:$D$6,0)),IF(INDEX(Roster!$D$6:$D$108,MATCH(D1160,Roster!$A$6:$A$108,0))&gt;=20,INDEX(Inputs!$B$18:$D$18,1,MATCH(A1160,Inputs!$B$6:$D$6,0)),IF(INDEX(Roster!$D$6:$D$108,MATCH(D1160,Roster!$A$6:$A$108,0))&gt;=15,INDEX(Inputs!$B$17:$D$17,1,MATCH(A1160,Inputs!$B$6:$D$6,0)),IF(INDEX(Roster!$D$6:$D$108,MATCH(D1160,Roster!$A$6:$A$108,0))&gt;=10,INDEX(Inputs!$B$16:$D$16,1,MATCH(A1160,Inputs!$B$6:$D$6,0)),IF(INDEX(Roster!$D$6:$D$108,MATCH(D1160,Roster!$A$6:$A$108,0))&gt;=5,INDEX(Inputs!$B$15:$D$15,1,MATCH(A1160,Inputs!$B$6:$D$6,0)),0)))))</x:f>
        <x:v>90</x:v>
      </x:c>
      <x:c r="M1160" s="20" t="n">
        <x:f>G1160*I1160</x:f>
        <x:v>31135</x:v>
      </x:c>
      <x:c r="N1160" s="20" t="n">
        <x:f>G1160*J1160</x:f>
        <x:v>1625</x:v>
      </x:c>
      <x:c r="O1160" s="20" t="n">
        <x:f>G1160*K1160</x:f>
        <x:v>0</x:v>
      </x:c>
      <x:c r="P1160" s="20" t="n">
        <x:f>G1160*L1160</x:f>
        <x:v>1170</x:v>
      </x:c>
      <x:c r="Q1160" s="20" t="n">
        <x:f>H1160*INDEX(Inputs!$B$13:$D$13,1,MATCH(A1160,Inputs!$B$6:$D$6,0))</x:f>
        <x:v>390</x:v>
      </x:c>
      <x:c r="R1160" s="20" t="n">
        <x:f>SUM(M1160:Q1160)</x:f>
        <x:v>34320</x:v>
      </x:c>
      <x:c r="S1160" s="20" t="n">
        <x:f>IF(AND(A1159=A1160,D1159=D1160),S1159+R1160,R1160)</x:f>
        <x:v>102960</x:v>
      </x:c>
      <x:c r="T1160" s="20" t="n">
        <x:f>MIN(S1160,INDEX(Inputs!$B$20:$D$20,1,MATCH(A1160,Inputs!$B$6:$D$6,0)))*INDEX(Inputs!$B$22:$D$22,1,MATCH(A1160,Inputs!$B$6:$D$6,0))+MAX(MIN(S1160,INDEX(Inputs!$B$21:$D$21,1,MATCH(A1160,Inputs!$B$6:$D$6,0)))-INDEX(Inputs!$B$20:$D$20,1,MATCH(A1160,Inputs!$B$6:$D$6,0)),0)*INDEX(Inputs!$B$23:$D$23,1,MATCH(A1160,Inputs!$B$6:$D$6,0))+MAX(S1160-INDEX(Inputs!$B$21:$D$21,1,MATCH(A1160,Inputs!$B$6:$D$6,0)),0)*INDEX(Inputs!$B$24:$D$24,1,MATCH(A1160,Inputs!$B$6:$D$6,0))</x:f>
        <x:v>8366.439999999999</x:v>
      </x:c>
      <x:c r="U1160" s="20" t="n">
        <x:f>IF(AND(A1159=A1160,D1159=D1160),T1159,0)</x:f>
        <x:v>5740.96</x:v>
      </x:c>
      <x:c r="V1160" s="20" t="n">
        <x:f>T1160-U1160</x:f>
        <x:v>2625.4799999999987</x:v>
      </x:c>
      <x:c r="W1160" s="20" t="n">
        <x:f>R1160+V1160</x:f>
        <x:v>36945.479999999996</x:v>
      </x:c>
      <x:c r="X1160" s="14" t="str">
        <x:f>IF(ABS(W1160-SUM(M1160:Q1160)-V1160)&lt;0.01,"OK","Check")</x:f>
        <x:v>OK</x:v>
      </x:c>
    </x:row>
    <x:row r="1161">
      <x:c r="A1161" s="14" t="n">
        <x:v>2028</x:v>
      </x:c>
      <x:c r="B1161" s="14" t="str">
        <x:v>Q4</x:v>
      </x:c>
      <x:c r="C1161" s="14" t="n">
        <x:v>4</x:v>
      </x:c>
      <x:c r="D1161" s="14" t="n">
        <x:v>83</x:v>
      </x:c>
      <x:c r="E1161" s="14" t="str">
        <x:f>INDEX(Roster!$B$6:$B$108,MATCH(D1161,Roster!$A$6:$A$108,0))</x:f>
      </x:c>
      <x:c r="F1161" s="14" t="str">
        <x:f>INDEX(Roster!$F$6:$F$108,MATCH(D1161,Roster!$A$6:$A$108,0))</x:f>
        <x:v>No</x:v>
      </x:c>
      <x:c r="G1161" s="14" t="n">
        <x:f>INDEX(Inputs!$B$7:$D$7,1,MATCH(A1161,Inputs!$B$6:$D$6,0))</x:f>
        <x:v>13</x:v>
      </x:c>
      <x:c r="H1161" s="14" t="n">
        <x:f>MIN(=INDEX(Inputs!$B$7:$D$7,1,MATCH(A1161,Inputs!$B$6:$D$6,0)),MAX(0,INDEX(Inputs!$B$14:$D$14,1,MATCH(A1161,Inputs!$B$6:$D$6,0))-(C1161-1)*=INDEX(Inputs!$B$7:$D$7,1,MATCH(A1161,Inputs!$B$6:$D$6,0))))</x:f>
        <x:v>0</x:v>
      </x:c>
      <x:c r="I1161" s="20" t="n">
        <x:f>INDEX(Inputs!$B$8:$D$8,1,MATCH(A1161,Inputs!$B$6:$D$6,0))</x:f>
        <x:v>2395</x:v>
      </x:c>
      <x:c r="J1161" s="20" t="n">
        <x:f>INDEX(Roster!$C$6:$C$108,MATCH(D1161,Roster!$A$6:$A$108,0))*(1+INDEX(Inputs!$B$9:$D$9,1,MATCH(A1161,Inputs!$B$6:$D$6,0)))</x:f>
        <x:v>125</x:v>
      </x:c>
      <x:c r="K1161" s="20" t="n">
        <x:f>IF(=INDEX(Roster!$F$6:$F$108,MATCH(D1161,Roster!$A$6:$A$108,0))="Yes",0,=INDEX(Inputs!$B$8:$D$8,1,MATCH(A1161,Inputs!$B$6:$D$6,0))*IF(=INDEX(Roster!$B$6:$B$108,MATCH(D1161,Roster!$A$6:$A$108,0))="Principal",INDEX(Inputs!$B$10:$D$10,1,MATCH(A1161,Inputs!$B$6:$D$6,0)),IF(=INDEX(Roster!$B$6:$B$108,MATCH(D1161,Roster!$A$6:$A$108,0))="Associate Principal",INDEX(Inputs!$B$11:$D$11,1,MATCH(A1161,Inputs!$B$6:$D$6,0)),IF(=INDEX(Roster!$B$6:$B$108,MATCH(D1161,Roster!$A$6:$A$108,0))="Assistant Principal",INDEX(Inputs!$B$12:$D$12,1,MATCH(A1161,Inputs!$B$6:$D$6,0)),0))))</x:f>
        <x:v>0</x:v>
      </x:c>
      <x:c r="L1161" s="20" t="n">
        <x:f>IF(INDEX(Roster!$D$6:$D$108,MATCH(D1161,Roster!$A$6:$A$108,0))&gt;=25,INDEX(Inputs!$B$19:$D$19,1,MATCH(A1161,Inputs!$B$6:$D$6,0)),IF(INDEX(Roster!$D$6:$D$108,MATCH(D1161,Roster!$A$6:$A$108,0))&gt;=20,INDEX(Inputs!$B$18:$D$18,1,MATCH(A1161,Inputs!$B$6:$D$6,0)),IF(INDEX(Roster!$D$6:$D$108,MATCH(D1161,Roster!$A$6:$A$108,0))&gt;=15,INDEX(Inputs!$B$17:$D$17,1,MATCH(A1161,Inputs!$B$6:$D$6,0)),IF(INDEX(Roster!$D$6:$D$108,MATCH(D1161,Roster!$A$6:$A$108,0))&gt;=10,INDEX(Inputs!$B$16:$D$16,1,MATCH(A1161,Inputs!$B$6:$D$6,0)),IF(INDEX(Roster!$D$6:$D$108,MATCH(D1161,Roster!$A$6:$A$108,0))&gt;=5,INDEX(Inputs!$B$15:$D$15,1,MATCH(A1161,Inputs!$B$6:$D$6,0)),0)))))</x:f>
        <x:v>90</x:v>
      </x:c>
      <x:c r="M1161" s="20" t="n">
        <x:f>G1161*I1161</x:f>
        <x:v>31135</x:v>
      </x:c>
      <x:c r="N1161" s="20" t="n">
        <x:f>G1161*J1161</x:f>
        <x:v>1625</x:v>
      </x:c>
      <x:c r="O1161" s="20" t="n">
        <x:f>G1161*K1161</x:f>
        <x:v>0</x:v>
      </x:c>
      <x:c r="P1161" s="20" t="n">
        <x:f>G1161*L1161</x:f>
        <x:v>1170</x:v>
      </x:c>
      <x:c r="Q1161" s="20" t="n">
        <x:f>H1161*INDEX(Inputs!$B$13:$D$13,1,MATCH(A1161,Inputs!$B$6:$D$6,0))</x:f>
        <x:v>0</x:v>
      </x:c>
      <x:c r="R1161" s="20" t="n">
        <x:f>SUM(M1161:Q1161)</x:f>
        <x:v>33930</x:v>
      </x:c>
      <x:c r="S1161" s="20" t="n">
        <x:f>IF(AND(A1160=A1161,D1160=D1161),S1160+R1161,R1161)</x:f>
        <x:v>136890</x:v>
      </x:c>
      <x:c r="T1161" s="20" t="n">
        <x:f>MIN(S1161,INDEX(Inputs!$B$20:$D$20,1,MATCH(A1161,Inputs!$B$6:$D$6,0)))*INDEX(Inputs!$B$22:$D$22,1,MATCH(A1161,Inputs!$B$6:$D$6,0))+MAX(MIN(S1161,INDEX(Inputs!$B$21:$D$21,1,MATCH(A1161,Inputs!$B$6:$D$6,0)))-INDEX(Inputs!$B$20:$D$20,1,MATCH(A1161,Inputs!$B$6:$D$6,0)),0)*INDEX(Inputs!$B$23:$D$23,1,MATCH(A1161,Inputs!$B$6:$D$6,0))+MAX(S1161-INDEX(Inputs!$B$21:$D$21,1,MATCH(A1161,Inputs!$B$6:$D$6,0)),0)*INDEX(Inputs!$B$24:$D$24,1,MATCH(A1161,Inputs!$B$6:$D$6,0))</x:f>
        <x:v>9898.847</x:v>
      </x:c>
      <x:c r="U1161" s="20" t="n">
        <x:f>IF(AND(A1160=A1161,D1160=D1161),T1160,0)</x:f>
        <x:v>8366.439999999999</x:v>
      </x:c>
      <x:c r="V1161" s="20" t="n">
        <x:f>T1161-U1161</x:f>
        <x:v>1532.407000000001</x:v>
      </x:c>
      <x:c r="W1161" s="20" t="n">
        <x:f>R1161+V1161</x:f>
        <x:v>35462.407</x:v>
      </x:c>
      <x:c r="X1161" s="14" t="str">
        <x:f>IF(ABS(W1161-SUM(M1161:Q1161)-V1161)&lt;0.01,"OK","Check")</x:f>
        <x:v>OK</x:v>
      </x:c>
    </x:row>
    <x:row r="1162">
      <x:c r="A1162" s="14" t="n">
        <x:v>2028</x:v>
      </x:c>
      <x:c r="B1162" s="14" t="str">
        <x:v>Q1</x:v>
      </x:c>
      <x:c r="C1162" s="14" t="n">
        <x:v>1</x:v>
      </x:c>
      <x:c r="D1162" s="14" t="n">
        <x:v>84</x:v>
      </x:c>
      <x:c r="E1162" s="14" t="str">
        <x:f>INDEX(Roster!$B$6:$B$108,MATCH(D1162,Roster!$A$6:$A$108,0))</x:f>
      </x:c>
      <x:c r="F1162" s="14" t="str">
        <x:f>INDEX(Roster!$F$6:$F$108,MATCH(D1162,Roster!$A$6:$A$108,0))</x:f>
        <x:v>No</x:v>
      </x:c>
      <x:c r="G1162" s="14" t="n">
        <x:f>INDEX(Inputs!$B$7:$D$7,1,MATCH(A1162,Inputs!$B$6:$D$6,0))</x:f>
        <x:v>13</x:v>
      </x:c>
      <x:c r="H1162" s="14" t="n">
        <x:f>MIN(=INDEX(Inputs!$B$7:$D$7,1,MATCH(A1162,Inputs!$B$6:$D$6,0)),MAX(0,INDEX(Inputs!$B$14:$D$14,1,MATCH(A1162,Inputs!$B$6:$D$6,0))-(C1162-1)*=INDEX(Inputs!$B$7:$D$7,1,MATCH(A1162,Inputs!$B$6:$D$6,0))))</x:f>
        <x:v>13</x:v>
      </x:c>
      <x:c r="I1162" s="20" t="n">
        <x:f>INDEX(Inputs!$B$8:$D$8,1,MATCH(A1162,Inputs!$B$6:$D$6,0))</x:f>
        <x:v>2395</x:v>
      </x:c>
      <x:c r="J1162" s="20" t="n">
        <x:f>INDEX(Roster!$C$6:$C$108,MATCH(D1162,Roster!$A$6:$A$108,0))*(1+INDEX(Inputs!$B$9:$D$9,1,MATCH(A1162,Inputs!$B$6:$D$6,0)))</x:f>
        <x:v>60</x:v>
      </x:c>
      <x:c r="K1162" s="20" t="n">
        <x:f>IF(=INDEX(Roster!$F$6:$F$108,MATCH(D1162,Roster!$A$6:$A$108,0))="Yes",0,=INDEX(Inputs!$B$8:$D$8,1,MATCH(A1162,Inputs!$B$6:$D$6,0))*IF(=INDEX(Roster!$B$6:$B$108,MATCH(D1162,Roster!$A$6:$A$108,0))="Principal",INDEX(Inputs!$B$10:$D$10,1,MATCH(A1162,Inputs!$B$6:$D$6,0)),IF(=INDEX(Roster!$B$6:$B$108,MATCH(D1162,Roster!$A$6:$A$108,0))="Associate Principal",INDEX(Inputs!$B$11:$D$11,1,MATCH(A1162,Inputs!$B$6:$D$6,0)),IF(=INDEX(Roster!$B$6:$B$108,MATCH(D1162,Roster!$A$6:$A$108,0))="Assistant Principal",INDEX(Inputs!$B$12:$D$12,1,MATCH(A1162,Inputs!$B$6:$D$6,0)),0))))</x:f>
        <x:v>0</x:v>
      </x:c>
      <x:c r="L1162" s="20" t="n">
        <x:f>IF(INDEX(Roster!$D$6:$D$108,MATCH(D1162,Roster!$A$6:$A$108,0))&gt;=25,INDEX(Inputs!$B$19:$D$19,1,MATCH(A1162,Inputs!$B$6:$D$6,0)),IF(INDEX(Roster!$D$6:$D$108,MATCH(D1162,Roster!$A$6:$A$108,0))&gt;=20,INDEX(Inputs!$B$18:$D$18,1,MATCH(A1162,Inputs!$B$6:$D$6,0)),IF(INDEX(Roster!$D$6:$D$108,MATCH(D1162,Roster!$A$6:$A$108,0))&gt;=15,INDEX(Inputs!$B$17:$D$17,1,MATCH(A1162,Inputs!$B$6:$D$6,0)),IF(INDEX(Roster!$D$6:$D$108,MATCH(D1162,Roster!$A$6:$A$108,0))&gt;=10,INDEX(Inputs!$B$16:$D$16,1,MATCH(A1162,Inputs!$B$6:$D$6,0)),IF(INDEX(Roster!$D$6:$D$108,MATCH(D1162,Roster!$A$6:$A$108,0))&gt;=5,INDEX(Inputs!$B$15:$D$15,1,MATCH(A1162,Inputs!$B$6:$D$6,0)),0)))))</x:f>
        <x:v>60</x:v>
      </x:c>
      <x:c r="M1162" s="20" t="n">
        <x:f>G1162*I1162</x:f>
        <x:v>31135</x:v>
      </x:c>
      <x:c r="N1162" s="20" t="n">
        <x:f>G1162*J1162</x:f>
        <x:v>780</x:v>
      </x:c>
      <x:c r="O1162" s="20" t="n">
        <x:f>G1162*K1162</x:f>
        <x:v>0</x:v>
      </x:c>
      <x:c r="P1162" s="20" t="n">
        <x:f>G1162*L1162</x:f>
        <x:v>780</x:v>
      </x:c>
      <x:c r="Q1162" s="20" t="n">
        <x:f>H1162*INDEX(Inputs!$B$13:$D$13,1,MATCH(A1162,Inputs!$B$6:$D$6,0))</x:f>
        <x:v>390</x:v>
      </x:c>
      <x:c r="R1162" s="20" t="n">
        <x:f>SUM(M1162:Q1162)</x:f>
        <x:v>33085</x:v>
      </x:c>
      <x:c r="S1162" s="20" t="n">
        <x:f>IF(AND(A1161=A1162,D1161=D1162),S1161+R1162,R1162)</x:f>
        <x:v>33085</x:v>
      </x:c>
      <x:c r="T1162" s="20" t="n">
        <x:f>MIN(S1162,INDEX(Inputs!$B$20:$D$20,1,MATCH(A1162,Inputs!$B$6:$D$6,0)))*INDEX(Inputs!$B$22:$D$22,1,MATCH(A1162,Inputs!$B$6:$D$6,0))+MAX(MIN(S1162,INDEX(Inputs!$B$21:$D$21,1,MATCH(A1162,Inputs!$B$6:$D$6,0)))-INDEX(Inputs!$B$20:$D$20,1,MATCH(A1162,Inputs!$B$6:$D$6,0)),0)*INDEX(Inputs!$B$23:$D$23,1,MATCH(A1162,Inputs!$B$6:$D$6,0))+MAX(S1162-INDEX(Inputs!$B$21:$D$21,1,MATCH(A1162,Inputs!$B$6:$D$6,0)),0)*INDEX(Inputs!$B$24:$D$24,1,MATCH(A1162,Inputs!$B$6:$D$6,0))</x:f>
        <x:v>3021.0025</x:v>
      </x:c>
      <x:c r="U1162" s="20" t="n">
        <x:f>IF(AND(A1161=A1162,D1161=D1162),T1161,0)</x:f>
        <x:v>0</x:v>
      </x:c>
      <x:c r="V1162" s="20" t="n">
        <x:f>T1162-U1162</x:f>
        <x:v>3021.0025</x:v>
      </x:c>
      <x:c r="W1162" s="20" t="n">
        <x:f>R1162+V1162</x:f>
        <x:v>36106.0025</x:v>
      </x:c>
      <x:c r="X1162" s="14" t="str">
        <x:f>IF(ABS(W1162-SUM(M1162:Q1162)-V1162)&lt;0.01,"OK","Check")</x:f>
        <x:v>OK</x:v>
      </x:c>
    </x:row>
    <x:row r="1163">
      <x:c r="A1163" s="14" t="n">
        <x:v>2028</x:v>
      </x:c>
      <x:c r="B1163" s="14" t="str">
        <x:v>Q2</x:v>
      </x:c>
      <x:c r="C1163" s="14" t="n">
        <x:v>2</x:v>
      </x:c>
      <x:c r="D1163" s="14" t="n">
        <x:v>84</x:v>
      </x:c>
      <x:c r="E1163" s="14" t="str">
        <x:f>INDEX(Roster!$B$6:$B$108,MATCH(D1163,Roster!$A$6:$A$108,0))</x:f>
      </x:c>
      <x:c r="F1163" s="14" t="str">
        <x:f>INDEX(Roster!$F$6:$F$108,MATCH(D1163,Roster!$A$6:$A$108,0))</x:f>
        <x:v>No</x:v>
      </x:c>
      <x:c r="G1163" s="14" t="n">
        <x:f>INDEX(Inputs!$B$7:$D$7,1,MATCH(A1163,Inputs!$B$6:$D$6,0))</x:f>
        <x:v>13</x:v>
      </x:c>
      <x:c r="H1163" s="14" t="n">
        <x:f>MIN(=INDEX(Inputs!$B$7:$D$7,1,MATCH(A1163,Inputs!$B$6:$D$6,0)),MAX(0,INDEX(Inputs!$B$14:$D$14,1,MATCH(A1163,Inputs!$B$6:$D$6,0))-(C1163-1)*=INDEX(Inputs!$B$7:$D$7,1,MATCH(A1163,Inputs!$B$6:$D$6,0))))</x:f>
        <x:v>13</x:v>
      </x:c>
      <x:c r="I1163" s="20" t="n">
        <x:f>INDEX(Inputs!$B$8:$D$8,1,MATCH(A1163,Inputs!$B$6:$D$6,0))</x:f>
        <x:v>2395</x:v>
      </x:c>
      <x:c r="J1163" s="20" t="n">
        <x:f>INDEX(Roster!$C$6:$C$108,MATCH(D1163,Roster!$A$6:$A$108,0))*(1+INDEX(Inputs!$B$9:$D$9,1,MATCH(A1163,Inputs!$B$6:$D$6,0)))</x:f>
        <x:v>60</x:v>
      </x:c>
      <x:c r="K1163" s="20" t="n">
        <x:f>IF(=INDEX(Roster!$F$6:$F$108,MATCH(D1163,Roster!$A$6:$A$108,0))="Yes",0,=INDEX(Inputs!$B$8:$D$8,1,MATCH(A1163,Inputs!$B$6:$D$6,0))*IF(=INDEX(Roster!$B$6:$B$108,MATCH(D1163,Roster!$A$6:$A$108,0))="Principal",INDEX(Inputs!$B$10:$D$10,1,MATCH(A1163,Inputs!$B$6:$D$6,0)),IF(=INDEX(Roster!$B$6:$B$108,MATCH(D1163,Roster!$A$6:$A$108,0))="Associate Principal",INDEX(Inputs!$B$11:$D$11,1,MATCH(A1163,Inputs!$B$6:$D$6,0)),IF(=INDEX(Roster!$B$6:$B$108,MATCH(D1163,Roster!$A$6:$A$108,0))="Assistant Principal",INDEX(Inputs!$B$12:$D$12,1,MATCH(A1163,Inputs!$B$6:$D$6,0)),0))))</x:f>
        <x:v>0</x:v>
      </x:c>
      <x:c r="L1163" s="20" t="n">
        <x:f>IF(INDEX(Roster!$D$6:$D$108,MATCH(D1163,Roster!$A$6:$A$108,0))&gt;=25,INDEX(Inputs!$B$19:$D$19,1,MATCH(A1163,Inputs!$B$6:$D$6,0)),IF(INDEX(Roster!$D$6:$D$108,MATCH(D1163,Roster!$A$6:$A$108,0))&gt;=20,INDEX(Inputs!$B$18:$D$18,1,MATCH(A1163,Inputs!$B$6:$D$6,0)),IF(INDEX(Roster!$D$6:$D$108,MATCH(D1163,Roster!$A$6:$A$108,0))&gt;=15,INDEX(Inputs!$B$17:$D$17,1,MATCH(A1163,Inputs!$B$6:$D$6,0)),IF(INDEX(Roster!$D$6:$D$108,MATCH(D1163,Roster!$A$6:$A$108,0))&gt;=10,INDEX(Inputs!$B$16:$D$16,1,MATCH(A1163,Inputs!$B$6:$D$6,0)),IF(INDEX(Roster!$D$6:$D$108,MATCH(D1163,Roster!$A$6:$A$108,0))&gt;=5,INDEX(Inputs!$B$15:$D$15,1,MATCH(A1163,Inputs!$B$6:$D$6,0)),0)))))</x:f>
        <x:v>60</x:v>
      </x:c>
      <x:c r="M1163" s="20" t="n">
        <x:f>G1163*I1163</x:f>
        <x:v>31135</x:v>
      </x:c>
      <x:c r="N1163" s="20" t="n">
        <x:f>G1163*J1163</x:f>
        <x:v>780</x:v>
      </x:c>
      <x:c r="O1163" s="20" t="n">
        <x:f>G1163*K1163</x:f>
        <x:v>0</x:v>
      </x:c>
      <x:c r="P1163" s="20" t="n">
        <x:f>G1163*L1163</x:f>
        <x:v>780</x:v>
      </x:c>
      <x:c r="Q1163" s="20" t="n">
        <x:f>H1163*INDEX(Inputs!$B$13:$D$13,1,MATCH(A1163,Inputs!$B$6:$D$6,0))</x:f>
        <x:v>390</x:v>
      </x:c>
      <x:c r="R1163" s="20" t="n">
        <x:f>SUM(M1163:Q1163)</x:f>
        <x:v>33085</x:v>
      </x:c>
      <x:c r="S1163" s="20" t="n">
        <x:f>IF(AND(A1162=A1163,D1162=D1163),S1162+R1163,R1163)</x:f>
        <x:v>66170</x:v>
      </x:c>
      <x:c r="T1163" s="20" t="n">
        <x:f>MIN(S1163,INDEX(Inputs!$B$20:$D$20,1,MATCH(A1163,Inputs!$B$6:$D$6,0)))*INDEX(Inputs!$B$22:$D$22,1,MATCH(A1163,Inputs!$B$6:$D$6,0))+MAX(MIN(S1163,INDEX(Inputs!$B$21:$D$21,1,MATCH(A1163,Inputs!$B$6:$D$6,0)))-INDEX(Inputs!$B$20:$D$20,1,MATCH(A1163,Inputs!$B$6:$D$6,0)),0)*INDEX(Inputs!$B$23:$D$23,1,MATCH(A1163,Inputs!$B$6:$D$6,0))+MAX(S1163-INDEX(Inputs!$B$21:$D$21,1,MATCH(A1163,Inputs!$B$6:$D$6,0)),0)*INDEX(Inputs!$B$24:$D$24,1,MATCH(A1163,Inputs!$B$6:$D$6,0))</x:f>
        <x:v>5552.005</x:v>
      </x:c>
      <x:c r="U1163" s="20" t="n">
        <x:f>IF(AND(A1162=A1163,D1162=D1163),T1162,0)</x:f>
        <x:v>3021.0025</x:v>
      </x:c>
      <x:c r="V1163" s="20" t="n">
        <x:f>T1163-U1163</x:f>
        <x:v>2531.0025</x:v>
      </x:c>
      <x:c r="W1163" s="20" t="n">
        <x:f>R1163+V1163</x:f>
        <x:v>35616.0025</x:v>
      </x:c>
      <x:c r="X1163" s="14" t="str">
        <x:f>IF(ABS(W1163-SUM(M1163:Q1163)-V1163)&lt;0.01,"OK","Check")</x:f>
        <x:v>OK</x:v>
      </x:c>
    </x:row>
    <x:row r="1164">
      <x:c r="A1164" s="14" t="n">
        <x:v>2028</x:v>
      </x:c>
      <x:c r="B1164" s="14" t="str">
        <x:v>Q3</x:v>
      </x:c>
      <x:c r="C1164" s="14" t="n">
        <x:v>3</x:v>
      </x:c>
      <x:c r="D1164" s="14" t="n">
        <x:v>84</x:v>
      </x:c>
      <x:c r="E1164" s="14" t="str">
        <x:f>INDEX(Roster!$B$6:$B$108,MATCH(D1164,Roster!$A$6:$A$108,0))</x:f>
      </x:c>
      <x:c r="F1164" s="14" t="str">
        <x:f>INDEX(Roster!$F$6:$F$108,MATCH(D1164,Roster!$A$6:$A$108,0))</x:f>
        <x:v>No</x:v>
      </x:c>
      <x:c r="G1164" s="14" t="n">
        <x:f>INDEX(Inputs!$B$7:$D$7,1,MATCH(A1164,Inputs!$B$6:$D$6,0))</x:f>
        <x:v>13</x:v>
      </x:c>
      <x:c r="H1164" s="14" t="n">
        <x:f>MIN(=INDEX(Inputs!$B$7:$D$7,1,MATCH(A1164,Inputs!$B$6:$D$6,0)),MAX(0,INDEX(Inputs!$B$14:$D$14,1,MATCH(A1164,Inputs!$B$6:$D$6,0))-(C1164-1)*=INDEX(Inputs!$B$7:$D$7,1,MATCH(A1164,Inputs!$B$6:$D$6,0))))</x:f>
        <x:v>13</x:v>
      </x:c>
      <x:c r="I1164" s="20" t="n">
        <x:f>INDEX(Inputs!$B$8:$D$8,1,MATCH(A1164,Inputs!$B$6:$D$6,0))</x:f>
        <x:v>2395</x:v>
      </x:c>
      <x:c r="J1164" s="20" t="n">
        <x:f>INDEX(Roster!$C$6:$C$108,MATCH(D1164,Roster!$A$6:$A$108,0))*(1+INDEX(Inputs!$B$9:$D$9,1,MATCH(A1164,Inputs!$B$6:$D$6,0)))</x:f>
        <x:v>60</x:v>
      </x:c>
      <x:c r="K1164" s="20" t="n">
        <x:f>IF(=INDEX(Roster!$F$6:$F$108,MATCH(D1164,Roster!$A$6:$A$108,0))="Yes",0,=INDEX(Inputs!$B$8:$D$8,1,MATCH(A1164,Inputs!$B$6:$D$6,0))*IF(=INDEX(Roster!$B$6:$B$108,MATCH(D1164,Roster!$A$6:$A$108,0))="Principal",INDEX(Inputs!$B$10:$D$10,1,MATCH(A1164,Inputs!$B$6:$D$6,0)),IF(=INDEX(Roster!$B$6:$B$108,MATCH(D1164,Roster!$A$6:$A$108,0))="Associate Principal",INDEX(Inputs!$B$11:$D$11,1,MATCH(A1164,Inputs!$B$6:$D$6,0)),IF(=INDEX(Roster!$B$6:$B$108,MATCH(D1164,Roster!$A$6:$A$108,0))="Assistant Principal",INDEX(Inputs!$B$12:$D$12,1,MATCH(A1164,Inputs!$B$6:$D$6,0)),0))))</x:f>
        <x:v>0</x:v>
      </x:c>
      <x:c r="L1164" s="20" t="n">
        <x:f>IF(INDEX(Roster!$D$6:$D$108,MATCH(D1164,Roster!$A$6:$A$108,0))&gt;=25,INDEX(Inputs!$B$19:$D$19,1,MATCH(A1164,Inputs!$B$6:$D$6,0)),IF(INDEX(Roster!$D$6:$D$108,MATCH(D1164,Roster!$A$6:$A$108,0))&gt;=20,INDEX(Inputs!$B$18:$D$18,1,MATCH(A1164,Inputs!$B$6:$D$6,0)),IF(INDEX(Roster!$D$6:$D$108,MATCH(D1164,Roster!$A$6:$A$108,0))&gt;=15,INDEX(Inputs!$B$17:$D$17,1,MATCH(A1164,Inputs!$B$6:$D$6,0)),IF(INDEX(Roster!$D$6:$D$108,MATCH(D1164,Roster!$A$6:$A$108,0))&gt;=10,INDEX(Inputs!$B$16:$D$16,1,MATCH(A1164,Inputs!$B$6:$D$6,0)),IF(INDEX(Roster!$D$6:$D$108,MATCH(D1164,Roster!$A$6:$A$108,0))&gt;=5,INDEX(Inputs!$B$15:$D$15,1,MATCH(A1164,Inputs!$B$6:$D$6,0)),0)))))</x:f>
        <x:v>60</x:v>
      </x:c>
      <x:c r="M1164" s="20" t="n">
        <x:f>G1164*I1164</x:f>
        <x:v>31135</x:v>
      </x:c>
      <x:c r="N1164" s="20" t="n">
        <x:f>G1164*J1164</x:f>
        <x:v>780</x:v>
      </x:c>
      <x:c r="O1164" s="20" t="n">
        <x:f>G1164*K1164</x:f>
        <x:v>0</x:v>
      </x:c>
      <x:c r="P1164" s="20" t="n">
        <x:f>G1164*L1164</x:f>
        <x:v>780</x:v>
      </x:c>
      <x:c r="Q1164" s="20" t="n">
        <x:f>H1164*INDEX(Inputs!$B$13:$D$13,1,MATCH(A1164,Inputs!$B$6:$D$6,0))</x:f>
        <x:v>390</x:v>
      </x:c>
      <x:c r="R1164" s="20" t="n">
        <x:f>SUM(M1164:Q1164)</x:f>
        <x:v>33085</x:v>
      </x:c>
      <x:c r="S1164" s="20" t="n">
        <x:f>IF(AND(A1163=A1164,D1163=D1164),S1163+R1164,R1164)</x:f>
        <x:v>99255</x:v>
      </x:c>
      <x:c r="T1164" s="20" t="n">
        <x:f>MIN(S1164,INDEX(Inputs!$B$20:$D$20,1,MATCH(A1164,Inputs!$B$6:$D$6,0)))*INDEX(Inputs!$B$22:$D$22,1,MATCH(A1164,Inputs!$B$6:$D$6,0))+MAX(MIN(S1164,INDEX(Inputs!$B$21:$D$21,1,MATCH(A1164,Inputs!$B$6:$D$6,0)))-INDEX(Inputs!$B$20:$D$20,1,MATCH(A1164,Inputs!$B$6:$D$6,0)),0)*INDEX(Inputs!$B$23:$D$23,1,MATCH(A1164,Inputs!$B$6:$D$6,0))+MAX(S1164-INDEX(Inputs!$B$21:$D$21,1,MATCH(A1164,Inputs!$B$6:$D$6,0)),0)*INDEX(Inputs!$B$24:$D$24,1,MATCH(A1164,Inputs!$B$6:$D$6,0))</x:f>
        <x:v>8083.0075</x:v>
      </x:c>
      <x:c r="U1164" s="20" t="n">
        <x:f>IF(AND(A1163=A1164,D1163=D1164),T1163,0)</x:f>
        <x:v>5552.005</x:v>
      </x:c>
      <x:c r="V1164" s="20" t="n">
        <x:f>T1164-U1164</x:f>
        <x:v>2531.0024999999996</x:v>
      </x:c>
      <x:c r="W1164" s="20" t="n">
        <x:f>R1164+V1164</x:f>
        <x:v>35616.0025</x:v>
      </x:c>
      <x:c r="X1164" s="14" t="str">
        <x:f>IF(ABS(W1164-SUM(M1164:Q1164)-V1164)&lt;0.01,"OK","Check")</x:f>
        <x:v>OK</x:v>
      </x:c>
    </x:row>
    <x:row r="1165">
      <x:c r="A1165" s="14" t="n">
        <x:v>2028</x:v>
      </x:c>
      <x:c r="B1165" s="14" t="str">
        <x:v>Q4</x:v>
      </x:c>
      <x:c r="C1165" s="14" t="n">
        <x:v>4</x:v>
      </x:c>
      <x:c r="D1165" s="14" t="n">
        <x:v>84</x:v>
      </x:c>
      <x:c r="E1165" s="14" t="str">
        <x:f>INDEX(Roster!$B$6:$B$108,MATCH(D1165,Roster!$A$6:$A$108,0))</x:f>
      </x:c>
      <x:c r="F1165" s="14" t="str">
        <x:f>INDEX(Roster!$F$6:$F$108,MATCH(D1165,Roster!$A$6:$A$108,0))</x:f>
        <x:v>No</x:v>
      </x:c>
      <x:c r="G1165" s="14" t="n">
        <x:f>INDEX(Inputs!$B$7:$D$7,1,MATCH(A1165,Inputs!$B$6:$D$6,0))</x:f>
        <x:v>13</x:v>
      </x:c>
      <x:c r="H1165" s="14" t="n">
        <x:f>MIN(=INDEX(Inputs!$B$7:$D$7,1,MATCH(A1165,Inputs!$B$6:$D$6,0)),MAX(0,INDEX(Inputs!$B$14:$D$14,1,MATCH(A1165,Inputs!$B$6:$D$6,0))-(C1165-1)*=INDEX(Inputs!$B$7:$D$7,1,MATCH(A1165,Inputs!$B$6:$D$6,0))))</x:f>
        <x:v>0</x:v>
      </x:c>
      <x:c r="I1165" s="20" t="n">
        <x:f>INDEX(Inputs!$B$8:$D$8,1,MATCH(A1165,Inputs!$B$6:$D$6,0))</x:f>
        <x:v>2395</x:v>
      </x:c>
      <x:c r="J1165" s="20" t="n">
        <x:f>INDEX(Roster!$C$6:$C$108,MATCH(D1165,Roster!$A$6:$A$108,0))*(1+INDEX(Inputs!$B$9:$D$9,1,MATCH(A1165,Inputs!$B$6:$D$6,0)))</x:f>
        <x:v>60</x:v>
      </x:c>
      <x:c r="K1165" s="20" t="n">
        <x:f>IF(=INDEX(Roster!$F$6:$F$108,MATCH(D1165,Roster!$A$6:$A$108,0))="Yes",0,=INDEX(Inputs!$B$8:$D$8,1,MATCH(A1165,Inputs!$B$6:$D$6,0))*IF(=INDEX(Roster!$B$6:$B$108,MATCH(D1165,Roster!$A$6:$A$108,0))="Principal",INDEX(Inputs!$B$10:$D$10,1,MATCH(A1165,Inputs!$B$6:$D$6,0)),IF(=INDEX(Roster!$B$6:$B$108,MATCH(D1165,Roster!$A$6:$A$108,0))="Associate Principal",INDEX(Inputs!$B$11:$D$11,1,MATCH(A1165,Inputs!$B$6:$D$6,0)),IF(=INDEX(Roster!$B$6:$B$108,MATCH(D1165,Roster!$A$6:$A$108,0))="Assistant Principal",INDEX(Inputs!$B$12:$D$12,1,MATCH(A1165,Inputs!$B$6:$D$6,0)),0))))</x:f>
        <x:v>0</x:v>
      </x:c>
      <x:c r="L1165" s="20" t="n">
        <x:f>IF(INDEX(Roster!$D$6:$D$108,MATCH(D1165,Roster!$A$6:$A$108,0))&gt;=25,INDEX(Inputs!$B$19:$D$19,1,MATCH(A1165,Inputs!$B$6:$D$6,0)),IF(INDEX(Roster!$D$6:$D$108,MATCH(D1165,Roster!$A$6:$A$108,0))&gt;=20,INDEX(Inputs!$B$18:$D$18,1,MATCH(A1165,Inputs!$B$6:$D$6,0)),IF(INDEX(Roster!$D$6:$D$108,MATCH(D1165,Roster!$A$6:$A$108,0))&gt;=15,INDEX(Inputs!$B$17:$D$17,1,MATCH(A1165,Inputs!$B$6:$D$6,0)),IF(INDEX(Roster!$D$6:$D$108,MATCH(D1165,Roster!$A$6:$A$108,0))&gt;=10,INDEX(Inputs!$B$16:$D$16,1,MATCH(A1165,Inputs!$B$6:$D$6,0)),IF(INDEX(Roster!$D$6:$D$108,MATCH(D1165,Roster!$A$6:$A$108,0))&gt;=5,INDEX(Inputs!$B$15:$D$15,1,MATCH(A1165,Inputs!$B$6:$D$6,0)),0)))))</x:f>
        <x:v>60</x:v>
      </x:c>
      <x:c r="M1165" s="20" t="n">
        <x:f>G1165*I1165</x:f>
        <x:v>31135</x:v>
      </x:c>
      <x:c r="N1165" s="20" t="n">
        <x:f>G1165*J1165</x:f>
        <x:v>780</x:v>
      </x:c>
      <x:c r="O1165" s="20" t="n">
        <x:f>G1165*K1165</x:f>
        <x:v>0</x:v>
      </x:c>
      <x:c r="P1165" s="20" t="n">
        <x:f>G1165*L1165</x:f>
        <x:v>780</x:v>
      </x:c>
      <x:c r="Q1165" s="20" t="n">
        <x:f>H1165*INDEX(Inputs!$B$13:$D$13,1,MATCH(A1165,Inputs!$B$6:$D$6,0))</x:f>
        <x:v>0</x:v>
      </x:c>
      <x:c r="R1165" s="20" t="n">
        <x:f>SUM(M1165:Q1165)</x:f>
        <x:v>32695</x:v>
      </x:c>
      <x:c r="S1165" s="20" t="n">
        <x:f>IF(AND(A1164=A1165,D1164=D1165),S1164+R1165,R1165)</x:f>
        <x:v>131950</x:v>
      </x:c>
      <x:c r="T1165" s="20" t="n">
        <x:f>MIN(S1165,INDEX(Inputs!$B$20:$D$20,1,MATCH(A1165,Inputs!$B$6:$D$6,0)))*INDEX(Inputs!$B$22:$D$22,1,MATCH(A1165,Inputs!$B$6:$D$6,0))+MAX(MIN(S1165,INDEX(Inputs!$B$21:$D$21,1,MATCH(A1165,Inputs!$B$6:$D$6,0)))-INDEX(Inputs!$B$20:$D$20,1,MATCH(A1165,Inputs!$B$6:$D$6,0)),0)*INDEX(Inputs!$B$23:$D$23,1,MATCH(A1165,Inputs!$B$6:$D$6,0))+MAX(S1165-INDEX(Inputs!$B$21:$D$21,1,MATCH(A1165,Inputs!$B$6:$D$6,0)),0)*INDEX(Inputs!$B$24:$D$24,1,MATCH(A1165,Inputs!$B$6:$D$6,0))</x:f>
        <x:v>9827.217</x:v>
      </x:c>
      <x:c r="U1165" s="20" t="n">
        <x:f>IF(AND(A1164=A1165,D1164=D1165),T1164,0)</x:f>
        <x:v>8083.0075</x:v>
      </x:c>
      <x:c r="V1165" s="20" t="n">
        <x:f>T1165-U1165</x:f>
        <x:v>1744.2095000000008</x:v>
      </x:c>
      <x:c r="W1165" s="20" t="n">
        <x:f>R1165+V1165</x:f>
        <x:v>34439.2095</x:v>
      </x:c>
      <x:c r="X1165" s="14" t="str">
        <x:f>IF(ABS(W1165-SUM(M1165:Q1165)-V1165)&lt;0.01,"OK","Check")</x:f>
        <x:v>OK</x:v>
      </x:c>
    </x:row>
    <x:row r="1166">
      <x:c r="A1166" s="14" t="n">
        <x:v>2028</x:v>
      </x:c>
      <x:c r="B1166" s="14" t="str">
        <x:v>Q1</x:v>
      </x:c>
      <x:c r="C1166" s="14" t="n">
        <x:v>1</x:v>
      </x:c>
      <x:c r="D1166" s="14" t="n">
        <x:v>85</x:v>
      </x:c>
      <x:c r="E1166" s="14" t="str">
        <x:f>INDEX(Roster!$B$6:$B$108,MATCH(D1166,Roster!$A$6:$A$108,0))</x:f>
      </x:c>
      <x:c r="F1166" s="14" t="str">
        <x:f>INDEX(Roster!$F$6:$F$108,MATCH(D1166,Roster!$A$6:$A$108,0))</x:f>
        <x:v>No</x:v>
      </x:c>
      <x:c r="G1166" s="14" t="n">
        <x:f>INDEX(Inputs!$B$7:$D$7,1,MATCH(A1166,Inputs!$B$6:$D$6,0))</x:f>
        <x:v>13</x:v>
      </x:c>
      <x:c r="H1166" s="14" t="n">
        <x:f>MIN(=INDEX(Inputs!$B$7:$D$7,1,MATCH(A1166,Inputs!$B$6:$D$6,0)),MAX(0,INDEX(Inputs!$B$14:$D$14,1,MATCH(A1166,Inputs!$B$6:$D$6,0))-(C1166-1)*=INDEX(Inputs!$B$7:$D$7,1,MATCH(A1166,Inputs!$B$6:$D$6,0))))</x:f>
        <x:v>13</x:v>
      </x:c>
      <x:c r="I1166" s="20" t="n">
        <x:f>INDEX(Inputs!$B$8:$D$8,1,MATCH(A1166,Inputs!$B$6:$D$6,0))</x:f>
        <x:v>2395</x:v>
      </x:c>
      <x:c r="J1166" s="20" t="n">
        <x:f>INDEX(Roster!$C$6:$C$108,MATCH(D1166,Roster!$A$6:$A$108,0))*(1+INDEX(Inputs!$B$9:$D$9,1,MATCH(A1166,Inputs!$B$6:$D$6,0)))</x:f>
        <x:v>204</x:v>
      </x:c>
      <x:c r="K1166" s="20" t="n">
        <x:f>IF(=INDEX(Roster!$F$6:$F$108,MATCH(D1166,Roster!$A$6:$A$108,0))="Yes",0,=INDEX(Inputs!$B$8:$D$8,1,MATCH(A1166,Inputs!$B$6:$D$6,0))*IF(=INDEX(Roster!$B$6:$B$108,MATCH(D1166,Roster!$A$6:$A$108,0))="Principal",INDEX(Inputs!$B$10:$D$10,1,MATCH(A1166,Inputs!$B$6:$D$6,0)),IF(=INDEX(Roster!$B$6:$B$108,MATCH(D1166,Roster!$A$6:$A$108,0))="Associate Principal",INDEX(Inputs!$B$11:$D$11,1,MATCH(A1166,Inputs!$B$6:$D$6,0)),IF(=INDEX(Roster!$B$6:$B$108,MATCH(D1166,Roster!$A$6:$A$108,0))="Assistant Principal",INDEX(Inputs!$B$12:$D$12,1,MATCH(A1166,Inputs!$B$6:$D$6,0)),0))))</x:f>
        <x:v>0</x:v>
      </x:c>
      <x:c r="L1166" s="20" t="n">
        <x:f>IF(INDEX(Roster!$D$6:$D$108,MATCH(D1166,Roster!$A$6:$A$108,0))&gt;=25,INDEX(Inputs!$B$19:$D$19,1,MATCH(A1166,Inputs!$B$6:$D$6,0)),IF(INDEX(Roster!$D$6:$D$108,MATCH(D1166,Roster!$A$6:$A$108,0))&gt;=20,INDEX(Inputs!$B$18:$D$18,1,MATCH(A1166,Inputs!$B$6:$D$6,0)),IF(INDEX(Roster!$D$6:$D$108,MATCH(D1166,Roster!$A$6:$A$108,0))&gt;=15,INDEX(Inputs!$B$17:$D$17,1,MATCH(A1166,Inputs!$B$6:$D$6,0)),IF(INDEX(Roster!$D$6:$D$108,MATCH(D1166,Roster!$A$6:$A$108,0))&gt;=10,INDEX(Inputs!$B$16:$D$16,1,MATCH(A1166,Inputs!$B$6:$D$6,0)),IF(INDEX(Roster!$D$6:$D$108,MATCH(D1166,Roster!$A$6:$A$108,0))&gt;=5,INDEX(Inputs!$B$15:$D$15,1,MATCH(A1166,Inputs!$B$6:$D$6,0)),0)))))</x:f>
        <x:v>90</x:v>
      </x:c>
      <x:c r="M1166" s="20" t="n">
        <x:f>G1166*I1166</x:f>
        <x:v>31135</x:v>
      </x:c>
      <x:c r="N1166" s="20" t="n">
        <x:f>G1166*J1166</x:f>
        <x:v>2652</x:v>
      </x:c>
      <x:c r="O1166" s="20" t="n">
        <x:f>G1166*K1166</x:f>
        <x:v>0</x:v>
      </x:c>
      <x:c r="P1166" s="20" t="n">
        <x:f>G1166*L1166</x:f>
        <x:v>1170</x:v>
      </x:c>
      <x:c r="Q1166" s="20" t="n">
        <x:f>H1166*INDEX(Inputs!$B$13:$D$13,1,MATCH(A1166,Inputs!$B$6:$D$6,0))</x:f>
        <x:v>390</x:v>
      </x:c>
      <x:c r="R1166" s="20" t="n">
        <x:f>SUM(M1166:Q1166)</x:f>
        <x:v>35347</x:v>
      </x:c>
      <x:c r="S1166" s="20" t="n">
        <x:f>IF(AND(A1165=A1166,D1165=D1166),S1165+R1166,R1166)</x:f>
        <x:v>35347</x:v>
      </x:c>
      <x:c r="T1166" s="20" t="n">
        <x:f>MIN(S1166,INDEX(Inputs!$B$20:$D$20,1,MATCH(A1166,Inputs!$B$6:$D$6,0)))*INDEX(Inputs!$B$22:$D$22,1,MATCH(A1166,Inputs!$B$6:$D$6,0))+MAX(MIN(S1166,INDEX(Inputs!$B$21:$D$21,1,MATCH(A1166,Inputs!$B$6:$D$6,0)))-INDEX(Inputs!$B$20:$D$20,1,MATCH(A1166,Inputs!$B$6:$D$6,0)),0)*INDEX(Inputs!$B$23:$D$23,1,MATCH(A1166,Inputs!$B$6:$D$6,0))+MAX(S1166-INDEX(Inputs!$B$21:$D$21,1,MATCH(A1166,Inputs!$B$6:$D$6,0)),0)*INDEX(Inputs!$B$24:$D$24,1,MATCH(A1166,Inputs!$B$6:$D$6,0))</x:f>
        <x:v>3194.0455</x:v>
      </x:c>
      <x:c r="U1166" s="20" t="n">
        <x:f>IF(AND(A1165=A1166,D1165=D1166),T1165,0)</x:f>
        <x:v>0</x:v>
      </x:c>
      <x:c r="V1166" s="20" t="n">
        <x:f>T1166-U1166</x:f>
        <x:v>3194.0455</x:v>
      </x:c>
      <x:c r="W1166" s="20" t="n">
        <x:f>R1166+V1166</x:f>
        <x:v>38541.0455</x:v>
      </x:c>
      <x:c r="X1166" s="14" t="str">
        <x:f>IF(ABS(W1166-SUM(M1166:Q1166)-V1166)&lt;0.01,"OK","Check")</x:f>
        <x:v>OK</x:v>
      </x:c>
    </x:row>
    <x:row r="1167">
      <x:c r="A1167" s="14" t="n">
        <x:v>2028</x:v>
      </x:c>
      <x:c r="B1167" s="14" t="str">
        <x:v>Q2</x:v>
      </x:c>
      <x:c r="C1167" s="14" t="n">
        <x:v>2</x:v>
      </x:c>
      <x:c r="D1167" s="14" t="n">
        <x:v>85</x:v>
      </x:c>
      <x:c r="E1167" s="14" t="str">
        <x:f>INDEX(Roster!$B$6:$B$108,MATCH(D1167,Roster!$A$6:$A$108,0))</x:f>
      </x:c>
      <x:c r="F1167" s="14" t="str">
        <x:f>INDEX(Roster!$F$6:$F$108,MATCH(D1167,Roster!$A$6:$A$108,0))</x:f>
        <x:v>No</x:v>
      </x:c>
      <x:c r="G1167" s="14" t="n">
        <x:f>INDEX(Inputs!$B$7:$D$7,1,MATCH(A1167,Inputs!$B$6:$D$6,0))</x:f>
        <x:v>13</x:v>
      </x:c>
      <x:c r="H1167" s="14" t="n">
        <x:f>MIN(=INDEX(Inputs!$B$7:$D$7,1,MATCH(A1167,Inputs!$B$6:$D$6,0)),MAX(0,INDEX(Inputs!$B$14:$D$14,1,MATCH(A1167,Inputs!$B$6:$D$6,0))-(C1167-1)*=INDEX(Inputs!$B$7:$D$7,1,MATCH(A1167,Inputs!$B$6:$D$6,0))))</x:f>
        <x:v>13</x:v>
      </x:c>
      <x:c r="I1167" s="20" t="n">
        <x:f>INDEX(Inputs!$B$8:$D$8,1,MATCH(A1167,Inputs!$B$6:$D$6,0))</x:f>
        <x:v>2395</x:v>
      </x:c>
      <x:c r="J1167" s="20" t="n">
        <x:f>INDEX(Roster!$C$6:$C$108,MATCH(D1167,Roster!$A$6:$A$108,0))*(1+INDEX(Inputs!$B$9:$D$9,1,MATCH(A1167,Inputs!$B$6:$D$6,0)))</x:f>
        <x:v>204</x:v>
      </x:c>
      <x:c r="K1167" s="20" t="n">
        <x:f>IF(=INDEX(Roster!$F$6:$F$108,MATCH(D1167,Roster!$A$6:$A$108,0))="Yes",0,=INDEX(Inputs!$B$8:$D$8,1,MATCH(A1167,Inputs!$B$6:$D$6,0))*IF(=INDEX(Roster!$B$6:$B$108,MATCH(D1167,Roster!$A$6:$A$108,0))="Principal",INDEX(Inputs!$B$10:$D$10,1,MATCH(A1167,Inputs!$B$6:$D$6,0)),IF(=INDEX(Roster!$B$6:$B$108,MATCH(D1167,Roster!$A$6:$A$108,0))="Associate Principal",INDEX(Inputs!$B$11:$D$11,1,MATCH(A1167,Inputs!$B$6:$D$6,0)),IF(=INDEX(Roster!$B$6:$B$108,MATCH(D1167,Roster!$A$6:$A$108,0))="Assistant Principal",INDEX(Inputs!$B$12:$D$12,1,MATCH(A1167,Inputs!$B$6:$D$6,0)),0))))</x:f>
        <x:v>0</x:v>
      </x:c>
      <x:c r="L1167" s="20" t="n">
        <x:f>IF(INDEX(Roster!$D$6:$D$108,MATCH(D1167,Roster!$A$6:$A$108,0))&gt;=25,INDEX(Inputs!$B$19:$D$19,1,MATCH(A1167,Inputs!$B$6:$D$6,0)),IF(INDEX(Roster!$D$6:$D$108,MATCH(D1167,Roster!$A$6:$A$108,0))&gt;=20,INDEX(Inputs!$B$18:$D$18,1,MATCH(A1167,Inputs!$B$6:$D$6,0)),IF(INDEX(Roster!$D$6:$D$108,MATCH(D1167,Roster!$A$6:$A$108,0))&gt;=15,INDEX(Inputs!$B$17:$D$17,1,MATCH(A1167,Inputs!$B$6:$D$6,0)),IF(INDEX(Roster!$D$6:$D$108,MATCH(D1167,Roster!$A$6:$A$108,0))&gt;=10,INDEX(Inputs!$B$16:$D$16,1,MATCH(A1167,Inputs!$B$6:$D$6,0)),IF(INDEX(Roster!$D$6:$D$108,MATCH(D1167,Roster!$A$6:$A$108,0))&gt;=5,INDEX(Inputs!$B$15:$D$15,1,MATCH(A1167,Inputs!$B$6:$D$6,0)),0)))))</x:f>
        <x:v>90</x:v>
      </x:c>
      <x:c r="M1167" s="20" t="n">
        <x:f>G1167*I1167</x:f>
        <x:v>31135</x:v>
      </x:c>
      <x:c r="N1167" s="20" t="n">
        <x:f>G1167*J1167</x:f>
        <x:v>2652</x:v>
      </x:c>
      <x:c r="O1167" s="20" t="n">
        <x:f>G1167*K1167</x:f>
        <x:v>0</x:v>
      </x:c>
      <x:c r="P1167" s="20" t="n">
        <x:f>G1167*L1167</x:f>
        <x:v>1170</x:v>
      </x:c>
      <x:c r="Q1167" s="20" t="n">
        <x:f>H1167*INDEX(Inputs!$B$13:$D$13,1,MATCH(A1167,Inputs!$B$6:$D$6,0))</x:f>
        <x:v>390</x:v>
      </x:c>
      <x:c r="R1167" s="20" t="n">
        <x:f>SUM(M1167:Q1167)</x:f>
        <x:v>35347</x:v>
      </x:c>
      <x:c r="S1167" s="20" t="n">
        <x:f>IF(AND(A1166=A1167,D1166=D1167),S1166+R1167,R1167)</x:f>
        <x:v>70694</x:v>
      </x:c>
      <x:c r="T1167" s="20" t="n">
        <x:f>MIN(S1167,INDEX(Inputs!$B$20:$D$20,1,MATCH(A1167,Inputs!$B$6:$D$6,0)))*INDEX(Inputs!$B$22:$D$22,1,MATCH(A1167,Inputs!$B$6:$D$6,0))+MAX(MIN(S1167,INDEX(Inputs!$B$21:$D$21,1,MATCH(A1167,Inputs!$B$6:$D$6,0)))-INDEX(Inputs!$B$20:$D$20,1,MATCH(A1167,Inputs!$B$6:$D$6,0)),0)*INDEX(Inputs!$B$23:$D$23,1,MATCH(A1167,Inputs!$B$6:$D$6,0))+MAX(S1167-INDEX(Inputs!$B$21:$D$21,1,MATCH(A1167,Inputs!$B$6:$D$6,0)),0)*INDEX(Inputs!$B$24:$D$24,1,MATCH(A1167,Inputs!$B$6:$D$6,0))</x:f>
        <x:v>5898.091</x:v>
      </x:c>
      <x:c r="U1167" s="20" t="n">
        <x:f>IF(AND(A1166=A1167,D1166=D1167),T1166,0)</x:f>
        <x:v>3194.0455</x:v>
      </x:c>
      <x:c r="V1167" s="20" t="n">
        <x:f>T1167-U1167</x:f>
        <x:v>2704.0455</x:v>
      </x:c>
      <x:c r="W1167" s="20" t="n">
        <x:f>R1167+V1167</x:f>
        <x:v>38051.0455</x:v>
      </x:c>
      <x:c r="X1167" s="14" t="str">
        <x:f>IF(ABS(W1167-SUM(M1167:Q1167)-V1167)&lt;0.01,"OK","Check")</x:f>
        <x:v>OK</x:v>
      </x:c>
    </x:row>
    <x:row r="1168">
      <x:c r="A1168" s="14" t="n">
        <x:v>2028</x:v>
      </x:c>
      <x:c r="B1168" s="14" t="str">
        <x:v>Q3</x:v>
      </x:c>
      <x:c r="C1168" s="14" t="n">
        <x:v>3</x:v>
      </x:c>
      <x:c r="D1168" s="14" t="n">
        <x:v>85</x:v>
      </x:c>
      <x:c r="E1168" s="14" t="str">
        <x:f>INDEX(Roster!$B$6:$B$108,MATCH(D1168,Roster!$A$6:$A$108,0))</x:f>
      </x:c>
      <x:c r="F1168" s="14" t="str">
        <x:f>INDEX(Roster!$F$6:$F$108,MATCH(D1168,Roster!$A$6:$A$108,0))</x:f>
        <x:v>No</x:v>
      </x:c>
      <x:c r="G1168" s="14" t="n">
        <x:f>INDEX(Inputs!$B$7:$D$7,1,MATCH(A1168,Inputs!$B$6:$D$6,0))</x:f>
        <x:v>13</x:v>
      </x:c>
      <x:c r="H1168" s="14" t="n">
        <x:f>MIN(=INDEX(Inputs!$B$7:$D$7,1,MATCH(A1168,Inputs!$B$6:$D$6,0)),MAX(0,INDEX(Inputs!$B$14:$D$14,1,MATCH(A1168,Inputs!$B$6:$D$6,0))-(C1168-1)*=INDEX(Inputs!$B$7:$D$7,1,MATCH(A1168,Inputs!$B$6:$D$6,0))))</x:f>
        <x:v>13</x:v>
      </x:c>
      <x:c r="I1168" s="20" t="n">
        <x:f>INDEX(Inputs!$B$8:$D$8,1,MATCH(A1168,Inputs!$B$6:$D$6,0))</x:f>
        <x:v>2395</x:v>
      </x:c>
      <x:c r="J1168" s="20" t="n">
        <x:f>INDEX(Roster!$C$6:$C$108,MATCH(D1168,Roster!$A$6:$A$108,0))*(1+INDEX(Inputs!$B$9:$D$9,1,MATCH(A1168,Inputs!$B$6:$D$6,0)))</x:f>
        <x:v>204</x:v>
      </x:c>
      <x:c r="K1168" s="20" t="n">
        <x:f>IF(=INDEX(Roster!$F$6:$F$108,MATCH(D1168,Roster!$A$6:$A$108,0))="Yes",0,=INDEX(Inputs!$B$8:$D$8,1,MATCH(A1168,Inputs!$B$6:$D$6,0))*IF(=INDEX(Roster!$B$6:$B$108,MATCH(D1168,Roster!$A$6:$A$108,0))="Principal",INDEX(Inputs!$B$10:$D$10,1,MATCH(A1168,Inputs!$B$6:$D$6,0)),IF(=INDEX(Roster!$B$6:$B$108,MATCH(D1168,Roster!$A$6:$A$108,0))="Associate Principal",INDEX(Inputs!$B$11:$D$11,1,MATCH(A1168,Inputs!$B$6:$D$6,0)),IF(=INDEX(Roster!$B$6:$B$108,MATCH(D1168,Roster!$A$6:$A$108,0))="Assistant Principal",INDEX(Inputs!$B$12:$D$12,1,MATCH(A1168,Inputs!$B$6:$D$6,0)),0))))</x:f>
        <x:v>0</x:v>
      </x:c>
      <x:c r="L1168" s="20" t="n">
        <x:f>IF(INDEX(Roster!$D$6:$D$108,MATCH(D1168,Roster!$A$6:$A$108,0))&gt;=25,INDEX(Inputs!$B$19:$D$19,1,MATCH(A1168,Inputs!$B$6:$D$6,0)),IF(INDEX(Roster!$D$6:$D$108,MATCH(D1168,Roster!$A$6:$A$108,0))&gt;=20,INDEX(Inputs!$B$18:$D$18,1,MATCH(A1168,Inputs!$B$6:$D$6,0)),IF(INDEX(Roster!$D$6:$D$108,MATCH(D1168,Roster!$A$6:$A$108,0))&gt;=15,INDEX(Inputs!$B$17:$D$17,1,MATCH(A1168,Inputs!$B$6:$D$6,0)),IF(INDEX(Roster!$D$6:$D$108,MATCH(D1168,Roster!$A$6:$A$108,0))&gt;=10,INDEX(Inputs!$B$16:$D$16,1,MATCH(A1168,Inputs!$B$6:$D$6,0)),IF(INDEX(Roster!$D$6:$D$108,MATCH(D1168,Roster!$A$6:$A$108,0))&gt;=5,INDEX(Inputs!$B$15:$D$15,1,MATCH(A1168,Inputs!$B$6:$D$6,0)),0)))))</x:f>
        <x:v>90</x:v>
      </x:c>
      <x:c r="M1168" s="20" t="n">
        <x:f>G1168*I1168</x:f>
        <x:v>31135</x:v>
      </x:c>
      <x:c r="N1168" s="20" t="n">
        <x:f>G1168*J1168</x:f>
        <x:v>2652</x:v>
      </x:c>
      <x:c r="O1168" s="20" t="n">
        <x:f>G1168*K1168</x:f>
        <x:v>0</x:v>
      </x:c>
      <x:c r="P1168" s="20" t="n">
        <x:f>G1168*L1168</x:f>
        <x:v>1170</x:v>
      </x:c>
      <x:c r="Q1168" s="20" t="n">
        <x:f>H1168*INDEX(Inputs!$B$13:$D$13,1,MATCH(A1168,Inputs!$B$6:$D$6,0))</x:f>
        <x:v>390</x:v>
      </x:c>
      <x:c r="R1168" s="20" t="n">
        <x:f>SUM(M1168:Q1168)</x:f>
        <x:v>35347</x:v>
      </x:c>
      <x:c r="S1168" s="20" t="n">
        <x:f>IF(AND(A1167=A1168,D1167=D1168),S1167+R1168,R1168)</x:f>
        <x:v>106041</x:v>
      </x:c>
      <x:c r="T1168" s="20" t="n">
        <x:f>MIN(S1168,INDEX(Inputs!$B$20:$D$20,1,MATCH(A1168,Inputs!$B$6:$D$6,0)))*INDEX(Inputs!$B$22:$D$22,1,MATCH(A1168,Inputs!$B$6:$D$6,0))+MAX(MIN(S1168,INDEX(Inputs!$B$21:$D$21,1,MATCH(A1168,Inputs!$B$6:$D$6,0)))-INDEX(Inputs!$B$20:$D$20,1,MATCH(A1168,Inputs!$B$6:$D$6,0)),0)*INDEX(Inputs!$B$23:$D$23,1,MATCH(A1168,Inputs!$B$6:$D$6,0))+MAX(S1168-INDEX(Inputs!$B$21:$D$21,1,MATCH(A1168,Inputs!$B$6:$D$6,0)),0)*INDEX(Inputs!$B$24:$D$24,1,MATCH(A1168,Inputs!$B$6:$D$6,0))</x:f>
        <x:v>8602.1365</x:v>
      </x:c>
      <x:c r="U1168" s="20" t="n">
        <x:f>IF(AND(A1167=A1168,D1167=D1168),T1167,0)</x:f>
        <x:v>5898.091</x:v>
      </x:c>
      <x:c r="V1168" s="20" t="n">
        <x:f>T1168-U1168</x:f>
        <x:v>2704.0455</x:v>
      </x:c>
      <x:c r="W1168" s="20" t="n">
        <x:f>R1168+V1168</x:f>
        <x:v>38051.0455</x:v>
      </x:c>
      <x:c r="X1168" s="14" t="str">
        <x:f>IF(ABS(W1168-SUM(M1168:Q1168)-V1168)&lt;0.01,"OK","Check")</x:f>
        <x:v>OK</x:v>
      </x:c>
    </x:row>
    <x:row r="1169">
      <x:c r="A1169" s="14" t="n">
        <x:v>2028</x:v>
      </x:c>
      <x:c r="B1169" s="14" t="str">
        <x:v>Q4</x:v>
      </x:c>
      <x:c r="C1169" s="14" t="n">
        <x:v>4</x:v>
      </x:c>
      <x:c r="D1169" s="14" t="n">
        <x:v>85</x:v>
      </x:c>
      <x:c r="E1169" s="14" t="str">
        <x:f>INDEX(Roster!$B$6:$B$108,MATCH(D1169,Roster!$A$6:$A$108,0))</x:f>
      </x:c>
      <x:c r="F1169" s="14" t="str">
        <x:f>INDEX(Roster!$F$6:$F$108,MATCH(D1169,Roster!$A$6:$A$108,0))</x:f>
        <x:v>No</x:v>
      </x:c>
      <x:c r="G1169" s="14" t="n">
        <x:f>INDEX(Inputs!$B$7:$D$7,1,MATCH(A1169,Inputs!$B$6:$D$6,0))</x:f>
        <x:v>13</x:v>
      </x:c>
      <x:c r="H1169" s="14" t="n">
        <x:f>MIN(=INDEX(Inputs!$B$7:$D$7,1,MATCH(A1169,Inputs!$B$6:$D$6,0)),MAX(0,INDEX(Inputs!$B$14:$D$14,1,MATCH(A1169,Inputs!$B$6:$D$6,0))-(C1169-1)*=INDEX(Inputs!$B$7:$D$7,1,MATCH(A1169,Inputs!$B$6:$D$6,0))))</x:f>
        <x:v>0</x:v>
      </x:c>
      <x:c r="I1169" s="20" t="n">
        <x:f>INDEX(Inputs!$B$8:$D$8,1,MATCH(A1169,Inputs!$B$6:$D$6,0))</x:f>
        <x:v>2395</x:v>
      </x:c>
      <x:c r="J1169" s="20" t="n">
        <x:f>INDEX(Roster!$C$6:$C$108,MATCH(D1169,Roster!$A$6:$A$108,0))*(1+INDEX(Inputs!$B$9:$D$9,1,MATCH(A1169,Inputs!$B$6:$D$6,0)))</x:f>
        <x:v>204</x:v>
      </x:c>
      <x:c r="K1169" s="20" t="n">
        <x:f>IF(=INDEX(Roster!$F$6:$F$108,MATCH(D1169,Roster!$A$6:$A$108,0))="Yes",0,=INDEX(Inputs!$B$8:$D$8,1,MATCH(A1169,Inputs!$B$6:$D$6,0))*IF(=INDEX(Roster!$B$6:$B$108,MATCH(D1169,Roster!$A$6:$A$108,0))="Principal",INDEX(Inputs!$B$10:$D$10,1,MATCH(A1169,Inputs!$B$6:$D$6,0)),IF(=INDEX(Roster!$B$6:$B$108,MATCH(D1169,Roster!$A$6:$A$108,0))="Associate Principal",INDEX(Inputs!$B$11:$D$11,1,MATCH(A1169,Inputs!$B$6:$D$6,0)),IF(=INDEX(Roster!$B$6:$B$108,MATCH(D1169,Roster!$A$6:$A$108,0))="Assistant Principal",INDEX(Inputs!$B$12:$D$12,1,MATCH(A1169,Inputs!$B$6:$D$6,0)),0))))</x:f>
        <x:v>0</x:v>
      </x:c>
      <x:c r="L1169" s="20" t="n">
        <x:f>IF(INDEX(Roster!$D$6:$D$108,MATCH(D1169,Roster!$A$6:$A$108,0))&gt;=25,INDEX(Inputs!$B$19:$D$19,1,MATCH(A1169,Inputs!$B$6:$D$6,0)),IF(INDEX(Roster!$D$6:$D$108,MATCH(D1169,Roster!$A$6:$A$108,0))&gt;=20,INDEX(Inputs!$B$18:$D$18,1,MATCH(A1169,Inputs!$B$6:$D$6,0)),IF(INDEX(Roster!$D$6:$D$108,MATCH(D1169,Roster!$A$6:$A$108,0))&gt;=15,INDEX(Inputs!$B$17:$D$17,1,MATCH(A1169,Inputs!$B$6:$D$6,0)),IF(INDEX(Roster!$D$6:$D$108,MATCH(D1169,Roster!$A$6:$A$108,0))&gt;=10,INDEX(Inputs!$B$16:$D$16,1,MATCH(A1169,Inputs!$B$6:$D$6,0)),IF(INDEX(Roster!$D$6:$D$108,MATCH(D1169,Roster!$A$6:$A$108,0))&gt;=5,INDEX(Inputs!$B$15:$D$15,1,MATCH(A1169,Inputs!$B$6:$D$6,0)),0)))))</x:f>
        <x:v>90</x:v>
      </x:c>
      <x:c r="M1169" s="20" t="n">
        <x:f>G1169*I1169</x:f>
        <x:v>31135</x:v>
      </x:c>
      <x:c r="N1169" s="20" t="n">
        <x:f>G1169*J1169</x:f>
        <x:v>2652</x:v>
      </x:c>
      <x:c r="O1169" s="20" t="n">
        <x:f>G1169*K1169</x:f>
        <x:v>0</x:v>
      </x:c>
      <x:c r="P1169" s="20" t="n">
        <x:f>G1169*L1169</x:f>
        <x:v>1170</x:v>
      </x:c>
      <x:c r="Q1169" s="20" t="n">
        <x:f>H1169*INDEX(Inputs!$B$13:$D$13,1,MATCH(A1169,Inputs!$B$6:$D$6,0))</x:f>
        <x:v>0</x:v>
      </x:c>
      <x:c r="R1169" s="20" t="n">
        <x:f>SUM(M1169:Q1169)</x:f>
        <x:v>34957</x:v>
      </x:c>
      <x:c r="S1169" s="20" t="n">
        <x:f>IF(AND(A1168=A1169,D1168=D1169),S1168+R1169,R1169)</x:f>
        <x:v>140998</x:v>
      </x:c>
      <x:c r="T1169" s="20" t="n">
        <x:f>MIN(S1169,INDEX(Inputs!$B$20:$D$20,1,MATCH(A1169,Inputs!$B$6:$D$6,0)))*INDEX(Inputs!$B$22:$D$22,1,MATCH(A1169,Inputs!$B$6:$D$6,0))+MAX(MIN(S1169,INDEX(Inputs!$B$21:$D$21,1,MATCH(A1169,Inputs!$B$6:$D$6,0)))-INDEX(Inputs!$B$20:$D$20,1,MATCH(A1169,Inputs!$B$6:$D$6,0)),0)*INDEX(Inputs!$B$23:$D$23,1,MATCH(A1169,Inputs!$B$6:$D$6,0))+MAX(S1169-INDEX(Inputs!$B$21:$D$21,1,MATCH(A1169,Inputs!$B$6:$D$6,0)),0)*INDEX(Inputs!$B$24:$D$24,1,MATCH(A1169,Inputs!$B$6:$D$6,0))</x:f>
        <x:v>9958.413</x:v>
      </x:c>
      <x:c r="U1169" s="20" t="n">
        <x:f>IF(AND(A1168=A1169,D1168=D1169),T1168,0)</x:f>
        <x:v>8602.1365</x:v>
      </x:c>
      <x:c r="V1169" s="20" t="n">
        <x:f>T1169-U1169</x:f>
        <x:v>1356.2765</x:v>
      </x:c>
      <x:c r="W1169" s="20" t="n">
        <x:f>R1169+V1169</x:f>
        <x:v>36313.2765</x:v>
      </x:c>
      <x:c r="X1169" s="14" t="str">
        <x:f>IF(ABS(W1169-SUM(M1169:Q1169)-V1169)&lt;0.01,"OK","Check")</x:f>
        <x:v>OK</x:v>
      </x:c>
    </x:row>
    <x:row r="1170">
      <x:c r="A1170" s="14" t="n">
        <x:v>2028</x:v>
      </x:c>
      <x:c r="B1170" s="14" t="str">
        <x:v>Q1</x:v>
      </x:c>
      <x:c r="C1170" s="14" t="n">
        <x:v>1</x:v>
      </x:c>
      <x:c r="D1170" s="14" t="n">
        <x:v>86</x:v>
      </x:c>
      <x:c r="E1170" s="14" t="str">
        <x:f>INDEX(Roster!$B$6:$B$108,MATCH(D1170,Roster!$A$6:$A$108,0))</x:f>
      </x:c>
      <x:c r="F1170" s="14" t="str">
        <x:f>INDEX(Roster!$F$6:$F$108,MATCH(D1170,Roster!$A$6:$A$108,0))</x:f>
        <x:v>No</x:v>
      </x:c>
      <x:c r="G1170" s="14" t="n">
        <x:f>INDEX(Inputs!$B$7:$D$7,1,MATCH(A1170,Inputs!$B$6:$D$6,0))</x:f>
        <x:v>13</x:v>
      </x:c>
      <x:c r="H1170" s="14" t="n">
        <x:f>MIN(=INDEX(Inputs!$B$7:$D$7,1,MATCH(A1170,Inputs!$B$6:$D$6,0)),MAX(0,INDEX(Inputs!$B$14:$D$14,1,MATCH(A1170,Inputs!$B$6:$D$6,0))-(C1170-1)*=INDEX(Inputs!$B$7:$D$7,1,MATCH(A1170,Inputs!$B$6:$D$6,0))))</x:f>
        <x:v>13</x:v>
      </x:c>
      <x:c r="I1170" s="20" t="n">
        <x:f>INDEX(Inputs!$B$8:$D$8,1,MATCH(A1170,Inputs!$B$6:$D$6,0))</x:f>
        <x:v>2395</x:v>
      </x:c>
      <x:c r="J1170" s="20" t="n">
        <x:f>INDEX(Roster!$C$6:$C$108,MATCH(D1170,Roster!$A$6:$A$108,0))*(1+INDEX(Inputs!$B$9:$D$9,1,MATCH(A1170,Inputs!$B$6:$D$6,0)))</x:f>
        <x:v>75</x:v>
      </x:c>
      <x:c r="K1170" s="20" t="n">
        <x:f>IF(=INDEX(Roster!$F$6:$F$108,MATCH(D1170,Roster!$A$6:$A$108,0))="Yes",0,=INDEX(Inputs!$B$8:$D$8,1,MATCH(A1170,Inputs!$B$6:$D$6,0))*IF(=INDEX(Roster!$B$6:$B$108,MATCH(D1170,Roster!$A$6:$A$108,0))="Principal",INDEX(Inputs!$B$10:$D$10,1,MATCH(A1170,Inputs!$B$6:$D$6,0)),IF(=INDEX(Roster!$B$6:$B$108,MATCH(D1170,Roster!$A$6:$A$108,0))="Associate Principal",INDEX(Inputs!$B$11:$D$11,1,MATCH(A1170,Inputs!$B$6:$D$6,0)),IF(=INDEX(Roster!$B$6:$B$108,MATCH(D1170,Roster!$A$6:$A$108,0))="Assistant Principal",INDEX(Inputs!$B$12:$D$12,1,MATCH(A1170,Inputs!$B$6:$D$6,0)),0))))</x:f>
        <x:v>0</x:v>
      </x:c>
      <x:c r="L1170" s="20" t="n">
        <x:f>IF(INDEX(Roster!$D$6:$D$108,MATCH(D1170,Roster!$A$6:$A$108,0))&gt;=25,INDEX(Inputs!$B$19:$D$19,1,MATCH(A1170,Inputs!$B$6:$D$6,0)),IF(INDEX(Roster!$D$6:$D$108,MATCH(D1170,Roster!$A$6:$A$108,0))&gt;=20,INDEX(Inputs!$B$18:$D$18,1,MATCH(A1170,Inputs!$B$6:$D$6,0)),IF(INDEX(Roster!$D$6:$D$108,MATCH(D1170,Roster!$A$6:$A$108,0))&gt;=15,INDEX(Inputs!$B$17:$D$17,1,MATCH(A1170,Inputs!$B$6:$D$6,0)),IF(INDEX(Roster!$D$6:$D$108,MATCH(D1170,Roster!$A$6:$A$108,0))&gt;=10,INDEX(Inputs!$B$16:$D$16,1,MATCH(A1170,Inputs!$B$6:$D$6,0)),IF(INDEX(Roster!$D$6:$D$108,MATCH(D1170,Roster!$A$6:$A$108,0))&gt;=5,INDEX(Inputs!$B$15:$D$15,1,MATCH(A1170,Inputs!$B$6:$D$6,0)),0)))))</x:f>
        <x:v>90</x:v>
      </x:c>
      <x:c r="M1170" s="20" t="n">
        <x:f>G1170*I1170</x:f>
        <x:v>31135</x:v>
      </x:c>
      <x:c r="N1170" s="20" t="n">
        <x:f>G1170*J1170</x:f>
        <x:v>975</x:v>
      </x:c>
      <x:c r="O1170" s="20" t="n">
        <x:f>G1170*K1170</x:f>
        <x:v>0</x:v>
      </x:c>
      <x:c r="P1170" s="20" t="n">
        <x:f>G1170*L1170</x:f>
        <x:v>1170</x:v>
      </x:c>
      <x:c r="Q1170" s="20" t="n">
        <x:f>H1170*INDEX(Inputs!$B$13:$D$13,1,MATCH(A1170,Inputs!$B$6:$D$6,0))</x:f>
        <x:v>390</x:v>
      </x:c>
      <x:c r="R1170" s="20" t="n">
        <x:f>SUM(M1170:Q1170)</x:f>
        <x:v>33670</x:v>
      </x:c>
      <x:c r="S1170" s="20" t="n">
        <x:f>IF(AND(A1169=A1170,D1169=D1170),S1169+R1170,R1170)</x:f>
        <x:v>33670</x:v>
      </x:c>
      <x:c r="T1170" s="20" t="n">
        <x:f>MIN(S1170,INDEX(Inputs!$B$20:$D$20,1,MATCH(A1170,Inputs!$B$6:$D$6,0)))*INDEX(Inputs!$B$22:$D$22,1,MATCH(A1170,Inputs!$B$6:$D$6,0))+MAX(MIN(S1170,INDEX(Inputs!$B$21:$D$21,1,MATCH(A1170,Inputs!$B$6:$D$6,0)))-INDEX(Inputs!$B$20:$D$20,1,MATCH(A1170,Inputs!$B$6:$D$6,0)),0)*INDEX(Inputs!$B$23:$D$23,1,MATCH(A1170,Inputs!$B$6:$D$6,0))+MAX(S1170-INDEX(Inputs!$B$21:$D$21,1,MATCH(A1170,Inputs!$B$6:$D$6,0)),0)*INDEX(Inputs!$B$24:$D$24,1,MATCH(A1170,Inputs!$B$6:$D$6,0))</x:f>
        <x:v>3065.755</x:v>
      </x:c>
      <x:c r="U1170" s="20" t="n">
        <x:f>IF(AND(A1169=A1170,D1169=D1170),T1169,0)</x:f>
        <x:v>0</x:v>
      </x:c>
      <x:c r="V1170" s="20" t="n">
        <x:f>T1170-U1170</x:f>
        <x:v>3065.755</x:v>
      </x:c>
      <x:c r="W1170" s="20" t="n">
        <x:f>R1170+V1170</x:f>
        <x:v>36735.755</x:v>
      </x:c>
      <x:c r="X1170" s="14" t="str">
        <x:f>IF(ABS(W1170-SUM(M1170:Q1170)-V1170)&lt;0.01,"OK","Check")</x:f>
        <x:v>OK</x:v>
      </x:c>
    </x:row>
    <x:row r="1171">
      <x:c r="A1171" s="14" t="n">
        <x:v>2028</x:v>
      </x:c>
      <x:c r="B1171" s="14" t="str">
        <x:v>Q2</x:v>
      </x:c>
      <x:c r="C1171" s="14" t="n">
        <x:v>2</x:v>
      </x:c>
      <x:c r="D1171" s="14" t="n">
        <x:v>86</x:v>
      </x:c>
      <x:c r="E1171" s="14" t="str">
        <x:f>INDEX(Roster!$B$6:$B$108,MATCH(D1171,Roster!$A$6:$A$108,0))</x:f>
      </x:c>
      <x:c r="F1171" s="14" t="str">
        <x:f>INDEX(Roster!$F$6:$F$108,MATCH(D1171,Roster!$A$6:$A$108,0))</x:f>
        <x:v>No</x:v>
      </x:c>
      <x:c r="G1171" s="14" t="n">
        <x:f>INDEX(Inputs!$B$7:$D$7,1,MATCH(A1171,Inputs!$B$6:$D$6,0))</x:f>
        <x:v>13</x:v>
      </x:c>
      <x:c r="H1171" s="14" t="n">
        <x:f>MIN(=INDEX(Inputs!$B$7:$D$7,1,MATCH(A1171,Inputs!$B$6:$D$6,0)),MAX(0,INDEX(Inputs!$B$14:$D$14,1,MATCH(A1171,Inputs!$B$6:$D$6,0))-(C1171-1)*=INDEX(Inputs!$B$7:$D$7,1,MATCH(A1171,Inputs!$B$6:$D$6,0))))</x:f>
        <x:v>13</x:v>
      </x:c>
      <x:c r="I1171" s="20" t="n">
        <x:f>INDEX(Inputs!$B$8:$D$8,1,MATCH(A1171,Inputs!$B$6:$D$6,0))</x:f>
        <x:v>2395</x:v>
      </x:c>
      <x:c r="J1171" s="20" t="n">
        <x:f>INDEX(Roster!$C$6:$C$108,MATCH(D1171,Roster!$A$6:$A$108,0))*(1+INDEX(Inputs!$B$9:$D$9,1,MATCH(A1171,Inputs!$B$6:$D$6,0)))</x:f>
        <x:v>75</x:v>
      </x:c>
      <x:c r="K1171" s="20" t="n">
        <x:f>IF(=INDEX(Roster!$F$6:$F$108,MATCH(D1171,Roster!$A$6:$A$108,0))="Yes",0,=INDEX(Inputs!$B$8:$D$8,1,MATCH(A1171,Inputs!$B$6:$D$6,0))*IF(=INDEX(Roster!$B$6:$B$108,MATCH(D1171,Roster!$A$6:$A$108,0))="Principal",INDEX(Inputs!$B$10:$D$10,1,MATCH(A1171,Inputs!$B$6:$D$6,0)),IF(=INDEX(Roster!$B$6:$B$108,MATCH(D1171,Roster!$A$6:$A$108,0))="Associate Principal",INDEX(Inputs!$B$11:$D$11,1,MATCH(A1171,Inputs!$B$6:$D$6,0)),IF(=INDEX(Roster!$B$6:$B$108,MATCH(D1171,Roster!$A$6:$A$108,0))="Assistant Principal",INDEX(Inputs!$B$12:$D$12,1,MATCH(A1171,Inputs!$B$6:$D$6,0)),0))))</x:f>
        <x:v>0</x:v>
      </x:c>
      <x:c r="L1171" s="20" t="n">
        <x:f>IF(INDEX(Roster!$D$6:$D$108,MATCH(D1171,Roster!$A$6:$A$108,0))&gt;=25,INDEX(Inputs!$B$19:$D$19,1,MATCH(A1171,Inputs!$B$6:$D$6,0)),IF(INDEX(Roster!$D$6:$D$108,MATCH(D1171,Roster!$A$6:$A$108,0))&gt;=20,INDEX(Inputs!$B$18:$D$18,1,MATCH(A1171,Inputs!$B$6:$D$6,0)),IF(INDEX(Roster!$D$6:$D$108,MATCH(D1171,Roster!$A$6:$A$108,0))&gt;=15,INDEX(Inputs!$B$17:$D$17,1,MATCH(A1171,Inputs!$B$6:$D$6,0)),IF(INDEX(Roster!$D$6:$D$108,MATCH(D1171,Roster!$A$6:$A$108,0))&gt;=10,INDEX(Inputs!$B$16:$D$16,1,MATCH(A1171,Inputs!$B$6:$D$6,0)),IF(INDEX(Roster!$D$6:$D$108,MATCH(D1171,Roster!$A$6:$A$108,0))&gt;=5,INDEX(Inputs!$B$15:$D$15,1,MATCH(A1171,Inputs!$B$6:$D$6,0)),0)))))</x:f>
        <x:v>90</x:v>
      </x:c>
      <x:c r="M1171" s="20" t="n">
        <x:f>G1171*I1171</x:f>
        <x:v>31135</x:v>
      </x:c>
      <x:c r="N1171" s="20" t="n">
        <x:f>G1171*J1171</x:f>
        <x:v>975</x:v>
      </x:c>
      <x:c r="O1171" s="20" t="n">
        <x:f>G1171*K1171</x:f>
        <x:v>0</x:v>
      </x:c>
      <x:c r="P1171" s="20" t="n">
        <x:f>G1171*L1171</x:f>
        <x:v>1170</x:v>
      </x:c>
      <x:c r="Q1171" s="20" t="n">
        <x:f>H1171*INDEX(Inputs!$B$13:$D$13,1,MATCH(A1171,Inputs!$B$6:$D$6,0))</x:f>
        <x:v>390</x:v>
      </x:c>
      <x:c r="R1171" s="20" t="n">
        <x:f>SUM(M1171:Q1171)</x:f>
        <x:v>33670</x:v>
      </x:c>
      <x:c r="S1171" s="20" t="n">
        <x:f>IF(AND(A1170=A1171,D1170=D1171),S1170+R1171,R1171)</x:f>
        <x:v>67340</x:v>
      </x:c>
      <x:c r="T1171" s="20" t="n">
        <x:f>MIN(S1171,INDEX(Inputs!$B$20:$D$20,1,MATCH(A1171,Inputs!$B$6:$D$6,0)))*INDEX(Inputs!$B$22:$D$22,1,MATCH(A1171,Inputs!$B$6:$D$6,0))+MAX(MIN(S1171,INDEX(Inputs!$B$21:$D$21,1,MATCH(A1171,Inputs!$B$6:$D$6,0)))-INDEX(Inputs!$B$20:$D$20,1,MATCH(A1171,Inputs!$B$6:$D$6,0)),0)*INDEX(Inputs!$B$23:$D$23,1,MATCH(A1171,Inputs!$B$6:$D$6,0))+MAX(S1171-INDEX(Inputs!$B$21:$D$21,1,MATCH(A1171,Inputs!$B$6:$D$6,0)),0)*INDEX(Inputs!$B$24:$D$24,1,MATCH(A1171,Inputs!$B$6:$D$6,0))</x:f>
        <x:v>5641.51</x:v>
      </x:c>
      <x:c r="U1171" s="20" t="n">
        <x:f>IF(AND(A1170=A1171,D1170=D1171),T1170,0)</x:f>
        <x:v>3065.755</x:v>
      </x:c>
      <x:c r="V1171" s="20" t="n">
        <x:f>T1171-U1171</x:f>
        <x:v>2575.755</x:v>
      </x:c>
      <x:c r="W1171" s="20" t="n">
        <x:f>R1171+V1171</x:f>
        <x:v>36245.755</x:v>
      </x:c>
      <x:c r="X1171" s="14" t="str">
        <x:f>IF(ABS(W1171-SUM(M1171:Q1171)-V1171)&lt;0.01,"OK","Check")</x:f>
        <x:v>OK</x:v>
      </x:c>
    </x:row>
    <x:row r="1172">
      <x:c r="A1172" s="14" t="n">
        <x:v>2028</x:v>
      </x:c>
      <x:c r="B1172" s="14" t="str">
        <x:v>Q3</x:v>
      </x:c>
      <x:c r="C1172" s="14" t="n">
        <x:v>3</x:v>
      </x:c>
      <x:c r="D1172" s="14" t="n">
        <x:v>86</x:v>
      </x:c>
      <x:c r="E1172" s="14" t="str">
        <x:f>INDEX(Roster!$B$6:$B$108,MATCH(D1172,Roster!$A$6:$A$108,0))</x:f>
      </x:c>
      <x:c r="F1172" s="14" t="str">
        <x:f>INDEX(Roster!$F$6:$F$108,MATCH(D1172,Roster!$A$6:$A$108,0))</x:f>
        <x:v>No</x:v>
      </x:c>
      <x:c r="G1172" s="14" t="n">
        <x:f>INDEX(Inputs!$B$7:$D$7,1,MATCH(A1172,Inputs!$B$6:$D$6,0))</x:f>
        <x:v>13</x:v>
      </x:c>
      <x:c r="H1172" s="14" t="n">
        <x:f>MIN(=INDEX(Inputs!$B$7:$D$7,1,MATCH(A1172,Inputs!$B$6:$D$6,0)),MAX(0,INDEX(Inputs!$B$14:$D$14,1,MATCH(A1172,Inputs!$B$6:$D$6,0))-(C1172-1)*=INDEX(Inputs!$B$7:$D$7,1,MATCH(A1172,Inputs!$B$6:$D$6,0))))</x:f>
        <x:v>13</x:v>
      </x:c>
      <x:c r="I1172" s="20" t="n">
        <x:f>INDEX(Inputs!$B$8:$D$8,1,MATCH(A1172,Inputs!$B$6:$D$6,0))</x:f>
        <x:v>2395</x:v>
      </x:c>
      <x:c r="J1172" s="20" t="n">
        <x:f>INDEX(Roster!$C$6:$C$108,MATCH(D1172,Roster!$A$6:$A$108,0))*(1+INDEX(Inputs!$B$9:$D$9,1,MATCH(A1172,Inputs!$B$6:$D$6,0)))</x:f>
        <x:v>75</x:v>
      </x:c>
      <x:c r="K1172" s="20" t="n">
        <x:f>IF(=INDEX(Roster!$F$6:$F$108,MATCH(D1172,Roster!$A$6:$A$108,0))="Yes",0,=INDEX(Inputs!$B$8:$D$8,1,MATCH(A1172,Inputs!$B$6:$D$6,0))*IF(=INDEX(Roster!$B$6:$B$108,MATCH(D1172,Roster!$A$6:$A$108,0))="Principal",INDEX(Inputs!$B$10:$D$10,1,MATCH(A1172,Inputs!$B$6:$D$6,0)),IF(=INDEX(Roster!$B$6:$B$108,MATCH(D1172,Roster!$A$6:$A$108,0))="Associate Principal",INDEX(Inputs!$B$11:$D$11,1,MATCH(A1172,Inputs!$B$6:$D$6,0)),IF(=INDEX(Roster!$B$6:$B$108,MATCH(D1172,Roster!$A$6:$A$108,0))="Assistant Principal",INDEX(Inputs!$B$12:$D$12,1,MATCH(A1172,Inputs!$B$6:$D$6,0)),0))))</x:f>
        <x:v>0</x:v>
      </x:c>
      <x:c r="L1172" s="20" t="n">
        <x:f>IF(INDEX(Roster!$D$6:$D$108,MATCH(D1172,Roster!$A$6:$A$108,0))&gt;=25,INDEX(Inputs!$B$19:$D$19,1,MATCH(A1172,Inputs!$B$6:$D$6,0)),IF(INDEX(Roster!$D$6:$D$108,MATCH(D1172,Roster!$A$6:$A$108,0))&gt;=20,INDEX(Inputs!$B$18:$D$18,1,MATCH(A1172,Inputs!$B$6:$D$6,0)),IF(INDEX(Roster!$D$6:$D$108,MATCH(D1172,Roster!$A$6:$A$108,0))&gt;=15,INDEX(Inputs!$B$17:$D$17,1,MATCH(A1172,Inputs!$B$6:$D$6,0)),IF(INDEX(Roster!$D$6:$D$108,MATCH(D1172,Roster!$A$6:$A$108,0))&gt;=10,INDEX(Inputs!$B$16:$D$16,1,MATCH(A1172,Inputs!$B$6:$D$6,0)),IF(INDEX(Roster!$D$6:$D$108,MATCH(D1172,Roster!$A$6:$A$108,0))&gt;=5,INDEX(Inputs!$B$15:$D$15,1,MATCH(A1172,Inputs!$B$6:$D$6,0)),0)))))</x:f>
        <x:v>90</x:v>
      </x:c>
      <x:c r="M1172" s="20" t="n">
        <x:f>G1172*I1172</x:f>
        <x:v>31135</x:v>
      </x:c>
      <x:c r="N1172" s="20" t="n">
        <x:f>G1172*J1172</x:f>
        <x:v>975</x:v>
      </x:c>
      <x:c r="O1172" s="20" t="n">
        <x:f>G1172*K1172</x:f>
        <x:v>0</x:v>
      </x:c>
      <x:c r="P1172" s="20" t="n">
        <x:f>G1172*L1172</x:f>
        <x:v>1170</x:v>
      </x:c>
      <x:c r="Q1172" s="20" t="n">
        <x:f>H1172*INDEX(Inputs!$B$13:$D$13,1,MATCH(A1172,Inputs!$B$6:$D$6,0))</x:f>
        <x:v>390</x:v>
      </x:c>
      <x:c r="R1172" s="20" t="n">
        <x:f>SUM(M1172:Q1172)</x:f>
        <x:v>33670</x:v>
      </x:c>
      <x:c r="S1172" s="20" t="n">
        <x:f>IF(AND(A1171=A1172,D1171=D1172),S1171+R1172,R1172)</x:f>
        <x:v>101010</x:v>
      </x:c>
      <x:c r="T1172" s="20" t="n">
        <x:f>MIN(S1172,INDEX(Inputs!$B$20:$D$20,1,MATCH(A1172,Inputs!$B$6:$D$6,0)))*INDEX(Inputs!$B$22:$D$22,1,MATCH(A1172,Inputs!$B$6:$D$6,0))+MAX(MIN(S1172,INDEX(Inputs!$B$21:$D$21,1,MATCH(A1172,Inputs!$B$6:$D$6,0)))-INDEX(Inputs!$B$20:$D$20,1,MATCH(A1172,Inputs!$B$6:$D$6,0)),0)*INDEX(Inputs!$B$23:$D$23,1,MATCH(A1172,Inputs!$B$6:$D$6,0))+MAX(S1172-INDEX(Inputs!$B$21:$D$21,1,MATCH(A1172,Inputs!$B$6:$D$6,0)),0)*INDEX(Inputs!$B$24:$D$24,1,MATCH(A1172,Inputs!$B$6:$D$6,0))</x:f>
        <x:v>8217.265</x:v>
      </x:c>
      <x:c r="U1172" s="20" t="n">
        <x:f>IF(AND(A1171=A1172,D1171=D1172),T1171,0)</x:f>
        <x:v>5641.51</x:v>
      </x:c>
      <x:c r="V1172" s="20" t="n">
        <x:f>T1172-U1172</x:f>
        <x:v>2575.754999999999</x:v>
      </x:c>
      <x:c r="W1172" s="20" t="n">
        <x:f>R1172+V1172</x:f>
        <x:v>36245.755</x:v>
      </x:c>
      <x:c r="X1172" s="14" t="str">
        <x:f>IF(ABS(W1172-SUM(M1172:Q1172)-V1172)&lt;0.01,"OK","Check")</x:f>
        <x:v>OK</x:v>
      </x:c>
    </x:row>
    <x:row r="1173">
      <x:c r="A1173" s="14" t="n">
        <x:v>2028</x:v>
      </x:c>
      <x:c r="B1173" s="14" t="str">
        <x:v>Q4</x:v>
      </x:c>
      <x:c r="C1173" s="14" t="n">
        <x:v>4</x:v>
      </x:c>
      <x:c r="D1173" s="14" t="n">
        <x:v>86</x:v>
      </x:c>
      <x:c r="E1173" s="14" t="str">
        <x:f>INDEX(Roster!$B$6:$B$108,MATCH(D1173,Roster!$A$6:$A$108,0))</x:f>
      </x:c>
      <x:c r="F1173" s="14" t="str">
        <x:f>INDEX(Roster!$F$6:$F$108,MATCH(D1173,Roster!$A$6:$A$108,0))</x:f>
        <x:v>No</x:v>
      </x:c>
      <x:c r="G1173" s="14" t="n">
        <x:f>INDEX(Inputs!$B$7:$D$7,1,MATCH(A1173,Inputs!$B$6:$D$6,0))</x:f>
        <x:v>13</x:v>
      </x:c>
      <x:c r="H1173" s="14" t="n">
        <x:f>MIN(=INDEX(Inputs!$B$7:$D$7,1,MATCH(A1173,Inputs!$B$6:$D$6,0)),MAX(0,INDEX(Inputs!$B$14:$D$14,1,MATCH(A1173,Inputs!$B$6:$D$6,0))-(C1173-1)*=INDEX(Inputs!$B$7:$D$7,1,MATCH(A1173,Inputs!$B$6:$D$6,0))))</x:f>
        <x:v>0</x:v>
      </x:c>
      <x:c r="I1173" s="20" t="n">
        <x:f>INDEX(Inputs!$B$8:$D$8,1,MATCH(A1173,Inputs!$B$6:$D$6,0))</x:f>
        <x:v>2395</x:v>
      </x:c>
      <x:c r="J1173" s="20" t="n">
        <x:f>INDEX(Roster!$C$6:$C$108,MATCH(D1173,Roster!$A$6:$A$108,0))*(1+INDEX(Inputs!$B$9:$D$9,1,MATCH(A1173,Inputs!$B$6:$D$6,0)))</x:f>
        <x:v>75</x:v>
      </x:c>
      <x:c r="K1173" s="20" t="n">
        <x:f>IF(=INDEX(Roster!$F$6:$F$108,MATCH(D1173,Roster!$A$6:$A$108,0))="Yes",0,=INDEX(Inputs!$B$8:$D$8,1,MATCH(A1173,Inputs!$B$6:$D$6,0))*IF(=INDEX(Roster!$B$6:$B$108,MATCH(D1173,Roster!$A$6:$A$108,0))="Principal",INDEX(Inputs!$B$10:$D$10,1,MATCH(A1173,Inputs!$B$6:$D$6,0)),IF(=INDEX(Roster!$B$6:$B$108,MATCH(D1173,Roster!$A$6:$A$108,0))="Associate Principal",INDEX(Inputs!$B$11:$D$11,1,MATCH(A1173,Inputs!$B$6:$D$6,0)),IF(=INDEX(Roster!$B$6:$B$108,MATCH(D1173,Roster!$A$6:$A$108,0))="Assistant Principal",INDEX(Inputs!$B$12:$D$12,1,MATCH(A1173,Inputs!$B$6:$D$6,0)),0))))</x:f>
        <x:v>0</x:v>
      </x:c>
      <x:c r="L1173" s="20" t="n">
        <x:f>IF(INDEX(Roster!$D$6:$D$108,MATCH(D1173,Roster!$A$6:$A$108,0))&gt;=25,INDEX(Inputs!$B$19:$D$19,1,MATCH(A1173,Inputs!$B$6:$D$6,0)),IF(INDEX(Roster!$D$6:$D$108,MATCH(D1173,Roster!$A$6:$A$108,0))&gt;=20,INDEX(Inputs!$B$18:$D$18,1,MATCH(A1173,Inputs!$B$6:$D$6,0)),IF(INDEX(Roster!$D$6:$D$108,MATCH(D1173,Roster!$A$6:$A$108,0))&gt;=15,INDEX(Inputs!$B$17:$D$17,1,MATCH(A1173,Inputs!$B$6:$D$6,0)),IF(INDEX(Roster!$D$6:$D$108,MATCH(D1173,Roster!$A$6:$A$108,0))&gt;=10,INDEX(Inputs!$B$16:$D$16,1,MATCH(A1173,Inputs!$B$6:$D$6,0)),IF(INDEX(Roster!$D$6:$D$108,MATCH(D1173,Roster!$A$6:$A$108,0))&gt;=5,INDEX(Inputs!$B$15:$D$15,1,MATCH(A1173,Inputs!$B$6:$D$6,0)),0)))))</x:f>
        <x:v>90</x:v>
      </x:c>
      <x:c r="M1173" s="20" t="n">
        <x:f>G1173*I1173</x:f>
        <x:v>31135</x:v>
      </x:c>
      <x:c r="N1173" s="20" t="n">
        <x:f>G1173*J1173</x:f>
        <x:v>975</x:v>
      </x:c>
      <x:c r="O1173" s="20" t="n">
        <x:f>G1173*K1173</x:f>
        <x:v>0</x:v>
      </x:c>
      <x:c r="P1173" s="20" t="n">
        <x:f>G1173*L1173</x:f>
        <x:v>1170</x:v>
      </x:c>
      <x:c r="Q1173" s="20" t="n">
        <x:f>H1173*INDEX(Inputs!$B$13:$D$13,1,MATCH(A1173,Inputs!$B$6:$D$6,0))</x:f>
        <x:v>0</x:v>
      </x:c>
      <x:c r="R1173" s="20" t="n">
        <x:f>SUM(M1173:Q1173)</x:f>
        <x:v>33280</x:v>
      </x:c>
      <x:c r="S1173" s="20" t="n">
        <x:f>IF(AND(A1172=A1173,D1172=D1173),S1172+R1173,R1173)</x:f>
        <x:v>134290</x:v>
      </x:c>
      <x:c r="T1173" s="20" t="n">
        <x:f>MIN(S1173,INDEX(Inputs!$B$20:$D$20,1,MATCH(A1173,Inputs!$B$6:$D$6,0)))*INDEX(Inputs!$B$22:$D$22,1,MATCH(A1173,Inputs!$B$6:$D$6,0))+MAX(MIN(S1173,INDEX(Inputs!$B$21:$D$21,1,MATCH(A1173,Inputs!$B$6:$D$6,0)))-INDEX(Inputs!$B$20:$D$20,1,MATCH(A1173,Inputs!$B$6:$D$6,0)),0)*INDEX(Inputs!$B$23:$D$23,1,MATCH(A1173,Inputs!$B$6:$D$6,0))+MAX(S1173-INDEX(Inputs!$B$21:$D$21,1,MATCH(A1173,Inputs!$B$6:$D$6,0)),0)*INDEX(Inputs!$B$24:$D$24,1,MATCH(A1173,Inputs!$B$6:$D$6,0))</x:f>
        <x:v>9861.146999999999</x:v>
      </x:c>
      <x:c r="U1173" s="20" t="n">
        <x:f>IF(AND(A1172=A1173,D1172=D1173),T1172,0)</x:f>
        <x:v>8217.265</x:v>
      </x:c>
      <x:c r="V1173" s="20" t="n">
        <x:f>T1173-U1173</x:f>
        <x:v>1643.8819999999996</x:v>
      </x:c>
      <x:c r="W1173" s="20" t="n">
        <x:f>R1173+V1173</x:f>
        <x:v>34923.882</x:v>
      </x:c>
      <x:c r="X1173" s="14" t="str">
        <x:f>IF(ABS(W1173-SUM(M1173:Q1173)-V1173)&lt;0.01,"OK","Check")</x:f>
        <x:v>OK</x:v>
      </x:c>
    </x:row>
    <x:row r="1174">
      <x:c r="A1174" s="14" t="n">
        <x:v>2028</x:v>
      </x:c>
      <x:c r="B1174" s="14" t="str">
        <x:v>Q1</x:v>
      </x:c>
      <x:c r="C1174" s="14" t="n">
        <x:v>1</x:v>
      </x:c>
      <x:c r="D1174" s="14" t="n">
        <x:v>87</x:v>
      </x:c>
      <x:c r="E1174" s="14" t="str">
        <x:f>INDEX(Roster!$B$6:$B$108,MATCH(D1174,Roster!$A$6:$A$108,0))</x:f>
        <x:v>Principal</x:v>
      </x:c>
      <x:c r="F1174" s="14" t="str">
        <x:f>INDEX(Roster!$F$6:$F$108,MATCH(D1174,Roster!$A$6:$A$108,0))</x:f>
        <x:v>Yes</x:v>
      </x:c>
      <x:c r="G1174" s="14" t="n">
        <x:f>INDEX(Inputs!$B$7:$D$7,1,MATCH(A1174,Inputs!$B$6:$D$6,0))</x:f>
        <x:v>13</x:v>
      </x:c>
      <x:c r="H1174" s="14" t="n">
        <x:f>MIN(=INDEX(Inputs!$B$7:$D$7,1,MATCH(A1174,Inputs!$B$6:$D$6,0)),MAX(0,INDEX(Inputs!$B$14:$D$14,1,MATCH(A1174,Inputs!$B$6:$D$6,0))-(C1174-1)*=INDEX(Inputs!$B$7:$D$7,1,MATCH(A1174,Inputs!$B$6:$D$6,0))))</x:f>
        <x:v>13</x:v>
      </x:c>
      <x:c r="I1174" s="20" t="n">
        <x:f>INDEX(Inputs!$B$8:$D$8,1,MATCH(A1174,Inputs!$B$6:$D$6,0))</x:f>
        <x:v>2395</x:v>
      </x:c>
      <x:c r="J1174" s="20" t="n">
        <x:f>INDEX(Roster!$C$6:$C$108,MATCH(D1174,Roster!$A$6:$A$108,0))*(1+INDEX(Inputs!$B$9:$D$9,1,MATCH(A1174,Inputs!$B$6:$D$6,0)))</x:f>
        <x:v>1500</x:v>
      </x:c>
      <x:c r="K1174" s="20" t="n">
        <x:f>IF(=INDEX(Roster!$F$6:$F$108,MATCH(D1174,Roster!$A$6:$A$108,0))="Yes",0,=INDEX(Inputs!$B$8:$D$8,1,MATCH(A1174,Inputs!$B$6:$D$6,0))*IF(=INDEX(Roster!$B$6:$B$108,MATCH(D1174,Roster!$A$6:$A$108,0))="Principal",INDEX(Inputs!$B$10:$D$10,1,MATCH(A1174,Inputs!$B$6:$D$6,0)),IF(=INDEX(Roster!$B$6:$B$108,MATCH(D1174,Roster!$A$6:$A$108,0))="Associate Principal",INDEX(Inputs!$B$11:$D$11,1,MATCH(A1174,Inputs!$B$6:$D$6,0)),IF(=INDEX(Roster!$B$6:$B$108,MATCH(D1174,Roster!$A$6:$A$108,0))="Assistant Principal",INDEX(Inputs!$B$12:$D$12,1,MATCH(A1174,Inputs!$B$6:$D$6,0)),0))))</x:f>
        <x:v>0</x:v>
      </x:c>
      <x:c r="L1174" s="20" t="n">
        <x:f>IF(INDEX(Roster!$D$6:$D$108,MATCH(D1174,Roster!$A$6:$A$108,0))&gt;=25,INDEX(Inputs!$B$19:$D$19,1,MATCH(A1174,Inputs!$B$6:$D$6,0)),IF(INDEX(Roster!$D$6:$D$108,MATCH(D1174,Roster!$A$6:$A$108,0))&gt;=20,INDEX(Inputs!$B$18:$D$18,1,MATCH(A1174,Inputs!$B$6:$D$6,0)),IF(INDEX(Roster!$D$6:$D$108,MATCH(D1174,Roster!$A$6:$A$108,0))&gt;=15,INDEX(Inputs!$B$17:$D$17,1,MATCH(A1174,Inputs!$B$6:$D$6,0)),IF(INDEX(Roster!$D$6:$D$108,MATCH(D1174,Roster!$A$6:$A$108,0))&gt;=10,INDEX(Inputs!$B$16:$D$16,1,MATCH(A1174,Inputs!$B$6:$D$6,0)),IF(INDEX(Roster!$D$6:$D$108,MATCH(D1174,Roster!$A$6:$A$108,0))&gt;=5,INDEX(Inputs!$B$15:$D$15,1,MATCH(A1174,Inputs!$B$6:$D$6,0)),0)))))</x:f>
        <x:v>90</x:v>
      </x:c>
      <x:c r="M1174" s="20" t="n">
        <x:f>G1174*I1174</x:f>
        <x:v>31135</x:v>
      </x:c>
      <x:c r="N1174" s="20" t="n">
        <x:f>G1174*J1174</x:f>
        <x:v>19500</x:v>
      </x:c>
      <x:c r="O1174" s="20" t="n">
        <x:f>G1174*K1174</x:f>
        <x:v>0</x:v>
      </x:c>
      <x:c r="P1174" s="20" t="n">
        <x:f>G1174*L1174</x:f>
        <x:v>1170</x:v>
      </x:c>
      <x:c r="Q1174" s="20" t="n">
        <x:f>H1174*INDEX(Inputs!$B$13:$D$13,1,MATCH(A1174,Inputs!$B$6:$D$6,0))</x:f>
        <x:v>390</x:v>
      </x:c>
      <x:c r="R1174" s="20" t="n">
        <x:f>SUM(M1174:Q1174)</x:f>
        <x:v>52195</x:v>
      </x:c>
      <x:c r="S1174" s="20" t="n">
        <x:f>IF(AND(A1173=A1174,D1173=D1174),S1173+R1174,R1174)</x:f>
        <x:v>52195</x:v>
      </x:c>
      <x:c r="T1174" s="20" t="n">
        <x:f>MIN(S1174,INDEX(Inputs!$B$20:$D$20,1,MATCH(A1174,Inputs!$B$6:$D$6,0)))*INDEX(Inputs!$B$22:$D$22,1,MATCH(A1174,Inputs!$B$6:$D$6,0))+MAX(MIN(S1174,INDEX(Inputs!$B$21:$D$21,1,MATCH(A1174,Inputs!$B$6:$D$6,0)))-INDEX(Inputs!$B$20:$D$20,1,MATCH(A1174,Inputs!$B$6:$D$6,0)),0)*INDEX(Inputs!$B$23:$D$23,1,MATCH(A1174,Inputs!$B$6:$D$6,0))+MAX(S1174-INDEX(Inputs!$B$21:$D$21,1,MATCH(A1174,Inputs!$B$6:$D$6,0)),0)*INDEX(Inputs!$B$24:$D$24,1,MATCH(A1174,Inputs!$B$6:$D$6,0))</x:f>
        <x:v>4482.9175</x:v>
      </x:c>
      <x:c r="U1174" s="20" t="n">
        <x:f>IF(AND(A1173=A1174,D1173=D1174),T1173,0)</x:f>
        <x:v>0</x:v>
      </x:c>
      <x:c r="V1174" s="20" t="n">
        <x:f>T1174-U1174</x:f>
        <x:v>4482.9175</x:v>
      </x:c>
      <x:c r="W1174" s="20" t="n">
        <x:f>R1174+V1174</x:f>
        <x:v>56677.917499999996</x:v>
      </x:c>
      <x:c r="X1174" s="14" t="str">
        <x:f>IF(ABS(W1174-SUM(M1174:Q1174)-V1174)&lt;0.01,"OK","Check")</x:f>
        <x:v>OK</x:v>
      </x:c>
    </x:row>
    <x:row r="1175">
      <x:c r="A1175" s="14" t="n">
        <x:v>2028</x:v>
      </x:c>
      <x:c r="B1175" s="14" t="str">
        <x:v>Q2</x:v>
      </x:c>
      <x:c r="C1175" s="14" t="n">
        <x:v>2</x:v>
      </x:c>
      <x:c r="D1175" s="14" t="n">
        <x:v>87</x:v>
      </x:c>
      <x:c r="E1175" s="14" t="str">
        <x:f>INDEX(Roster!$B$6:$B$108,MATCH(D1175,Roster!$A$6:$A$108,0))</x:f>
        <x:v>Principal</x:v>
      </x:c>
      <x:c r="F1175" s="14" t="str">
        <x:f>INDEX(Roster!$F$6:$F$108,MATCH(D1175,Roster!$A$6:$A$108,0))</x:f>
        <x:v>Yes</x:v>
      </x:c>
      <x:c r="G1175" s="14" t="n">
        <x:f>INDEX(Inputs!$B$7:$D$7,1,MATCH(A1175,Inputs!$B$6:$D$6,0))</x:f>
        <x:v>13</x:v>
      </x:c>
      <x:c r="H1175" s="14" t="n">
        <x:f>MIN(=INDEX(Inputs!$B$7:$D$7,1,MATCH(A1175,Inputs!$B$6:$D$6,0)),MAX(0,INDEX(Inputs!$B$14:$D$14,1,MATCH(A1175,Inputs!$B$6:$D$6,0))-(C1175-1)*=INDEX(Inputs!$B$7:$D$7,1,MATCH(A1175,Inputs!$B$6:$D$6,0))))</x:f>
        <x:v>13</x:v>
      </x:c>
      <x:c r="I1175" s="20" t="n">
        <x:f>INDEX(Inputs!$B$8:$D$8,1,MATCH(A1175,Inputs!$B$6:$D$6,0))</x:f>
        <x:v>2395</x:v>
      </x:c>
      <x:c r="J1175" s="20" t="n">
        <x:f>INDEX(Roster!$C$6:$C$108,MATCH(D1175,Roster!$A$6:$A$108,0))*(1+INDEX(Inputs!$B$9:$D$9,1,MATCH(A1175,Inputs!$B$6:$D$6,0)))</x:f>
        <x:v>1500</x:v>
      </x:c>
      <x:c r="K1175" s="20" t="n">
        <x:f>IF(=INDEX(Roster!$F$6:$F$108,MATCH(D1175,Roster!$A$6:$A$108,0))="Yes",0,=INDEX(Inputs!$B$8:$D$8,1,MATCH(A1175,Inputs!$B$6:$D$6,0))*IF(=INDEX(Roster!$B$6:$B$108,MATCH(D1175,Roster!$A$6:$A$108,0))="Principal",INDEX(Inputs!$B$10:$D$10,1,MATCH(A1175,Inputs!$B$6:$D$6,0)),IF(=INDEX(Roster!$B$6:$B$108,MATCH(D1175,Roster!$A$6:$A$108,0))="Associate Principal",INDEX(Inputs!$B$11:$D$11,1,MATCH(A1175,Inputs!$B$6:$D$6,0)),IF(=INDEX(Roster!$B$6:$B$108,MATCH(D1175,Roster!$A$6:$A$108,0))="Assistant Principal",INDEX(Inputs!$B$12:$D$12,1,MATCH(A1175,Inputs!$B$6:$D$6,0)),0))))</x:f>
        <x:v>0</x:v>
      </x:c>
      <x:c r="L1175" s="20" t="n">
        <x:f>IF(INDEX(Roster!$D$6:$D$108,MATCH(D1175,Roster!$A$6:$A$108,0))&gt;=25,INDEX(Inputs!$B$19:$D$19,1,MATCH(A1175,Inputs!$B$6:$D$6,0)),IF(INDEX(Roster!$D$6:$D$108,MATCH(D1175,Roster!$A$6:$A$108,0))&gt;=20,INDEX(Inputs!$B$18:$D$18,1,MATCH(A1175,Inputs!$B$6:$D$6,0)),IF(INDEX(Roster!$D$6:$D$108,MATCH(D1175,Roster!$A$6:$A$108,0))&gt;=15,INDEX(Inputs!$B$17:$D$17,1,MATCH(A1175,Inputs!$B$6:$D$6,0)),IF(INDEX(Roster!$D$6:$D$108,MATCH(D1175,Roster!$A$6:$A$108,0))&gt;=10,INDEX(Inputs!$B$16:$D$16,1,MATCH(A1175,Inputs!$B$6:$D$6,0)),IF(INDEX(Roster!$D$6:$D$108,MATCH(D1175,Roster!$A$6:$A$108,0))&gt;=5,INDEX(Inputs!$B$15:$D$15,1,MATCH(A1175,Inputs!$B$6:$D$6,0)),0)))))</x:f>
        <x:v>90</x:v>
      </x:c>
      <x:c r="M1175" s="20" t="n">
        <x:f>G1175*I1175</x:f>
        <x:v>31135</x:v>
      </x:c>
      <x:c r="N1175" s="20" t="n">
        <x:f>G1175*J1175</x:f>
        <x:v>19500</x:v>
      </x:c>
      <x:c r="O1175" s="20" t="n">
        <x:f>G1175*K1175</x:f>
        <x:v>0</x:v>
      </x:c>
      <x:c r="P1175" s="20" t="n">
        <x:f>G1175*L1175</x:f>
        <x:v>1170</x:v>
      </x:c>
      <x:c r="Q1175" s="20" t="n">
        <x:f>H1175*INDEX(Inputs!$B$13:$D$13,1,MATCH(A1175,Inputs!$B$6:$D$6,0))</x:f>
        <x:v>390</x:v>
      </x:c>
      <x:c r="R1175" s="20" t="n">
        <x:f>SUM(M1175:Q1175)</x:f>
        <x:v>52195</x:v>
      </x:c>
      <x:c r="S1175" s="20" t="n">
        <x:f>IF(AND(A1174=A1175,D1174=D1175),S1174+R1175,R1175)</x:f>
        <x:v>104390</x:v>
      </x:c>
      <x:c r="T1175" s="20" t="n">
        <x:f>MIN(S1175,INDEX(Inputs!$B$20:$D$20,1,MATCH(A1175,Inputs!$B$6:$D$6,0)))*INDEX(Inputs!$B$22:$D$22,1,MATCH(A1175,Inputs!$B$6:$D$6,0))+MAX(MIN(S1175,INDEX(Inputs!$B$21:$D$21,1,MATCH(A1175,Inputs!$B$6:$D$6,0)))-INDEX(Inputs!$B$20:$D$20,1,MATCH(A1175,Inputs!$B$6:$D$6,0)),0)*INDEX(Inputs!$B$23:$D$23,1,MATCH(A1175,Inputs!$B$6:$D$6,0))+MAX(S1175-INDEX(Inputs!$B$21:$D$21,1,MATCH(A1175,Inputs!$B$6:$D$6,0)),0)*INDEX(Inputs!$B$24:$D$24,1,MATCH(A1175,Inputs!$B$6:$D$6,0))</x:f>
        <x:v>8475.835</x:v>
      </x:c>
      <x:c r="U1175" s="20" t="n">
        <x:f>IF(AND(A1174=A1175,D1174=D1175),T1174,0)</x:f>
        <x:v>4482.9175</x:v>
      </x:c>
      <x:c r="V1175" s="20" t="n">
        <x:f>T1175-U1175</x:f>
        <x:v>3992.9174999999996</x:v>
      </x:c>
      <x:c r="W1175" s="20" t="n">
        <x:f>R1175+V1175</x:f>
        <x:v>56187.917499999996</x:v>
      </x:c>
      <x:c r="X1175" s="14" t="str">
        <x:f>IF(ABS(W1175-SUM(M1175:Q1175)-V1175)&lt;0.01,"OK","Check")</x:f>
        <x:v>OK</x:v>
      </x:c>
    </x:row>
    <x:row r="1176">
      <x:c r="A1176" s="14" t="n">
        <x:v>2028</x:v>
      </x:c>
      <x:c r="B1176" s="14" t="str">
        <x:v>Q3</x:v>
      </x:c>
      <x:c r="C1176" s="14" t="n">
        <x:v>3</x:v>
      </x:c>
      <x:c r="D1176" s="14" t="n">
        <x:v>87</x:v>
      </x:c>
      <x:c r="E1176" s="14" t="str">
        <x:f>INDEX(Roster!$B$6:$B$108,MATCH(D1176,Roster!$A$6:$A$108,0))</x:f>
        <x:v>Principal</x:v>
      </x:c>
      <x:c r="F1176" s="14" t="str">
        <x:f>INDEX(Roster!$F$6:$F$108,MATCH(D1176,Roster!$A$6:$A$108,0))</x:f>
        <x:v>Yes</x:v>
      </x:c>
      <x:c r="G1176" s="14" t="n">
        <x:f>INDEX(Inputs!$B$7:$D$7,1,MATCH(A1176,Inputs!$B$6:$D$6,0))</x:f>
        <x:v>13</x:v>
      </x:c>
      <x:c r="H1176" s="14" t="n">
        <x:f>MIN(=INDEX(Inputs!$B$7:$D$7,1,MATCH(A1176,Inputs!$B$6:$D$6,0)),MAX(0,INDEX(Inputs!$B$14:$D$14,1,MATCH(A1176,Inputs!$B$6:$D$6,0))-(C1176-1)*=INDEX(Inputs!$B$7:$D$7,1,MATCH(A1176,Inputs!$B$6:$D$6,0))))</x:f>
        <x:v>13</x:v>
      </x:c>
      <x:c r="I1176" s="20" t="n">
        <x:f>INDEX(Inputs!$B$8:$D$8,1,MATCH(A1176,Inputs!$B$6:$D$6,0))</x:f>
        <x:v>2395</x:v>
      </x:c>
      <x:c r="J1176" s="20" t="n">
        <x:f>INDEX(Roster!$C$6:$C$108,MATCH(D1176,Roster!$A$6:$A$108,0))*(1+INDEX(Inputs!$B$9:$D$9,1,MATCH(A1176,Inputs!$B$6:$D$6,0)))</x:f>
        <x:v>1500</x:v>
      </x:c>
      <x:c r="K1176" s="20" t="n">
        <x:f>IF(=INDEX(Roster!$F$6:$F$108,MATCH(D1176,Roster!$A$6:$A$108,0))="Yes",0,=INDEX(Inputs!$B$8:$D$8,1,MATCH(A1176,Inputs!$B$6:$D$6,0))*IF(=INDEX(Roster!$B$6:$B$108,MATCH(D1176,Roster!$A$6:$A$108,0))="Principal",INDEX(Inputs!$B$10:$D$10,1,MATCH(A1176,Inputs!$B$6:$D$6,0)),IF(=INDEX(Roster!$B$6:$B$108,MATCH(D1176,Roster!$A$6:$A$108,0))="Associate Principal",INDEX(Inputs!$B$11:$D$11,1,MATCH(A1176,Inputs!$B$6:$D$6,0)),IF(=INDEX(Roster!$B$6:$B$108,MATCH(D1176,Roster!$A$6:$A$108,0))="Assistant Principal",INDEX(Inputs!$B$12:$D$12,1,MATCH(A1176,Inputs!$B$6:$D$6,0)),0))))</x:f>
        <x:v>0</x:v>
      </x:c>
      <x:c r="L1176" s="20" t="n">
        <x:f>IF(INDEX(Roster!$D$6:$D$108,MATCH(D1176,Roster!$A$6:$A$108,0))&gt;=25,INDEX(Inputs!$B$19:$D$19,1,MATCH(A1176,Inputs!$B$6:$D$6,0)),IF(INDEX(Roster!$D$6:$D$108,MATCH(D1176,Roster!$A$6:$A$108,0))&gt;=20,INDEX(Inputs!$B$18:$D$18,1,MATCH(A1176,Inputs!$B$6:$D$6,0)),IF(INDEX(Roster!$D$6:$D$108,MATCH(D1176,Roster!$A$6:$A$108,0))&gt;=15,INDEX(Inputs!$B$17:$D$17,1,MATCH(A1176,Inputs!$B$6:$D$6,0)),IF(INDEX(Roster!$D$6:$D$108,MATCH(D1176,Roster!$A$6:$A$108,0))&gt;=10,INDEX(Inputs!$B$16:$D$16,1,MATCH(A1176,Inputs!$B$6:$D$6,0)),IF(INDEX(Roster!$D$6:$D$108,MATCH(D1176,Roster!$A$6:$A$108,0))&gt;=5,INDEX(Inputs!$B$15:$D$15,1,MATCH(A1176,Inputs!$B$6:$D$6,0)),0)))))</x:f>
        <x:v>90</x:v>
      </x:c>
      <x:c r="M1176" s="20" t="n">
        <x:f>G1176*I1176</x:f>
        <x:v>31135</x:v>
      </x:c>
      <x:c r="N1176" s="20" t="n">
        <x:f>G1176*J1176</x:f>
        <x:v>19500</x:v>
      </x:c>
      <x:c r="O1176" s="20" t="n">
        <x:f>G1176*K1176</x:f>
        <x:v>0</x:v>
      </x:c>
      <x:c r="P1176" s="20" t="n">
        <x:f>G1176*L1176</x:f>
        <x:v>1170</x:v>
      </x:c>
      <x:c r="Q1176" s="20" t="n">
        <x:f>H1176*INDEX(Inputs!$B$13:$D$13,1,MATCH(A1176,Inputs!$B$6:$D$6,0))</x:f>
        <x:v>390</x:v>
      </x:c>
      <x:c r="R1176" s="20" t="n">
        <x:f>SUM(M1176:Q1176)</x:f>
        <x:v>52195</x:v>
      </x:c>
      <x:c r="S1176" s="20" t="n">
        <x:f>IF(AND(A1175=A1176,D1175=D1176),S1175+R1176,R1176)</x:f>
        <x:v>156585</x:v>
      </x:c>
      <x:c r="T1176" s="20" t="n">
        <x:f>MIN(S1176,INDEX(Inputs!$B$20:$D$20,1,MATCH(A1176,Inputs!$B$6:$D$6,0)))*INDEX(Inputs!$B$22:$D$22,1,MATCH(A1176,Inputs!$B$6:$D$6,0))+MAX(MIN(S1176,INDEX(Inputs!$B$21:$D$21,1,MATCH(A1176,Inputs!$B$6:$D$6,0)))-INDEX(Inputs!$B$20:$D$20,1,MATCH(A1176,Inputs!$B$6:$D$6,0)),0)*INDEX(Inputs!$B$23:$D$23,1,MATCH(A1176,Inputs!$B$6:$D$6,0))+MAX(S1176-INDEX(Inputs!$B$21:$D$21,1,MATCH(A1176,Inputs!$B$6:$D$6,0)),0)*INDEX(Inputs!$B$24:$D$24,1,MATCH(A1176,Inputs!$B$6:$D$6,0))</x:f>
        <x:v>10184.4245</x:v>
      </x:c>
      <x:c r="U1176" s="20" t="n">
        <x:f>IF(AND(A1175=A1176,D1175=D1176),T1175,0)</x:f>
        <x:v>8475.835</x:v>
      </x:c>
      <x:c r="V1176" s="20" t="n">
        <x:f>T1176-U1176</x:f>
        <x:v>1708.5895</x:v>
      </x:c>
      <x:c r="W1176" s="20" t="n">
        <x:f>R1176+V1176</x:f>
        <x:v>53903.5895</x:v>
      </x:c>
      <x:c r="X1176" s="14" t="str">
        <x:f>IF(ABS(W1176-SUM(M1176:Q1176)-V1176)&lt;0.01,"OK","Check")</x:f>
        <x:v>OK</x:v>
      </x:c>
    </x:row>
    <x:row r="1177">
      <x:c r="A1177" s="14" t="n">
        <x:v>2028</x:v>
      </x:c>
      <x:c r="B1177" s="14" t="str">
        <x:v>Q4</x:v>
      </x:c>
      <x:c r="C1177" s="14" t="n">
        <x:v>4</x:v>
      </x:c>
      <x:c r="D1177" s="14" t="n">
        <x:v>87</x:v>
      </x:c>
      <x:c r="E1177" s="14" t="str">
        <x:f>INDEX(Roster!$B$6:$B$108,MATCH(D1177,Roster!$A$6:$A$108,0))</x:f>
        <x:v>Principal</x:v>
      </x:c>
      <x:c r="F1177" s="14" t="str">
        <x:f>INDEX(Roster!$F$6:$F$108,MATCH(D1177,Roster!$A$6:$A$108,0))</x:f>
        <x:v>Yes</x:v>
      </x:c>
      <x:c r="G1177" s="14" t="n">
        <x:f>INDEX(Inputs!$B$7:$D$7,1,MATCH(A1177,Inputs!$B$6:$D$6,0))</x:f>
        <x:v>13</x:v>
      </x:c>
      <x:c r="H1177" s="14" t="n">
        <x:f>MIN(=INDEX(Inputs!$B$7:$D$7,1,MATCH(A1177,Inputs!$B$6:$D$6,0)),MAX(0,INDEX(Inputs!$B$14:$D$14,1,MATCH(A1177,Inputs!$B$6:$D$6,0))-(C1177-1)*=INDEX(Inputs!$B$7:$D$7,1,MATCH(A1177,Inputs!$B$6:$D$6,0))))</x:f>
        <x:v>0</x:v>
      </x:c>
      <x:c r="I1177" s="20" t="n">
        <x:f>INDEX(Inputs!$B$8:$D$8,1,MATCH(A1177,Inputs!$B$6:$D$6,0))</x:f>
        <x:v>2395</x:v>
      </x:c>
      <x:c r="J1177" s="20" t="n">
        <x:f>INDEX(Roster!$C$6:$C$108,MATCH(D1177,Roster!$A$6:$A$108,0))*(1+INDEX(Inputs!$B$9:$D$9,1,MATCH(A1177,Inputs!$B$6:$D$6,0)))</x:f>
        <x:v>1500</x:v>
      </x:c>
      <x:c r="K1177" s="20" t="n">
        <x:f>IF(=INDEX(Roster!$F$6:$F$108,MATCH(D1177,Roster!$A$6:$A$108,0))="Yes",0,=INDEX(Inputs!$B$8:$D$8,1,MATCH(A1177,Inputs!$B$6:$D$6,0))*IF(=INDEX(Roster!$B$6:$B$108,MATCH(D1177,Roster!$A$6:$A$108,0))="Principal",INDEX(Inputs!$B$10:$D$10,1,MATCH(A1177,Inputs!$B$6:$D$6,0)),IF(=INDEX(Roster!$B$6:$B$108,MATCH(D1177,Roster!$A$6:$A$108,0))="Associate Principal",INDEX(Inputs!$B$11:$D$11,1,MATCH(A1177,Inputs!$B$6:$D$6,0)),IF(=INDEX(Roster!$B$6:$B$108,MATCH(D1177,Roster!$A$6:$A$108,0))="Assistant Principal",INDEX(Inputs!$B$12:$D$12,1,MATCH(A1177,Inputs!$B$6:$D$6,0)),0))))</x:f>
        <x:v>0</x:v>
      </x:c>
      <x:c r="L1177" s="20" t="n">
        <x:f>IF(INDEX(Roster!$D$6:$D$108,MATCH(D1177,Roster!$A$6:$A$108,0))&gt;=25,INDEX(Inputs!$B$19:$D$19,1,MATCH(A1177,Inputs!$B$6:$D$6,0)),IF(INDEX(Roster!$D$6:$D$108,MATCH(D1177,Roster!$A$6:$A$108,0))&gt;=20,INDEX(Inputs!$B$18:$D$18,1,MATCH(A1177,Inputs!$B$6:$D$6,0)),IF(INDEX(Roster!$D$6:$D$108,MATCH(D1177,Roster!$A$6:$A$108,0))&gt;=15,INDEX(Inputs!$B$17:$D$17,1,MATCH(A1177,Inputs!$B$6:$D$6,0)),IF(INDEX(Roster!$D$6:$D$108,MATCH(D1177,Roster!$A$6:$A$108,0))&gt;=10,INDEX(Inputs!$B$16:$D$16,1,MATCH(A1177,Inputs!$B$6:$D$6,0)),IF(INDEX(Roster!$D$6:$D$108,MATCH(D1177,Roster!$A$6:$A$108,0))&gt;=5,INDEX(Inputs!$B$15:$D$15,1,MATCH(A1177,Inputs!$B$6:$D$6,0)),0)))))</x:f>
        <x:v>90</x:v>
      </x:c>
      <x:c r="M1177" s="20" t="n">
        <x:f>G1177*I1177</x:f>
        <x:v>31135</x:v>
      </x:c>
      <x:c r="N1177" s="20" t="n">
        <x:f>G1177*J1177</x:f>
        <x:v>19500</x:v>
      </x:c>
      <x:c r="O1177" s="20" t="n">
        <x:f>G1177*K1177</x:f>
        <x:v>0</x:v>
      </x:c>
      <x:c r="P1177" s="20" t="n">
        <x:f>G1177*L1177</x:f>
        <x:v>1170</x:v>
      </x:c>
      <x:c r="Q1177" s="20" t="n">
        <x:f>H1177*INDEX(Inputs!$B$13:$D$13,1,MATCH(A1177,Inputs!$B$6:$D$6,0))</x:f>
        <x:v>0</x:v>
      </x:c>
      <x:c r="R1177" s="20" t="n">
        <x:f>SUM(M1177:Q1177)</x:f>
        <x:v>51805</x:v>
      </x:c>
      <x:c r="S1177" s="20" t="n">
        <x:f>IF(AND(A1176=A1177,D1176=D1177),S1176+R1177,R1177)</x:f>
        <x:v>208390</x:v>
      </x:c>
      <x:c r="T1177" s="20" t="n">
        <x:f>MIN(S1177,INDEX(Inputs!$B$20:$D$20,1,MATCH(A1177,Inputs!$B$6:$D$6,0)))*INDEX(Inputs!$B$22:$D$22,1,MATCH(A1177,Inputs!$B$6:$D$6,0))+MAX(MIN(S1177,INDEX(Inputs!$B$21:$D$21,1,MATCH(A1177,Inputs!$B$6:$D$6,0)))-INDEX(Inputs!$B$20:$D$20,1,MATCH(A1177,Inputs!$B$6:$D$6,0)),0)*INDEX(Inputs!$B$23:$D$23,1,MATCH(A1177,Inputs!$B$6:$D$6,0))+MAX(S1177-INDEX(Inputs!$B$21:$D$21,1,MATCH(A1177,Inputs!$B$6:$D$6,0)),0)*INDEX(Inputs!$B$24:$D$24,1,MATCH(A1177,Inputs!$B$6:$D$6,0))</x:f>
        <x:v>10935.597</x:v>
      </x:c>
      <x:c r="U1177" s="20" t="n">
        <x:f>IF(AND(A1176=A1177,D1176=D1177),T1176,0)</x:f>
        <x:v>10184.4245</x:v>
      </x:c>
      <x:c r="V1177" s="20" t="n">
        <x:f>T1177-U1177</x:f>
        <x:v>751.1725000000006</x:v>
      </x:c>
      <x:c r="W1177" s="20" t="n">
        <x:f>R1177+V1177</x:f>
        <x:v>52556.1725</x:v>
      </x:c>
      <x:c r="X1177" s="14" t="str">
        <x:f>IF(ABS(W1177-SUM(M1177:Q1177)-V1177)&lt;0.01,"OK","Check")</x:f>
        <x:v>OK</x:v>
      </x:c>
    </x:row>
    <x:row r="1178">
      <x:c r="A1178" s="14" t="n">
        <x:v>2028</x:v>
      </x:c>
      <x:c r="B1178" s="14" t="str">
        <x:v>Q1</x:v>
      </x:c>
      <x:c r="C1178" s="14" t="n">
        <x:v>1</x:v>
      </x:c>
      <x:c r="D1178" s="14" t="n">
        <x:v>88</x:v>
      </x:c>
      <x:c r="E1178" s="14" t="str">
        <x:f>INDEX(Roster!$B$6:$B$108,MATCH(D1178,Roster!$A$6:$A$108,0))</x:f>
        <x:v>Assistant Principal</x:v>
      </x:c>
      <x:c r="F1178" s="14" t="str">
        <x:f>INDEX(Roster!$F$6:$F$108,MATCH(D1178,Roster!$A$6:$A$108,0))</x:f>
        <x:v>No</x:v>
      </x:c>
      <x:c r="G1178" s="14" t="n">
        <x:f>INDEX(Inputs!$B$7:$D$7,1,MATCH(A1178,Inputs!$B$6:$D$6,0))</x:f>
        <x:v>13</x:v>
      </x:c>
      <x:c r="H1178" s="14" t="n">
        <x:f>MIN(=INDEX(Inputs!$B$7:$D$7,1,MATCH(A1178,Inputs!$B$6:$D$6,0)),MAX(0,INDEX(Inputs!$B$14:$D$14,1,MATCH(A1178,Inputs!$B$6:$D$6,0))-(C1178-1)*=INDEX(Inputs!$B$7:$D$7,1,MATCH(A1178,Inputs!$B$6:$D$6,0))))</x:f>
        <x:v>13</x:v>
      </x:c>
      <x:c r="I1178" s="20" t="n">
        <x:f>INDEX(Inputs!$B$8:$D$8,1,MATCH(A1178,Inputs!$B$6:$D$6,0))</x:f>
        <x:v>2395</x:v>
      </x:c>
      <x:c r="J1178" s="20" t="n">
        <x:f>INDEX(Roster!$C$6:$C$108,MATCH(D1178,Roster!$A$6:$A$108,0))*(1+INDEX(Inputs!$B$9:$D$9,1,MATCH(A1178,Inputs!$B$6:$D$6,0)))</x:f>
        <x:v>0</x:v>
      </x:c>
      <x:c r="K1178" s="20" t="n">
        <x:f>IF(=INDEX(Roster!$F$6:$F$108,MATCH(D1178,Roster!$A$6:$A$108,0))="Yes",0,=INDEX(Inputs!$B$8:$D$8,1,MATCH(A1178,Inputs!$B$6:$D$6,0))*IF(=INDEX(Roster!$B$6:$B$108,MATCH(D1178,Roster!$A$6:$A$108,0))="Principal",INDEX(Inputs!$B$10:$D$10,1,MATCH(A1178,Inputs!$B$6:$D$6,0)),IF(=INDEX(Roster!$B$6:$B$108,MATCH(D1178,Roster!$A$6:$A$108,0))="Associate Principal",INDEX(Inputs!$B$11:$D$11,1,MATCH(A1178,Inputs!$B$6:$D$6,0)),IF(=INDEX(Roster!$B$6:$B$108,MATCH(D1178,Roster!$A$6:$A$108,0))="Assistant Principal",INDEX(Inputs!$B$12:$D$12,1,MATCH(A1178,Inputs!$B$6:$D$6,0)),0))))</x:f>
        <x:v>239.5</x:v>
      </x:c>
      <x:c r="L1178" s="20" t="n">
        <x:f>IF(INDEX(Roster!$D$6:$D$108,MATCH(D1178,Roster!$A$6:$A$108,0))&gt;=25,INDEX(Inputs!$B$19:$D$19,1,MATCH(A1178,Inputs!$B$6:$D$6,0)),IF(INDEX(Roster!$D$6:$D$108,MATCH(D1178,Roster!$A$6:$A$108,0))&gt;=20,INDEX(Inputs!$B$18:$D$18,1,MATCH(A1178,Inputs!$B$6:$D$6,0)),IF(INDEX(Roster!$D$6:$D$108,MATCH(D1178,Roster!$A$6:$A$108,0))&gt;=15,INDEX(Inputs!$B$17:$D$17,1,MATCH(A1178,Inputs!$B$6:$D$6,0)),IF(INDEX(Roster!$D$6:$D$108,MATCH(D1178,Roster!$A$6:$A$108,0))&gt;=10,INDEX(Inputs!$B$16:$D$16,1,MATCH(A1178,Inputs!$B$6:$D$6,0)),IF(INDEX(Roster!$D$6:$D$108,MATCH(D1178,Roster!$A$6:$A$108,0))&gt;=5,INDEX(Inputs!$B$15:$D$15,1,MATCH(A1178,Inputs!$B$6:$D$6,0)),0)))))</x:f>
        <x:v>90</x:v>
      </x:c>
      <x:c r="M1178" s="20" t="n">
        <x:f>G1178*I1178</x:f>
        <x:v>31135</x:v>
      </x:c>
      <x:c r="N1178" s="20" t="n">
        <x:f>G1178*J1178</x:f>
        <x:v>0</x:v>
      </x:c>
      <x:c r="O1178" s="20" t="n">
        <x:f>G1178*K1178</x:f>
        <x:v>3113.5</x:v>
      </x:c>
      <x:c r="P1178" s="20" t="n">
        <x:f>G1178*L1178</x:f>
        <x:v>1170</x:v>
      </x:c>
      <x:c r="Q1178" s="20" t="n">
        <x:f>H1178*INDEX(Inputs!$B$13:$D$13,1,MATCH(A1178,Inputs!$B$6:$D$6,0))</x:f>
        <x:v>390</x:v>
      </x:c>
      <x:c r="R1178" s="20" t="n">
        <x:f>SUM(M1178:Q1178)</x:f>
        <x:v>35808.5</x:v>
      </x:c>
      <x:c r="S1178" s="20" t="n">
        <x:f>IF(AND(A1177=A1178,D1177=D1178),S1177+R1178,R1178)</x:f>
        <x:v>35808.5</x:v>
      </x:c>
      <x:c r="T1178" s="20" t="n">
        <x:f>MIN(S1178,INDEX(Inputs!$B$20:$D$20,1,MATCH(A1178,Inputs!$B$6:$D$6,0)))*INDEX(Inputs!$B$22:$D$22,1,MATCH(A1178,Inputs!$B$6:$D$6,0))+MAX(MIN(S1178,INDEX(Inputs!$B$21:$D$21,1,MATCH(A1178,Inputs!$B$6:$D$6,0)))-INDEX(Inputs!$B$20:$D$20,1,MATCH(A1178,Inputs!$B$6:$D$6,0)),0)*INDEX(Inputs!$B$23:$D$23,1,MATCH(A1178,Inputs!$B$6:$D$6,0))+MAX(S1178-INDEX(Inputs!$B$21:$D$21,1,MATCH(A1178,Inputs!$B$6:$D$6,0)),0)*INDEX(Inputs!$B$24:$D$24,1,MATCH(A1178,Inputs!$B$6:$D$6,0))</x:f>
        <x:v>3229.35025</x:v>
      </x:c>
      <x:c r="U1178" s="20" t="n">
        <x:f>IF(AND(A1177=A1178,D1177=D1178),T1177,0)</x:f>
        <x:v>0</x:v>
      </x:c>
      <x:c r="V1178" s="20" t="n">
        <x:f>T1178-U1178</x:f>
        <x:v>3229.35025</x:v>
      </x:c>
      <x:c r="W1178" s="20" t="n">
        <x:f>R1178+V1178</x:f>
        <x:v>39037.85025</x:v>
      </x:c>
      <x:c r="X1178" s="14" t="str">
        <x:f>IF(ABS(W1178-SUM(M1178:Q1178)-V1178)&lt;0.01,"OK","Check")</x:f>
        <x:v>OK</x:v>
      </x:c>
    </x:row>
    <x:row r="1179">
      <x:c r="A1179" s="14" t="n">
        <x:v>2028</x:v>
      </x:c>
      <x:c r="B1179" s="14" t="str">
        <x:v>Q2</x:v>
      </x:c>
      <x:c r="C1179" s="14" t="n">
        <x:v>2</x:v>
      </x:c>
      <x:c r="D1179" s="14" t="n">
        <x:v>88</x:v>
      </x:c>
      <x:c r="E1179" s="14" t="str">
        <x:f>INDEX(Roster!$B$6:$B$108,MATCH(D1179,Roster!$A$6:$A$108,0))</x:f>
        <x:v>Assistant Principal</x:v>
      </x:c>
      <x:c r="F1179" s="14" t="str">
        <x:f>INDEX(Roster!$F$6:$F$108,MATCH(D1179,Roster!$A$6:$A$108,0))</x:f>
        <x:v>No</x:v>
      </x:c>
      <x:c r="G1179" s="14" t="n">
        <x:f>INDEX(Inputs!$B$7:$D$7,1,MATCH(A1179,Inputs!$B$6:$D$6,0))</x:f>
        <x:v>13</x:v>
      </x:c>
      <x:c r="H1179" s="14" t="n">
        <x:f>MIN(=INDEX(Inputs!$B$7:$D$7,1,MATCH(A1179,Inputs!$B$6:$D$6,0)),MAX(0,INDEX(Inputs!$B$14:$D$14,1,MATCH(A1179,Inputs!$B$6:$D$6,0))-(C1179-1)*=INDEX(Inputs!$B$7:$D$7,1,MATCH(A1179,Inputs!$B$6:$D$6,0))))</x:f>
        <x:v>13</x:v>
      </x:c>
      <x:c r="I1179" s="20" t="n">
        <x:f>INDEX(Inputs!$B$8:$D$8,1,MATCH(A1179,Inputs!$B$6:$D$6,0))</x:f>
        <x:v>2395</x:v>
      </x:c>
      <x:c r="J1179" s="20" t="n">
        <x:f>INDEX(Roster!$C$6:$C$108,MATCH(D1179,Roster!$A$6:$A$108,0))*(1+INDEX(Inputs!$B$9:$D$9,1,MATCH(A1179,Inputs!$B$6:$D$6,0)))</x:f>
        <x:v>0</x:v>
      </x:c>
      <x:c r="K1179" s="20" t="n">
        <x:f>IF(=INDEX(Roster!$F$6:$F$108,MATCH(D1179,Roster!$A$6:$A$108,0))="Yes",0,=INDEX(Inputs!$B$8:$D$8,1,MATCH(A1179,Inputs!$B$6:$D$6,0))*IF(=INDEX(Roster!$B$6:$B$108,MATCH(D1179,Roster!$A$6:$A$108,0))="Principal",INDEX(Inputs!$B$10:$D$10,1,MATCH(A1179,Inputs!$B$6:$D$6,0)),IF(=INDEX(Roster!$B$6:$B$108,MATCH(D1179,Roster!$A$6:$A$108,0))="Associate Principal",INDEX(Inputs!$B$11:$D$11,1,MATCH(A1179,Inputs!$B$6:$D$6,0)),IF(=INDEX(Roster!$B$6:$B$108,MATCH(D1179,Roster!$A$6:$A$108,0))="Assistant Principal",INDEX(Inputs!$B$12:$D$12,1,MATCH(A1179,Inputs!$B$6:$D$6,0)),0))))</x:f>
        <x:v>239.5</x:v>
      </x:c>
      <x:c r="L1179" s="20" t="n">
        <x:f>IF(INDEX(Roster!$D$6:$D$108,MATCH(D1179,Roster!$A$6:$A$108,0))&gt;=25,INDEX(Inputs!$B$19:$D$19,1,MATCH(A1179,Inputs!$B$6:$D$6,0)),IF(INDEX(Roster!$D$6:$D$108,MATCH(D1179,Roster!$A$6:$A$108,0))&gt;=20,INDEX(Inputs!$B$18:$D$18,1,MATCH(A1179,Inputs!$B$6:$D$6,0)),IF(INDEX(Roster!$D$6:$D$108,MATCH(D1179,Roster!$A$6:$A$108,0))&gt;=15,INDEX(Inputs!$B$17:$D$17,1,MATCH(A1179,Inputs!$B$6:$D$6,0)),IF(INDEX(Roster!$D$6:$D$108,MATCH(D1179,Roster!$A$6:$A$108,0))&gt;=10,INDEX(Inputs!$B$16:$D$16,1,MATCH(A1179,Inputs!$B$6:$D$6,0)),IF(INDEX(Roster!$D$6:$D$108,MATCH(D1179,Roster!$A$6:$A$108,0))&gt;=5,INDEX(Inputs!$B$15:$D$15,1,MATCH(A1179,Inputs!$B$6:$D$6,0)),0)))))</x:f>
        <x:v>90</x:v>
      </x:c>
      <x:c r="M1179" s="20" t="n">
        <x:f>G1179*I1179</x:f>
        <x:v>31135</x:v>
      </x:c>
      <x:c r="N1179" s="20" t="n">
        <x:f>G1179*J1179</x:f>
        <x:v>0</x:v>
      </x:c>
      <x:c r="O1179" s="20" t="n">
        <x:f>G1179*K1179</x:f>
        <x:v>3113.5</x:v>
      </x:c>
      <x:c r="P1179" s="20" t="n">
        <x:f>G1179*L1179</x:f>
        <x:v>1170</x:v>
      </x:c>
      <x:c r="Q1179" s="20" t="n">
        <x:f>H1179*INDEX(Inputs!$B$13:$D$13,1,MATCH(A1179,Inputs!$B$6:$D$6,0))</x:f>
        <x:v>390</x:v>
      </x:c>
      <x:c r="R1179" s="20" t="n">
        <x:f>SUM(M1179:Q1179)</x:f>
        <x:v>35808.5</x:v>
      </x:c>
      <x:c r="S1179" s="20" t="n">
        <x:f>IF(AND(A1178=A1179,D1178=D1179),S1178+R1179,R1179)</x:f>
        <x:v>71617</x:v>
      </x:c>
      <x:c r="T1179" s="20" t="n">
        <x:f>MIN(S1179,INDEX(Inputs!$B$20:$D$20,1,MATCH(A1179,Inputs!$B$6:$D$6,0)))*INDEX(Inputs!$B$22:$D$22,1,MATCH(A1179,Inputs!$B$6:$D$6,0))+MAX(MIN(S1179,INDEX(Inputs!$B$21:$D$21,1,MATCH(A1179,Inputs!$B$6:$D$6,0)))-INDEX(Inputs!$B$20:$D$20,1,MATCH(A1179,Inputs!$B$6:$D$6,0)),0)*INDEX(Inputs!$B$23:$D$23,1,MATCH(A1179,Inputs!$B$6:$D$6,0))+MAX(S1179-INDEX(Inputs!$B$21:$D$21,1,MATCH(A1179,Inputs!$B$6:$D$6,0)),0)*INDEX(Inputs!$B$24:$D$24,1,MATCH(A1179,Inputs!$B$6:$D$6,0))</x:f>
        <x:v>5968.7005</x:v>
      </x:c>
      <x:c r="U1179" s="20" t="n">
        <x:f>IF(AND(A1178=A1179,D1178=D1179),T1178,0)</x:f>
        <x:v>3229.35025</x:v>
      </x:c>
      <x:c r="V1179" s="20" t="n">
        <x:f>T1179-U1179</x:f>
        <x:v>2739.35025</x:v>
      </x:c>
      <x:c r="W1179" s="20" t="n">
        <x:f>R1179+V1179</x:f>
        <x:v>38547.85025</x:v>
      </x:c>
      <x:c r="X1179" s="14" t="str">
        <x:f>IF(ABS(W1179-SUM(M1179:Q1179)-V1179)&lt;0.01,"OK","Check")</x:f>
        <x:v>OK</x:v>
      </x:c>
    </x:row>
    <x:row r="1180">
      <x:c r="A1180" s="14" t="n">
        <x:v>2028</x:v>
      </x:c>
      <x:c r="B1180" s="14" t="str">
        <x:v>Q3</x:v>
      </x:c>
      <x:c r="C1180" s="14" t="n">
        <x:v>3</x:v>
      </x:c>
      <x:c r="D1180" s="14" t="n">
        <x:v>88</x:v>
      </x:c>
      <x:c r="E1180" s="14" t="str">
        <x:f>INDEX(Roster!$B$6:$B$108,MATCH(D1180,Roster!$A$6:$A$108,0))</x:f>
        <x:v>Assistant Principal</x:v>
      </x:c>
      <x:c r="F1180" s="14" t="str">
        <x:f>INDEX(Roster!$F$6:$F$108,MATCH(D1180,Roster!$A$6:$A$108,0))</x:f>
        <x:v>No</x:v>
      </x:c>
      <x:c r="G1180" s="14" t="n">
        <x:f>INDEX(Inputs!$B$7:$D$7,1,MATCH(A1180,Inputs!$B$6:$D$6,0))</x:f>
        <x:v>13</x:v>
      </x:c>
      <x:c r="H1180" s="14" t="n">
        <x:f>MIN(=INDEX(Inputs!$B$7:$D$7,1,MATCH(A1180,Inputs!$B$6:$D$6,0)),MAX(0,INDEX(Inputs!$B$14:$D$14,1,MATCH(A1180,Inputs!$B$6:$D$6,0))-(C1180-1)*=INDEX(Inputs!$B$7:$D$7,1,MATCH(A1180,Inputs!$B$6:$D$6,0))))</x:f>
        <x:v>13</x:v>
      </x:c>
      <x:c r="I1180" s="20" t="n">
        <x:f>INDEX(Inputs!$B$8:$D$8,1,MATCH(A1180,Inputs!$B$6:$D$6,0))</x:f>
        <x:v>2395</x:v>
      </x:c>
      <x:c r="J1180" s="20" t="n">
        <x:f>INDEX(Roster!$C$6:$C$108,MATCH(D1180,Roster!$A$6:$A$108,0))*(1+INDEX(Inputs!$B$9:$D$9,1,MATCH(A1180,Inputs!$B$6:$D$6,0)))</x:f>
        <x:v>0</x:v>
      </x:c>
      <x:c r="K1180" s="20" t="n">
        <x:f>IF(=INDEX(Roster!$F$6:$F$108,MATCH(D1180,Roster!$A$6:$A$108,0))="Yes",0,=INDEX(Inputs!$B$8:$D$8,1,MATCH(A1180,Inputs!$B$6:$D$6,0))*IF(=INDEX(Roster!$B$6:$B$108,MATCH(D1180,Roster!$A$6:$A$108,0))="Principal",INDEX(Inputs!$B$10:$D$10,1,MATCH(A1180,Inputs!$B$6:$D$6,0)),IF(=INDEX(Roster!$B$6:$B$108,MATCH(D1180,Roster!$A$6:$A$108,0))="Associate Principal",INDEX(Inputs!$B$11:$D$11,1,MATCH(A1180,Inputs!$B$6:$D$6,0)),IF(=INDEX(Roster!$B$6:$B$108,MATCH(D1180,Roster!$A$6:$A$108,0))="Assistant Principal",INDEX(Inputs!$B$12:$D$12,1,MATCH(A1180,Inputs!$B$6:$D$6,0)),0))))</x:f>
        <x:v>239.5</x:v>
      </x:c>
      <x:c r="L1180" s="20" t="n">
        <x:f>IF(INDEX(Roster!$D$6:$D$108,MATCH(D1180,Roster!$A$6:$A$108,0))&gt;=25,INDEX(Inputs!$B$19:$D$19,1,MATCH(A1180,Inputs!$B$6:$D$6,0)),IF(INDEX(Roster!$D$6:$D$108,MATCH(D1180,Roster!$A$6:$A$108,0))&gt;=20,INDEX(Inputs!$B$18:$D$18,1,MATCH(A1180,Inputs!$B$6:$D$6,0)),IF(INDEX(Roster!$D$6:$D$108,MATCH(D1180,Roster!$A$6:$A$108,0))&gt;=15,INDEX(Inputs!$B$17:$D$17,1,MATCH(A1180,Inputs!$B$6:$D$6,0)),IF(INDEX(Roster!$D$6:$D$108,MATCH(D1180,Roster!$A$6:$A$108,0))&gt;=10,INDEX(Inputs!$B$16:$D$16,1,MATCH(A1180,Inputs!$B$6:$D$6,0)),IF(INDEX(Roster!$D$6:$D$108,MATCH(D1180,Roster!$A$6:$A$108,0))&gt;=5,INDEX(Inputs!$B$15:$D$15,1,MATCH(A1180,Inputs!$B$6:$D$6,0)),0)))))</x:f>
        <x:v>90</x:v>
      </x:c>
      <x:c r="M1180" s="20" t="n">
        <x:f>G1180*I1180</x:f>
        <x:v>31135</x:v>
      </x:c>
      <x:c r="N1180" s="20" t="n">
        <x:f>G1180*J1180</x:f>
        <x:v>0</x:v>
      </x:c>
      <x:c r="O1180" s="20" t="n">
        <x:f>G1180*K1180</x:f>
        <x:v>3113.5</x:v>
      </x:c>
      <x:c r="P1180" s="20" t="n">
        <x:f>G1180*L1180</x:f>
        <x:v>1170</x:v>
      </x:c>
      <x:c r="Q1180" s="20" t="n">
        <x:f>H1180*INDEX(Inputs!$B$13:$D$13,1,MATCH(A1180,Inputs!$B$6:$D$6,0))</x:f>
        <x:v>390</x:v>
      </x:c>
      <x:c r="R1180" s="20" t="n">
        <x:f>SUM(M1180:Q1180)</x:f>
        <x:v>35808.5</x:v>
      </x:c>
      <x:c r="S1180" s="20" t="n">
        <x:f>IF(AND(A1179=A1180,D1179=D1180),S1179+R1180,R1180)</x:f>
        <x:v>107425.5</x:v>
      </x:c>
      <x:c r="T1180" s="20" t="n">
        <x:f>MIN(S1180,INDEX(Inputs!$B$20:$D$20,1,MATCH(A1180,Inputs!$B$6:$D$6,0)))*INDEX(Inputs!$B$22:$D$22,1,MATCH(A1180,Inputs!$B$6:$D$6,0))+MAX(MIN(S1180,INDEX(Inputs!$B$21:$D$21,1,MATCH(A1180,Inputs!$B$6:$D$6,0)))-INDEX(Inputs!$B$20:$D$20,1,MATCH(A1180,Inputs!$B$6:$D$6,0)),0)*INDEX(Inputs!$B$23:$D$23,1,MATCH(A1180,Inputs!$B$6:$D$6,0))+MAX(S1180-INDEX(Inputs!$B$21:$D$21,1,MATCH(A1180,Inputs!$B$6:$D$6,0)),0)*INDEX(Inputs!$B$24:$D$24,1,MATCH(A1180,Inputs!$B$6:$D$6,0))</x:f>
        <x:v>8708.050749999999</x:v>
      </x:c>
      <x:c r="U1180" s="20" t="n">
        <x:f>IF(AND(A1179=A1180,D1179=D1180),T1179,0)</x:f>
        <x:v>5968.7005</x:v>
      </x:c>
      <x:c r="V1180" s="20" t="n">
        <x:f>T1180-U1180</x:f>
        <x:v>2739.3502499999986</x:v>
      </x:c>
      <x:c r="W1180" s="20" t="n">
        <x:f>R1180+V1180</x:f>
        <x:v>38547.850249999996</x:v>
      </x:c>
      <x:c r="X1180" s="14" t="str">
        <x:f>IF(ABS(W1180-SUM(M1180:Q1180)-V1180)&lt;0.01,"OK","Check")</x:f>
        <x:v>OK</x:v>
      </x:c>
    </x:row>
    <x:row r="1181">
      <x:c r="A1181" s="14" t="n">
        <x:v>2028</x:v>
      </x:c>
      <x:c r="B1181" s="14" t="str">
        <x:v>Q4</x:v>
      </x:c>
      <x:c r="C1181" s="14" t="n">
        <x:v>4</x:v>
      </x:c>
      <x:c r="D1181" s="14" t="n">
        <x:v>88</x:v>
      </x:c>
      <x:c r="E1181" s="14" t="str">
        <x:f>INDEX(Roster!$B$6:$B$108,MATCH(D1181,Roster!$A$6:$A$108,0))</x:f>
        <x:v>Assistant Principal</x:v>
      </x:c>
      <x:c r="F1181" s="14" t="str">
        <x:f>INDEX(Roster!$F$6:$F$108,MATCH(D1181,Roster!$A$6:$A$108,0))</x:f>
        <x:v>No</x:v>
      </x:c>
      <x:c r="G1181" s="14" t="n">
        <x:f>INDEX(Inputs!$B$7:$D$7,1,MATCH(A1181,Inputs!$B$6:$D$6,0))</x:f>
        <x:v>13</x:v>
      </x:c>
      <x:c r="H1181" s="14" t="n">
        <x:f>MIN(=INDEX(Inputs!$B$7:$D$7,1,MATCH(A1181,Inputs!$B$6:$D$6,0)),MAX(0,INDEX(Inputs!$B$14:$D$14,1,MATCH(A1181,Inputs!$B$6:$D$6,0))-(C1181-1)*=INDEX(Inputs!$B$7:$D$7,1,MATCH(A1181,Inputs!$B$6:$D$6,0))))</x:f>
        <x:v>0</x:v>
      </x:c>
      <x:c r="I1181" s="20" t="n">
        <x:f>INDEX(Inputs!$B$8:$D$8,1,MATCH(A1181,Inputs!$B$6:$D$6,0))</x:f>
        <x:v>2395</x:v>
      </x:c>
      <x:c r="J1181" s="20" t="n">
        <x:f>INDEX(Roster!$C$6:$C$108,MATCH(D1181,Roster!$A$6:$A$108,0))*(1+INDEX(Inputs!$B$9:$D$9,1,MATCH(A1181,Inputs!$B$6:$D$6,0)))</x:f>
        <x:v>0</x:v>
      </x:c>
      <x:c r="K1181" s="20" t="n">
        <x:f>IF(=INDEX(Roster!$F$6:$F$108,MATCH(D1181,Roster!$A$6:$A$108,0))="Yes",0,=INDEX(Inputs!$B$8:$D$8,1,MATCH(A1181,Inputs!$B$6:$D$6,0))*IF(=INDEX(Roster!$B$6:$B$108,MATCH(D1181,Roster!$A$6:$A$108,0))="Principal",INDEX(Inputs!$B$10:$D$10,1,MATCH(A1181,Inputs!$B$6:$D$6,0)),IF(=INDEX(Roster!$B$6:$B$108,MATCH(D1181,Roster!$A$6:$A$108,0))="Associate Principal",INDEX(Inputs!$B$11:$D$11,1,MATCH(A1181,Inputs!$B$6:$D$6,0)),IF(=INDEX(Roster!$B$6:$B$108,MATCH(D1181,Roster!$A$6:$A$108,0))="Assistant Principal",INDEX(Inputs!$B$12:$D$12,1,MATCH(A1181,Inputs!$B$6:$D$6,0)),0))))</x:f>
        <x:v>239.5</x:v>
      </x:c>
      <x:c r="L1181" s="20" t="n">
        <x:f>IF(INDEX(Roster!$D$6:$D$108,MATCH(D1181,Roster!$A$6:$A$108,0))&gt;=25,INDEX(Inputs!$B$19:$D$19,1,MATCH(A1181,Inputs!$B$6:$D$6,0)),IF(INDEX(Roster!$D$6:$D$108,MATCH(D1181,Roster!$A$6:$A$108,0))&gt;=20,INDEX(Inputs!$B$18:$D$18,1,MATCH(A1181,Inputs!$B$6:$D$6,0)),IF(INDEX(Roster!$D$6:$D$108,MATCH(D1181,Roster!$A$6:$A$108,0))&gt;=15,INDEX(Inputs!$B$17:$D$17,1,MATCH(A1181,Inputs!$B$6:$D$6,0)),IF(INDEX(Roster!$D$6:$D$108,MATCH(D1181,Roster!$A$6:$A$108,0))&gt;=10,INDEX(Inputs!$B$16:$D$16,1,MATCH(A1181,Inputs!$B$6:$D$6,0)),IF(INDEX(Roster!$D$6:$D$108,MATCH(D1181,Roster!$A$6:$A$108,0))&gt;=5,INDEX(Inputs!$B$15:$D$15,1,MATCH(A1181,Inputs!$B$6:$D$6,0)),0)))))</x:f>
        <x:v>90</x:v>
      </x:c>
      <x:c r="M1181" s="20" t="n">
        <x:f>G1181*I1181</x:f>
        <x:v>31135</x:v>
      </x:c>
      <x:c r="N1181" s="20" t="n">
        <x:f>G1181*J1181</x:f>
        <x:v>0</x:v>
      </x:c>
      <x:c r="O1181" s="20" t="n">
        <x:f>G1181*K1181</x:f>
        <x:v>3113.5</x:v>
      </x:c>
      <x:c r="P1181" s="20" t="n">
        <x:f>G1181*L1181</x:f>
        <x:v>1170</x:v>
      </x:c>
      <x:c r="Q1181" s="20" t="n">
        <x:f>H1181*INDEX(Inputs!$B$13:$D$13,1,MATCH(A1181,Inputs!$B$6:$D$6,0))</x:f>
        <x:v>0</x:v>
      </x:c>
      <x:c r="R1181" s="20" t="n">
        <x:f>SUM(M1181:Q1181)</x:f>
        <x:v>35418.5</x:v>
      </x:c>
      <x:c r="S1181" s="20" t="n">
        <x:f>IF(AND(A1180=A1181,D1180=D1181),S1180+R1181,R1181)</x:f>
        <x:v>142844</x:v>
      </x:c>
      <x:c r="T1181" s="20" t="n">
        <x:f>MIN(S1181,INDEX(Inputs!$B$20:$D$20,1,MATCH(A1181,Inputs!$B$6:$D$6,0)))*INDEX(Inputs!$B$22:$D$22,1,MATCH(A1181,Inputs!$B$6:$D$6,0))+MAX(MIN(S1181,INDEX(Inputs!$B$21:$D$21,1,MATCH(A1181,Inputs!$B$6:$D$6,0)))-INDEX(Inputs!$B$20:$D$20,1,MATCH(A1181,Inputs!$B$6:$D$6,0)),0)*INDEX(Inputs!$B$23:$D$23,1,MATCH(A1181,Inputs!$B$6:$D$6,0))+MAX(S1181-INDEX(Inputs!$B$21:$D$21,1,MATCH(A1181,Inputs!$B$6:$D$6,0)),0)*INDEX(Inputs!$B$24:$D$24,1,MATCH(A1181,Inputs!$B$6:$D$6,0))</x:f>
        <x:v>9985.18</x:v>
      </x:c>
      <x:c r="U1181" s="20" t="n">
        <x:f>IF(AND(A1180=A1181,D1180=D1181),T1180,0)</x:f>
        <x:v>8708.050749999999</x:v>
      </x:c>
      <x:c r="V1181" s="20" t="n">
        <x:f>T1181-U1181</x:f>
        <x:v>1277.1292500000018</x:v>
      </x:c>
      <x:c r="W1181" s="20" t="n">
        <x:f>R1181+V1181</x:f>
        <x:v>36695.62925</x:v>
      </x:c>
      <x:c r="X1181" s="14" t="str">
        <x:f>IF(ABS(W1181-SUM(M1181:Q1181)-V1181)&lt;0.01,"OK","Check")</x:f>
        <x:v>OK</x:v>
      </x:c>
    </x:row>
    <x:row r="1182">
      <x:c r="A1182" s="14" t="n">
        <x:v>2028</x:v>
      </x:c>
      <x:c r="B1182" s="14" t="str">
        <x:v>Q1</x:v>
      </x:c>
      <x:c r="C1182" s="14" t="n">
        <x:v>1</x:v>
      </x:c>
      <x:c r="D1182" s="14" t="n">
        <x:v>89</x:v>
      </x:c>
      <x:c r="E1182" s="14" t="str">
        <x:f>INDEX(Roster!$B$6:$B$108,MATCH(D1182,Roster!$A$6:$A$108,0))</x:f>
      </x:c>
      <x:c r="F1182" s="14" t="str">
        <x:f>INDEX(Roster!$F$6:$F$108,MATCH(D1182,Roster!$A$6:$A$108,0))</x:f>
        <x:v>No</x:v>
      </x:c>
      <x:c r="G1182" s="14" t="n">
        <x:f>INDEX(Inputs!$B$7:$D$7,1,MATCH(A1182,Inputs!$B$6:$D$6,0))</x:f>
        <x:v>13</x:v>
      </x:c>
      <x:c r="H1182" s="14" t="n">
        <x:f>MIN(=INDEX(Inputs!$B$7:$D$7,1,MATCH(A1182,Inputs!$B$6:$D$6,0)),MAX(0,INDEX(Inputs!$B$14:$D$14,1,MATCH(A1182,Inputs!$B$6:$D$6,0))-(C1182-1)*=INDEX(Inputs!$B$7:$D$7,1,MATCH(A1182,Inputs!$B$6:$D$6,0))))</x:f>
        <x:v>13</x:v>
      </x:c>
      <x:c r="I1182" s="20" t="n">
        <x:f>INDEX(Inputs!$B$8:$D$8,1,MATCH(A1182,Inputs!$B$6:$D$6,0))</x:f>
        <x:v>2395</x:v>
      </x:c>
      <x:c r="J1182" s="20" t="n">
        <x:f>INDEX(Roster!$C$6:$C$108,MATCH(D1182,Roster!$A$6:$A$108,0))*(1+INDEX(Inputs!$B$9:$D$9,1,MATCH(A1182,Inputs!$B$6:$D$6,0)))</x:f>
        <x:v>160</x:v>
      </x:c>
      <x:c r="K1182" s="20" t="n">
        <x:f>IF(=INDEX(Roster!$F$6:$F$108,MATCH(D1182,Roster!$A$6:$A$108,0))="Yes",0,=INDEX(Inputs!$B$8:$D$8,1,MATCH(A1182,Inputs!$B$6:$D$6,0))*IF(=INDEX(Roster!$B$6:$B$108,MATCH(D1182,Roster!$A$6:$A$108,0))="Principal",INDEX(Inputs!$B$10:$D$10,1,MATCH(A1182,Inputs!$B$6:$D$6,0)),IF(=INDEX(Roster!$B$6:$B$108,MATCH(D1182,Roster!$A$6:$A$108,0))="Associate Principal",INDEX(Inputs!$B$11:$D$11,1,MATCH(A1182,Inputs!$B$6:$D$6,0)),IF(=INDEX(Roster!$B$6:$B$108,MATCH(D1182,Roster!$A$6:$A$108,0))="Assistant Principal",INDEX(Inputs!$B$12:$D$12,1,MATCH(A1182,Inputs!$B$6:$D$6,0)),0))))</x:f>
        <x:v>0</x:v>
      </x:c>
      <x:c r="L1182" s="20" t="n">
        <x:f>IF(INDEX(Roster!$D$6:$D$108,MATCH(D1182,Roster!$A$6:$A$108,0))&gt;=25,INDEX(Inputs!$B$19:$D$19,1,MATCH(A1182,Inputs!$B$6:$D$6,0)),IF(INDEX(Roster!$D$6:$D$108,MATCH(D1182,Roster!$A$6:$A$108,0))&gt;=20,INDEX(Inputs!$B$18:$D$18,1,MATCH(A1182,Inputs!$B$6:$D$6,0)),IF(INDEX(Roster!$D$6:$D$108,MATCH(D1182,Roster!$A$6:$A$108,0))&gt;=15,INDEX(Inputs!$B$17:$D$17,1,MATCH(A1182,Inputs!$B$6:$D$6,0)),IF(INDEX(Roster!$D$6:$D$108,MATCH(D1182,Roster!$A$6:$A$108,0))&gt;=10,INDEX(Inputs!$B$16:$D$16,1,MATCH(A1182,Inputs!$B$6:$D$6,0)),IF(INDEX(Roster!$D$6:$D$108,MATCH(D1182,Roster!$A$6:$A$108,0))&gt;=5,INDEX(Inputs!$B$15:$D$15,1,MATCH(A1182,Inputs!$B$6:$D$6,0)),0)))))</x:f>
        <x:v>50</x:v>
      </x:c>
      <x:c r="M1182" s="20" t="n">
        <x:f>G1182*I1182</x:f>
        <x:v>31135</x:v>
      </x:c>
      <x:c r="N1182" s="20" t="n">
        <x:f>G1182*J1182</x:f>
        <x:v>2080</x:v>
      </x:c>
      <x:c r="O1182" s="20" t="n">
        <x:f>G1182*K1182</x:f>
        <x:v>0</x:v>
      </x:c>
      <x:c r="P1182" s="20" t="n">
        <x:f>G1182*L1182</x:f>
        <x:v>650</x:v>
      </x:c>
      <x:c r="Q1182" s="20" t="n">
        <x:f>H1182*INDEX(Inputs!$B$13:$D$13,1,MATCH(A1182,Inputs!$B$6:$D$6,0))</x:f>
        <x:v>390</x:v>
      </x:c>
      <x:c r="R1182" s="20" t="n">
        <x:f>SUM(M1182:Q1182)</x:f>
        <x:v>34255</x:v>
      </x:c>
      <x:c r="S1182" s="20" t="n">
        <x:f>IF(AND(A1181=A1182,D1181=D1182),S1181+R1182,R1182)</x:f>
        <x:v>34255</x:v>
      </x:c>
      <x:c r="T1182" s="20" t="n">
        <x:f>MIN(S1182,INDEX(Inputs!$B$20:$D$20,1,MATCH(A1182,Inputs!$B$6:$D$6,0)))*INDEX(Inputs!$B$22:$D$22,1,MATCH(A1182,Inputs!$B$6:$D$6,0))+MAX(MIN(S1182,INDEX(Inputs!$B$21:$D$21,1,MATCH(A1182,Inputs!$B$6:$D$6,0)))-INDEX(Inputs!$B$20:$D$20,1,MATCH(A1182,Inputs!$B$6:$D$6,0)),0)*INDEX(Inputs!$B$23:$D$23,1,MATCH(A1182,Inputs!$B$6:$D$6,0))+MAX(S1182-INDEX(Inputs!$B$21:$D$21,1,MATCH(A1182,Inputs!$B$6:$D$6,0)),0)*INDEX(Inputs!$B$24:$D$24,1,MATCH(A1182,Inputs!$B$6:$D$6,0))</x:f>
        <x:v>3110.5075</x:v>
      </x:c>
      <x:c r="U1182" s="20" t="n">
        <x:f>IF(AND(A1181=A1182,D1181=D1182),T1181,0)</x:f>
        <x:v>0</x:v>
      </x:c>
      <x:c r="V1182" s="20" t="n">
        <x:f>T1182-U1182</x:f>
        <x:v>3110.5075</x:v>
      </x:c>
      <x:c r="W1182" s="20" t="n">
        <x:f>R1182+V1182</x:f>
        <x:v>37365.5075</x:v>
      </x:c>
      <x:c r="X1182" s="14" t="str">
        <x:f>IF(ABS(W1182-SUM(M1182:Q1182)-V1182)&lt;0.01,"OK","Check")</x:f>
        <x:v>OK</x:v>
      </x:c>
    </x:row>
    <x:row r="1183">
      <x:c r="A1183" s="14" t="n">
        <x:v>2028</x:v>
      </x:c>
      <x:c r="B1183" s="14" t="str">
        <x:v>Q2</x:v>
      </x:c>
      <x:c r="C1183" s="14" t="n">
        <x:v>2</x:v>
      </x:c>
      <x:c r="D1183" s="14" t="n">
        <x:v>89</x:v>
      </x:c>
      <x:c r="E1183" s="14" t="str">
        <x:f>INDEX(Roster!$B$6:$B$108,MATCH(D1183,Roster!$A$6:$A$108,0))</x:f>
      </x:c>
      <x:c r="F1183" s="14" t="str">
        <x:f>INDEX(Roster!$F$6:$F$108,MATCH(D1183,Roster!$A$6:$A$108,0))</x:f>
        <x:v>No</x:v>
      </x:c>
      <x:c r="G1183" s="14" t="n">
        <x:f>INDEX(Inputs!$B$7:$D$7,1,MATCH(A1183,Inputs!$B$6:$D$6,0))</x:f>
        <x:v>13</x:v>
      </x:c>
      <x:c r="H1183" s="14" t="n">
        <x:f>MIN(=INDEX(Inputs!$B$7:$D$7,1,MATCH(A1183,Inputs!$B$6:$D$6,0)),MAX(0,INDEX(Inputs!$B$14:$D$14,1,MATCH(A1183,Inputs!$B$6:$D$6,0))-(C1183-1)*=INDEX(Inputs!$B$7:$D$7,1,MATCH(A1183,Inputs!$B$6:$D$6,0))))</x:f>
        <x:v>13</x:v>
      </x:c>
      <x:c r="I1183" s="20" t="n">
        <x:f>INDEX(Inputs!$B$8:$D$8,1,MATCH(A1183,Inputs!$B$6:$D$6,0))</x:f>
        <x:v>2395</x:v>
      </x:c>
      <x:c r="J1183" s="20" t="n">
        <x:f>INDEX(Roster!$C$6:$C$108,MATCH(D1183,Roster!$A$6:$A$108,0))*(1+INDEX(Inputs!$B$9:$D$9,1,MATCH(A1183,Inputs!$B$6:$D$6,0)))</x:f>
        <x:v>160</x:v>
      </x:c>
      <x:c r="K1183" s="20" t="n">
        <x:f>IF(=INDEX(Roster!$F$6:$F$108,MATCH(D1183,Roster!$A$6:$A$108,0))="Yes",0,=INDEX(Inputs!$B$8:$D$8,1,MATCH(A1183,Inputs!$B$6:$D$6,0))*IF(=INDEX(Roster!$B$6:$B$108,MATCH(D1183,Roster!$A$6:$A$108,0))="Principal",INDEX(Inputs!$B$10:$D$10,1,MATCH(A1183,Inputs!$B$6:$D$6,0)),IF(=INDEX(Roster!$B$6:$B$108,MATCH(D1183,Roster!$A$6:$A$108,0))="Associate Principal",INDEX(Inputs!$B$11:$D$11,1,MATCH(A1183,Inputs!$B$6:$D$6,0)),IF(=INDEX(Roster!$B$6:$B$108,MATCH(D1183,Roster!$A$6:$A$108,0))="Assistant Principal",INDEX(Inputs!$B$12:$D$12,1,MATCH(A1183,Inputs!$B$6:$D$6,0)),0))))</x:f>
        <x:v>0</x:v>
      </x:c>
      <x:c r="L1183" s="20" t="n">
        <x:f>IF(INDEX(Roster!$D$6:$D$108,MATCH(D1183,Roster!$A$6:$A$108,0))&gt;=25,INDEX(Inputs!$B$19:$D$19,1,MATCH(A1183,Inputs!$B$6:$D$6,0)),IF(INDEX(Roster!$D$6:$D$108,MATCH(D1183,Roster!$A$6:$A$108,0))&gt;=20,INDEX(Inputs!$B$18:$D$18,1,MATCH(A1183,Inputs!$B$6:$D$6,0)),IF(INDEX(Roster!$D$6:$D$108,MATCH(D1183,Roster!$A$6:$A$108,0))&gt;=15,INDEX(Inputs!$B$17:$D$17,1,MATCH(A1183,Inputs!$B$6:$D$6,0)),IF(INDEX(Roster!$D$6:$D$108,MATCH(D1183,Roster!$A$6:$A$108,0))&gt;=10,INDEX(Inputs!$B$16:$D$16,1,MATCH(A1183,Inputs!$B$6:$D$6,0)),IF(INDEX(Roster!$D$6:$D$108,MATCH(D1183,Roster!$A$6:$A$108,0))&gt;=5,INDEX(Inputs!$B$15:$D$15,1,MATCH(A1183,Inputs!$B$6:$D$6,0)),0)))))</x:f>
        <x:v>50</x:v>
      </x:c>
      <x:c r="M1183" s="20" t="n">
        <x:f>G1183*I1183</x:f>
        <x:v>31135</x:v>
      </x:c>
      <x:c r="N1183" s="20" t="n">
        <x:f>G1183*J1183</x:f>
        <x:v>2080</x:v>
      </x:c>
      <x:c r="O1183" s="20" t="n">
        <x:f>G1183*K1183</x:f>
        <x:v>0</x:v>
      </x:c>
      <x:c r="P1183" s="20" t="n">
        <x:f>G1183*L1183</x:f>
        <x:v>650</x:v>
      </x:c>
      <x:c r="Q1183" s="20" t="n">
        <x:f>H1183*INDEX(Inputs!$B$13:$D$13,1,MATCH(A1183,Inputs!$B$6:$D$6,0))</x:f>
        <x:v>390</x:v>
      </x:c>
      <x:c r="R1183" s="20" t="n">
        <x:f>SUM(M1183:Q1183)</x:f>
        <x:v>34255</x:v>
      </x:c>
      <x:c r="S1183" s="20" t="n">
        <x:f>IF(AND(A1182=A1183,D1182=D1183),S1182+R1183,R1183)</x:f>
        <x:v>68510</x:v>
      </x:c>
      <x:c r="T1183" s="20" t="n">
        <x:f>MIN(S1183,INDEX(Inputs!$B$20:$D$20,1,MATCH(A1183,Inputs!$B$6:$D$6,0)))*INDEX(Inputs!$B$22:$D$22,1,MATCH(A1183,Inputs!$B$6:$D$6,0))+MAX(MIN(S1183,INDEX(Inputs!$B$21:$D$21,1,MATCH(A1183,Inputs!$B$6:$D$6,0)))-INDEX(Inputs!$B$20:$D$20,1,MATCH(A1183,Inputs!$B$6:$D$6,0)),0)*INDEX(Inputs!$B$23:$D$23,1,MATCH(A1183,Inputs!$B$6:$D$6,0))+MAX(S1183-INDEX(Inputs!$B$21:$D$21,1,MATCH(A1183,Inputs!$B$6:$D$6,0)),0)*INDEX(Inputs!$B$24:$D$24,1,MATCH(A1183,Inputs!$B$6:$D$6,0))</x:f>
        <x:v>5731.015</x:v>
      </x:c>
      <x:c r="U1183" s="20" t="n">
        <x:f>IF(AND(A1182=A1183,D1182=D1183),T1182,0)</x:f>
        <x:v>3110.5075</x:v>
      </x:c>
      <x:c r="V1183" s="20" t="n">
        <x:f>T1183-U1183</x:f>
        <x:v>2620.5075</x:v>
      </x:c>
      <x:c r="W1183" s="20" t="n">
        <x:f>R1183+V1183</x:f>
        <x:v>36875.5075</x:v>
      </x:c>
      <x:c r="X1183" s="14" t="str">
        <x:f>IF(ABS(W1183-SUM(M1183:Q1183)-V1183)&lt;0.01,"OK","Check")</x:f>
        <x:v>OK</x:v>
      </x:c>
    </x:row>
    <x:row r="1184">
      <x:c r="A1184" s="14" t="n">
        <x:v>2028</x:v>
      </x:c>
      <x:c r="B1184" s="14" t="str">
        <x:v>Q3</x:v>
      </x:c>
      <x:c r="C1184" s="14" t="n">
        <x:v>3</x:v>
      </x:c>
      <x:c r="D1184" s="14" t="n">
        <x:v>89</x:v>
      </x:c>
      <x:c r="E1184" s="14" t="str">
        <x:f>INDEX(Roster!$B$6:$B$108,MATCH(D1184,Roster!$A$6:$A$108,0))</x:f>
      </x:c>
      <x:c r="F1184" s="14" t="str">
        <x:f>INDEX(Roster!$F$6:$F$108,MATCH(D1184,Roster!$A$6:$A$108,0))</x:f>
        <x:v>No</x:v>
      </x:c>
      <x:c r="G1184" s="14" t="n">
        <x:f>INDEX(Inputs!$B$7:$D$7,1,MATCH(A1184,Inputs!$B$6:$D$6,0))</x:f>
        <x:v>13</x:v>
      </x:c>
      <x:c r="H1184" s="14" t="n">
        <x:f>MIN(=INDEX(Inputs!$B$7:$D$7,1,MATCH(A1184,Inputs!$B$6:$D$6,0)),MAX(0,INDEX(Inputs!$B$14:$D$14,1,MATCH(A1184,Inputs!$B$6:$D$6,0))-(C1184-1)*=INDEX(Inputs!$B$7:$D$7,1,MATCH(A1184,Inputs!$B$6:$D$6,0))))</x:f>
        <x:v>13</x:v>
      </x:c>
      <x:c r="I1184" s="20" t="n">
        <x:f>INDEX(Inputs!$B$8:$D$8,1,MATCH(A1184,Inputs!$B$6:$D$6,0))</x:f>
        <x:v>2395</x:v>
      </x:c>
      <x:c r="J1184" s="20" t="n">
        <x:f>INDEX(Roster!$C$6:$C$108,MATCH(D1184,Roster!$A$6:$A$108,0))*(1+INDEX(Inputs!$B$9:$D$9,1,MATCH(A1184,Inputs!$B$6:$D$6,0)))</x:f>
        <x:v>160</x:v>
      </x:c>
      <x:c r="K1184" s="20" t="n">
        <x:f>IF(=INDEX(Roster!$F$6:$F$108,MATCH(D1184,Roster!$A$6:$A$108,0))="Yes",0,=INDEX(Inputs!$B$8:$D$8,1,MATCH(A1184,Inputs!$B$6:$D$6,0))*IF(=INDEX(Roster!$B$6:$B$108,MATCH(D1184,Roster!$A$6:$A$108,0))="Principal",INDEX(Inputs!$B$10:$D$10,1,MATCH(A1184,Inputs!$B$6:$D$6,0)),IF(=INDEX(Roster!$B$6:$B$108,MATCH(D1184,Roster!$A$6:$A$108,0))="Associate Principal",INDEX(Inputs!$B$11:$D$11,1,MATCH(A1184,Inputs!$B$6:$D$6,0)),IF(=INDEX(Roster!$B$6:$B$108,MATCH(D1184,Roster!$A$6:$A$108,0))="Assistant Principal",INDEX(Inputs!$B$12:$D$12,1,MATCH(A1184,Inputs!$B$6:$D$6,0)),0))))</x:f>
        <x:v>0</x:v>
      </x:c>
      <x:c r="L1184" s="20" t="n">
        <x:f>IF(INDEX(Roster!$D$6:$D$108,MATCH(D1184,Roster!$A$6:$A$108,0))&gt;=25,INDEX(Inputs!$B$19:$D$19,1,MATCH(A1184,Inputs!$B$6:$D$6,0)),IF(INDEX(Roster!$D$6:$D$108,MATCH(D1184,Roster!$A$6:$A$108,0))&gt;=20,INDEX(Inputs!$B$18:$D$18,1,MATCH(A1184,Inputs!$B$6:$D$6,0)),IF(INDEX(Roster!$D$6:$D$108,MATCH(D1184,Roster!$A$6:$A$108,0))&gt;=15,INDEX(Inputs!$B$17:$D$17,1,MATCH(A1184,Inputs!$B$6:$D$6,0)),IF(INDEX(Roster!$D$6:$D$108,MATCH(D1184,Roster!$A$6:$A$108,0))&gt;=10,INDEX(Inputs!$B$16:$D$16,1,MATCH(A1184,Inputs!$B$6:$D$6,0)),IF(INDEX(Roster!$D$6:$D$108,MATCH(D1184,Roster!$A$6:$A$108,0))&gt;=5,INDEX(Inputs!$B$15:$D$15,1,MATCH(A1184,Inputs!$B$6:$D$6,0)),0)))))</x:f>
        <x:v>50</x:v>
      </x:c>
      <x:c r="M1184" s="20" t="n">
        <x:f>G1184*I1184</x:f>
        <x:v>31135</x:v>
      </x:c>
      <x:c r="N1184" s="20" t="n">
        <x:f>G1184*J1184</x:f>
        <x:v>2080</x:v>
      </x:c>
      <x:c r="O1184" s="20" t="n">
        <x:f>G1184*K1184</x:f>
        <x:v>0</x:v>
      </x:c>
      <x:c r="P1184" s="20" t="n">
        <x:f>G1184*L1184</x:f>
        <x:v>650</x:v>
      </x:c>
      <x:c r="Q1184" s="20" t="n">
        <x:f>H1184*INDEX(Inputs!$B$13:$D$13,1,MATCH(A1184,Inputs!$B$6:$D$6,0))</x:f>
        <x:v>390</x:v>
      </x:c>
      <x:c r="R1184" s="20" t="n">
        <x:f>SUM(M1184:Q1184)</x:f>
        <x:v>34255</x:v>
      </x:c>
      <x:c r="S1184" s="20" t="n">
        <x:f>IF(AND(A1183=A1184,D1183=D1184),S1183+R1184,R1184)</x:f>
        <x:v>102765</x:v>
      </x:c>
      <x:c r="T1184" s="20" t="n">
        <x:f>MIN(S1184,INDEX(Inputs!$B$20:$D$20,1,MATCH(A1184,Inputs!$B$6:$D$6,0)))*INDEX(Inputs!$B$22:$D$22,1,MATCH(A1184,Inputs!$B$6:$D$6,0))+MAX(MIN(S1184,INDEX(Inputs!$B$21:$D$21,1,MATCH(A1184,Inputs!$B$6:$D$6,0)))-INDEX(Inputs!$B$20:$D$20,1,MATCH(A1184,Inputs!$B$6:$D$6,0)),0)*INDEX(Inputs!$B$23:$D$23,1,MATCH(A1184,Inputs!$B$6:$D$6,0))+MAX(S1184-INDEX(Inputs!$B$21:$D$21,1,MATCH(A1184,Inputs!$B$6:$D$6,0)),0)*INDEX(Inputs!$B$24:$D$24,1,MATCH(A1184,Inputs!$B$6:$D$6,0))</x:f>
        <x:v>8351.5225</x:v>
      </x:c>
      <x:c r="U1184" s="20" t="n">
        <x:f>IF(AND(A1183=A1184,D1183=D1184),T1183,0)</x:f>
        <x:v>5731.015</x:v>
      </x:c>
      <x:c r="V1184" s="20" t="n">
        <x:f>T1184-U1184</x:f>
        <x:v>2620.507499999999</x:v>
      </x:c>
      <x:c r="W1184" s="20" t="n">
        <x:f>R1184+V1184</x:f>
        <x:v>36875.5075</x:v>
      </x:c>
      <x:c r="X1184" s="14" t="str">
        <x:f>IF(ABS(W1184-SUM(M1184:Q1184)-V1184)&lt;0.01,"OK","Check")</x:f>
        <x:v>OK</x:v>
      </x:c>
    </x:row>
    <x:row r="1185">
      <x:c r="A1185" s="14" t="n">
        <x:v>2028</x:v>
      </x:c>
      <x:c r="B1185" s="14" t="str">
        <x:v>Q4</x:v>
      </x:c>
      <x:c r="C1185" s="14" t="n">
        <x:v>4</x:v>
      </x:c>
      <x:c r="D1185" s="14" t="n">
        <x:v>89</x:v>
      </x:c>
      <x:c r="E1185" s="14" t="str">
        <x:f>INDEX(Roster!$B$6:$B$108,MATCH(D1185,Roster!$A$6:$A$108,0))</x:f>
      </x:c>
      <x:c r="F1185" s="14" t="str">
        <x:f>INDEX(Roster!$F$6:$F$108,MATCH(D1185,Roster!$A$6:$A$108,0))</x:f>
        <x:v>No</x:v>
      </x:c>
      <x:c r="G1185" s="14" t="n">
        <x:f>INDEX(Inputs!$B$7:$D$7,1,MATCH(A1185,Inputs!$B$6:$D$6,0))</x:f>
        <x:v>13</x:v>
      </x:c>
      <x:c r="H1185" s="14" t="n">
        <x:f>MIN(=INDEX(Inputs!$B$7:$D$7,1,MATCH(A1185,Inputs!$B$6:$D$6,0)),MAX(0,INDEX(Inputs!$B$14:$D$14,1,MATCH(A1185,Inputs!$B$6:$D$6,0))-(C1185-1)*=INDEX(Inputs!$B$7:$D$7,1,MATCH(A1185,Inputs!$B$6:$D$6,0))))</x:f>
        <x:v>0</x:v>
      </x:c>
      <x:c r="I1185" s="20" t="n">
        <x:f>INDEX(Inputs!$B$8:$D$8,1,MATCH(A1185,Inputs!$B$6:$D$6,0))</x:f>
        <x:v>2395</x:v>
      </x:c>
      <x:c r="J1185" s="20" t="n">
        <x:f>INDEX(Roster!$C$6:$C$108,MATCH(D1185,Roster!$A$6:$A$108,0))*(1+INDEX(Inputs!$B$9:$D$9,1,MATCH(A1185,Inputs!$B$6:$D$6,0)))</x:f>
        <x:v>160</x:v>
      </x:c>
      <x:c r="K1185" s="20" t="n">
        <x:f>IF(=INDEX(Roster!$F$6:$F$108,MATCH(D1185,Roster!$A$6:$A$108,0))="Yes",0,=INDEX(Inputs!$B$8:$D$8,1,MATCH(A1185,Inputs!$B$6:$D$6,0))*IF(=INDEX(Roster!$B$6:$B$108,MATCH(D1185,Roster!$A$6:$A$108,0))="Principal",INDEX(Inputs!$B$10:$D$10,1,MATCH(A1185,Inputs!$B$6:$D$6,0)),IF(=INDEX(Roster!$B$6:$B$108,MATCH(D1185,Roster!$A$6:$A$108,0))="Associate Principal",INDEX(Inputs!$B$11:$D$11,1,MATCH(A1185,Inputs!$B$6:$D$6,0)),IF(=INDEX(Roster!$B$6:$B$108,MATCH(D1185,Roster!$A$6:$A$108,0))="Assistant Principal",INDEX(Inputs!$B$12:$D$12,1,MATCH(A1185,Inputs!$B$6:$D$6,0)),0))))</x:f>
        <x:v>0</x:v>
      </x:c>
      <x:c r="L1185" s="20" t="n">
        <x:f>IF(INDEX(Roster!$D$6:$D$108,MATCH(D1185,Roster!$A$6:$A$108,0))&gt;=25,INDEX(Inputs!$B$19:$D$19,1,MATCH(A1185,Inputs!$B$6:$D$6,0)),IF(INDEX(Roster!$D$6:$D$108,MATCH(D1185,Roster!$A$6:$A$108,0))&gt;=20,INDEX(Inputs!$B$18:$D$18,1,MATCH(A1185,Inputs!$B$6:$D$6,0)),IF(INDEX(Roster!$D$6:$D$108,MATCH(D1185,Roster!$A$6:$A$108,0))&gt;=15,INDEX(Inputs!$B$17:$D$17,1,MATCH(A1185,Inputs!$B$6:$D$6,0)),IF(INDEX(Roster!$D$6:$D$108,MATCH(D1185,Roster!$A$6:$A$108,0))&gt;=10,INDEX(Inputs!$B$16:$D$16,1,MATCH(A1185,Inputs!$B$6:$D$6,0)),IF(INDEX(Roster!$D$6:$D$108,MATCH(D1185,Roster!$A$6:$A$108,0))&gt;=5,INDEX(Inputs!$B$15:$D$15,1,MATCH(A1185,Inputs!$B$6:$D$6,0)),0)))))</x:f>
        <x:v>50</x:v>
      </x:c>
      <x:c r="M1185" s="20" t="n">
        <x:f>G1185*I1185</x:f>
        <x:v>31135</x:v>
      </x:c>
      <x:c r="N1185" s="20" t="n">
        <x:f>G1185*J1185</x:f>
        <x:v>2080</x:v>
      </x:c>
      <x:c r="O1185" s="20" t="n">
        <x:f>G1185*K1185</x:f>
        <x:v>0</x:v>
      </x:c>
      <x:c r="P1185" s="20" t="n">
        <x:f>G1185*L1185</x:f>
        <x:v>650</x:v>
      </x:c>
      <x:c r="Q1185" s="20" t="n">
        <x:f>H1185*INDEX(Inputs!$B$13:$D$13,1,MATCH(A1185,Inputs!$B$6:$D$6,0))</x:f>
        <x:v>0</x:v>
      </x:c>
      <x:c r="R1185" s="20" t="n">
        <x:f>SUM(M1185:Q1185)</x:f>
        <x:v>33865</x:v>
      </x:c>
      <x:c r="S1185" s="20" t="n">
        <x:f>IF(AND(A1184=A1185,D1184=D1185),S1184+R1185,R1185)</x:f>
        <x:v>136630</x:v>
      </x:c>
      <x:c r="T1185" s="20" t="n">
        <x:f>MIN(S1185,INDEX(Inputs!$B$20:$D$20,1,MATCH(A1185,Inputs!$B$6:$D$6,0)))*INDEX(Inputs!$B$22:$D$22,1,MATCH(A1185,Inputs!$B$6:$D$6,0))+MAX(MIN(S1185,INDEX(Inputs!$B$21:$D$21,1,MATCH(A1185,Inputs!$B$6:$D$6,0)))-INDEX(Inputs!$B$20:$D$20,1,MATCH(A1185,Inputs!$B$6:$D$6,0)),0)*INDEX(Inputs!$B$23:$D$23,1,MATCH(A1185,Inputs!$B$6:$D$6,0))+MAX(S1185-INDEX(Inputs!$B$21:$D$21,1,MATCH(A1185,Inputs!$B$6:$D$6,0)),0)*INDEX(Inputs!$B$24:$D$24,1,MATCH(A1185,Inputs!$B$6:$D$6,0))</x:f>
        <x:v>9895.077</x:v>
      </x:c>
      <x:c r="U1185" s="20" t="n">
        <x:f>IF(AND(A1184=A1185,D1184=D1185),T1184,0)</x:f>
        <x:v>8351.5225</x:v>
      </x:c>
      <x:c r="V1185" s="20" t="n">
        <x:f>T1185-U1185</x:f>
        <x:v>1543.5545000000002</x:v>
      </x:c>
      <x:c r="W1185" s="20" t="n">
        <x:f>R1185+V1185</x:f>
        <x:v>35408.5545</x:v>
      </x:c>
      <x:c r="X1185" s="14" t="str">
        <x:f>IF(ABS(W1185-SUM(M1185:Q1185)-V1185)&lt;0.01,"OK","Check")</x:f>
        <x:v>OK</x:v>
      </x:c>
    </x:row>
    <x:row r="1186">
      <x:c r="A1186" s="14" t="n">
        <x:v>2028</x:v>
      </x:c>
      <x:c r="B1186" s="14" t="str">
        <x:v>Q1</x:v>
      </x:c>
      <x:c r="C1186" s="14" t="n">
        <x:v>1</x:v>
      </x:c>
      <x:c r="D1186" s="14" t="n">
        <x:v>90</x:v>
      </x:c>
      <x:c r="E1186" s="14" t="str">
        <x:f>INDEX(Roster!$B$6:$B$108,MATCH(D1186,Roster!$A$6:$A$108,0))</x:f>
      </x:c>
      <x:c r="F1186" s="14" t="str">
        <x:f>INDEX(Roster!$F$6:$F$108,MATCH(D1186,Roster!$A$6:$A$108,0))</x:f>
        <x:v>No</x:v>
      </x:c>
      <x:c r="G1186" s="14" t="n">
        <x:f>INDEX(Inputs!$B$7:$D$7,1,MATCH(A1186,Inputs!$B$6:$D$6,0))</x:f>
        <x:v>13</x:v>
      </x:c>
      <x:c r="H1186" s="14" t="n">
        <x:f>MIN(=INDEX(Inputs!$B$7:$D$7,1,MATCH(A1186,Inputs!$B$6:$D$6,0)),MAX(0,INDEX(Inputs!$B$14:$D$14,1,MATCH(A1186,Inputs!$B$6:$D$6,0))-(C1186-1)*=INDEX(Inputs!$B$7:$D$7,1,MATCH(A1186,Inputs!$B$6:$D$6,0))))</x:f>
        <x:v>13</x:v>
      </x:c>
      <x:c r="I1186" s="20" t="n">
        <x:f>INDEX(Inputs!$B$8:$D$8,1,MATCH(A1186,Inputs!$B$6:$D$6,0))</x:f>
        <x:v>2395</x:v>
      </x:c>
      <x:c r="J1186" s="20" t="n">
        <x:f>INDEX(Roster!$C$6:$C$108,MATCH(D1186,Roster!$A$6:$A$108,0))*(1+INDEX(Inputs!$B$9:$D$9,1,MATCH(A1186,Inputs!$B$6:$D$6,0)))</x:f>
        <x:v>60</x:v>
      </x:c>
      <x:c r="K1186" s="20" t="n">
        <x:f>IF(=INDEX(Roster!$F$6:$F$108,MATCH(D1186,Roster!$A$6:$A$108,0))="Yes",0,=INDEX(Inputs!$B$8:$D$8,1,MATCH(A1186,Inputs!$B$6:$D$6,0))*IF(=INDEX(Roster!$B$6:$B$108,MATCH(D1186,Roster!$A$6:$A$108,0))="Principal",INDEX(Inputs!$B$10:$D$10,1,MATCH(A1186,Inputs!$B$6:$D$6,0)),IF(=INDEX(Roster!$B$6:$B$108,MATCH(D1186,Roster!$A$6:$A$108,0))="Associate Principal",INDEX(Inputs!$B$11:$D$11,1,MATCH(A1186,Inputs!$B$6:$D$6,0)),IF(=INDEX(Roster!$B$6:$B$108,MATCH(D1186,Roster!$A$6:$A$108,0))="Assistant Principal",INDEX(Inputs!$B$12:$D$12,1,MATCH(A1186,Inputs!$B$6:$D$6,0)),0))))</x:f>
        <x:v>0</x:v>
      </x:c>
      <x:c r="L1186" s="20" t="n">
        <x:f>IF(INDEX(Roster!$D$6:$D$108,MATCH(D1186,Roster!$A$6:$A$108,0))&gt;=25,INDEX(Inputs!$B$19:$D$19,1,MATCH(A1186,Inputs!$B$6:$D$6,0)),IF(INDEX(Roster!$D$6:$D$108,MATCH(D1186,Roster!$A$6:$A$108,0))&gt;=20,INDEX(Inputs!$B$18:$D$18,1,MATCH(A1186,Inputs!$B$6:$D$6,0)),IF(INDEX(Roster!$D$6:$D$108,MATCH(D1186,Roster!$A$6:$A$108,0))&gt;=15,INDEX(Inputs!$B$17:$D$17,1,MATCH(A1186,Inputs!$B$6:$D$6,0)),IF(INDEX(Roster!$D$6:$D$108,MATCH(D1186,Roster!$A$6:$A$108,0))&gt;=10,INDEX(Inputs!$B$16:$D$16,1,MATCH(A1186,Inputs!$B$6:$D$6,0)),IF(INDEX(Roster!$D$6:$D$108,MATCH(D1186,Roster!$A$6:$A$108,0))&gt;=5,INDEX(Inputs!$B$15:$D$15,1,MATCH(A1186,Inputs!$B$6:$D$6,0)),0)))))</x:f>
        <x:v>90</x:v>
      </x:c>
      <x:c r="M1186" s="20" t="n">
        <x:f>G1186*I1186</x:f>
        <x:v>31135</x:v>
      </x:c>
      <x:c r="N1186" s="20" t="n">
        <x:f>G1186*J1186</x:f>
        <x:v>780</x:v>
      </x:c>
      <x:c r="O1186" s="20" t="n">
        <x:f>G1186*K1186</x:f>
        <x:v>0</x:v>
      </x:c>
      <x:c r="P1186" s="20" t="n">
        <x:f>G1186*L1186</x:f>
        <x:v>1170</x:v>
      </x:c>
      <x:c r="Q1186" s="20" t="n">
        <x:f>H1186*INDEX(Inputs!$B$13:$D$13,1,MATCH(A1186,Inputs!$B$6:$D$6,0))</x:f>
        <x:v>390</x:v>
      </x:c>
      <x:c r="R1186" s="20" t="n">
        <x:f>SUM(M1186:Q1186)</x:f>
        <x:v>33475</x:v>
      </x:c>
      <x:c r="S1186" s="20" t="n">
        <x:f>IF(AND(A1185=A1186,D1185=D1186),S1185+R1186,R1186)</x:f>
        <x:v>33475</x:v>
      </x:c>
      <x:c r="T1186" s="20" t="n">
        <x:f>MIN(S1186,INDEX(Inputs!$B$20:$D$20,1,MATCH(A1186,Inputs!$B$6:$D$6,0)))*INDEX(Inputs!$B$22:$D$22,1,MATCH(A1186,Inputs!$B$6:$D$6,0))+MAX(MIN(S1186,INDEX(Inputs!$B$21:$D$21,1,MATCH(A1186,Inputs!$B$6:$D$6,0)))-INDEX(Inputs!$B$20:$D$20,1,MATCH(A1186,Inputs!$B$6:$D$6,0)),0)*INDEX(Inputs!$B$23:$D$23,1,MATCH(A1186,Inputs!$B$6:$D$6,0))+MAX(S1186-INDEX(Inputs!$B$21:$D$21,1,MATCH(A1186,Inputs!$B$6:$D$6,0)),0)*INDEX(Inputs!$B$24:$D$24,1,MATCH(A1186,Inputs!$B$6:$D$6,0))</x:f>
        <x:v>3050.8374999999996</x:v>
      </x:c>
      <x:c r="U1186" s="20" t="n">
        <x:f>IF(AND(A1185=A1186,D1185=D1186),T1185,0)</x:f>
        <x:v>0</x:v>
      </x:c>
      <x:c r="V1186" s="20" t="n">
        <x:f>T1186-U1186</x:f>
        <x:v>3050.8374999999996</x:v>
      </x:c>
      <x:c r="W1186" s="20" t="n">
        <x:f>R1186+V1186</x:f>
        <x:v>36525.8375</x:v>
      </x:c>
      <x:c r="X1186" s="14" t="str">
        <x:f>IF(ABS(W1186-SUM(M1186:Q1186)-V1186)&lt;0.01,"OK","Check")</x:f>
        <x:v>OK</x:v>
      </x:c>
    </x:row>
    <x:row r="1187">
      <x:c r="A1187" s="14" t="n">
        <x:v>2028</x:v>
      </x:c>
      <x:c r="B1187" s="14" t="str">
        <x:v>Q2</x:v>
      </x:c>
      <x:c r="C1187" s="14" t="n">
        <x:v>2</x:v>
      </x:c>
      <x:c r="D1187" s="14" t="n">
        <x:v>90</x:v>
      </x:c>
      <x:c r="E1187" s="14" t="str">
        <x:f>INDEX(Roster!$B$6:$B$108,MATCH(D1187,Roster!$A$6:$A$108,0))</x:f>
      </x:c>
      <x:c r="F1187" s="14" t="str">
        <x:f>INDEX(Roster!$F$6:$F$108,MATCH(D1187,Roster!$A$6:$A$108,0))</x:f>
        <x:v>No</x:v>
      </x:c>
      <x:c r="G1187" s="14" t="n">
        <x:f>INDEX(Inputs!$B$7:$D$7,1,MATCH(A1187,Inputs!$B$6:$D$6,0))</x:f>
        <x:v>13</x:v>
      </x:c>
      <x:c r="H1187" s="14" t="n">
        <x:f>MIN(=INDEX(Inputs!$B$7:$D$7,1,MATCH(A1187,Inputs!$B$6:$D$6,0)),MAX(0,INDEX(Inputs!$B$14:$D$14,1,MATCH(A1187,Inputs!$B$6:$D$6,0))-(C1187-1)*=INDEX(Inputs!$B$7:$D$7,1,MATCH(A1187,Inputs!$B$6:$D$6,0))))</x:f>
        <x:v>13</x:v>
      </x:c>
      <x:c r="I1187" s="20" t="n">
        <x:f>INDEX(Inputs!$B$8:$D$8,1,MATCH(A1187,Inputs!$B$6:$D$6,0))</x:f>
        <x:v>2395</x:v>
      </x:c>
      <x:c r="J1187" s="20" t="n">
        <x:f>INDEX(Roster!$C$6:$C$108,MATCH(D1187,Roster!$A$6:$A$108,0))*(1+INDEX(Inputs!$B$9:$D$9,1,MATCH(A1187,Inputs!$B$6:$D$6,0)))</x:f>
        <x:v>60</x:v>
      </x:c>
      <x:c r="K1187" s="20" t="n">
        <x:f>IF(=INDEX(Roster!$F$6:$F$108,MATCH(D1187,Roster!$A$6:$A$108,0))="Yes",0,=INDEX(Inputs!$B$8:$D$8,1,MATCH(A1187,Inputs!$B$6:$D$6,0))*IF(=INDEX(Roster!$B$6:$B$108,MATCH(D1187,Roster!$A$6:$A$108,0))="Principal",INDEX(Inputs!$B$10:$D$10,1,MATCH(A1187,Inputs!$B$6:$D$6,0)),IF(=INDEX(Roster!$B$6:$B$108,MATCH(D1187,Roster!$A$6:$A$108,0))="Associate Principal",INDEX(Inputs!$B$11:$D$11,1,MATCH(A1187,Inputs!$B$6:$D$6,0)),IF(=INDEX(Roster!$B$6:$B$108,MATCH(D1187,Roster!$A$6:$A$108,0))="Assistant Principal",INDEX(Inputs!$B$12:$D$12,1,MATCH(A1187,Inputs!$B$6:$D$6,0)),0))))</x:f>
        <x:v>0</x:v>
      </x:c>
      <x:c r="L1187" s="20" t="n">
        <x:f>IF(INDEX(Roster!$D$6:$D$108,MATCH(D1187,Roster!$A$6:$A$108,0))&gt;=25,INDEX(Inputs!$B$19:$D$19,1,MATCH(A1187,Inputs!$B$6:$D$6,0)),IF(INDEX(Roster!$D$6:$D$108,MATCH(D1187,Roster!$A$6:$A$108,0))&gt;=20,INDEX(Inputs!$B$18:$D$18,1,MATCH(A1187,Inputs!$B$6:$D$6,0)),IF(INDEX(Roster!$D$6:$D$108,MATCH(D1187,Roster!$A$6:$A$108,0))&gt;=15,INDEX(Inputs!$B$17:$D$17,1,MATCH(A1187,Inputs!$B$6:$D$6,0)),IF(INDEX(Roster!$D$6:$D$108,MATCH(D1187,Roster!$A$6:$A$108,0))&gt;=10,INDEX(Inputs!$B$16:$D$16,1,MATCH(A1187,Inputs!$B$6:$D$6,0)),IF(INDEX(Roster!$D$6:$D$108,MATCH(D1187,Roster!$A$6:$A$108,0))&gt;=5,INDEX(Inputs!$B$15:$D$15,1,MATCH(A1187,Inputs!$B$6:$D$6,0)),0)))))</x:f>
        <x:v>90</x:v>
      </x:c>
      <x:c r="M1187" s="20" t="n">
        <x:f>G1187*I1187</x:f>
        <x:v>31135</x:v>
      </x:c>
      <x:c r="N1187" s="20" t="n">
        <x:f>G1187*J1187</x:f>
        <x:v>780</x:v>
      </x:c>
      <x:c r="O1187" s="20" t="n">
        <x:f>G1187*K1187</x:f>
        <x:v>0</x:v>
      </x:c>
      <x:c r="P1187" s="20" t="n">
        <x:f>G1187*L1187</x:f>
        <x:v>1170</x:v>
      </x:c>
      <x:c r="Q1187" s="20" t="n">
        <x:f>H1187*INDEX(Inputs!$B$13:$D$13,1,MATCH(A1187,Inputs!$B$6:$D$6,0))</x:f>
        <x:v>390</x:v>
      </x:c>
      <x:c r="R1187" s="20" t="n">
        <x:f>SUM(M1187:Q1187)</x:f>
        <x:v>33475</x:v>
      </x:c>
      <x:c r="S1187" s="20" t="n">
        <x:f>IF(AND(A1186=A1187,D1186=D1187),S1186+R1187,R1187)</x:f>
        <x:v>66950</x:v>
      </x:c>
      <x:c r="T1187" s="20" t="n">
        <x:f>MIN(S1187,INDEX(Inputs!$B$20:$D$20,1,MATCH(A1187,Inputs!$B$6:$D$6,0)))*INDEX(Inputs!$B$22:$D$22,1,MATCH(A1187,Inputs!$B$6:$D$6,0))+MAX(MIN(S1187,INDEX(Inputs!$B$21:$D$21,1,MATCH(A1187,Inputs!$B$6:$D$6,0)))-INDEX(Inputs!$B$20:$D$20,1,MATCH(A1187,Inputs!$B$6:$D$6,0)),0)*INDEX(Inputs!$B$23:$D$23,1,MATCH(A1187,Inputs!$B$6:$D$6,0))+MAX(S1187-INDEX(Inputs!$B$21:$D$21,1,MATCH(A1187,Inputs!$B$6:$D$6,0)),0)*INDEX(Inputs!$B$24:$D$24,1,MATCH(A1187,Inputs!$B$6:$D$6,0))</x:f>
        <x:v>5611.675</x:v>
      </x:c>
      <x:c r="U1187" s="20" t="n">
        <x:f>IF(AND(A1186=A1187,D1186=D1187),T1186,0)</x:f>
        <x:v>3050.8374999999996</x:v>
      </x:c>
      <x:c r="V1187" s="20" t="n">
        <x:f>T1187-U1187</x:f>
        <x:v>2560.8375000000005</x:v>
      </x:c>
      <x:c r="W1187" s="20" t="n">
        <x:f>R1187+V1187</x:f>
        <x:v>36035.8375</x:v>
      </x:c>
      <x:c r="X1187" s="14" t="str">
        <x:f>IF(ABS(W1187-SUM(M1187:Q1187)-V1187)&lt;0.01,"OK","Check")</x:f>
        <x:v>OK</x:v>
      </x:c>
    </x:row>
    <x:row r="1188">
      <x:c r="A1188" s="14" t="n">
        <x:v>2028</x:v>
      </x:c>
      <x:c r="B1188" s="14" t="str">
        <x:v>Q3</x:v>
      </x:c>
      <x:c r="C1188" s="14" t="n">
        <x:v>3</x:v>
      </x:c>
      <x:c r="D1188" s="14" t="n">
        <x:v>90</x:v>
      </x:c>
      <x:c r="E1188" s="14" t="str">
        <x:f>INDEX(Roster!$B$6:$B$108,MATCH(D1188,Roster!$A$6:$A$108,0))</x:f>
      </x:c>
      <x:c r="F1188" s="14" t="str">
        <x:f>INDEX(Roster!$F$6:$F$108,MATCH(D1188,Roster!$A$6:$A$108,0))</x:f>
        <x:v>No</x:v>
      </x:c>
      <x:c r="G1188" s="14" t="n">
        <x:f>INDEX(Inputs!$B$7:$D$7,1,MATCH(A1188,Inputs!$B$6:$D$6,0))</x:f>
        <x:v>13</x:v>
      </x:c>
      <x:c r="H1188" s="14" t="n">
        <x:f>MIN(=INDEX(Inputs!$B$7:$D$7,1,MATCH(A1188,Inputs!$B$6:$D$6,0)),MAX(0,INDEX(Inputs!$B$14:$D$14,1,MATCH(A1188,Inputs!$B$6:$D$6,0))-(C1188-1)*=INDEX(Inputs!$B$7:$D$7,1,MATCH(A1188,Inputs!$B$6:$D$6,0))))</x:f>
        <x:v>13</x:v>
      </x:c>
      <x:c r="I1188" s="20" t="n">
        <x:f>INDEX(Inputs!$B$8:$D$8,1,MATCH(A1188,Inputs!$B$6:$D$6,0))</x:f>
        <x:v>2395</x:v>
      </x:c>
      <x:c r="J1188" s="20" t="n">
        <x:f>INDEX(Roster!$C$6:$C$108,MATCH(D1188,Roster!$A$6:$A$108,0))*(1+INDEX(Inputs!$B$9:$D$9,1,MATCH(A1188,Inputs!$B$6:$D$6,0)))</x:f>
        <x:v>60</x:v>
      </x:c>
      <x:c r="K1188" s="20" t="n">
        <x:f>IF(=INDEX(Roster!$F$6:$F$108,MATCH(D1188,Roster!$A$6:$A$108,0))="Yes",0,=INDEX(Inputs!$B$8:$D$8,1,MATCH(A1188,Inputs!$B$6:$D$6,0))*IF(=INDEX(Roster!$B$6:$B$108,MATCH(D1188,Roster!$A$6:$A$108,0))="Principal",INDEX(Inputs!$B$10:$D$10,1,MATCH(A1188,Inputs!$B$6:$D$6,0)),IF(=INDEX(Roster!$B$6:$B$108,MATCH(D1188,Roster!$A$6:$A$108,0))="Associate Principal",INDEX(Inputs!$B$11:$D$11,1,MATCH(A1188,Inputs!$B$6:$D$6,0)),IF(=INDEX(Roster!$B$6:$B$108,MATCH(D1188,Roster!$A$6:$A$108,0))="Assistant Principal",INDEX(Inputs!$B$12:$D$12,1,MATCH(A1188,Inputs!$B$6:$D$6,0)),0))))</x:f>
        <x:v>0</x:v>
      </x:c>
      <x:c r="L1188" s="20" t="n">
        <x:f>IF(INDEX(Roster!$D$6:$D$108,MATCH(D1188,Roster!$A$6:$A$108,0))&gt;=25,INDEX(Inputs!$B$19:$D$19,1,MATCH(A1188,Inputs!$B$6:$D$6,0)),IF(INDEX(Roster!$D$6:$D$108,MATCH(D1188,Roster!$A$6:$A$108,0))&gt;=20,INDEX(Inputs!$B$18:$D$18,1,MATCH(A1188,Inputs!$B$6:$D$6,0)),IF(INDEX(Roster!$D$6:$D$108,MATCH(D1188,Roster!$A$6:$A$108,0))&gt;=15,INDEX(Inputs!$B$17:$D$17,1,MATCH(A1188,Inputs!$B$6:$D$6,0)),IF(INDEX(Roster!$D$6:$D$108,MATCH(D1188,Roster!$A$6:$A$108,0))&gt;=10,INDEX(Inputs!$B$16:$D$16,1,MATCH(A1188,Inputs!$B$6:$D$6,0)),IF(INDEX(Roster!$D$6:$D$108,MATCH(D1188,Roster!$A$6:$A$108,0))&gt;=5,INDEX(Inputs!$B$15:$D$15,1,MATCH(A1188,Inputs!$B$6:$D$6,0)),0)))))</x:f>
        <x:v>90</x:v>
      </x:c>
      <x:c r="M1188" s="20" t="n">
        <x:f>G1188*I1188</x:f>
        <x:v>31135</x:v>
      </x:c>
      <x:c r="N1188" s="20" t="n">
        <x:f>G1188*J1188</x:f>
        <x:v>780</x:v>
      </x:c>
      <x:c r="O1188" s="20" t="n">
        <x:f>G1188*K1188</x:f>
        <x:v>0</x:v>
      </x:c>
      <x:c r="P1188" s="20" t="n">
        <x:f>G1188*L1188</x:f>
        <x:v>1170</x:v>
      </x:c>
      <x:c r="Q1188" s="20" t="n">
        <x:f>H1188*INDEX(Inputs!$B$13:$D$13,1,MATCH(A1188,Inputs!$B$6:$D$6,0))</x:f>
        <x:v>390</x:v>
      </x:c>
      <x:c r="R1188" s="20" t="n">
        <x:f>SUM(M1188:Q1188)</x:f>
        <x:v>33475</x:v>
      </x:c>
      <x:c r="S1188" s="20" t="n">
        <x:f>IF(AND(A1187=A1188,D1187=D1188),S1187+R1188,R1188)</x:f>
        <x:v>100425</x:v>
      </x:c>
      <x:c r="T1188" s="20" t="n">
        <x:f>MIN(S1188,INDEX(Inputs!$B$20:$D$20,1,MATCH(A1188,Inputs!$B$6:$D$6,0)))*INDEX(Inputs!$B$22:$D$22,1,MATCH(A1188,Inputs!$B$6:$D$6,0))+MAX(MIN(S1188,INDEX(Inputs!$B$21:$D$21,1,MATCH(A1188,Inputs!$B$6:$D$6,0)))-INDEX(Inputs!$B$20:$D$20,1,MATCH(A1188,Inputs!$B$6:$D$6,0)),0)*INDEX(Inputs!$B$23:$D$23,1,MATCH(A1188,Inputs!$B$6:$D$6,0))+MAX(S1188-INDEX(Inputs!$B$21:$D$21,1,MATCH(A1188,Inputs!$B$6:$D$6,0)),0)*INDEX(Inputs!$B$24:$D$24,1,MATCH(A1188,Inputs!$B$6:$D$6,0))</x:f>
        <x:v>8172.5125</x:v>
      </x:c>
      <x:c r="U1188" s="20" t="n">
        <x:f>IF(AND(A1187=A1188,D1187=D1188),T1187,0)</x:f>
        <x:v>5611.675</x:v>
      </x:c>
      <x:c r="V1188" s="20" t="n">
        <x:f>T1188-U1188</x:f>
        <x:v>2560.8374999999996</x:v>
      </x:c>
      <x:c r="W1188" s="20" t="n">
        <x:f>R1188+V1188</x:f>
        <x:v>36035.8375</x:v>
      </x:c>
      <x:c r="X1188" s="14" t="str">
        <x:f>IF(ABS(W1188-SUM(M1188:Q1188)-V1188)&lt;0.01,"OK","Check")</x:f>
        <x:v>OK</x:v>
      </x:c>
    </x:row>
    <x:row r="1189">
      <x:c r="A1189" s="14" t="n">
        <x:v>2028</x:v>
      </x:c>
      <x:c r="B1189" s="14" t="str">
        <x:v>Q4</x:v>
      </x:c>
      <x:c r="C1189" s="14" t="n">
        <x:v>4</x:v>
      </x:c>
      <x:c r="D1189" s="14" t="n">
        <x:v>90</x:v>
      </x:c>
      <x:c r="E1189" s="14" t="str">
        <x:f>INDEX(Roster!$B$6:$B$108,MATCH(D1189,Roster!$A$6:$A$108,0))</x:f>
      </x:c>
      <x:c r="F1189" s="14" t="str">
        <x:f>INDEX(Roster!$F$6:$F$108,MATCH(D1189,Roster!$A$6:$A$108,0))</x:f>
        <x:v>No</x:v>
      </x:c>
      <x:c r="G1189" s="14" t="n">
        <x:f>INDEX(Inputs!$B$7:$D$7,1,MATCH(A1189,Inputs!$B$6:$D$6,0))</x:f>
        <x:v>13</x:v>
      </x:c>
      <x:c r="H1189" s="14" t="n">
        <x:f>MIN(=INDEX(Inputs!$B$7:$D$7,1,MATCH(A1189,Inputs!$B$6:$D$6,0)),MAX(0,INDEX(Inputs!$B$14:$D$14,1,MATCH(A1189,Inputs!$B$6:$D$6,0))-(C1189-1)*=INDEX(Inputs!$B$7:$D$7,1,MATCH(A1189,Inputs!$B$6:$D$6,0))))</x:f>
        <x:v>0</x:v>
      </x:c>
      <x:c r="I1189" s="20" t="n">
        <x:f>INDEX(Inputs!$B$8:$D$8,1,MATCH(A1189,Inputs!$B$6:$D$6,0))</x:f>
        <x:v>2395</x:v>
      </x:c>
      <x:c r="J1189" s="20" t="n">
        <x:f>INDEX(Roster!$C$6:$C$108,MATCH(D1189,Roster!$A$6:$A$108,0))*(1+INDEX(Inputs!$B$9:$D$9,1,MATCH(A1189,Inputs!$B$6:$D$6,0)))</x:f>
        <x:v>60</x:v>
      </x:c>
      <x:c r="K1189" s="20" t="n">
        <x:f>IF(=INDEX(Roster!$F$6:$F$108,MATCH(D1189,Roster!$A$6:$A$108,0))="Yes",0,=INDEX(Inputs!$B$8:$D$8,1,MATCH(A1189,Inputs!$B$6:$D$6,0))*IF(=INDEX(Roster!$B$6:$B$108,MATCH(D1189,Roster!$A$6:$A$108,0))="Principal",INDEX(Inputs!$B$10:$D$10,1,MATCH(A1189,Inputs!$B$6:$D$6,0)),IF(=INDEX(Roster!$B$6:$B$108,MATCH(D1189,Roster!$A$6:$A$108,0))="Associate Principal",INDEX(Inputs!$B$11:$D$11,1,MATCH(A1189,Inputs!$B$6:$D$6,0)),IF(=INDEX(Roster!$B$6:$B$108,MATCH(D1189,Roster!$A$6:$A$108,0))="Assistant Principal",INDEX(Inputs!$B$12:$D$12,1,MATCH(A1189,Inputs!$B$6:$D$6,0)),0))))</x:f>
        <x:v>0</x:v>
      </x:c>
      <x:c r="L1189" s="20" t="n">
        <x:f>IF(INDEX(Roster!$D$6:$D$108,MATCH(D1189,Roster!$A$6:$A$108,0))&gt;=25,INDEX(Inputs!$B$19:$D$19,1,MATCH(A1189,Inputs!$B$6:$D$6,0)),IF(INDEX(Roster!$D$6:$D$108,MATCH(D1189,Roster!$A$6:$A$108,0))&gt;=20,INDEX(Inputs!$B$18:$D$18,1,MATCH(A1189,Inputs!$B$6:$D$6,0)),IF(INDEX(Roster!$D$6:$D$108,MATCH(D1189,Roster!$A$6:$A$108,0))&gt;=15,INDEX(Inputs!$B$17:$D$17,1,MATCH(A1189,Inputs!$B$6:$D$6,0)),IF(INDEX(Roster!$D$6:$D$108,MATCH(D1189,Roster!$A$6:$A$108,0))&gt;=10,INDEX(Inputs!$B$16:$D$16,1,MATCH(A1189,Inputs!$B$6:$D$6,0)),IF(INDEX(Roster!$D$6:$D$108,MATCH(D1189,Roster!$A$6:$A$108,0))&gt;=5,INDEX(Inputs!$B$15:$D$15,1,MATCH(A1189,Inputs!$B$6:$D$6,0)),0)))))</x:f>
        <x:v>90</x:v>
      </x:c>
      <x:c r="M1189" s="20" t="n">
        <x:f>G1189*I1189</x:f>
        <x:v>31135</x:v>
      </x:c>
      <x:c r="N1189" s="20" t="n">
        <x:f>G1189*J1189</x:f>
        <x:v>780</x:v>
      </x:c>
      <x:c r="O1189" s="20" t="n">
        <x:f>G1189*K1189</x:f>
        <x:v>0</x:v>
      </x:c>
      <x:c r="P1189" s="20" t="n">
        <x:f>G1189*L1189</x:f>
        <x:v>1170</x:v>
      </x:c>
      <x:c r="Q1189" s="20" t="n">
        <x:f>H1189*INDEX(Inputs!$B$13:$D$13,1,MATCH(A1189,Inputs!$B$6:$D$6,0))</x:f>
        <x:v>0</x:v>
      </x:c>
      <x:c r="R1189" s="20" t="n">
        <x:f>SUM(M1189:Q1189)</x:f>
        <x:v>33085</x:v>
      </x:c>
      <x:c r="S1189" s="20" t="n">
        <x:f>IF(AND(A1188=A1189,D1188=D1189),S1188+R1189,R1189)</x:f>
        <x:v>133510</x:v>
      </x:c>
      <x:c r="T1189" s="20" t="n">
        <x:f>MIN(S1189,INDEX(Inputs!$B$20:$D$20,1,MATCH(A1189,Inputs!$B$6:$D$6,0)))*INDEX(Inputs!$B$22:$D$22,1,MATCH(A1189,Inputs!$B$6:$D$6,0))+MAX(MIN(S1189,INDEX(Inputs!$B$21:$D$21,1,MATCH(A1189,Inputs!$B$6:$D$6,0)))-INDEX(Inputs!$B$20:$D$20,1,MATCH(A1189,Inputs!$B$6:$D$6,0)),0)*INDEX(Inputs!$B$23:$D$23,1,MATCH(A1189,Inputs!$B$6:$D$6,0))+MAX(S1189-INDEX(Inputs!$B$21:$D$21,1,MATCH(A1189,Inputs!$B$6:$D$6,0)),0)*INDEX(Inputs!$B$24:$D$24,1,MATCH(A1189,Inputs!$B$6:$D$6,0))</x:f>
        <x:v>9849.837</x:v>
      </x:c>
      <x:c r="U1189" s="20" t="n">
        <x:f>IF(AND(A1188=A1189,D1188=D1189),T1188,0)</x:f>
        <x:v>8172.5125</x:v>
      </x:c>
      <x:c r="V1189" s="20" t="n">
        <x:f>T1189-U1189</x:f>
        <x:v>1677.3244999999997</x:v>
      </x:c>
      <x:c r="W1189" s="20" t="n">
        <x:f>R1189+V1189</x:f>
        <x:v>34762.3245</x:v>
      </x:c>
      <x:c r="X1189" s="14" t="str">
        <x:f>IF(ABS(W1189-SUM(M1189:Q1189)-V1189)&lt;0.01,"OK","Check")</x:f>
        <x:v>OK</x:v>
      </x:c>
    </x:row>
    <x:row r="1190">
      <x:c r="A1190" s="14" t="n">
        <x:v>2028</x:v>
      </x:c>
      <x:c r="B1190" s="14" t="str">
        <x:v>Q1</x:v>
      </x:c>
      <x:c r="C1190" s="14" t="n">
        <x:v>1</x:v>
      </x:c>
      <x:c r="D1190" s="14" t="n">
        <x:v>91</x:v>
      </x:c>
      <x:c r="E1190" s="14" t="str">
        <x:f>INDEX(Roster!$B$6:$B$108,MATCH(D1190,Roster!$A$6:$A$108,0))</x:f>
        <x:v>Principal</x:v>
      </x:c>
      <x:c r="F1190" s="14" t="str">
        <x:f>INDEX(Roster!$F$6:$F$108,MATCH(D1190,Roster!$A$6:$A$108,0))</x:f>
        <x:v>Yes</x:v>
      </x:c>
      <x:c r="G1190" s="14" t="n">
        <x:f>INDEX(Inputs!$B$7:$D$7,1,MATCH(A1190,Inputs!$B$6:$D$6,0))</x:f>
        <x:v>13</x:v>
      </x:c>
      <x:c r="H1190" s="14" t="n">
        <x:f>MIN(=INDEX(Inputs!$B$7:$D$7,1,MATCH(A1190,Inputs!$B$6:$D$6,0)),MAX(0,INDEX(Inputs!$B$14:$D$14,1,MATCH(A1190,Inputs!$B$6:$D$6,0))-(C1190-1)*=INDEX(Inputs!$B$7:$D$7,1,MATCH(A1190,Inputs!$B$6:$D$6,0))))</x:f>
        <x:v>13</x:v>
      </x:c>
      <x:c r="I1190" s="20" t="n">
        <x:f>INDEX(Inputs!$B$8:$D$8,1,MATCH(A1190,Inputs!$B$6:$D$6,0))</x:f>
        <x:v>2395</x:v>
      </x:c>
      <x:c r="J1190" s="20" t="n">
        <x:f>INDEX(Roster!$C$6:$C$108,MATCH(D1190,Roster!$A$6:$A$108,0))*(1+INDEX(Inputs!$B$9:$D$9,1,MATCH(A1190,Inputs!$B$6:$D$6,0)))</x:f>
        <x:v>1700</x:v>
      </x:c>
      <x:c r="K1190" s="20" t="n">
        <x:f>IF(=INDEX(Roster!$F$6:$F$108,MATCH(D1190,Roster!$A$6:$A$108,0))="Yes",0,=INDEX(Inputs!$B$8:$D$8,1,MATCH(A1190,Inputs!$B$6:$D$6,0))*IF(=INDEX(Roster!$B$6:$B$108,MATCH(D1190,Roster!$A$6:$A$108,0))="Principal",INDEX(Inputs!$B$10:$D$10,1,MATCH(A1190,Inputs!$B$6:$D$6,0)),IF(=INDEX(Roster!$B$6:$B$108,MATCH(D1190,Roster!$A$6:$A$108,0))="Associate Principal",INDEX(Inputs!$B$11:$D$11,1,MATCH(A1190,Inputs!$B$6:$D$6,0)),IF(=INDEX(Roster!$B$6:$B$108,MATCH(D1190,Roster!$A$6:$A$108,0))="Assistant Principal",INDEX(Inputs!$B$12:$D$12,1,MATCH(A1190,Inputs!$B$6:$D$6,0)),0))))</x:f>
        <x:v>0</x:v>
      </x:c>
      <x:c r="L1190" s="20" t="n">
        <x:f>IF(INDEX(Roster!$D$6:$D$108,MATCH(D1190,Roster!$A$6:$A$108,0))&gt;=25,INDEX(Inputs!$B$19:$D$19,1,MATCH(A1190,Inputs!$B$6:$D$6,0)),IF(INDEX(Roster!$D$6:$D$108,MATCH(D1190,Roster!$A$6:$A$108,0))&gt;=20,INDEX(Inputs!$B$18:$D$18,1,MATCH(A1190,Inputs!$B$6:$D$6,0)),IF(INDEX(Roster!$D$6:$D$108,MATCH(D1190,Roster!$A$6:$A$108,0))&gt;=15,INDEX(Inputs!$B$17:$D$17,1,MATCH(A1190,Inputs!$B$6:$D$6,0)),IF(INDEX(Roster!$D$6:$D$108,MATCH(D1190,Roster!$A$6:$A$108,0))&gt;=10,INDEX(Inputs!$B$16:$D$16,1,MATCH(A1190,Inputs!$B$6:$D$6,0)),IF(INDEX(Roster!$D$6:$D$108,MATCH(D1190,Roster!$A$6:$A$108,0))&gt;=5,INDEX(Inputs!$B$15:$D$15,1,MATCH(A1190,Inputs!$B$6:$D$6,0)),0)))))</x:f>
        <x:v>50</x:v>
      </x:c>
      <x:c r="M1190" s="20" t="n">
        <x:f>G1190*I1190</x:f>
        <x:v>31135</x:v>
      </x:c>
      <x:c r="N1190" s="20" t="n">
        <x:f>G1190*J1190</x:f>
        <x:v>22100</x:v>
      </x:c>
      <x:c r="O1190" s="20" t="n">
        <x:f>G1190*K1190</x:f>
        <x:v>0</x:v>
      </x:c>
      <x:c r="P1190" s="20" t="n">
        <x:f>G1190*L1190</x:f>
        <x:v>650</x:v>
      </x:c>
      <x:c r="Q1190" s="20" t="n">
        <x:f>H1190*INDEX(Inputs!$B$13:$D$13,1,MATCH(A1190,Inputs!$B$6:$D$6,0))</x:f>
        <x:v>390</x:v>
      </x:c>
      <x:c r="R1190" s="20" t="n">
        <x:f>SUM(M1190:Q1190)</x:f>
        <x:v>54275</x:v>
      </x:c>
      <x:c r="S1190" s="20" t="n">
        <x:f>IF(AND(A1189=A1190,D1189=D1190),S1189+R1190,R1190)</x:f>
        <x:v>54275</x:v>
      </x:c>
      <x:c r="T1190" s="20" t="n">
        <x:f>MIN(S1190,INDEX(Inputs!$B$20:$D$20,1,MATCH(A1190,Inputs!$B$6:$D$6,0)))*INDEX(Inputs!$B$22:$D$22,1,MATCH(A1190,Inputs!$B$6:$D$6,0))+MAX(MIN(S1190,INDEX(Inputs!$B$21:$D$21,1,MATCH(A1190,Inputs!$B$6:$D$6,0)))-INDEX(Inputs!$B$20:$D$20,1,MATCH(A1190,Inputs!$B$6:$D$6,0)),0)*INDEX(Inputs!$B$23:$D$23,1,MATCH(A1190,Inputs!$B$6:$D$6,0))+MAX(S1190-INDEX(Inputs!$B$21:$D$21,1,MATCH(A1190,Inputs!$B$6:$D$6,0)),0)*INDEX(Inputs!$B$24:$D$24,1,MATCH(A1190,Inputs!$B$6:$D$6,0))</x:f>
        <x:v>4642.0375</x:v>
      </x:c>
      <x:c r="U1190" s="20" t="n">
        <x:f>IF(AND(A1189=A1190,D1189=D1190),T1189,0)</x:f>
        <x:v>0</x:v>
      </x:c>
      <x:c r="V1190" s="20" t="n">
        <x:f>T1190-U1190</x:f>
        <x:v>4642.0375</x:v>
      </x:c>
      <x:c r="W1190" s="20" t="n">
        <x:f>R1190+V1190</x:f>
        <x:v>58917.0375</x:v>
      </x:c>
      <x:c r="X1190" s="14" t="str">
        <x:f>IF(ABS(W1190-SUM(M1190:Q1190)-V1190)&lt;0.01,"OK","Check")</x:f>
        <x:v>OK</x:v>
      </x:c>
    </x:row>
    <x:row r="1191">
      <x:c r="A1191" s="14" t="n">
        <x:v>2028</x:v>
      </x:c>
      <x:c r="B1191" s="14" t="str">
        <x:v>Q2</x:v>
      </x:c>
      <x:c r="C1191" s="14" t="n">
        <x:v>2</x:v>
      </x:c>
      <x:c r="D1191" s="14" t="n">
        <x:v>91</x:v>
      </x:c>
      <x:c r="E1191" s="14" t="str">
        <x:f>INDEX(Roster!$B$6:$B$108,MATCH(D1191,Roster!$A$6:$A$108,0))</x:f>
        <x:v>Principal</x:v>
      </x:c>
      <x:c r="F1191" s="14" t="str">
        <x:f>INDEX(Roster!$F$6:$F$108,MATCH(D1191,Roster!$A$6:$A$108,0))</x:f>
        <x:v>Yes</x:v>
      </x:c>
      <x:c r="G1191" s="14" t="n">
        <x:f>INDEX(Inputs!$B$7:$D$7,1,MATCH(A1191,Inputs!$B$6:$D$6,0))</x:f>
        <x:v>13</x:v>
      </x:c>
      <x:c r="H1191" s="14" t="n">
        <x:f>MIN(=INDEX(Inputs!$B$7:$D$7,1,MATCH(A1191,Inputs!$B$6:$D$6,0)),MAX(0,INDEX(Inputs!$B$14:$D$14,1,MATCH(A1191,Inputs!$B$6:$D$6,0))-(C1191-1)*=INDEX(Inputs!$B$7:$D$7,1,MATCH(A1191,Inputs!$B$6:$D$6,0))))</x:f>
        <x:v>13</x:v>
      </x:c>
      <x:c r="I1191" s="20" t="n">
        <x:f>INDEX(Inputs!$B$8:$D$8,1,MATCH(A1191,Inputs!$B$6:$D$6,0))</x:f>
        <x:v>2395</x:v>
      </x:c>
      <x:c r="J1191" s="20" t="n">
        <x:f>INDEX(Roster!$C$6:$C$108,MATCH(D1191,Roster!$A$6:$A$108,0))*(1+INDEX(Inputs!$B$9:$D$9,1,MATCH(A1191,Inputs!$B$6:$D$6,0)))</x:f>
        <x:v>1700</x:v>
      </x:c>
      <x:c r="K1191" s="20" t="n">
        <x:f>IF(=INDEX(Roster!$F$6:$F$108,MATCH(D1191,Roster!$A$6:$A$108,0))="Yes",0,=INDEX(Inputs!$B$8:$D$8,1,MATCH(A1191,Inputs!$B$6:$D$6,0))*IF(=INDEX(Roster!$B$6:$B$108,MATCH(D1191,Roster!$A$6:$A$108,0))="Principal",INDEX(Inputs!$B$10:$D$10,1,MATCH(A1191,Inputs!$B$6:$D$6,0)),IF(=INDEX(Roster!$B$6:$B$108,MATCH(D1191,Roster!$A$6:$A$108,0))="Associate Principal",INDEX(Inputs!$B$11:$D$11,1,MATCH(A1191,Inputs!$B$6:$D$6,0)),IF(=INDEX(Roster!$B$6:$B$108,MATCH(D1191,Roster!$A$6:$A$108,0))="Assistant Principal",INDEX(Inputs!$B$12:$D$12,1,MATCH(A1191,Inputs!$B$6:$D$6,0)),0))))</x:f>
        <x:v>0</x:v>
      </x:c>
      <x:c r="L1191" s="20" t="n">
        <x:f>IF(INDEX(Roster!$D$6:$D$108,MATCH(D1191,Roster!$A$6:$A$108,0))&gt;=25,INDEX(Inputs!$B$19:$D$19,1,MATCH(A1191,Inputs!$B$6:$D$6,0)),IF(INDEX(Roster!$D$6:$D$108,MATCH(D1191,Roster!$A$6:$A$108,0))&gt;=20,INDEX(Inputs!$B$18:$D$18,1,MATCH(A1191,Inputs!$B$6:$D$6,0)),IF(INDEX(Roster!$D$6:$D$108,MATCH(D1191,Roster!$A$6:$A$108,0))&gt;=15,INDEX(Inputs!$B$17:$D$17,1,MATCH(A1191,Inputs!$B$6:$D$6,0)),IF(INDEX(Roster!$D$6:$D$108,MATCH(D1191,Roster!$A$6:$A$108,0))&gt;=10,INDEX(Inputs!$B$16:$D$16,1,MATCH(A1191,Inputs!$B$6:$D$6,0)),IF(INDEX(Roster!$D$6:$D$108,MATCH(D1191,Roster!$A$6:$A$108,0))&gt;=5,INDEX(Inputs!$B$15:$D$15,1,MATCH(A1191,Inputs!$B$6:$D$6,0)),0)))))</x:f>
        <x:v>50</x:v>
      </x:c>
      <x:c r="M1191" s="20" t="n">
        <x:f>G1191*I1191</x:f>
        <x:v>31135</x:v>
      </x:c>
      <x:c r="N1191" s="20" t="n">
        <x:f>G1191*J1191</x:f>
        <x:v>22100</x:v>
      </x:c>
      <x:c r="O1191" s="20" t="n">
        <x:f>G1191*K1191</x:f>
        <x:v>0</x:v>
      </x:c>
      <x:c r="P1191" s="20" t="n">
        <x:f>G1191*L1191</x:f>
        <x:v>650</x:v>
      </x:c>
      <x:c r="Q1191" s="20" t="n">
        <x:f>H1191*INDEX(Inputs!$B$13:$D$13,1,MATCH(A1191,Inputs!$B$6:$D$6,0))</x:f>
        <x:v>390</x:v>
      </x:c>
      <x:c r="R1191" s="20" t="n">
        <x:f>SUM(M1191:Q1191)</x:f>
        <x:v>54275</x:v>
      </x:c>
      <x:c r="S1191" s="20" t="n">
        <x:f>IF(AND(A1190=A1191,D1190=D1191),S1190+R1191,R1191)</x:f>
        <x:v>108550</x:v>
      </x:c>
      <x:c r="T1191" s="20" t="n">
        <x:f>MIN(S1191,INDEX(Inputs!$B$20:$D$20,1,MATCH(A1191,Inputs!$B$6:$D$6,0)))*INDEX(Inputs!$B$22:$D$22,1,MATCH(A1191,Inputs!$B$6:$D$6,0))+MAX(MIN(S1191,INDEX(Inputs!$B$21:$D$21,1,MATCH(A1191,Inputs!$B$6:$D$6,0)))-INDEX(Inputs!$B$20:$D$20,1,MATCH(A1191,Inputs!$B$6:$D$6,0)),0)*INDEX(Inputs!$B$23:$D$23,1,MATCH(A1191,Inputs!$B$6:$D$6,0))+MAX(S1191-INDEX(Inputs!$B$21:$D$21,1,MATCH(A1191,Inputs!$B$6:$D$6,0)),0)*INDEX(Inputs!$B$24:$D$24,1,MATCH(A1191,Inputs!$B$6:$D$6,0))</x:f>
        <x:v>8794.075</x:v>
      </x:c>
      <x:c r="U1191" s="20" t="n">
        <x:f>IF(AND(A1190=A1191,D1190=D1191),T1190,0)</x:f>
        <x:v>4642.0375</x:v>
      </x:c>
      <x:c r="V1191" s="20" t="n">
        <x:f>T1191-U1191</x:f>
        <x:v>4152.0375</x:v>
      </x:c>
      <x:c r="W1191" s="20" t="n">
        <x:f>R1191+V1191</x:f>
        <x:v>58427.0375</x:v>
      </x:c>
      <x:c r="X1191" s="14" t="str">
        <x:f>IF(ABS(W1191-SUM(M1191:Q1191)-V1191)&lt;0.01,"OK","Check")</x:f>
        <x:v>OK</x:v>
      </x:c>
    </x:row>
    <x:row r="1192">
      <x:c r="A1192" s="14" t="n">
        <x:v>2028</x:v>
      </x:c>
      <x:c r="B1192" s="14" t="str">
        <x:v>Q3</x:v>
      </x:c>
      <x:c r="C1192" s="14" t="n">
        <x:v>3</x:v>
      </x:c>
      <x:c r="D1192" s="14" t="n">
        <x:v>91</x:v>
      </x:c>
      <x:c r="E1192" s="14" t="str">
        <x:f>INDEX(Roster!$B$6:$B$108,MATCH(D1192,Roster!$A$6:$A$108,0))</x:f>
        <x:v>Principal</x:v>
      </x:c>
      <x:c r="F1192" s="14" t="str">
        <x:f>INDEX(Roster!$F$6:$F$108,MATCH(D1192,Roster!$A$6:$A$108,0))</x:f>
        <x:v>Yes</x:v>
      </x:c>
      <x:c r="G1192" s="14" t="n">
        <x:f>INDEX(Inputs!$B$7:$D$7,1,MATCH(A1192,Inputs!$B$6:$D$6,0))</x:f>
        <x:v>13</x:v>
      </x:c>
      <x:c r="H1192" s="14" t="n">
        <x:f>MIN(=INDEX(Inputs!$B$7:$D$7,1,MATCH(A1192,Inputs!$B$6:$D$6,0)),MAX(0,INDEX(Inputs!$B$14:$D$14,1,MATCH(A1192,Inputs!$B$6:$D$6,0))-(C1192-1)*=INDEX(Inputs!$B$7:$D$7,1,MATCH(A1192,Inputs!$B$6:$D$6,0))))</x:f>
        <x:v>13</x:v>
      </x:c>
      <x:c r="I1192" s="20" t="n">
        <x:f>INDEX(Inputs!$B$8:$D$8,1,MATCH(A1192,Inputs!$B$6:$D$6,0))</x:f>
        <x:v>2395</x:v>
      </x:c>
      <x:c r="J1192" s="20" t="n">
        <x:f>INDEX(Roster!$C$6:$C$108,MATCH(D1192,Roster!$A$6:$A$108,0))*(1+INDEX(Inputs!$B$9:$D$9,1,MATCH(A1192,Inputs!$B$6:$D$6,0)))</x:f>
        <x:v>1700</x:v>
      </x:c>
      <x:c r="K1192" s="20" t="n">
        <x:f>IF(=INDEX(Roster!$F$6:$F$108,MATCH(D1192,Roster!$A$6:$A$108,0))="Yes",0,=INDEX(Inputs!$B$8:$D$8,1,MATCH(A1192,Inputs!$B$6:$D$6,0))*IF(=INDEX(Roster!$B$6:$B$108,MATCH(D1192,Roster!$A$6:$A$108,0))="Principal",INDEX(Inputs!$B$10:$D$10,1,MATCH(A1192,Inputs!$B$6:$D$6,0)),IF(=INDEX(Roster!$B$6:$B$108,MATCH(D1192,Roster!$A$6:$A$108,0))="Associate Principal",INDEX(Inputs!$B$11:$D$11,1,MATCH(A1192,Inputs!$B$6:$D$6,0)),IF(=INDEX(Roster!$B$6:$B$108,MATCH(D1192,Roster!$A$6:$A$108,0))="Assistant Principal",INDEX(Inputs!$B$12:$D$12,1,MATCH(A1192,Inputs!$B$6:$D$6,0)),0))))</x:f>
        <x:v>0</x:v>
      </x:c>
      <x:c r="L1192" s="20" t="n">
        <x:f>IF(INDEX(Roster!$D$6:$D$108,MATCH(D1192,Roster!$A$6:$A$108,0))&gt;=25,INDEX(Inputs!$B$19:$D$19,1,MATCH(A1192,Inputs!$B$6:$D$6,0)),IF(INDEX(Roster!$D$6:$D$108,MATCH(D1192,Roster!$A$6:$A$108,0))&gt;=20,INDEX(Inputs!$B$18:$D$18,1,MATCH(A1192,Inputs!$B$6:$D$6,0)),IF(INDEX(Roster!$D$6:$D$108,MATCH(D1192,Roster!$A$6:$A$108,0))&gt;=15,INDEX(Inputs!$B$17:$D$17,1,MATCH(A1192,Inputs!$B$6:$D$6,0)),IF(INDEX(Roster!$D$6:$D$108,MATCH(D1192,Roster!$A$6:$A$108,0))&gt;=10,INDEX(Inputs!$B$16:$D$16,1,MATCH(A1192,Inputs!$B$6:$D$6,0)),IF(INDEX(Roster!$D$6:$D$108,MATCH(D1192,Roster!$A$6:$A$108,0))&gt;=5,INDEX(Inputs!$B$15:$D$15,1,MATCH(A1192,Inputs!$B$6:$D$6,0)),0)))))</x:f>
        <x:v>50</x:v>
      </x:c>
      <x:c r="M1192" s="20" t="n">
        <x:f>G1192*I1192</x:f>
        <x:v>31135</x:v>
      </x:c>
      <x:c r="N1192" s="20" t="n">
        <x:f>G1192*J1192</x:f>
        <x:v>22100</x:v>
      </x:c>
      <x:c r="O1192" s="20" t="n">
        <x:f>G1192*K1192</x:f>
        <x:v>0</x:v>
      </x:c>
      <x:c r="P1192" s="20" t="n">
        <x:f>G1192*L1192</x:f>
        <x:v>650</x:v>
      </x:c>
      <x:c r="Q1192" s="20" t="n">
        <x:f>H1192*INDEX(Inputs!$B$13:$D$13,1,MATCH(A1192,Inputs!$B$6:$D$6,0))</x:f>
        <x:v>390</x:v>
      </x:c>
      <x:c r="R1192" s="20" t="n">
        <x:f>SUM(M1192:Q1192)</x:f>
        <x:v>54275</x:v>
      </x:c>
      <x:c r="S1192" s="20" t="n">
        <x:f>IF(AND(A1191=A1192,D1191=D1192),S1191+R1192,R1192)</x:f>
        <x:v>162825</x:v>
      </x:c>
      <x:c r="T1192" s="20" t="n">
        <x:f>MIN(S1192,INDEX(Inputs!$B$20:$D$20,1,MATCH(A1192,Inputs!$B$6:$D$6,0)))*INDEX(Inputs!$B$22:$D$22,1,MATCH(A1192,Inputs!$B$6:$D$6,0))+MAX(MIN(S1192,INDEX(Inputs!$B$21:$D$21,1,MATCH(A1192,Inputs!$B$6:$D$6,0)))-INDEX(Inputs!$B$20:$D$20,1,MATCH(A1192,Inputs!$B$6:$D$6,0)),0)*INDEX(Inputs!$B$23:$D$23,1,MATCH(A1192,Inputs!$B$6:$D$6,0))+MAX(S1192-INDEX(Inputs!$B$21:$D$21,1,MATCH(A1192,Inputs!$B$6:$D$6,0)),0)*INDEX(Inputs!$B$24:$D$24,1,MATCH(A1192,Inputs!$B$6:$D$6,0))</x:f>
        <x:v>10274.9045</x:v>
      </x:c>
      <x:c r="U1192" s="20" t="n">
        <x:f>IF(AND(A1191=A1192,D1191=D1192),T1191,0)</x:f>
        <x:v>8794.075</x:v>
      </x:c>
      <x:c r="V1192" s="20" t="n">
        <x:f>T1192-U1192</x:f>
        <x:v>1480.8294999999998</x:v>
      </x:c>
      <x:c r="W1192" s="20" t="n">
        <x:f>R1192+V1192</x:f>
        <x:v>55755.8295</x:v>
      </x:c>
      <x:c r="X1192" s="14" t="str">
        <x:f>IF(ABS(W1192-SUM(M1192:Q1192)-V1192)&lt;0.01,"OK","Check")</x:f>
        <x:v>OK</x:v>
      </x:c>
    </x:row>
    <x:row r="1193">
      <x:c r="A1193" s="14" t="n">
        <x:v>2028</x:v>
      </x:c>
      <x:c r="B1193" s="14" t="str">
        <x:v>Q4</x:v>
      </x:c>
      <x:c r="C1193" s="14" t="n">
        <x:v>4</x:v>
      </x:c>
      <x:c r="D1193" s="14" t="n">
        <x:v>91</x:v>
      </x:c>
      <x:c r="E1193" s="14" t="str">
        <x:f>INDEX(Roster!$B$6:$B$108,MATCH(D1193,Roster!$A$6:$A$108,0))</x:f>
        <x:v>Principal</x:v>
      </x:c>
      <x:c r="F1193" s="14" t="str">
        <x:f>INDEX(Roster!$F$6:$F$108,MATCH(D1193,Roster!$A$6:$A$108,0))</x:f>
        <x:v>Yes</x:v>
      </x:c>
      <x:c r="G1193" s="14" t="n">
        <x:f>INDEX(Inputs!$B$7:$D$7,1,MATCH(A1193,Inputs!$B$6:$D$6,0))</x:f>
        <x:v>13</x:v>
      </x:c>
      <x:c r="H1193" s="14" t="n">
        <x:f>MIN(=INDEX(Inputs!$B$7:$D$7,1,MATCH(A1193,Inputs!$B$6:$D$6,0)),MAX(0,INDEX(Inputs!$B$14:$D$14,1,MATCH(A1193,Inputs!$B$6:$D$6,0))-(C1193-1)*=INDEX(Inputs!$B$7:$D$7,1,MATCH(A1193,Inputs!$B$6:$D$6,0))))</x:f>
        <x:v>0</x:v>
      </x:c>
      <x:c r="I1193" s="20" t="n">
        <x:f>INDEX(Inputs!$B$8:$D$8,1,MATCH(A1193,Inputs!$B$6:$D$6,0))</x:f>
        <x:v>2395</x:v>
      </x:c>
      <x:c r="J1193" s="20" t="n">
        <x:f>INDEX(Roster!$C$6:$C$108,MATCH(D1193,Roster!$A$6:$A$108,0))*(1+INDEX(Inputs!$B$9:$D$9,1,MATCH(A1193,Inputs!$B$6:$D$6,0)))</x:f>
        <x:v>1700</x:v>
      </x:c>
      <x:c r="K1193" s="20" t="n">
        <x:f>IF(=INDEX(Roster!$F$6:$F$108,MATCH(D1193,Roster!$A$6:$A$108,0))="Yes",0,=INDEX(Inputs!$B$8:$D$8,1,MATCH(A1193,Inputs!$B$6:$D$6,0))*IF(=INDEX(Roster!$B$6:$B$108,MATCH(D1193,Roster!$A$6:$A$108,0))="Principal",INDEX(Inputs!$B$10:$D$10,1,MATCH(A1193,Inputs!$B$6:$D$6,0)),IF(=INDEX(Roster!$B$6:$B$108,MATCH(D1193,Roster!$A$6:$A$108,0))="Associate Principal",INDEX(Inputs!$B$11:$D$11,1,MATCH(A1193,Inputs!$B$6:$D$6,0)),IF(=INDEX(Roster!$B$6:$B$108,MATCH(D1193,Roster!$A$6:$A$108,0))="Assistant Principal",INDEX(Inputs!$B$12:$D$12,1,MATCH(A1193,Inputs!$B$6:$D$6,0)),0))))</x:f>
        <x:v>0</x:v>
      </x:c>
      <x:c r="L1193" s="20" t="n">
        <x:f>IF(INDEX(Roster!$D$6:$D$108,MATCH(D1193,Roster!$A$6:$A$108,0))&gt;=25,INDEX(Inputs!$B$19:$D$19,1,MATCH(A1193,Inputs!$B$6:$D$6,0)),IF(INDEX(Roster!$D$6:$D$108,MATCH(D1193,Roster!$A$6:$A$108,0))&gt;=20,INDEX(Inputs!$B$18:$D$18,1,MATCH(A1193,Inputs!$B$6:$D$6,0)),IF(INDEX(Roster!$D$6:$D$108,MATCH(D1193,Roster!$A$6:$A$108,0))&gt;=15,INDEX(Inputs!$B$17:$D$17,1,MATCH(A1193,Inputs!$B$6:$D$6,0)),IF(INDEX(Roster!$D$6:$D$108,MATCH(D1193,Roster!$A$6:$A$108,0))&gt;=10,INDEX(Inputs!$B$16:$D$16,1,MATCH(A1193,Inputs!$B$6:$D$6,0)),IF(INDEX(Roster!$D$6:$D$108,MATCH(D1193,Roster!$A$6:$A$108,0))&gt;=5,INDEX(Inputs!$B$15:$D$15,1,MATCH(A1193,Inputs!$B$6:$D$6,0)),0)))))</x:f>
        <x:v>50</x:v>
      </x:c>
      <x:c r="M1193" s="20" t="n">
        <x:f>G1193*I1193</x:f>
        <x:v>31135</x:v>
      </x:c>
      <x:c r="N1193" s="20" t="n">
        <x:f>G1193*J1193</x:f>
        <x:v>22100</x:v>
      </x:c>
      <x:c r="O1193" s="20" t="n">
        <x:f>G1193*K1193</x:f>
        <x:v>0</x:v>
      </x:c>
      <x:c r="P1193" s="20" t="n">
        <x:f>G1193*L1193</x:f>
        <x:v>650</x:v>
      </x:c>
      <x:c r="Q1193" s="20" t="n">
        <x:f>H1193*INDEX(Inputs!$B$13:$D$13,1,MATCH(A1193,Inputs!$B$6:$D$6,0))</x:f>
        <x:v>0</x:v>
      </x:c>
      <x:c r="R1193" s="20" t="n">
        <x:f>SUM(M1193:Q1193)</x:f>
        <x:v>53885</x:v>
      </x:c>
      <x:c r="S1193" s="20" t="n">
        <x:f>IF(AND(A1192=A1193,D1192=D1193),S1192+R1193,R1193)</x:f>
        <x:v>216710</x:v>
      </x:c>
      <x:c r="T1193" s="20" t="n">
        <x:f>MIN(S1193,INDEX(Inputs!$B$20:$D$20,1,MATCH(A1193,Inputs!$B$6:$D$6,0)))*INDEX(Inputs!$B$22:$D$22,1,MATCH(A1193,Inputs!$B$6:$D$6,0))+MAX(MIN(S1193,INDEX(Inputs!$B$21:$D$21,1,MATCH(A1193,Inputs!$B$6:$D$6,0)))-INDEX(Inputs!$B$20:$D$20,1,MATCH(A1193,Inputs!$B$6:$D$6,0)),0)*INDEX(Inputs!$B$23:$D$23,1,MATCH(A1193,Inputs!$B$6:$D$6,0))+MAX(S1193-INDEX(Inputs!$B$21:$D$21,1,MATCH(A1193,Inputs!$B$6:$D$6,0)),0)*INDEX(Inputs!$B$24:$D$24,1,MATCH(A1193,Inputs!$B$6:$D$6,0))</x:f>
        <x:v>11056.237</x:v>
      </x:c>
      <x:c r="U1193" s="20" t="n">
        <x:f>IF(AND(A1192=A1193,D1192=D1193),T1192,0)</x:f>
        <x:v>10274.9045</x:v>
      </x:c>
      <x:c r="V1193" s="20" t="n">
        <x:f>T1193-U1193</x:f>
        <x:v>781.3324999999986</x:v>
      </x:c>
      <x:c r="W1193" s="20" t="n">
        <x:f>R1193+V1193</x:f>
        <x:v>54666.3325</x:v>
      </x:c>
      <x:c r="X1193" s="14" t="str">
        <x:f>IF(ABS(W1193-SUM(M1193:Q1193)-V1193)&lt;0.01,"OK","Check")</x:f>
        <x:v>OK</x:v>
      </x:c>
    </x:row>
    <x:row r="1194">
      <x:c r="A1194" s="14" t="n">
        <x:v>2028</x:v>
      </x:c>
      <x:c r="B1194" s="14" t="str">
        <x:v>Q1</x:v>
      </x:c>
      <x:c r="C1194" s="14" t="n">
        <x:v>1</x:v>
      </x:c>
      <x:c r="D1194" s="14" t="n">
        <x:v>92</x:v>
      </x:c>
      <x:c r="E1194" s="14" t="str">
        <x:f>INDEX(Roster!$B$6:$B$108,MATCH(D1194,Roster!$A$6:$A$108,0))</x:f>
        <x:v>Associate Principal</x:v>
      </x:c>
      <x:c r="F1194" s="14" t="str">
        <x:f>INDEX(Roster!$F$6:$F$108,MATCH(D1194,Roster!$A$6:$A$108,0))</x:f>
        <x:v>Yes</x:v>
      </x:c>
      <x:c r="G1194" s="14" t="n">
        <x:f>INDEX(Inputs!$B$7:$D$7,1,MATCH(A1194,Inputs!$B$6:$D$6,0))</x:f>
        <x:v>13</x:v>
      </x:c>
      <x:c r="H1194" s="14" t="n">
        <x:f>MIN(=INDEX(Inputs!$B$7:$D$7,1,MATCH(A1194,Inputs!$B$6:$D$6,0)),MAX(0,INDEX(Inputs!$B$14:$D$14,1,MATCH(A1194,Inputs!$B$6:$D$6,0))-(C1194-1)*=INDEX(Inputs!$B$7:$D$7,1,MATCH(A1194,Inputs!$B$6:$D$6,0))))</x:f>
        <x:v>13</x:v>
      </x:c>
      <x:c r="I1194" s="20" t="n">
        <x:f>INDEX(Inputs!$B$8:$D$8,1,MATCH(A1194,Inputs!$B$6:$D$6,0))</x:f>
        <x:v>2395</x:v>
      </x:c>
      <x:c r="J1194" s="20" t="n">
        <x:f>INDEX(Roster!$C$6:$C$108,MATCH(D1194,Roster!$A$6:$A$108,0))*(1+INDEX(Inputs!$B$9:$D$9,1,MATCH(A1194,Inputs!$B$6:$D$6,0)))</x:f>
        <x:v>400</x:v>
      </x:c>
      <x:c r="K1194" s="20" t="n">
        <x:f>IF(=INDEX(Roster!$F$6:$F$108,MATCH(D1194,Roster!$A$6:$A$108,0))="Yes",0,=INDEX(Inputs!$B$8:$D$8,1,MATCH(A1194,Inputs!$B$6:$D$6,0))*IF(=INDEX(Roster!$B$6:$B$108,MATCH(D1194,Roster!$A$6:$A$108,0))="Principal",INDEX(Inputs!$B$10:$D$10,1,MATCH(A1194,Inputs!$B$6:$D$6,0)),IF(=INDEX(Roster!$B$6:$B$108,MATCH(D1194,Roster!$A$6:$A$108,0))="Associate Principal",INDEX(Inputs!$B$11:$D$11,1,MATCH(A1194,Inputs!$B$6:$D$6,0)),IF(=INDEX(Roster!$B$6:$B$108,MATCH(D1194,Roster!$A$6:$A$108,0))="Assistant Principal",INDEX(Inputs!$B$12:$D$12,1,MATCH(A1194,Inputs!$B$6:$D$6,0)),0))))</x:f>
        <x:v>0</x:v>
      </x:c>
      <x:c r="L1194" s="20" t="n">
        <x:f>IF(INDEX(Roster!$D$6:$D$108,MATCH(D1194,Roster!$A$6:$A$108,0))&gt;=25,INDEX(Inputs!$B$19:$D$19,1,MATCH(A1194,Inputs!$B$6:$D$6,0)),IF(INDEX(Roster!$D$6:$D$108,MATCH(D1194,Roster!$A$6:$A$108,0))&gt;=20,INDEX(Inputs!$B$18:$D$18,1,MATCH(A1194,Inputs!$B$6:$D$6,0)),IF(INDEX(Roster!$D$6:$D$108,MATCH(D1194,Roster!$A$6:$A$108,0))&gt;=15,INDEX(Inputs!$B$17:$D$17,1,MATCH(A1194,Inputs!$B$6:$D$6,0)),IF(INDEX(Roster!$D$6:$D$108,MATCH(D1194,Roster!$A$6:$A$108,0))&gt;=10,INDEX(Inputs!$B$16:$D$16,1,MATCH(A1194,Inputs!$B$6:$D$6,0)),IF(INDEX(Roster!$D$6:$D$108,MATCH(D1194,Roster!$A$6:$A$108,0))&gt;=5,INDEX(Inputs!$B$15:$D$15,1,MATCH(A1194,Inputs!$B$6:$D$6,0)),0)))))</x:f>
        <x:v>90</x:v>
      </x:c>
      <x:c r="M1194" s="20" t="n">
        <x:f>G1194*I1194</x:f>
        <x:v>31135</x:v>
      </x:c>
      <x:c r="N1194" s="20" t="n">
        <x:f>G1194*J1194</x:f>
        <x:v>5200</x:v>
      </x:c>
      <x:c r="O1194" s="20" t="n">
        <x:f>G1194*K1194</x:f>
        <x:v>0</x:v>
      </x:c>
      <x:c r="P1194" s="20" t="n">
        <x:f>G1194*L1194</x:f>
        <x:v>1170</x:v>
      </x:c>
      <x:c r="Q1194" s="20" t="n">
        <x:f>H1194*INDEX(Inputs!$B$13:$D$13,1,MATCH(A1194,Inputs!$B$6:$D$6,0))</x:f>
        <x:v>390</x:v>
      </x:c>
      <x:c r="R1194" s="20" t="n">
        <x:f>SUM(M1194:Q1194)</x:f>
        <x:v>37895</x:v>
      </x:c>
      <x:c r="S1194" s="20" t="n">
        <x:f>IF(AND(A1193=A1194,D1193=D1194),S1193+R1194,R1194)</x:f>
        <x:v>37895</x:v>
      </x:c>
      <x:c r="T1194" s="20" t="n">
        <x:f>MIN(S1194,INDEX(Inputs!$B$20:$D$20,1,MATCH(A1194,Inputs!$B$6:$D$6,0)))*INDEX(Inputs!$B$22:$D$22,1,MATCH(A1194,Inputs!$B$6:$D$6,0))+MAX(MIN(S1194,INDEX(Inputs!$B$21:$D$21,1,MATCH(A1194,Inputs!$B$6:$D$6,0)))-INDEX(Inputs!$B$20:$D$20,1,MATCH(A1194,Inputs!$B$6:$D$6,0)),0)*INDEX(Inputs!$B$23:$D$23,1,MATCH(A1194,Inputs!$B$6:$D$6,0))+MAX(S1194-INDEX(Inputs!$B$21:$D$21,1,MATCH(A1194,Inputs!$B$6:$D$6,0)),0)*INDEX(Inputs!$B$24:$D$24,1,MATCH(A1194,Inputs!$B$6:$D$6,0))</x:f>
        <x:v>3388.9674999999997</x:v>
      </x:c>
      <x:c r="U1194" s="20" t="n">
        <x:f>IF(AND(A1193=A1194,D1193=D1194),T1193,0)</x:f>
        <x:v>0</x:v>
      </x:c>
      <x:c r="V1194" s="20" t="n">
        <x:f>T1194-U1194</x:f>
        <x:v>3388.9674999999997</x:v>
      </x:c>
      <x:c r="W1194" s="20" t="n">
        <x:f>R1194+V1194</x:f>
        <x:v>41283.9675</x:v>
      </x:c>
      <x:c r="X1194" s="14" t="str">
        <x:f>IF(ABS(W1194-SUM(M1194:Q1194)-V1194)&lt;0.01,"OK","Check")</x:f>
        <x:v>OK</x:v>
      </x:c>
    </x:row>
    <x:row r="1195">
      <x:c r="A1195" s="14" t="n">
        <x:v>2028</x:v>
      </x:c>
      <x:c r="B1195" s="14" t="str">
        <x:v>Q2</x:v>
      </x:c>
      <x:c r="C1195" s="14" t="n">
        <x:v>2</x:v>
      </x:c>
      <x:c r="D1195" s="14" t="n">
        <x:v>92</x:v>
      </x:c>
      <x:c r="E1195" s="14" t="str">
        <x:f>INDEX(Roster!$B$6:$B$108,MATCH(D1195,Roster!$A$6:$A$108,0))</x:f>
        <x:v>Associate Principal</x:v>
      </x:c>
      <x:c r="F1195" s="14" t="str">
        <x:f>INDEX(Roster!$F$6:$F$108,MATCH(D1195,Roster!$A$6:$A$108,0))</x:f>
        <x:v>Yes</x:v>
      </x:c>
      <x:c r="G1195" s="14" t="n">
        <x:f>INDEX(Inputs!$B$7:$D$7,1,MATCH(A1195,Inputs!$B$6:$D$6,0))</x:f>
        <x:v>13</x:v>
      </x:c>
      <x:c r="H1195" s="14" t="n">
        <x:f>MIN(=INDEX(Inputs!$B$7:$D$7,1,MATCH(A1195,Inputs!$B$6:$D$6,0)),MAX(0,INDEX(Inputs!$B$14:$D$14,1,MATCH(A1195,Inputs!$B$6:$D$6,0))-(C1195-1)*=INDEX(Inputs!$B$7:$D$7,1,MATCH(A1195,Inputs!$B$6:$D$6,0))))</x:f>
        <x:v>13</x:v>
      </x:c>
      <x:c r="I1195" s="20" t="n">
        <x:f>INDEX(Inputs!$B$8:$D$8,1,MATCH(A1195,Inputs!$B$6:$D$6,0))</x:f>
        <x:v>2395</x:v>
      </x:c>
      <x:c r="J1195" s="20" t="n">
        <x:f>INDEX(Roster!$C$6:$C$108,MATCH(D1195,Roster!$A$6:$A$108,0))*(1+INDEX(Inputs!$B$9:$D$9,1,MATCH(A1195,Inputs!$B$6:$D$6,0)))</x:f>
        <x:v>400</x:v>
      </x:c>
      <x:c r="K1195" s="20" t="n">
        <x:f>IF(=INDEX(Roster!$F$6:$F$108,MATCH(D1195,Roster!$A$6:$A$108,0))="Yes",0,=INDEX(Inputs!$B$8:$D$8,1,MATCH(A1195,Inputs!$B$6:$D$6,0))*IF(=INDEX(Roster!$B$6:$B$108,MATCH(D1195,Roster!$A$6:$A$108,0))="Principal",INDEX(Inputs!$B$10:$D$10,1,MATCH(A1195,Inputs!$B$6:$D$6,0)),IF(=INDEX(Roster!$B$6:$B$108,MATCH(D1195,Roster!$A$6:$A$108,0))="Associate Principal",INDEX(Inputs!$B$11:$D$11,1,MATCH(A1195,Inputs!$B$6:$D$6,0)),IF(=INDEX(Roster!$B$6:$B$108,MATCH(D1195,Roster!$A$6:$A$108,0))="Assistant Principal",INDEX(Inputs!$B$12:$D$12,1,MATCH(A1195,Inputs!$B$6:$D$6,0)),0))))</x:f>
        <x:v>0</x:v>
      </x:c>
      <x:c r="L1195" s="20" t="n">
        <x:f>IF(INDEX(Roster!$D$6:$D$108,MATCH(D1195,Roster!$A$6:$A$108,0))&gt;=25,INDEX(Inputs!$B$19:$D$19,1,MATCH(A1195,Inputs!$B$6:$D$6,0)),IF(INDEX(Roster!$D$6:$D$108,MATCH(D1195,Roster!$A$6:$A$108,0))&gt;=20,INDEX(Inputs!$B$18:$D$18,1,MATCH(A1195,Inputs!$B$6:$D$6,0)),IF(INDEX(Roster!$D$6:$D$108,MATCH(D1195,Roster!$A$6:$A$108,0))&gt;=15,INDEX(Inputs!$B$17:$D$17,1,MATCH(A1195,Inputs!$B$6:$D$6,0)),IF(INDEX(Roster!$D$6:$D$108,MATCH(D1195,Roster!$A$6:$A$108,0))&gt;=10,INDEX(Inputs!$B$16:$D$16,1,MATCH(A1195,Inputs!$B$6:$D$6,0)),IF(INDEX(Roster!$D$6:$D$108,MATCH(D1195,Roster!$A$6:$A$108,0))&gt;=5,INDEX(Inputs!$B$15:$D$15,1,MATCH(A1195,Inputs!$B$6:$D$6,0)),0)))))</x:f>
        <x:v>90</x:v>
      </x:c>
      <x:c r="M1195" s="20" t="n">
        <x:f>G1195*I1195</x:f>
        <x:v>31135</x:v>
      </x:c>
      <x:c r="N1195" s="20" t="n">
        <x:f>G1195*J1195</x:f>
        <x:v>5200</x:v>
      </x:c>
      <x:c r="O1195" s="20" t="n">
        <x:f>G1195*K1195</x:f>
        <x:v>0</x:v>
      </x:c>
      <x:c r="P1195" s="20" t="n">
        <x:f>G1195*L1195</x:f>
        <x:v>1170</x:v>
      </x:c>
      <x:c r="Q1195" s="20" t="n">
        <x:f>H1195*INDEX(Inputs!$B$13:$D$13,1,MATCH(A1195,Inputs!$B$6:$D$6,0))</x:f>
        <x:v>390</x:v>
      </x:c>
      <x:c r="R1195" s="20" t="n">
        <x:f>SUM(M1195:Q1195)</x:f>
        <x:v>37895</x:v>
      </x:c>
      <x:c r="S1195" s="20" t="n">
        <x:f>IF(AND(A1194=A1195,D1194=D1195),S1194+R1195,R1195)</x:f>
        <x:v>75790</x:v>
      </x:c>
      <x:c r="T1195" s="20" t="n">
        <x:f>MIN(S1195,INDEX(Inputs!$B$20:$D$20,1,MATCH(A1195,Inputs!$B$6:$D$6,0)))*INDEX(Inputs!$B$22:$D$22,1,MATCH(A1195,Inputs!$B$6:$D$6,0))+MAX(MIN(S1195,INDEX(Inputs!$B$21:$D$21,1,MATCH(A1195,Inputs!$B$6:$D$6,0)))-INDEX(Inputs!$B$20:$D$20,1,MATCH(A1195,Inputs!$B$6:$D$6,0)),0)*INDEX(Inputs!$B$23:$D$23,1,MATCH(A1195,Inputs!$B$6:$D$6,0))+MAX(S1195-INDEX(Inputs!$B$21:$D$21,1,MATCH(A1195,Inputs!$B$6:$D$6,0)),0)*INDEX(Inputs!$B$24:$D$24,1,MATCH(A1195,Inputs!$B$6:$D$6,0))</x:f>
        <x:v>6287.9349999999995</x:v>
      </x:c>
      <x:c r="U1195" s="20" t="n">
        <x:f>IF(AND(A1194=A1195,D1194=D1195),T1194,0)</x:f>
        <x:v>3388.9674999999997</x:v>
      </x:c>
      <x:c r="V1195" s="20" t="n">
        <x:f>T1195-U1195</x:f>
        <x:v>2898.9674999999997</x:v>
      </x:c>
      <x:c r="W1195" s="20" t="n">
        <x:f>R1195+V1195</x:f>
        <x:v>40793.9675</x:v>
      </x:c>
      <x:c r="X1195" s="14" t="str">
        <x:f>IF(ABS(W1195-SUM(M1195:Q1195)-V1195)&lt;0.01,"OK","Check")</x:f>
        <x:v>OK</x:v>
      </x:c>
    </x:row>
    <x:row r="1196">
      <x:c r="A1196" s="14" t="n">
        <x:v>2028</x:v>
      </x:c>
      <x:c r="B1196" s="14" t="str">
        <x:v>Q3</x:v>
      </x:c>
      <x:c r="C1196" s="14" t="n">
        <x:v>3</x:v>
      </x:c>
      <x:c r="D1196" s="14" t="n">
        <x:v>92</x:v>
      </x:c>
      <x:c r="E1196" s="14" t="str">
        <x:f>INDEX(Roster!$B$6:$B$108,MATCH(D1196,Roster!$A$6:$A$108,0))</x:f>
        <x:v>Associate Principal</x:v>
      </x:c>
      <x:c r="F1196" s="14" t="str">
        <x:f>INDEX(Roster!$F$6:$F$108,MATCH(D1196,Roster!$A$6:$A$108,0))</x:f>
        <x:v>Yes</x:v>
      </x:c>
      <x:c r="G1196" s="14" t="n">
        <x:f>INDEX(Inputs!$B$7:$D$7,1,MATCH(A1196,Inputs!$B$6:$D$6,0))</x:f>
        <x:v>13</x:v>
      </x:c>
      <x:c r="H1196" s="14" t="n">
        <x:f>MIN(=INDEX(Inputs!$B$7:$D$7,1,MATCH(A1196,Inputs!$B$6:$D$6,0)),MAX(0,INDEX(Inputs!$B$14:$D$14,1,MATCH(A1196,Inputs!$B$6:$D$6,0))-(C1196-1)*=INDEX(Inputs!$B$7:$D$7,1,MATCH(A1196,Inputs!$B$6:$D$6,0))))</x:f>
        <x:v>13</x:v>
      </x:c>
      <x:c r="I1196" s="20" t="n">
        <x:f>INDEX(Inputs!$B$8:$D$8,1,MATCH(A1196,Inputs!$B$6:$D$6,0))</x:f>
        <x:v>2395</x:v>
      </x:c>
      <x:c r="J1196" s="20" t="n">
        <x:f>INDEX(Roster!$C$6:$C$108,MATCH(D1196,Roster!$A$6:$A$108,0))*(1+INDEX(Inputs!$B$9:$D$9,1,MATCH(A1196,Inputs!$B$6:$D$6,0)))</x:f>
        <x:v>400</x:v>
      </x:c>
      <x:c r="K1196" s="20" t="n">
        <x:f>IF(=INDEX(Roster!$F$6:$F$108,MATCH(D1196,Roster!$A$6:$A$108,0))="Yes",0,=INDEX(Inputs!$B$8:$D$8,1,MATCH(A1196,Inputs!$B$6:$D$6,0))*IF(=INDEX(Roster!$B$6:$B$108,MATCH(D1196,Roster!$A$6:$A$108,0))="Principal",INDEX(Inputs!$B$10:$D$10,1,MATCH(A1196,Inputs!$B$6:$D$6,0)),IF(=INDEX(Roster!$B$6:$B$108,MATCH(D1196,Roster!$A$6:$A$108,0))="Associate Principal",INDEX(Inputs!$B$11:$D$11,1,MATCH(A1196,Inputs!$B$6:$D$6,0)),IF(=INDEX(Roster!$B$6:$B$108,MATCH(D1196,Roster!$A$6:$A$108,0))="Assistant Principal",INDEX(Inputs!$B$12:$D$12,1,MATCH(A1196,Inputs!$B$6:$D$6,0)),0))))</x:f>
        <x:v>0</x:v>
      </x:c>
      <x:c r="L1196" s="20" t="n">
        <x:f>IF(INDEX(Roster!$D$6:$D$108,MATCH(D1196,Roster!$A$6:$A$108,0))&gt;=25,INDEX(Inputs!$B$19:$D$19,1,MATCH(A1196,Inputs!$B$6:$D$6,0)),IF(INDEX(Roster!$D$6:$D$108,MATCH(D1196,Roster!$A$6:$A$108,0))&gt;=20,INDEX(Inputs!$B$18:$D$18,1,MATCH(A1196,Inputs!$B$6:$D$6,0)),IF(INDEX(Roster!$D$6:$D$108,MATCH(D1196,Roster!$A$6:$A$108,0))&gt;=15,INDEX(Inputs!$B$17:$D$17,1,MATCH(A1196,Inputs!$B$6:$D$6,0)),IF(INDEX(Roster!$D$6:$D$108,MATCH(D1196,Roster!$A$6:$A$108,0))&gt;=10,INDEX(Inputs!$B$16:$D$16,1,MATCH(A1196,Inputs!$B$6:$D$6,0)),IF(INDEX(Roster!$D$6:$D$108,MATCH(D1196,Roster!$A$6:$A$108,0))&gt;=5,INDEX(Inputs!$B$15:$D$15,1,MATCH(A1196,Inputs!$B$6:$D$6,0)),0)))))</x:f>
        <x:v>90</x:v>
      </x:c>
      <x:c r="M1196" s="20" t="n">
        <x:f>G1196*I1196</x:f>
        <x:v>31135</x:v>
      </x:c>
      <x:c r="N1196" s="20" t="n">
        <x:f>G1196*J1196</x:f>
        <x:v>5200</x:v>
      </x:c>
      <x:c r="O1196" s="20" t="n">
        <x:f>G1196*K1196</x:f>
        <x:v>0</x:v>
      </x:c>
      <x:c r="P1196" s="20" t="n">
        <x:f>G1196*L1196</x:f>
        <x:v>1170</x:v>
      </x:c>
      <x:c r="Q1196" s="20" t="n">
        <x:f>H1196*INDEX(Inputs!$B$13:$D$13,1,MATCH(A1196,Inputs!$B$6:$D$6,0))</x:f>
        <x:v>390</x:v>
      </x:c>
      <x:c r="R1196" s="20" t="n">
        <x:f>SUM(M1196:Q1196)</x:f>
        <x:v>37895</x:v>
      </x:c>
      <x:c r="S1196" s="20" t="n">
        <x:f>IF(AND(A1195=A1196,D1195=D1196),S1195+R1196,R1196)</x:f>
        <x:v>113685</x:v>
      </x:c>
      <x:c r="T1196" s="20" t="n">
        <x:f>MIN(S1196,INDEX(Inputs!$B$20:$D$20,1,MATCH(A1196,Inputs!$B$6:$D$6,0)))*INDEX(Inputs!$B$22:$D$22,1,MATCH(A1196,Inputs!$B$6:$D$6,0))+MAX(MIN(S1196,INDEX(Inputs!$B$21:$D$21,1,MATCH(A1196,Inputs!$B$6:$D$6,0)))-INDEX(Inputs!$B$20:$D$20,1,MATCH(A1196,Inputs!$B$6:$D$6,0)),0)*INDEX(Inputs!$B$23:$D$23,1,MATCH(A1196,Inputs!$B$6:$D$6,0))+MAX(S1196-INDEX(Inputs!$B$21:$D$21,1,MATCH(A1196,Inputs!$B$6:$D$6,0)),0)*INDEX(Inputs!$B$24:$D$24,1,MATCH(A1196,Inputs!$B$6:$D$6,0))</x:f>
        <x:v>9186.9025</x:v>
      </x:c>
      <x:c r="U1196" s="20" t="n">
        <x:f>IF(AND(A1195=A1196,D1195=D1196),T1195,0)</x:f>
        <x:v>6287.9349999999995</x:v>
      </x:c>
      <x:c r="V1196" s="20" t="n">
        <x:f>T1196-U1196</x:f>
        <x:v>2898.9675000000007</x:v>
      </x:c>
      <x:c r="W1196" s="20" t="n">
        <x:f>R1196+V1196</x:f>
        <x:v>40793.9675</x:v>
      </x:c>
      <x:c r="X1196" s="14" t="str">
        <x:f>IF(ABS(W1196-SUM(M1196:Q1196)-V1196)&lt;0.01,"OK","Check")</x:f>
        <x:v>OK</x:v>
      </x:c>
    </x:row>
    <x:row r="1197">
      <x:c r="A1197" s="14" t="n">
        <x:v>2028</x:v>
      </x:c>
      <x:c r="B1197" s="14" t="str">
        <x:v>Q4</x:v>
      </x:c>
      <x:c r="C1197" s="14" t="n">
        <x:v>4</x:v>
      </x:c>
      <x:c r="D1197" s="14" t="n">
        <x:v>92</x:v>
      </x:c>
      <x:c r="E1197" s="14" t="str">
        <x:f>INDEX(Roster!$B$6:$B$108,MATCH(D1197,Roster!$A$6:$A$108,0))</x:f>
        <x:v>Associate Principal</x:v>
      </x:c>
      <x:c r="F1197" s="14" t="str">
        <x:f>INDEX(Roster!$F$6:$F$108,MATCH(D1197,Roster!$A$6:$A$108,0))</x:f>
        <x:v>Yes</x:v>
      </x:c>
      <x:c r="G1197" s="14" t="n">
        <x:f>INDEX(Inputs!$B$7:$D$7,1,MATCH(A1197,Inputs!$B$6:$D$6,0))</x:f>
        <x:v>13</x:v>
      </x:c>
      <x:c r="H1197" s="14" t="n">
        <x:f>MIN(=INDEX(Inputs!$B$7:$D$7,1,MATCH(A1197,Inputs!$B$6:$D$6,0)),MAX(0,INDEX(Inputs!$B$14:$D$14,1,MATCH(A1197,Inputs!$B$6:$D$6,0))-(C1197-1)*=INDEX(Inputs!$B$7:$D$7,1,MATCH(A1197,Inputs!$B$6:$D$6,0))))</x:f>
        <x:v>0</x:v>
      </x:c>
      <x:c r="I1197" s="20" t="n">
        <x:f>INDEX(Inputs!$B$8:$D$8,1,MATCH(A1197,Inputs!$B$6:$D$6,0))</x:f>
        <x:v>2395</x:v>
      </x:c>
      <x:c r="J1197" s="20" t="n">
        <x:f>INDEX(Roster!$C$6:$C$108,MATCH(D1197,Roster!$A$6:$A$108,0))*(1+INDEX(Inputs!$B$9:$D$9,1,MATCH(A1197,Inputs!$B$6:$D$6,0)))</x:f>
        <x:v>400</x:v>
      </x:c>
      <x:c r="K1197" s="20" t="n">
        <x:f>IF(=INDEX(Roster!$F$6:$F$108,MATCH(D1197,Roster!$A$6:$A$108,0))="Yes",0,=INDEX(Inputs!$B$8:$D$8,1,MATCH(A1197,Inputs!$B$6:$D$6,0))*IF(=INDEX(Roster!$B$6:$B$108,MATCH(D1197,Roster!$A$6:$A$108,0))="Principal",INDEX(Inputs!$B$10:$D$10,1,MATCH(A1197,Inputs!$B$6:$D$6,0)),IF(=INDEX(Roster!$B$6:$B$108,MATCH(D1197,Roster!$A$6:$A$108,0))="Associate Principal",INDEX(Inputs!$B$11:$D$11,1,MATCH(A1197,Inputs!$B$6:$D$6,0)),IF(=INDEX(Roster!$B$6:$B$108,MATCH(D1197,Roster!$A$6:$A$108,0))="Assistant Principal",INDEX(Inputs!$B$12:$D$12,1,MATCH(A1197,Inputs!$B$6:$D$6,0)),0))))</x:f>
        <x:v>0</x:v>
      </x:c>
      <x:c r="L1197" s="20" t="n">
        <x:f>IF(INDEX(Roster!$D$6:$D$108,MATCH(D1197,Roster!$A$6:$A$108,0))&gt;=25,INDEX(Inputs!$B$19:$D$19,1,MATCH(A1197,Inputs!$B$6:$D$6,0)),IF(INDEX(Roster!$D$6:$D$108,MATCH(D1197,Roster!$A$6:$A$108,0))&gt;=20,INDEX(Inputs!$B$18:$D$18,1,MATCH(A1197,Inputs!$B$6:$D$6,0)),IF(INDEX(Roster!$D$6:$D$108,MATCH(D1197,Roster!$A$6:$A$108,0))&gt;=15,INDEX(Inputs!$B$17:$D$17,1,MATCH(A1197,Inputs!$B$6:$D$6,0)),IF(INDEX(Roster!$D$6:$D$108,MATCH(D1197,Roster!$A$6:$A$108,0))&gt;=10,INDEX(Inputs!$B$16:$D$16,1,MATCH(A1197,Inputs!$B$6:$D$6,0)),IF(INDEX(Roster!$D$6:$D$108,MATCH(D1197,Roster!$A$6:$A$108,0))&gt;=5,INDEX(Inputs!$B$15:$D$15,1,MATCH(A1197,Inputs!$B$6:$D$6,0)),0)))))</x:f>
        <x:v>90</x:v>
      </x:c>
      <x:c r="M1197" s="20" t="n">
        <x:f>G1197*I1197</x:f>
        <x:v>31135</x:v>
      </x:c>
      <x:c r="N1197" s="20" t="n">
        <x:f>G1197*J1197</x:f>
        <x:v>5200</x:v>
      </x:c>
      <x:c r="O1197" s="20" t="n">
        <x:f>G1197*K1197</x:f>
        <x:v>0</x:v>
      </x:c>
      <x:c r="P1197" s="20" t="n">
        <x:f>G1197*L1197</x:f>
        <x:v>1170</x:v>
      </x:c>
      <x:c r="Q1197" s="20" t="n">
        <x:f>H1197*INDEX(Inputs!$B$13:$D$13,1,MATCH(A1197,Inputs!$B$6:$D$6,0))</x:f>
        <x:v>0</x:v>
      </x:c>
      <x:c r="R1197" s="20" t="n">
        <x:f>SUM(M1197:Q1197)</x:f>
        <x:v>37505</x:v>
      </x:c>
      <x:c r="S1197" s="20" t="n">
        <x:f>IF(AND(A1196=A1197,D1196=D1197),S1196+R1197,R1197)</x:f>
        <x:v>151190</x:v>
      </x:c>
      <x:c r="T1197" s="20" t="n">
        <x:f>MIN(S1197,INDEX(Inputs!$B$20:$D$20,1,MATCH(A1197,Inputs!$B$6:$D$6,0)))*INDEX(Inputs!$B$22:$D$22,1,MATCH(A1197,Inputs!$B$6:$D$6,0))+MAX(MIN(S1197,INDEX(Inputs!$B$21:$D$21,1,MATCH(A1197,Inputs!$B$6:$D$6,0)))-INDEX(Inputs!$B$20:$D$20,1,MATCH(A1197,Inputs!$B$6:$D$6,0)),0)*INDEX(Inputs!$B$23:$D$23,1,MATCH(A1197,Inputs!$B$6:$D$6,0))+MAX(S1197-INDEX(Inputs!$B$21:$D$21,1,MATCH(A1197,Inputs!$B$6:$D$6,0)),0)*INDEX(Inputs!$B$24:$D$24,1,MATCH(A1197,Inputs!$B$6:$D$6,0))</x:f>
        <x:v>10106.197</x:v>
      </x:c>
      <x:c r="U1197" s="20" t="n">
        <x:f>IF(AND(A1196=A1197,D1196=D1197),T1196,0)</x:f>
        <x:v>9186.9025</x:v>
      </x:c>
      <x:c r="V1197" s="20" t="n">
        <x:f>T1197-U1197</x:f>
        <x:v>919.2945</x:v>
      </x:c>
      <x:c r="W1197" s="20" t="n">
        <x:f>R1197+V1197</x:f>
        <x:v>38424.2945</x:v>
      </x:c>
      <x:c r="X1197" s="14" t="str">
        <x:f>IF(ABS(W1197-SUM(M1197:Q1197)-V1197)&lt;0.01,"OK","Check")</x:f>
        <x:v>OK</x:v>
      </x:c>
    </x:row>
    <x:row r="1198">
      <x:c r="A1198" s="14" t="n">
        <x:v>2028</x:v>
      </x:c>
      <x:c r="B1198" s="14" t="str">
        <x:v>Q1</x:v>
      </x:c>
      <x:c r="C1198" s="14" t="n">
        <x:v>1</x:v>
      </x:c>
      <x:c r="D1198" s="14" t="n">
        <x:v>93</x:v>
      </x:c>
      <x:c r="E1198" s="14" t="str">
        <x:f>INDEX(Roster!$B$6:$B$108,MATCH(D1198,Roster!$A$6:$A$108,0))</x:f>
        <x:v>Principal</x:v>
      </x:c>
      <x:c r="F1198" s="14" t="str">
        <x:f>INDEX(Roster!$F$6:$F$108,MATCH(D1198,Roster!$A$6:$A$108,0))</x:f>
        <x:v>Yes</x:v>
      </x:c>
      <x:c r="G1198" s="14" t="n">
        <x:f>INDEX(Inputs!$B$7:$D$7,1,MATCH(A1198,Inputs!$B$6:$D$6,0))</x:f>
        <x:v>13</x:v>
      </x:c>
      <x:c r="H1198" s="14" t="n">
        <x:f>MIN(=INDEX(Inputs!$B$7:$D$7,1,MATCH(A1198,Inputs!$B$6:$D$6,0)),MAX(0,INDEX(Inputs!$B$14:$D$14,1,MATCH(A1198,Inputs!$B$6:$D$6,0))-(C1198-1)*=INDEX(Inputs!$B$7:$D$7,1,MATCH(A1198,Inputs!$B$6:$D$6,0))))</x:f>
        <x:v>13</x:v>
      </x:c>
      <x:c r="I1198" s="20" t="n">
        <x:f>INDEX(Inputs!$B$8:$D$8,1,MATCH(A1198,Inputs!$B$6:$D$6,0))</x:f>
        <x:v>2395</x:v>
      </x:c>
      <x:c r="J1198" s="20" t="n">
        <x:f>INDEX(Roster!$C$6:$C$108,MATCH(D1198,Roster!$A$6:$A$108,0))*(1+INDEX(Inputs!$B$9:$D$9,1,MATCH(A1198,Inputs!$B$6:$D$6,0)))</x:f>
        <x:v>1400</x:v>
      </x:c>
      <x:c r="K1198" s="20" t="n">
        <x:f>IF(=INDEX(Roster!$F$6:$F$108,MATCH(D1198,Roster!$A$6:$A$108,0))="Yes",0,=INDEX(Inputs!$B$8:$D$8,1,MATCH(A1198,Inputs!$B$6:$D$6,0))*IF(=INDEX(Roster!$B$6:$B$108,MATCH(D1198,Roster!$A$6:$A$108,0))="Principal",INDEX(Inputs!$B$10:$D$10,1,MATCH(A1198,Inputs!$B$6:$D$6,0)),IF(=INDEX(Roster!$B$6:$B$108,MATCH(D1198,Roster!$A$6:$A$108,0))="Associate Principal",INDEX(Inputs!$B$11:$D$11,1,MATCH(A1198,Inputs!$B$6:$D$6,0)),IF(=INDEX(Roster!$B$6:$B$108,MATCH(D1198,Roster!$A$6:$A$108,0))="Assistant Principal",INDEX(Inputs!$B$12:$D$12,1,MATCH(A1198,Inputs!$B$6:$D$6,0)),0))))</x:f>
        <x:v>0</x:v>
      </x:c>
      <x:c r="L1198" s="20" t="n">
        <x:f>IF(INDEX(Roster!$D$6:$D$108,MATCH(D1198,Roster!$A$6:$A$108,0))&gt;=25,INDEX(Inputs!$B$19:$D$19,1,MATCH(A1198,Inputs!$B$6:$D$6,0)),IF(INDEX(Roster!$D$6:$D$108,MATCH(D1198,Roster!$A$6:$A$108,0))&gt;=20,INDEX(Inputs!$B$18:$D$18,1,MATCH(A1198,Inputs!$B$6:$D$6,0)),IF(INDEX(Roster!$D$6:$D$108,MATCH(D1198,Roster!$A$6:$A$108,0))&gt;=15,INDEX(Inputs!$B$17:$D$17,1,MATCH(A1198,Inputs!$B$6:$D$6,0)),IF(INDEX(Roster!$D$6:$D$108,MATCH(D1198,Roster!$A$6:$A$108,0))&gt;=10,INDEX(Inputs!$B$16:$D$16,1,MATCH(A1198,Inputs!$B$6:$D$6,0)),IF(INDEX(Roster!$D$6:$D$108,MATCH(D1198,Roster!$A$6:$A$108,0))&gt;=5,INDEX(Inputs!$B$15:$D$15,1,MATCH(A1198,Inputs!$B$6:$D$6,0)),0)))))</x:f>
        <x:v>90</x:v>
      </x:c>
      <x:c r="M1198" s="20" t="n">
        <x:f>G1198*I1198</x:f>
        <x:v>31135</x:v>
      </x:c>
      <x:c r="N1198" s="20" t="n">
        <x:f>G1198*J1198</x:f>
        <x:v>18200</x:v>
      </x:c>
      <x:c r="O1198" s="20" t="n">
        <x:f>G1198*K1198</x:f>
        <x:v>0</x:v>
      </x:c>
      <x:c r="P1198" s="20" t="n">
        <x:f>G1198*L1198</x:f>
        <x:v>1170</x:v>
      </x:c>
      <x:c r="Q1198" s="20" t="n">
        <x:f>H1198*INDEX(Inputs!$B$13:$D$13,1,MATCH(A1198,Inputs!$B$6:$D$6,0))</x:f>
        <x:v>390</x:v>
      </x:c>
      <x:c r="R1198" s="20" t="n">
        <x:f>SUM(M1198:Q1198)</x:f>
        <x:v>50895</x:v>
      </x:c>
      <x:c r="S1198" s="20" t="n">
        <x:f>IF(AND(A1197=A1198,D1197=D1198),S1197+R1198,R1198)</x:f>
        <x:v>50895</x:v>
      </x:c>
      <x:c r="T1198" s="20" t="n">
        <x:f>MIN(S1198,INDEX(Inputs!$B$20:$D$20,1,MATCH(A1198,Inputs!$B$6:$D$6,0)))*INDEX(Inputs!$B$22:$D$22,1,MATCH(A1198,Inputs!$B$6:$D$6,0))+MAX(MIN(S1198,INDEX(Inputs!$B$21:$D$21,1,MATCH(A1198,Inputs!$B$6:$D$6,0)))-INDEX(Inputs!$B$20:$D$20,1,MATCH(A1198,Inputs!$B$6:$D$6,0)),0)*INDEX(Inputs!$B$23:$D$23,1,MATCH(A1198,Inputs!$B$6:$D$6,0))+MAX(S1198-INDEX(Inputs!$B$21:$D$21,1,MATCH(A1198,Inputs!$B$6:$D$6,0)),0)*INDEX(Inputs!$B$24:$D$24,1,MATCH(A1198,Inputs!$B$6:$D$6,0))</x:f>
        <x:v>4383.4675</x:v>
      </x:c>
      <x:c r="U1198" s="20" t="n">
        <x:f>IF(AND(A1197=A1198,D1197=D1198),T1197,0)</x:f>
        <x:v>0</x:v>
      </x:c>
      <x:c r="V1198" s="20" t="n">
        <x:f>T1198-U1198</x:f>
        <x:v>4383.4675</x:v>
      </x:c>
      <x:c r="W1198" s="20" t="n">
        <x:f>R1198+V1198</x:f>
        <x:v>55278.4675</x:v>
      </x:c>
      <x:c r="X1198" s="14" t="str">
        <x:f>IF(ABS(W1198-SUM(M1198:Q1198)-V1198)&lt;0.01,"OK","Check")</x:f>
        <x:v>OK</x:v>
      </x:c>
    </x:row>
    <x:row r="1199">
      <x:c r="A1199" s="14" t="n">
        <x:v>2028</x:v>
      </x:c>
      <x:c r="B1199" s="14" t="str">
        <x:v>Q2</x:v>
      </x:c>
      <x:c r="C1199" s="14" t="n">
        <x:v>2</x:v>
      </x:c>
      <x:c r="D1199" s="14" t="n">
        <x:v>93</x:v>
      </x:c>
      <x:c r="E1199" s="14" t="str">
        <x:f>INDEX(Roster!$B$6:$B$108,MATCH(D1199,Roster!$A$6:$A$108,0))</x:f>
        <x:v>Principal</x:v>
      </x:c>
      <x:c r="F1199" s="14" t="str">
        <x:f>INDEX(Roster!$F$6:$F$108,MATCH(D1199,Roster!$A$6:$A$108,0))</x:f>
        <x:v>Yes</x:v>
      </x:c>
      <x:c r="G1199" s="14" t="n">
        <x:f>INDEX(Inputs!$B$7:$D$7,1,MATCH(A1199,Inputs!$B$6:$D$6,0))</x:f>
        <x:v>13</x:v>
      </x:c>
      <x:c r="H1199" s="14" t="n">
        <x:f>MIN(=INDEX(Inputs!$B$7:$D$7,1,MATCH(A1199,Inputs!$B$6:$D$6,0)),MAX(0,INDEX(Inputs!$B$14:$D$14,1,MATCH(A1199,Inputs!$B$6:$D$6,0))-(C1199-1)*=INDEX(Inputs!$B$7:$D$7,1,MATCH(A1199,Inputs!$B$6:$D$6,0))))</x:f>
        <x:v>13</x:v>
      </x:c>
      <x:c r="I1199" s="20" t="n">
        <x:f>INDEX(Inputs!$B$8:$D$8,1,MATCH(A1199,Inputs!$B$6:$D$6,0))</x:f>
        <x:v>2395</x:v>
      </x:c>
      <x:c r="J1199" s="20" t="n">
        <x:f>INDEX(Roster!$C$6:$C$108,MATCH(D1199,Roster!$A$6:$A$108,0))*(1+INDEX(Inputs!$B$9:$D$9,1,MATCH(A1199,Inputs!$B$6:$D$6,0)))</x:f>
        <x:v>1400</x:v>
      </x:c>
      <x:c r="K1199" s="20" t="n">
        <x:f>IF(=INDEX(Roster!$F$6:$F$108,MATCH(D1199,Roster!$A$6:$A$108,0))="Yes",0,=INDEX(Inputs!$B$8:$D$8,1,MATCH(A1199,Inputs!$B$6:$D$6,0))*IF(=INDEX(Roster!$B$6:$B$108,MATCH(D1199,Roster!$A$6:$A$108,0))="Principal",INDEX(Inputs!$B$10:$D$10,1,MATCH(A1199,Inputs!$B$6:$D$6,0)),IF(=INDEX(Roster!$B$6:$B$108,MATCH(D1199,Roster!$A$6:$A$108,0))="Associate Principal",INDEX(Inputs!$B$11:$D$11,1,MATCH(A1199,Inputs!$B$6:$D$6,0)),IF(=INDEX(Roster!$B$6:$B$108,MATCH(D1199,Roster!$A$6:$A$108,0))="Assistant Principal",INDEX(Inputs!$B$12:$D$12,1,MATCH(A1199,Inputs!$B$6:$D$6,0)),0))))</x:f>
        <x:v>0</x:v>
      </x:c>
      <x:c r="L1199" s="20" t="n">
        <x:f>IF(INDEX(Roster!$D$6:$D$108,MATCH(D1199,Roster!$A$6:$A$108,0))&gt;=25,INDEX(Inputs!$B$19:$D$19,1,MATCH(A1199,Inputs!$B$6:$D$6,0)),IF(INDEX(Roster!$D$6:$D$108,MATCH(D1199,Roster!$A$6:$A$108,0))&gt;=20,INDEX(Inputs!$B$18:$D$18,1,MATCH(A1199,Inputs!$B$6:$D$6,0)),IF(INDEX(Roster!$D$6:$D$108,MATCH(D1199,Roster!$A$6:$A$108,0))&gt;=15,INDEX(Inputs!$B$17:$D$17,1,MATCH(A1199,Inputs!$B$6:$D$6,0)),IF(INDEX(Roster!$D$6:$D$108,MATCH(D1199,Roster!$A$6:$A$108,0))&gt;=10,INDEX(Inputs!$B$16:$D$16,1,MATCH(A1199,Inputs!$B$6:$D$6,0)),IF(INDEX(Roster!$D$6:$D$108,MATCH(D1199,Roster!$A$6:$A$108,0))&gt;=5,INDEX(Inputs!$B$15:$D$15,1,MATCH(A1199,Inputs!$B$6:$D$6,0)),0)))))</x:f>
        <x:v>90</x:v>
      </x:c>
      <x:c r="M1199" s="20" t="n">
        <x:f>G1199*I1199</x:f>
        <x:v>31135</x:v>
      </x:c>
      <x:c r="N1199" s="20" t="n">
        <x:f>G1199*J1199</x:f>
        <x:v>18200</x:v>
      </x:c>
      <x:c r="O1199" s="20" t="n">
        <x:f>G1199*K1199</x:f>
        <x:v>0</x:v>
      </x:c>
      <x:c r="P1199" s="20" t="n">
        <x:f>G1199*L1199</x:f>
        <x:v>1170</x:v>
      </x:c>
      <x:c r="Q1199" s="20" t="n">
        <x:f>H1199*INDEX(Inputs!$B$13:$D$13,1,MATCH(A1199,Inputs!$B$6:$D$6,0))</x:f>
        <x:v>390</x:v>
      </x:c>
      <x:c r="R1199" s="20" t="n">
        <x:f>SUM(M1199:Q1199)</x:f>
        <x:v>50895</x:v>
      </x:c>
      <x:c r="S1199" s="20" t="n">
        <x:f>IF(AND(A1198=A1199,D1198=D1199),S1198+R1199,R1199)</x:f>
        <x:v>101790</x:v>
      </x:c>
      <x:c r="T1199" s="20" t="n">
        <x:f>MIN(S1199,INDEX(Inputs!$B$20:$D$20,1,MATCH(A1199,Inputs!$B$6:$D$6,0)))*INDEX(Inputs!$B$22:$D$22,1,MATCH(A1199,Inputs!$B$6:$D$6,0))+MAX(MIN(S1199,INDEX(Inputs!$B$21:$D$21,1,MATCH(A1199,Inputs!$B$6:$D$6,0)))-INDEX(Inputs!$B$20:$D$20,1,MATCH(A1199,Inputs!$B$6:$D$6,0)),0)*INDEX(Inputs!$B$23:$D$23,1,MATCH(A1199,Inputs!$B$6:$D$6,0))+MAX(S1199-INDEX(Inputs!$B$21:$D$21,1,MATCH(A1199,Inputs!$B$6:$D$6,0)),0)*INDEX(Inputs!$B$24:$D$24,1,MATCH(A1199,Inputs!$B$6:$D$6,0))</x:f>
        <x:v>8276.935</x:v>
      </x:c>
      <x:c r="U1199" s="20" t="n">
        <x:f>IF(AND(A1198=A1199,D1198=D1199),T1198,0)</x:f>
        <x:v>4383.4675</x:v>
      </x:c>
      <x:c r="V1199" s="20" t="n">
        <x:f>T1199-U1199</x:f>
        <x:v>3893.4674999999997</x:v>
      </x:c>
      <x:c r="W1199" s="20" t="n">
        <x:f>R1199+V1199</x:f>
        <x:v>54788.4675</x:v>
      </x:c>
      <x:c r="X1199" s="14" t="str">
        <x:f>IF(ABS(W1199-SUM(M1199:Q1199)-V1199)&lt;0.01,"OK","Check")</x:f>
        <x:v>OK</x:v>
      </x:c>
    </x:row>
    <x:row r="1200">
      <x:c r="A1200" s="14" t="n">
        <x:v>2028</x:v>
      </x:c>
      <x:c r="B1200" s="14" t="str">
        <x:v>Q3</x:v>
      </x:c>
      <x:c r="C1200" s="14" t="n">
        <x:v>3</x:v>
      </x:c>
      <x:c r="D1200" s="14" t="n">
        <x:v>93</x:v>
      </x:c>
      <x:c r="E1200" s="14" t="str">
        <x:f>INDEX(Roster!$B$6:$B$108,MATCH(D1200,Roster!$A$6:$A$108,0))</x:f>
        <x:v>Principal</x:v>
      </x:c>
      <x:c r="F1200" s="14" t="str">
        <x:f>INDEX(Roster!$F$6:$F$108,MATCH(D1200,Roster!$A$6:$A$108,0))</x:f>
        <x:v>Yes</x:v>
      </x:c>
      <x:c r="G1200" s="14" t="n">
        <x:f>INDEX(Inputs!$B$7:$D$7,1,MATCH(A1200,Inputs!$B$6:$D$6,0))</x:f>
        <x:v>13</x:v>
      </x:c>
      <x:c r="H1200" s="14" t="n">
        <x:f>MIN(=INDEX(Inputs!$B$7:$D$7,1,MATCH(A1200,Inputs!$B$6:$D$6,0)),MAX(0,INDEX(Inputs!$B$14:$D$14,1,MATCH(A1200,Inputs!$B$6:$D$6,0))-(C1200-1)*=INDEX(Inputs!$B$7:$D$7,1,MATCH(A1200,Inputs!$B$6:$D$6,0))))</x:f>
        <x:v>13</x:v>
      </x:c>
      <x:c r="I1200" s="20" t="n">
        <x:f>INDEX(Inputs!$B$8:$D$8,1,MATCH(A1200,Inputs!$B$6:$D$6,0))</x:f>
        <x:v>2395</x:v>
      </x:c>
      <x:c r="J1200" s="20" t="n">
        <x:f>INDEX(Roster!$C$6:$C$108,MATCH(D1200,Roster!$A$6:$A$108,0))*(1+INDEX(Inputs!$B$9:$D$9,1,MATCH(A1200,Inputs!$B$6:$D$6,0)))</x:f>
        <x:v>1400</x:v>
      </x:c>
      <x:c r="K1200" s="20" t="n">
        <x:f>IF(=INDEX(Roster!$F$6:$F$108,MATCH(D1200,Roster!$A$6:$A$108,0))="Yes",0,=INDEX(Inputs!$B$8:$D$8,1,MATCH(A1200,Inputs!$B$6:$D$6,0))*IF(=INDEX(Roster!$B$6:$B$108,MATCH(D1200,Roster!$A$6:$A$108,0))="Principal",INDEX(Inputs!$B$10:$D$10,1,MATCH(A1200,Inputs!$B$6:$D$6,0)),IF(=INDEX(Roster!$B$6:$B$108,MATCH(D1200,Roster!$A$6:$A$108,0))="Associate Principal",INDEX(Inputs!$B$11:$D$11,1,MATCH(A1200,Inputs!$B$6:$D$6,0)),IF(=INDEX(Roster!$B$6:$B$108,MATCH(D1200,Roster!$A$6:$A$108,0))="Assistant Principal",INDEX(Inputs!$B$12:$D$12,1,MATCH(A1200,Inputs!$B$6:$D$6,0)),0))))</x:f>
        <x:v>0</x:v>
      </x:c>
      <x:c r="L1200" s="20" t="n">
        <x:f>IF(INDEX(Roster!$D$6:$D$108,MATCH(D1200,Roster!$A$6:$A$108,0))&gt;=25,INDEX(Inputs!$B$19:$D$19,1,MATCH(A1200,Inputs!$B$6:$D$6,0)),IF(INDEX(Roster!$D$6:$D$108,MATCH(D1200,Roster!$A$6:$A$108,0))&gt;=20,INDEX(Inputs!$B$18:$D$18,1,MATCH(A1200,Inputs!$B$6:$D$6,0)),IF(INDEX(Roster!$D$6:$D$108,MATCH(D1200,Roster!$A$6:$A$108,0))&gt;=15,INDEX(Inputs!$B$17:$D$17,1,MATCH(A1200,Inputs!$B$6:$D$6,0)),IF(INDEX(Roster!$D$6:$D$108,MATCH(D1200,Roster!$A$6:$A$108,0))&gt;=10,INDEX(Inputs!$B$16:$D$16,1,MATCH(A1200,Inputs!$B$6:$D$6,0)),IF(INDEX(Roster!$D$6:$D$108,MATCH(D1200,Roster!$A$6:$A$108,0))&gt;=5,INDEX(Inputs!$B$15:$D$15,1,MATCH(A1200,Inputs!$B$6:$D$6,0)),0)))))</x:f>
        <x:v>90</x:v>
      </x:c>
      <x:c r="M1200" s="20" t="n">
        <x:f>G1200*I1200</x:f>
        <x:v>31135</x:v>
      </x:c>
      <x:c r="N1200" s="20" t="n">
        <x:f>G1200*J1200</x:f>
        <x:v>18200</x:v>
      </x:c>
      <x:c r="O1200" s="20" t="n">
        <x:f>G1200*K1200</x:f>
        <x:v>0</x:v>
      </x:c>
      <x:c r="P1200" s="20" t="n">
        <x:f>G1200*L1200</x:f>
        <x:v>1170</x:v>
      </x:c>
      <x:c r="Q1200" s="20" t="n">
        <x:f>H1200*INDEX(Inputs!$B$13:$D$13,1,MATCH(A1200,Inputs!$B$6:$D$6,0))</x:f>
        <x:v>390</x:v>
      </x:c>
      <x:c r="R1200" s="20" t="n">
        <x:f>SUM(M1200:Q1200)</x:f>
        <x:v>50895</x:v>
      </x:c>
      <x:c r="S1200" s="20" t="n">
        <x:f>IF(AND(A1199=A1200,D1199=D1200),S1199+R1200,R1200)</x:f>
        <x:v>152685</x:v>
      </x:c>
      <x:c r="T1200" s="20" t="n">
        <x:f>MIN(S1200,INDEX(Inputs!$B$20:$D$20,1,MATCH(A1200,Inputs!$B$6:$D$6,0)))*INDEX(Inputs!$B$22:$D$22,1,MATCH(A1200,Inputs!$B$6:$D$6,0))+MAX(MIN(S1200,INDEX(Inputs!$B$21:$D$21,1,MATCH(A1200,Inputs!$B$6:$D$6,0)))-INDEX(Inputs!$B$20:$D$20,1,MATCH(A1200,Inputs!$B$6:$D$6,0)),0)*INDEX(Inputs!$B$23:$D$23,1,MATCH(A1200,Inputs!$B$6:$D$6,0))+MAX(S1200-INDEX(Inputs!$B$21:$D$21,1,MATCH(A1200,Inputs!$B$6:$D$6,0)),0)*INDEX(Inputs!$B$24:$D$24,1,MATCH(A1200,Inputs!$B$6:$D$6,0))</x:f>
        <x:v>10127.8745</x:v>
      </x:c>
      <x:c r="U1200" s="20" t="n">
        <x:f>IF(AND(A1199=A1200,D1199=D1200),T1199,0)</x:f>
        <x:v>8276.935</x:v>
      </x:c>
      <x:c r="V1200" s="20" t="n">
        <x:f>T1200-U1200</x:f>
        <x:v>1850.9395000000004</x:v>
      </x:c>
      <x:c r="W1200" s="20" t="n">
        <x:f>R1200+V1200</x:f>
        <x:v>52745.9395</x:v>
      </x:c>
      <x:c r="X1200" s="14" t="str">
        <x:f>IF(ABS(W1200-SUM(M1200:Q1200)-V1200)&lt;0.01,"OK","Check")</x:f>
        <x:v>OK</x:v>
      </x:c>
    </x:row>
    <x:row r="1201">
      <x:c r="A1201" s="14" t="n">
        <x:v>2028</x:v>
      </x:c>
      <x:c r="B1201" s="14" t="str">
        <x:v>Q4</x:v>
      </x:c>
      <x:c r="C1201" s="14" t="n">
        <x:v>4</x:v>
      </x:c>
      <x:c r="D1201" s="14" t="n">
        <x:v>93</x:v>
      </x:c>
      <x:c r="E1201" s="14" t="str">
        <x:f>INDEX(Roster!$B$6:$B$108,MATCH(D1201,Roster!$A$6:$A$108,0))</x:f>
        <x:v>Principal</x:v>
      </x:c>
      <x:c r="F1201" s="14" t="str">
        <x:f>INDEX(Roster!$F$6:$F$108,MATCH(D1201,Roster!$A$6:$A$108,0))</x:f>
        <x:v>Yes</x:v>
      </x:c>
      <x:c r="G1201" s="14" t="n">
        <x:f>INDEX(Inputs!$B$7:$D$7,1,MATCH(A1201,Inputs!$B$6:$D$6,0))</x:f>
        <x:v>13</x:v>
      </x:c>
      <x:c r="H1201" s="14" t="n">
        <x:f>MIN(=INDEX(Inputs!$B$7:$D$7,1,MATCH(A1201,Inputs!$B$6:$D$6,0)),MAX(0,INDEX(Inputs!$B$14:$D$14,1,MATCH(A1201,Inputs!$B$6:$D$6,0))-(C1201-1)*=INDEX(Inputs!$B$7:$D$7,1,MATCH(A1201,Inputs!$B$6:$D$6,0))))</x:f>
        <x:v>0</x:v>
      </x:c>
      <x:c r="I1201" s="20" t="n">
        <x:f>INDEX(Inputs!$B$8:$D$8,1,MATCH(A1201,Inputs!$B$6:$D$6,0))</x:f>
        <x:v>2395</x:v>
      </x:c>
      <x:c r="J1201" s="20" t="n">
        <x:f>INDEX(Roster!$C$6:$C$108,MATCH(D1201,Roster!$A$6:$A$108,0))*(1+INDEX(Inputs!$B$9:$D$9,1,MATCH(A1201,Inputs!$B$6:$D$6,0)))</x:f>
        <x:v>1400</x:v>
      </x:c>
      <x:c r="K1201" s="20" t="n">
        <x:f>IF(=INDEX(Roster!$F$6:$F$108,MATCH(D1201,Roster!$A$6:$A$108,0))="Yes",0,=INDEX(Inputs!$B$8:$D$8,1,MATCH(A1201,Inputs!$B$6:$D$6,0))*IF(=INDEX(Roster!$B$6:$B$108,MATCH(D1201,Roster!$A$6:$A$108,0))="Principal",INDEX(Inputs!$B$10:$D$10,1,MATCH(A1201,Inputs!$B$6:$D$6,0)),IF(=INDEX(Roster!$B$6:$B$108,MATCH(D1201,Roster!$A$6:$A$108,0))="Associate Principal",INDEX(Inputs!$B$11:$D$11,1,MATCH(A1201,Inputs!$B$6:$D$6,0)),IF(=INDEX(Roster!$B$6:$B$108,MATCH(D1201,Roster!$A$6:$A$108,0))="Assistant Principal",INDEX(Inputs!$B$12:$D$12,1,MATCH(A1201,Inputs!$B$6:$D$6,0)),0))))</x:f>
        <x:v>0</x:v>
      </x:c>
      <x:c r="L1201" s="20" t="n">
        <x:f>IF(INDEX(Roster!$D$6:$D$108,MATCH(D1201,Roster!$A$6:$A$108,0))&gt;=25,INDEX(Inputs!$B$19:$D$19,1,MATCH(A1201,Inputs!$B$6:$D$6,0)),IF(INDEX(Roster!$D$6:$D$108,MATCH(D1201,Roster!$A$6:$A$108,0))&gt;=20,INDEX(Inputs!$B$18:$D$18,1,MATCH(A1201,Inputs!$B$6:$D$6,0)),IF(INDEX(Roster!$D$6:$D$108,MATCH(D1201,Roster!$A$6:$A$108,0))&gt;=15,INDEX(Inputs!$B$17:$D$17,1,MATCH(A1201,Inputs!$B$6:$D$6,0)),IF(INDEX(Roster!$D$6:$D$108,MATCH(D1201,Roster!$A$6:$A$108,0))&gt;=10,INDEX(Inputs!$B$16:$D$16,1,MATCH(A1201,Inputs!$B$6:$D$6,0)),IF(INDEX(Roster!$D$6:$D$108,MATCH(D1201,Roster!$A$6:$A$108,0))&gt;=5,INDEX(Inputs!$B$15:$D$15,1,MATCH(A1201,Inputs!$B$6:$D$6,0)),0)))))</x:f>
        <x:v>90</x:v>
      </x:c>
      <x:c r="M1201" s="20" t="n">
        <x:f>G1201*I1201</x:f>
        <x:v>31135</x:v>
      </x:c>
      <x:c r="N1201" s="20" t="n">
        <x:f>G1201*J1201</x:f>
        <x:v>18200</x:v>
      </x:c>
      <x:c r="O1201" s="20" t="n">
        <x:f>G1201*K1201</x:f>
        <x:v>0</x:v>
      </x:c>
      <x:c r="P1201" s="20" t="n">
        <x:f>G1201*L1201</x:f>
        <x:v>1170</x:v>
      </x:c>
      <x:c r="Q1201" s="20" t="n">
        <x:f>H1201*INDEX(Inputs!$B$13:$D$13,1,MATCH(A1201,Inputs!$B$6:$D$6,0))</x:f>
        <x:v>0</x:v>
      </x:c>
      <x:c r="R1201" s="20" t="n">
        <x:f>SUM(M1201:Q1201)</x:f>
        <x:v>50505</x:v>
      </x:c>
      <x:c r="S1201" s="20" t="n">
        <x:f>IF(AND(A1200=A1201,D1200=D1201),S1200+R1201,R1201)</x:f>
        <x:v>203190</x:v>
      </x:c>
      <x:c r="T1201" s="20" t="n">
        <x:f>MIN(S1201,INDEX(Inputs!$B$20:$D$20,1,MATCH(A1201,Inputs!$B$6:$D$6,0)))*INDEX(Inputs!$B$22:$D$22,1,MATCH(A1201,Inputs!$B$6:$D$6,0))+MAX(MIN(S1201,INDEX(Inputs!$B$21:$D$21,1,MATCH(A1201,Inputs!$B$6:$D$6,0)))-INDEX(Inputs!$B$20:$D$20,1,MATCH(A1201,Inputs!$B$6:$D$6,0)),0)*INDEX(Inputs!$B$23:$D$23,1,MATCH(A1201,Inputs!$B$6:$D$6,0))+MAX(S1201-INDEX(Inputs!$B$21:$D$21,1,MATCH(A1201,Inputs!$B$6:$D$6,0)),0)*INDEX(Inputs!$B$24:$D$24,1,MATCH(A1201,Inputs!$B$6:$D$6,0))</x:f>
        <x:v>10860.197</x:v>
      </x:c>
      <x:c r="U1201" s="20" t="n">
        <x:f>IF(AND(A1200=A1201,D1200=D1201),T1200,0)</x:f>
        <x:v>10127.8745</x:v>
      </x:c>
      <x:c r="V1201" s="20" t="n">
        <x:f>T1201-U1201</x:f>
        <x:v>732.3225000000002</x:v>
      </x:c>
      <x:c r="W1201" s="20" t="n">
        <x:f>R1201+V1201</x:f>
        <x:v>51237.3225</x:v>
      </x:c>
      <x:c r="X1201" s="14" t="str">
        <x:f>IF(ABS(W1201-SUM(M1201:Q1201)-V1201)&lt;0.01,"OK","Check")</x:f>
        <x:v>OK</x:v>
      </x:c>
    </x:row>
    <x:row r="1202">
      <x:c r="A1202" s="14" t="n">
        <x:v>2028</x:v>
      </x:c>
      <x:c r="B1202" s="14" t="str">
        <x:v>Q1</x:v>
      </x:c>
      <x:c r="C1202" s="14" t="n">
        <x:v>1</x:v>
      </x:c>
      <x:c r="D1202" s="14" t="n">
        <x:v>94</x:v>
      </x:c>
      <x:c r="E1202" s="14" t="str">
        <x:f>INDEX(Roster!$B$6:$B$108,MATCH(D1202,Roster!$A$6:$A$108,0))</x:f>
      </x:c>
      <x:c r="F1202" s="14" t="str">
        <x:f>INDEX(Roster!$F$6:$F$108,MATCH(D1202,Roster!$A$6:$A$108,0))</x:f>
        <x:v>No</x:v>
      </x:c>
      <x:c r="G1202" s="14" t="n">
        <x:f>INDEX(Inputs!$B$7:$D$7,1,MATCH(A1202,Inputs!$B$6:$D$6,0))</x:f>
        <x:v>13</x:v>
      </x:c>
      <x:c r="H1202" s="14" t="n">
        <x:f>MIN(=INDEX(Inputs!$B$7:$D$7,1,MATCH(A1202,Inputs!$B$6:$D$6,0)),MAX(0,INDEX(Inputs!$B$14:$D$14,1,MATCH(A1202,Inputs!$B$6:$D$6,0))-(C1202-1)*=INDEX(Inputs!$B$7:$D$7,1,MATCH(A1202,Inputs!$B$6:$D$6,0))))</x:f>
        <x:v>13</x:v>
      </x:c>
      <x:c r="I1202" s="20" t="n">
        <x:f>INDEX(Inputs!$B$8:$D$8,1,MATCH(A1202,Inputs!$B$6:$D$6,0))</x:f>
        <x:v>2395</x:v>
      </x:c>
      <x:c r="J1202" s="20" t="n">
        <x:f>INDEX(Roster!$C$6:$C$108,MATCH(D1202,Roster!$A$6:$A$108,0))*(1+INDEX(Inputs!$B$9:$D$9,1,MATCH(A1202,Inputs!$B$6:$D$6,0)))</x:f>
        <x:v>110</x:v>
      </x:c>
      <x:c r="K1202" s="20" t="n">
        <x:f>IF(=INDEX(Roster!$F$6:$F$108,MATCH(D1202,Roster!$A$6:$A$108,0))="Yes",0,=INDEX(Inputs!$B$8:$D$8,1,MATCH(A1202,Inputs!$B$6:$D$6,0))*IF(=INDEX(Roster!$B$6:$B$108,MATCH(D1202,Roster!$A$6:$A$108,0))="Principal",INDEX(Inputs!$B$10:$D$10,1,MATCH(A1202,Inputs!$B$6:$D$6,0)),IF(=INDEX(Roster!$B$6:$B$108,MATCH(D1202,Roster!$A$6:$A$108,0))="Associate Principal",INDEX(Inputs!$B$11:$D$11,1,MATCH(A1202,Inputs!$B$6:$D$6,0)),IF(=INDEX(Roster!$B$6:$B$108,MATCH(D1202,Roster!$A$6:$A$108,0))="Assistant Principal",INDEX(Inputs!$B$12:$D$12,1,MATCH(A1202,Inputs!$B$6:$D$6,0)),0))))</x:f>
        <x:v>0</x:v>
      </x:c>
      <x:c r="L1202" s="20" t="n">
        <x:f>IF(INDEX(Roster!$D$6:$D$108,MATCH(D1202,Roster!$A$6:$A$108,0))&gt;=25,INDEX(Inputs!$B$19:$D$19,1,MATCH(A1202,Inputs!$B$6:$D$6,0)),IF(INDEX(Roster!$D$6:$D$108,MATCH(D1202,Roster!$A$6:$A$108,0))&gt;=20,INDEX(Inputs!$B$18:$D$18,1,MATCH(A1202,Inputs!$B$6:$D$6,0)),IF(INDEX(Roster!$D$6:$D$108,MATCH(D1202,Roster!$A$6:$A$108,0))&gt;=15,INDEX(Inputs!$B$17:$D$17,1,MATCH(A1202,Inputs!$B$6:$D$6,0)),IF(INDEX(Roster!$D$6:$D$108,MATCH(D1202,Roster!$A$6:$A$108,0))&gt;=10,INDEX(Inputs!$B$16:$D$16,1,MATCH(A1202,Inputs!$B$6:$D$6,0)),IF(INDEX(Roster!$D$6:$D$108,MATCH(D1202,Roster!$A$6:$A$108,0))&gt;=5,INDEX(Inputs!$B$15:$D$15,1,MATCH(A1202,Inputs!$B$6:$D$6,0)),0)))))</x:f>
        <x:v>80</x:v>
      </x:c>
      <x:c r="M1202" s="20" t="n">
        <x:f>G1202*I1202</x:f>
        <x:v>31135</x:v>
      </x:c>
      <x:c r="N1202" s="20" t="n">
        <x:f>G1202*J1202</x:f>
        <x:v>1430</x:v>
      </x:c>
      <x:c r="O1202" s="20" t="n">
        <x:f>G1202*K1202</x:f>
        <x:v>0</x:v>
      </x:c>
      <x:c r="P1202" s="20" t="n">
        <x:f>G1202*L1202</x:f>
        <x:v>1040</x:v>
      </x:c>
      <x:c r="Q1202" s="20" t="n">
        <x:f>H1202*INDEX(Inputs!$B$13:$D$13,1,MATCH(A1202,Inputs!$B$6:$D$6,0))</x:f>
        <x:v>390</x:v>
      </x:c>
      <x:c r="R1202" s="20" t="n">
        <x:f>SUM(M1202:Q1202)</x:f>
        <x:v>33995</x:v>
      </x:c>
      <x:c r="S1202" s="20" t="n">
        <x:f>IF(AND(A1201=A1202,D1201=D1202),S1201+R1202,R1202)</x:f>
        <x:v>33995</x:v>
      </x:c>
      <x:c r="T1202" s="20" t="n">
        <x:f>MIN(S1202,INDEX(Inputs!$B$20:$D$20,1,MATCH(A1202,Inputs!$B$6:$D$6,0)))*INDEX(Inputs!$B$22:$D$22,1,MATCH(A1202,Inputs!$B$6:$D$6,0))+MAX(MIN(S1202,INDEX(Inputs!$B$21:$D$21,1,MATCH(A1202,Inputs!$B$6:$D$6,0)))-INDEX(Inputs!$B$20:$D$20,1,MATCH(A1202,Inputs!$B$6:$D$6,0)),0)*INDEX(Inputs!$B$23:$D$23,1,MATCH(A1202,Inputs!$B$6:$D$6,0))+MAX(S1202-INDEX(Inputs!$B$21:$D$21,1,MATCH(A1202,Inputs!$B$6:$D$6,0)),0)*INDEX(Inputs!$B$24:$D$24,1,MATCH(A1202,Inputs!$B$6:$D$6,0))</x:f>
        <x:v>3090.6175</x:v>
      </x:c>
      <x:c r="U1202" s="20" t="n">
        <x:f>IF(AND(A1201=A1202,D1201=D1202),T1201,0)</x:f>
        <x:v>0</x:v>
      </x:c>
      <x:c r="V1202" s="20" t="n">
        <x:f>T1202-U1202</x:f>
        <x:v>3090.6175</x:v>
      </x:c>
      <x:c r="W1202" s="20" t="n">
        <x:f>R1202+V1202</x:f>
        <x:v>37085.6175</x:v>
      </x:c>
      <x:c r="X1202" s="14" t="str">
        <x:f>IF(ABS(W1202-SUM(M1202:Q1202)-V1202)&lt;0.01,"OK","Check")</x:f>
        <x:v>OK</x:v>
      </x:c>
    </x:row>
    <x:row r="1203">
      <x:c r="A1203" s="14" t="n">
        <x:v>2028</x:v>
      </x:c>
      <x:c r="B1203" s="14" t="str">
        <x:v>Q2</x:v>
      </x:c>
      <x:c r="C1203" s="14" t="n">
        <x:v>2</x:v>
      </x:c>
      <x:c r="D1203" s="14" t="n">
        <x:v>94</x:v>
      </x:c>
      <x:c r="E1203" s="14" t="str">
        <x:f>INDEX(Roster!$B$6:$B$108,MATCH(D1203,Roster!$A$6:$A$108,0))</x:f>
      </x:c>
      <x:c r="F1203" s="14" t="str">
        <x:f>INDEX(Roster!$F$6:$F$108,MATCH(D1203,Roster!$A$6:$A$108,0))</x:f>
        <x:v>No</x:v>
      </x:c>
      <x:c r="G1203" s="14" t="n">
        <x:f>INDEX(Inputs!$B$7:$D$7,1,MATCH(A1203,Inputs!$B$6:$D$6,0))</x:f>
        <x:v>13</x:v>
      </x:c>
      <x:c r="H1203" s="14" t="n">
        <x:f>MIN(=INDEX(Inputs!$B$7:$D$7,1,MATCH(A1203,Inputs!$B$6:$D$6,0)),MAX(0,INDEX(Inputs!$B$14:$D$14,1,MATCH(A1203,Inputs!$B$6:$D$6,0))-(C1203-1)*=INDEX(Inputs!$B$7:$D$7,1,MATCH(A1203,Inputs!$B$6:$D$6,0))))</x:f>
        <x:v>13</x:v>
      </x:c>
      <x:c r="I1203" s="20" t="n">
        <x:f>INDEX(Inputs!$B$8:$D$8,1,MATCH(A1203,Inputs!$B$6:$D$6,0))</x:f>
        <x:v>2395</x:v>
      </x:c>
      <x:c r="J1203" s="20" t="n">
        <x:f>INDEX(Roster!$C$6:$C$108,MATCH(D1203,Roster!$A$6:$A$108,0))*(1+INDEX(Inputs!$B$9:$D$9,1,MATCH(A1203,Inputs!$B$6:$D$6,0)))</x:f>
        <x:v>110</x:v>
      </x:c>
      <x:c r="K1203" s="20" t="n">
        <x:f>IF(=INDEX(Roster!$F$6:$F$108,MATCH(D1203,Roster!$A$6:$A$108,0))="Yes",0,=INDEX(Inputs!$B$8:$D$8,1,MATCH(A1203,Inputs!$B$6:$D$6,0))*IF(=INDEX(Roster!$B$6:$B$108,MATCH(D1203,Roster!$A$6:$A$108,0))="Principal",INDEX(Inputs!$B$10:$D$10,1,MATCH(A1203,Inputs!$B$6:$D$6,0)),IF(=INDEX(Roster!$B$6:$B$108,MATCH(D1203,Roster!$A$6:$A$108,0))="Associate Principal",INDEX(Inputs!$B$11:$D$11,1,MATCH(A1203,Inputs!$B$6:$D$6,0)),IF(=INDEX(Roster!$B$6:$B$108,MATCH(D1203,Roster!$A$6:$A$108,0))="Assistant Principal",INDEX(Inputs!$B$12:$D$12,1,MATCH(A1203,Inputs!$B$6:$D$6,0)),0))))</x:f>
        <x:v>0</x:v>
      </x:c>
      <x:c r="L1203" s="20" t="n">
        <x:f>IF(INDEX(Roster!$D$6:$D$108,MATCH(D1203,Roster!$A$6:$A$108,0))&gt;=25,INDEX(Inputs!$B$19:$D$19,1,MATCH(A1203,Inputs!$B$6:$D$6,0)),IF(INDEX(Roster!$D$6:$D$108,MATCH(D1203,Roster!$A$6:$A$108,0))&gt;=20,INDEX(Inputs!$B$18:$D$18,1,MATCH(A1203,Inputs!$B$6:$D$6,0)),IF(INDEX(Roster!$D$6:$D$108,MATCH(D1203,Roster!$A$6:$A$108,0))&gt;=15,INDEX(Inputs!$B$17:$D$17,1,MATCH(A1203,Inputs!$B$6:$D$6,0)),IF(INDEX(Roster!$D$6:$D$108,MATCH(D1203,Roster!$A$6:$A$108,0))&gt;=10,INDEX(Inputs!$B$16:$D$16,1,MATCH(A1203,Inputs!$B$6:$D$6,0)),IF(INDEX(Roster!$D$6:$D$108,MATCH(D1203,Roster!$A$6:$A$108,0))&gt;=5,INDEX(Inputs!$B$15:$D$15,1,MATCH(A1203,Inputs!$B$6:$D$6,0)),0)))))</x:f>
        <x:v>80</x:v>
      </x:c>
      <x:c r="M1203" s="20" t="n">
        <x:f>G1203*I1203</x:f>
        <x:v>31135</x:v>
      </x:c>
      <x:c r="N1203" s="20" t="n">
        <x:f>G1203*J1203</x:f>
        <x:v>1430</x:v>
      </x:c>
      <x:c r="O1203" s="20" t="n">
        <x:f>G1203*K1203</x:f>
        <x:v>0</x:v>
      </x:c>
      <x:c r="P1203" s="20" t="n">
        <x:f>G1203*L1203</x:f>
        <x:v>1040</x:v>
      </x:c>
      <x:c r="Q1203" s="20" t="n">
        <x:f>H1203*INDEX(Inputs!$B$13:$D$13,1,MATCH(A1203,Inputs!$B$6:$D$6,0))</x:f>
        <x:v>390</x:v>
      </x:c>
      <x:c r="R1203" s="20" t="n">
        <x:f>SUM(M1203:Q1203)</x:f>
        <x:v>33995</x:v>
      </x:c>
      <x:c r="S1203" s="20" t="n">
        <x:f>IF(AND(A1202=A1203,D1202=D1203),S1202+R1203,R1203)</x:f>
        <x:v>67990</x:v>
      </x:c>
      <x:c r="T1203" s="20" t="n">
        <x:f>MIN(S1203,INDEX(Inputs!$B$20:$D$20,1,MATCH(A1203,Inputs!$B$6:$D$6,0)))*INDEX(Inputs!$B$22:$D$22,1,MATCH(A1203,Inputs!$B$6:$D$6,0))+MAX(MIN(S1203,INDEX(Inputs!$B$21:$D$21,1,MATCH(A1203,Inputs!$B$6:$D$6,0)))-INDEX(Inputs!$B$20:$D$20,1,MATCH(A1203,Inputs!$B$6:$D$6,0)),0)*INDEX(Inputs!$B$23:$D$23,1,MATCH(A1203,Inputs!$B$6:$D$6,0))+MAX(S1203-INDEX(Inputs!$B$21:$D$21,1,MATCH(A1203,Inputs!$B$6:$D$6,0)),0)*INDEX(Inputs!$B$24:$D$24,1,MATCH(A1203,Inputs!$B$6:$D$6,0))</x:f>
        <x:v>5691.235</x:v>
      </x:c>
      <x:c r="U1203" s="20" t="n">
        <x:f>IF(AND(A1202=A1203,D1202=D1203),T1202,0)</x:f>
        <x:v>3090.6175</x:v>
      </x:c>
      <x:c r="V1203" s="20" t="n">
        <x:f>T1203-U1203</x:f>
        <x:v>2600.6175</x:v>
      </x:c>
      <x:c r="W1203" s="20" t="n">
        <x:f>R1203+V1203</x:f>
        <x:v>36595.6175</x:v>
      </x:c>
      <x:c r="X1203" s="14" t="str">
        <x:f>IF(ABS(W1203-SUM(M1203:Q1203)-V1203)&lt;0.01,"OK","Check")</x:f>
        <x:v>OK</x:v>
      </x:c>
    </x:row>
    <x:row r="1204">
      <x:c r="A1204" s="14" t="n">
        <x:v>2028</x:v>
      </x:c>
      <x:c r="B1204" s="14" t="str">
        <x:v>Q3</x:v>
      </x:c>
      <x:c r="C1204" s="14" t="n">
        <x:v>3</x:v>
      </x:c>
      <x:c r="D1204" s="14" t="n">
        <x:v>94</x:v>
      </x:c>
      <x:c r="E1204" s="14" t="str">
        <x:f>INDEX(Roster!$B$6:$B$108,MATCH(D1204,Roster!$A$6:$A$108,0))</x:f>
      </x:c>
      <x:c r="F1204" s="14" t="str">
        <x:f>INDEX(Roster!$F$6:$F$108,MATCH(D1204,Roster!$A$6:$A$108,0))</x:f>
        <x:v>No</x:v>
      </x:c>
      <x:c r="G1204" s="14" t="n">
        <x:f>INDEX(Inputs!$B$7:$D$7,1,MATCH(A1204,Inputs!$B$6:$D$6,0))</x:f>
        <x:v>13</x:v>
      </x:c>
      <x:c r="H1204" s="14" t="n">
        <x:f>MIN(=INDEX(Inputs!$B$7:$D$7,1,MATCH(A1204,Inputs!$B$6:$D$6,0)),MAX(0,INDEX(Inputs!$B$14:$D$14,1,MATCH(A1204,Inputs!$B$6:$D$6,0))-(C1204-1)*=INDEX(Inputs!$B$7:$D$7,1,MATCH(A1204,Inputs!$B$6:$D$6,0))))</x:f>
        <x:v>13</x:v>
      </x:c>
      <x:c r="I1204" s="20" t="n">
        <x:f>INDEX(Inputs!$B$8:$D$8,1,MATCH(A1204,Inputs!$B$6:$D$6,0))</x:f>
        <x:v>2395</x:v>
      </x:c>
      <x:c r="J1204" s="20" t="n">
        <x:f>INDEX(Roster!$C$6:$C$108,MATCH(D1204,Roster!$A$6:$A$108,0))*(1+INDEX(Inputs!$B$9:$D$9,1,MATCH(A1204,Inputs!$B$6:$D$6,0)))</x:f>
        <x:v>110</x:v>
      </x:c>
      <x:c r="K1204" s="20" t="n">
        <x:f>IF(=INDEX(Roster!$F$6:$F$108,MATCH(D1204,Roster!$A$6:$A$108,0))="Yes",0,=INDEX(Inputs!$B$8:$D$8,1,MATCH(A1204,Inputs!$B$6:$D$6,0))*IF(=INDEX(Roster!$B$6:$B$108,MATCH(D1204,Roster!$A$6:$A$108,0))="Principal",INDEX(Inputs!$B$10:$D$10,1,MATCH(A1204,Inputs!$B$6:$D$6,0)),IF(=INDEX(Roster!$B$6:$B$108,MATCH(D1204,Roster!$A$6:$A$108,0))="Associate Principal",INDEX(Inputs!$B$11:$D$11,1,MATCH(A1204,Inputs!$B$6:$D$6,0)),IF(=INDEX(Roster!$B$6:$B$108,MATCH(D1204,Roster!$A$6:$A$108,0))="Assistant Principal",INDEX(Inputs!$B$12:$D$12,1,MATCH(A1204,Inputs!$B$6:$D$6,0)),0))))</x:f>
        <x:v>0</x:v>
      </x:c>
      <x:c r="L1204" s="20" t="n">
        <x:f>IF(INDEX(Roster!$D$6:$D$108,MATCH(D1204,Roster!$A$6:$A$108,0))&gt;=25,INDEX(Inputs!$B$19:$D$19,1,MATCH(A1204,Inputs!$B$6:$D$6,0)),IF(INDEX(Roster!$D$6:$D$108,MATCH(D1204,Roster!$A$6:$A$108,0))&gt;=20,INDEX(Inputs!$B$18:$D$18,1,MATCH(A1204,Inputs!$B$6:$D$6,0)),IF(INDEX(Roster!$D$6:$D$108,MATCH(D1204,Roster!$A$6:$A$108,0))&gt;=15,INDEX(Inputs!$B$17:$D$17,1,MATCH(A1204,Inputs!$B$6:$D$6,0)),IF(INDEX(Roster!$D$6:$D$108,MATCH(D1204,Roster!$A$6:$A$108,0))&gt;=10,INDEX(Inputs!$B$16:$D$16,1,MATCH(A1204,Inputs!$B$6:$D$6,0)),IF(INDEX(Roster!$D$6:$D$108,MATCH(D1204,Roster!$A$6:$A$108,0))&gt;=5,INDEX(Inputs!$B$15:$D$15,1,MATCH(A1204,Inputs!$B$6:$D$6,0)),0)))))</x:f>
        <x:v>80</x:v>
      </x:c>
      <x:c r="M1204" s="20" t="n">
        <x:f>G1204*I1204</x:f>
        <x:v>31135</x:v>
      </x:c>
      <x:c r="N1204" s="20" t="n">
        <x:f>G1204*J1204</x:f>
        <x:v>1430</x:v>
      </x:c>
      <x:c r="O1204" s="20" t="n">
        <x:f>G1204*K1204</x:f>
        <x:v>0</x:v>
      </x:c>
      <x:c r="P1204" s="20" t="n">
        <x:f>G1204*L1204</x:f>
        <x:v>1040</x:v>
      </x:c>
      <x:c r="Q1204" s="20" t="n">
        <x:f>H1204*INDEX(Inputs!$B$13:$D$13,1,MATCH(A1204,Inputs!$B$6:$D$6,0))</x:f>
        <x:v>390</x:v>
      </x:c>
      <x:c r="R1204" s="20" t="n">
        <x:f>SUM(M1204:Q1204)</x:f>
        <x:v>33995</x:v>
      </x:c>
      <x:c r="S1204" s="20" t="n">
        <x:f>IF(AND(A1203=A1204,D1203=D1204),S1203+R1204,R1204)</x:f>
        <x:v>101985</x:v>
      </x:c>
      <x:c r="T1204" s="20" t="n">
        <x:f>MIN(S1204,INDEX(Inputs!$B$20:$D$20,1,MATCH(A1204,Inputs!$B$6:$D$6,0)))*INDEX(Inputs!$B$22:$D$22,1,MATCH(A1204,Inputs!$B$6:$D$6,0))+MAX(MIN(S1204,INDEX(Inputs!$B$21:$D$21,1,MATCH(A1204,Inputs!$B$6:$D$6,0)))-INDEX(Inputs!$B$20:$D$20,1,MATCH(A1204,Inputs!$B$6:$D$6,0)),0)*INDEX(Inputs!$B$23:$D$23,1,MATCH(A1204,Inputs!$B$6:$D$6,0))+MAX(S1204-INDEX(Inputs!$B$21:$D$21,1,MATCH(A1204,Inputs!$B$6:$D$6,0)),0)*INDEX(Inputs!$B$24:$D$24,1,MATCH(A1204,Inputs!$B$6:$D$6,0))</x:f>
        <x:v>8291.8525</x:v>
      </x:c>
      <x:c r="U1204" s="20" t="n">
        <x:f>IF(AND(A1203=A1204,D1203=D1204),T1203,0)</x:f>
        <x:v>5691.235</x:v>
      </x:c>
      <x:c r="V1204" s="20" t="n">
        <x:f>T1204-U1204</x:f>
        <x:v>2600.617500000001</x:v>
      </x:c>
      <x:c r="W1204" s="20" t="n">
        <x:f>R1204+V1204</x:f>
        <x:v>36595.6175</x:v>
      </x:c>
      <x:c r="X1204" s="14" t="str">
        <x:f>IF(ABS(W1204-SUM(M1204:Q1204)-V1204)&lt;0.01,"OK","Check")</x:f>
        <x:v>OK</x:v>
      </x:c>
    </x:row>
    <x:row r="1205">
      <x:c r="A1205" s="14" t="n">
        <x:v>2028</x:v>
      </x:c>
      <x:c r="B1205" s="14" t="str">
        <x:v>Q4</x:v>
      </x:c>
      <x:c r="C1205" s="14" t="n">
        <x:v>4</x:v>
      </x:c>
      <x:c r="D1205" s="14" t="n">
        <x:v>94</x:v>
      </x:c>
      <x:c r="E1205" s="14" t="str">
        <x:f>INDEX(Roster!$B$6:$B$108,MATCH(D1205,Roster!$A$6:$A$108,0))</x:f>
      </x:c>
      <x:c r="F1205" s="14" t="str">
        <x:f>INDEX(Roster!$F$6:$F$108,MATCH(D1205,Roster!$A$6:$A$108,0))</x:f>
        <x:v>No</x:v>
      </x:c>
      <x:c r="G1205" s="14" t="n">
        <x:f>INDEX(Inputs!$B$7:$D$7,1,MATCH(A1205,Inputs!$B$6:$D$6,0))</x:f>
        <x:v>13</x:v>
      </x:c>
      <x:c r="H1205" s="14" t="n">
        <x:f>MIN(=INDEX(Inputs!$B$7:$D$7,1,MATCH(A1205,Inputs!$B$6:$D$6,0)),MAX(0,INDEX(Inputs!$B$14:$D$14,1,MATCH(A1205,Inputs!$B$6:$D$6,0))-(C1205-1)*=INDEX(Inputs!$B$7:$D$7,1,MATCH(A1205,Inputs!$B$6:$D$6,0))))</x:f>
        <x:v>0</x:v>
      </x:c>
      <x:c r="I1205" s="20" t="n">
        <x:f>INDEX(Inputs!$B$8:$D$8,1,MATCH(A1205,Inputs!$B$6:$D$6,0))</x:f>
        <x:v>2395</x:v>
      </x:c>
      <x:c r="J1205" s="20" t="n">
        <x:f>INDEX(Roster!$C$6:$C$108,MATCH(D1205,Roster!$A$6:$A$108,0))*(1+INDEX(Inputs!$B$9:$D$9,1,MATCH(A1205,Inputs!$B$6:$D$6,0)))</x:f>
        <x:v>110</x:v>
      </x:c>
      <x:c r="K1205" s="20" t="n">
        <x:f>IF(=INDEX(Roster!$F$6:$F$108,MATCH(D1205,Roster!$A$6:$A$108,0))="Yes",0,=INDEX(Inputs!$B$8:$D$8,1,MATCH(A1205,Inputs!$B$6:$D$6,0))*IF(=INDEX(Roster!$B$6:$B$108,MATCH(D1205,Roster!$A$6:$A$108,0))="Principal",INDEX(Inputs!$B$10:$D$10,1,MATCH(A1205,Inputs!$B$6:$D$6,0)),IF(=INDEX(Roster!$B$6:$B$108,MATCH(D1205,Roster!$A$6:$A$108,0))="Associate Principal",INDEX(Inputs!$B$11:$D$11,1,MATCH(A1205,Inputs!$B$6:$D$6,0)),IF(=INDEX(Roster!$B$6:$B$108,MATCH(D1205,Roster!$A$6:$A$108,0))="Assistant Principal",INDEX(Inputs!$B$12:$D$12,1,MATCH(A1205,Inputs!$B$6:$D$6,0)),0))))</x:f>
        <x:v>0</x:v>
      </x:c>
      <x:c r="L1205" s="20" t="n">
        <x:f>IF(INDEX(Roster!$D$6:$D$108,MATCH(D1205,Roster!$A$6:$A$108,0))&gt;=25,INDEX(Inputs!$B$19:$D$19,1,MATCH(A1205,Inputs!$B$6:$D$6,0)),IF(INDEX(Roster!$D$6:$D$108,MATCH(D1205,Roster!$A$6:$A$108,0))&gt;=20,INDEX(Inputs!$B$18:$D$18,1,MATCH(A1205,Inputs!$B$6:$D$6,0)),IF(INDEX(Roster!$D$6:$D$108,MATCH(D1205,Roster!$A$6:$A$108,0))&gt;=15,INDEX(Inputs!$B$17:$D$17,1,MATCH(A1205,Inputs!$B$6:$D$6,0)),IF(INDEX(Roster!$D$6:$D$108,MATCH(D1205,Roster!$A$6:$A$108,0))&gt;=10,INDEX(Inputs!$B$16:$D$16,1,MATCH(A1205,Inputs!$B$6:$D$6,0)),IF(INDEX(Roster!$D$6:$D$108,MATCH(D1205,Roster!$A$6:$A$108,0))&gt;=5,INDEX(Inputs!$B$15:$D$15,1,MATCH(A1205,Inputs!$B$6:$D$6,0)),0)))))</x:f>
        <x:v>80</x:v>
      </x:c>
      <x:c r="M1205" s="20" t="n">
        <x:f>G1205*I1205</x:f>
        <x:v>31135</x:v>
      </x:c>
      <x:c r="N1205" s="20" t="n">
        <x:f>G1205*J1205</x:f>
        <x:v>1430</x:v>
      </x:c>
      <x:c r="O1205" s="20" t="n">
        <x:f>G1205*K1205</x:f>
        <x:v>0</x:v>
      </x:c>
      <x:c r="P1205" s="20" t="n">
        <x:f>G1205*L1205</x:f>
        <x:v>1040</x:v>
      </x:c>
      <x:c r="Q1205" s="20" t="n">
        <x:f>H1205*INDEX(Inputs!$B$13:$D$13,1,MATCH(A1205,Inputs!$B$6:$D$6,0))</x:f>
        <x:v>0</x:v>
      </x:c>
      <x:c r="R1205" s="20" t="n">
        <x:f>SUM(M1205:Q1205)</x:f>
        <x:v>33605</x:v>
      </x:c>
      <x:c r="S1205" s="20" t="n">
        <x:f>IF(AND(A1204=A1205,D1204=D1205),S1204+R1205,R1205)</x:f>
        <x:v>135590</x:v>
      </x:c>
      <x:c r="T1205" s="20" t="n">
        <x:f>MIN(S1205,INDEX(Inputs!$B$20:$D$20,1,MATCH(A1205,Inputs!$B$6:$D$6,0)))*INDEX(Inputs!$B$22:$D$22,1,MATCH(A1205,Inputs!$B$6:$D$6,0))+MAX(MIN(S1205,INDEX(Inputs!$B$21:$D$21,1,MATCH(A1205,Inputs!$B$6:$D$6,0)))-INDEX(Inputs!$B$20:$D$20,1,MATCH(A1205,Inputs!$B$6:$D$6,0)),0)*INDEX(Inputs!$B$23:$D$23,1,MATCH(A1205,Inputs!$B$6:$D$6,0))+MAX(S1205-INDEX(Inputs!$B$21:$D$21,1,MATCH(A1205,Inputs!$B$6:$D$6,0)),0)*INDEX(Inputs!$B$24:$D$24,1,MATCH(A1205,Inputs!$B$6:$D$6,0))</x:f>
        <x:v>9879.997</x:v>
      </x:c>
      <x:c r="U1205" s="20" t="n">
        <x:f>IF(AND(A1204=A1205,D1204=D1205),T1204,0)</x:f>
        <x:v>8291.8525</x:v>
      </x:c>
      <x:c r="V1205" s="20" t="n">
        <x:f>T1205-U1205</x:f>
        <x:v>1588.1444999999985</x:v>
      </x:c>
      <x:c r="W1205" s="20" t="n">
        <x:f>R1205+V1205</x:f>
        <x:v>35193.144499999995</x:v>
      </x:c>
      <x:c r="X1205" s="14" t="str">
        <x:f>IF(ABS(W1205-SUM(M1205:Q1205)-V1205)&lt;0.01,"OK","Check")</x:f>
        <x:v>OK</x:v>
      </x:c>
    </x:row>
    <x:row r="1206">
      <x:c r="A1206" s="14" t="n">
        <x:v>2028</x:v>
      </x:c>
      <x:c r="B1206" s="14" t="str">
        <x:v>Q1</x:v>
      </x:c>
      <x:c r="C1206" s="14" t="n">
        <x:v>1</x:v>
      </x:c>
      <x:c r="D1206" s="14" t="n">
        <x:v>95</x:v>
      </x:c>
      <x:c r="E1206" s="14" t="str">
        <x:f>INDEX(Roster!$B$6:$B$108,MATCH(D1206,Roster!$A$6:$A$108,0))</x:f>
      </x:c>
      <x:c r="F1206" s="14" t="str">
        <x:f>INDEX(Roster!$F$6:$F$108,MATCH(D1206,Roster!$A$6:$A$108,0))</x:f>
        <x:v>No</x:v>
      </x:c>
      <x:c r="G1206" s="14" t="n">
        <x:f>INDEX(Inputs!$B$7:$D$7,1,MATCH(A1206,Inputs!$B$6:$D$6,0))</x:f>
        <x:v>13</x:v>
      </x:c>
      <x:c r="H1206" s="14" t="n">
        <x:f>MIN(=INDEX(Inputs!$B$7:$D$7,1,MATCH(A1206,Inputs!$B$6:$D$6,0)),MAX(0,INDEX(Inputs!$B$14:$D$14,1,MATCH(A1206,Inputs!$B$6:$D$6,0))-(C1206-1)*=INDEX(Inputs!$B$7:$D$7,1,MATCH(A1206,Inputs!$B$6:$D$6,0))))</x:f>
        <x:v>13</x:v>
      </x:c>
      <x:c r="I1206" s="20" t="n">
        <x:f>INDEX(Inputs!$B$8:$D$8,1,MATCH(A1206,Inputs!$B$6:$D$6,0))</x:f>
        <x:v>2395</x:v>
      </x:c>
      <x:c r="J1206" s="20" t="n">
        <x:f>INDEX(Roster!$C$6:$C$108,MATCH(D1206,Roster!$A$6:$A$108,0))*(1+INDEX(Inputs!$B$9:$D$9,1,MATCH(A1206,Inputs!$B$6:$D$6,0)))</x:f>
        <x:v>200</x:v>
      </x:c>
      <x:c r="K1206" s="20" t="n">
        <x:f>IF(=INDEX(Roster!$F$6:$F$108,MATCH(D1206,Roster!$A$6:$A$108,0))="Yes",0,=INDEX(Inputs!$B$8:$D$8,1,MATCH(A1206,Inputs!$B$6:$D$6,0))*IF(=INDEX(Roster!$B$6:$B$108,MATCH(D1206,Roster!$A$6:$A$108,0))="Principal",INDEX(Inputs!$B$10:$D$10,1,MATCH(A1206,Inputs!$B$6:$D$6,0)),IF(=INDEX(Roster!$B$6:$B$108,MATCH(D1206,Roster!$A$6:$A$108,0))="Associate Principal",INDEX(Inputs!$B$11:$D$11,1,MATCH(A1206,Inputs!$B$6:$D$6,0)),IF(=INDEX(Roster!$B$6:$B$108,MATCH(D1206,Roster!$A$6:$A$108,0))="Assistant Principal",INDEX(Inputs!$B$12:$D$12,1,MATCH(A1206,Inputs!$B$6:$D$6,0)),0))))</x:f>
        <x:v>0</x:v>
      </x:c>
      <x:c r="L1206" s="20" t="n">
        <x:f>IF(INDEX(Roster!$D$6:$D$108,MATCH(D1206,Roster!$A$6:$A$108,0))&gt;=25,INDEX(Inputs!$B$19:$D$19,1,MATCH(A1206,Inputs!$B$6:$D$6,0)),IF(INDEX(Roster!$D$6:$D$108,MATCH(D1206,Roster!$A$6:$A$108,0))&gt;=20,INDEX(Inputs!$B$18:$D$18,1,MATCH(A1206,Inputs!$B$6:$D$6,0)),IF(INDEX(Roster!$D$6:$D$108,MATCH(D1206,Roster!$A$6:$A$108,0))&gt;=15,INDEX(Inputs!$B$17:$D$17,1,MATCH(A1206,Inputs!$B$6:$D$6,0)),IF(INDEX(Roster!$D$6:$D$108,MATCH(D1206,Roster!$A$6:$A$108,0))&gt;=10,INDEX(Inputs!$B$16:$D$16,1,MATCH(A1206,Inputs!$B$6:$D$6,0)),IF(INDEX(Roster!$D$6:$D$108,MATCH(D1206,Roster!$A$6:$A$108,0))&gt;=5,INDEX(Inputs!$B$15:$D$15,1,MATCH(A1206,Inputs!$B$6:$D$6,0)),0)))))</x:f>
        <x:v>80</x:v>
      </x:c>
      <x:c r="M1206" s="20" t="n">
        <x:f>G1206*I1206</x:f>
        <x:v>31135</x:v>
      </x:c>
      <x:c r="N1206" s="20" t="n">
        <x:f>G1206*J1206</x:f>
        <x:v>2600</x:v>
      </x:c>
      <x:c r="O1206" s="20" t="n">
        <x:f>G1206*K1206</x:f>
        <x:v>0</x:v>
      </x:c>
      <x:c r="P1206" s="20" t="n">
        <x:f>G1206*L1206</x:f>
        <x:v>1040</x:v>
      </x:c>
      <x:c r="Q1206" s="20" t="n">
        <x:f>H1206*INDEX(Inputs!$B$13:$D$13,1,MATCH(A1206,Inputs!$B$6:$D$6,0))</x:f>
        <x:v>390</x:v>
      </x:c>
      <x:c r="R1206" s="20" t="n">
        <x:f>SUM(M1206:Q1206)</x:f>
        <x:v>35165</x:v>
      </x:c>
      <x:c r="S1206" s="20" t="n">
        <x:f>IF(AND(A1205=A1206,D1205=D1206),S1205+R1206,R1206)</x:f>
        <x:v>35165</x:v>
      </x:c>
      <x:c r="T1206" s="20" t="n">
        <x:f>MIN(S1206,INDEX(Inputs!$B$20:$D$20,1,MATCH(A1206,Inputs!$B$6:$D$6,0)))*INDEX(Inputs!$B$22:$D$22,1,MATCH(A1206,Inputs!$B$6:$D$6,0))+MAX(MIN(S1206,INDEX(Inputs!$B$21:$D$21,1,MATCH(A1206,Inputs!$B$6:$D$6,0)))-INDEX(Inputs!$B$20:$D$20,1,MATCH(A1206,Inputs!$B$6:$D$6,0)),0)*INDEX(Inputs!$B$23:$D$23,1,MATCH(A1206,Inputs!$B$6:$D$6,0))+MAX(S1206-INDEX(Inputs!$B$21:$D$21,1,MATCH(A1206,Inputs!$B$6:$D$6,0)),0)*INDEX(Inputs!$B$24:$D$24,1,MATCH(A1206,Inputs!$B$6:$D$6,0))</x:f>
        <x:v>3180.1225</x:v>
      </x:c>
      <x:c r="U1206" s="20" t="n">
        <x:f>IF(AND(A1205=A1206,D1205=D1206),T1205,0)</x:f>
        <x:v>0</x:v>
      </x:c>
      <x:c r="V1206" s="20" t="n">
        <x:f>T1206-U1206</x:f>
        <x:v>3180.1225</x:v>
      </x:c>
      <x:c r="W1206" s="20" t="n">
        <x:f>R1206+V1206</x:f>
        <x:v>38345.1225</x:v>
      </x:c>
      <x:c r="X1206" s="14" t="str">
        <x:f>IF(ABS(W1206-SUM(M1206:Q1206)-V1206)&lt;0.01,"OK","Check")</x:f>
        <x:v>OK</x:v>
      </x:c>
    </x:row>
    <x:row r="1207">
      <x:c r="A1207" s="14" t="n">
        <x:v>2028</x:v>
      </x:c>
      <x:c r="B1207" s="14" t="str">
        <x:v>Q2</x:v>
      </x:c>
      <x:c r="C1207" s="14" t="n">
        <x:v>2</x:v>
      </x:c>
      <x:c r="D1207" s="14" t="n">
        <x:v>95</x:v>
      </x:c>
      <x:c r="E1207" s="14" t="str">
        <x:f>INDEX(Roster!$B$6:$B$108,MATCH(D1207,Roster!$A$6:$A$108,0))</x:f>
      </x:c>
      <x:c r="F1207" s="14" t="str">
        <x:f>INDEX(Roster!$F$6:$F$108,MATCH(D1207,Roster!$A$6:$A$108,0))</x:f>
        <x:v>No</x:v>
      </x:c>
      <x:c r="G1207" s="14" t="n">
        <x:f>INDEX(Inputs!$B$7:$D$7,1,MATCH(A1207,Inputs!$B$6:$D$6,0))</x:f>
        <x:v>13</x:v>
      </x:c>
      <x:c r="H1207" s="14" t="n">
        <x:f>MIN(=INDEX(Inputs!$B$7:$D$7,1,MATCH(A1207,Inputs!$B$6:$D$6,0)),MAX(0,INDEX(Inputs!$B$14:$D$14,1,MATCH(A1207,Inputs!$B$6:$D$6,0))-(C1207-1)*=INDEX(Inputs!$B$7:$D$7,1,MATCH(A1207,Inputs!$B$6:$D$6,0))))</x:f>
        <x:v>13</x:v>
      </x:c>
      <x:c r="I1207" s="20" t="n">
        <x:f>INDEX(Inputs!$B$8:$D$8,1,MATCH(A1207,Inputs!$B$6:$D$6,0))</x:f>
        <x:v>2395</x:v>
      </x:c>
      <x:c r="J1207" s="20" t="n">
        <x:f>INDEX(Roster!$C$6:$C$108,MATCH(D1207,Roster!$A$6:$A$108,0))*(1+INDEX(Inputs!$B$9:$D$9,1,MATCH(A1207,Inputs!$B$6:$D$6,0)))</x:f>
        <x:v>200</x:v>
      </x:c>
      <x:c r="K1207" s="20" t="n">
        <x:f>IF(=INDEX(Roster!$F$6:$F$108,MATCH(D1207,Roster!$A$6:$A$108,0))="Yes",0,=INDEX(Inputs!$B$8:$D$8,1,MATCH(A1207,Inputs!$B$6:$D$6,0))*IF(=INDEX(Roster!$B$6:$B$108,MATCH(D1207,Roster!$A$6:$A$108,0))="Principal",INDEX(Inputs!$B$10:$D$10,1,MATCH(A1207,Inputs!$B$6:$D$6,0)),IF(=INDEX(Roster!$B$6:$B$108,MATCH(D1207,Roster!$A$6:$A$108,0))="Associate Principal",INDEX(Inputs!$B$11:$D$11,1,MATCH(A1207,Inputs!$B$6:$D$6,0)),IF(=INDEX(Roster!$B$6:$B$108,MATCH(D1207,Roster!$A$6:$A$108,0))="Assistant Principal",INDEX(Inputs!$B$12:$D$12,1,MATCH(A1207,Inputs!$B$6:$D$6,0)),0))))</x:f>
        <x:v>0</x:v>
      </x:c>
      <x:c r="L1207" s="20" t="n">
        <x:f>IF(INDEX(Roster!$D$6:$D$108,MATCH(D1207,Roster!$A$6:$A$108,0))&gt;=25,INDEX(Inputs!$B$19:$D$19,1,MATCH(A1207,Inputs!$B$6:$D$6,0)),IF(INDEX(Roster!$D$6:$D$108,MATCH(D1207,Roster!$A$6:$A$108,0))&gt;=20,INDEX(Inputs!$B$18:$D$18,1,MATCH(A1207,Inputs!$B$6:$D$6,0)),IF(INDEX(Roster!$D$6:$D$108,MATCH(D1207,Roster!$A$6:$A$108,0))&gt;=15,INDEX(Inputs!$B$17:$D$17,1,MATCH(A1207,Inputs!$B$6:$D$6,0)),IF(INDEX(Roster!$D$6:$D$108,MATCH(D1207,Roster!$A$6:$A$108,0))&gt;=10,INDEX(Inputs!$B$16:$D$16,1,MATCH(A1207,Inputs!$B$6:$D$6,0)),IF(INDEX(Roster!$D$6:$D$108,MATCH(D1207,Roster!$A$6:$A$108,0))&gt;=5,INDEX(Inputs!$B$15:$D$15,1,MATCH(A1207,Inputs!$B$6:$D$6,0)),0)))))</x:f>
        <x:v>80</x:v>
      </x:c>
      <x:c r="M1207" s="20" t="n">
        <x:f>G1207*I1207</x:f>
        <x:v>31135</x:v>
      </x:c>
      <x:c r="N1207" s="20" t="n">
        <x:f>G1207*J1207</x:f>
        <x:v>2600</x:v>
      </x:c>
      <x:c r="O1207" s="20" t="n">
        <x:f>G1207*K1207</x:f>
        <x:v>0</x:v>
      </x:c>
      <x:c r="P1207" s="20" t="n">
        <x:f>G1207*L1207</x:f>
        <x:v>1040</x:v>
      </x:c>
      <x:c r="Q1207" s="20" t="n">
        <x:f>H1207*INDEX(Inputs!$B$13:$D$13,1,MATCH(A1207,Inputs!$B$6:$D$6,0))</x:f>
        <x:v>390</x:v>
      </x:c>
      <x:c r="R1207" s="20" t="n">
        <x:f>SUM(M1207:Q1207)</x:f>
        <x:v>35165</x:v>
      </x:c>
      <x:c r="S1207" s="20" t="n">
        <x:f>IF(AND(A1206=A1207,D1206=D1207),S1206+R1207,R1207)</x:f>
        <x:v>70330</x:v>
      </x:c>
      <x:c r="T1207" s="20" t="n">
        <x:f>MIN(S1207,INDEX(Inputs!$B$20:$D$20,1,MATCH(A1207,Inputs!$B$6:$D$6,0)))*INDEX(Inputs!$B$22:$D$22,1,MATCH(A1207,Inputs!$B$6:$D$6,0))+MAX(MIN(S1207,INDEX(Inputs!$B$21:$D$21,1,MATCH(A1207,Inputs!$B$6:$D$6,0)))-INDEX(Inputs!$B$20:$D$20,1,MATCH(A1207,Inputs!$B$6:$D$6,0)),0)*INDEX(Inputs!$B$23:$D$23,1,MATCH(A1207,Inputs!$B$6:$D$6,0))+MAX(S1207-INDEX(Inputs!$B$21:$D$21,1,MATCH(A1207,Inputs!$B$6:$D$6,0)),0)*INDEX(Inputs!$B$24:$D$24,1,MATCH(A1207,Inputs!$B$6:$D$6,0))</x:f>
        <x:v>5870.245</x:v>
      </x:c>
      <x:c r="U1207" s="20" t="n">
        <x:f>IF(AND(A1206=A1207,D1206=D1207),T1206,0)</x:f>
        <x:v>3180.1225</x:v>
      </x:c>
      <x:c r="V1207" s="20" t="n">
        <x:f>T1207-U1207</x:f>
        <x:v>2690.1225</x:v>
      </x:c>
      <x:c r="W1207" s="20" t="n">
        <x:f>R1207+V1207</x:f>
        <x:v>37855.1225</x:v>
      </x:c>
      <x:c r="X1207" s="14" t="str">
        <x:f>IF(ABS(W1207-SUM(M1207:Q1207)-V1207)&lt;0.01,"OK","Check")</x:f>
        <x:v>OK</x:v>
      </x:c>
    </x:row>
    <x:row r="1208">
      <x:c r="A1208" s="14" t="n">
        <x:v>2028</x:v>
      </x:c>
      <x:c r="B1208" s="14" t="str">
        <x:v>Q3</x:v>
      </x:c>
      <x:c r="C1208" s="14" t="n">
        <x:v>3</x:v>
      </x:c>
      <x:c r="D1208" s="14" t="n">
        <x:v>95</x:v>
      </x:c>
      <x:c r="E1208" s="14" t="str">
        <x:f>INDEX(Roster!$B$6:$B$108,MATCH(D1208,Roster!$A$6:$A$108,0))</x:f>
      </x:c>
      <x:c r="F1208" s="14" t="str">
        <x:f>INDEX(Roster!$F$6:$F$108,MATCH(D1208,Roster!$A$6:$A$108,0))</x:f>
        <x:v>No</x:v>
      </x:c>
      <x:c r="G1208" s="14" t="n">
        <x:f>INDEX(Inputs!$B$7:$D$7,1,MATCH(A1208,Inputs!$B$6:$D$6,0))</x:f>
        <x:v>13</x:v>
      </x:c>
      <x:c r="H1208" s="14" t="n">
        <x:f>MIN(=INDEX(Inputs!$B$7:$D$7,1,MATCH(A1208,Inputs!$B$6:$D$6,0)),MAX(0,INDEX(Inputs!$B$14:$D$14,1,MATCH(A1208,Inputs!$B$6:$D$6,0))-(C1208-1)*=INDEX(Inputs!$B$7:$D$7,1,MATCH(A1208,Inputs!$B$6:$D$6,0))))</x:f>
        <x:v>13</x:v>
      </x:c>
      <x:c r="I1208" s="20" t="n">
        <x:f>INDEX(Inputs!$B$8:$D$8,1,MATCH(A1208,Inputs!$B$6:$D$6,0))</x:f>
        <x:v>2395</x:v>
      </x:c>
      <x:c r="J1208" s="20" t="n">
        <x:f>INDEX(Roster!$C$6:$C$108,MATCH(D1208,Roster!$A$6:$A$108,0))*(1+INDEX(Inputs!$B$9:$D$9,1,MATCH(A1208,Inputs!$B$6:$D$6,0)))</x:f>
        <x:v>200</x:v>
      </x:c>
      <x:c r="K1208" s="20" t="n">
        <x:f>IF(=INDEX(Roster!$F$6:$F$108,MATCH(D1208,Roster!$A$6:$A$108,0))="Yes",0,=INDEX(Inputs!$B$8:$D$8,1,MATCH(A1208,Inputs!$B$6:$D$6,0))*IF(=INDEX(Roster!$B$6:$B$108,MATCH(D1208,Roster!$A$6:$A$108,0))="Principal",INDEX(Inputs!$B$10:$D$10,1,MATCH(A1208,Inputs!$B$6:$D$6,0)),IF(=INDEX(Roster!$B$6:$B$108,MATCH(D1208,Roster!$A$6:$A$108,0))="Associate Principal",INDEX(Inputs!$B$11:$D$11,1,MATCH(A1208,Inputs!$B$6:$D$6,0)),IF(=INDEX(Roster!$B$6:$B$108,MATCH(D1208,Roster!$A$6:$A$108,0))="Assistant Principal",INDEX(Inputs!$B$12:$D$12,1,MATCH(A1208,Inputs!$B$6:$D$6,0)),0))))</x:f>
        <x:v>0</x:v>
      </x:c>
      <x:c r="L1208" s="20" t="n">
        <x:f>IF(INDEX(Roster!$D$6:$D$108,MATCH(D1208,Roster!$A$6:$A$108,0))&gt;=25,INDEX(Inputs!$B$19:$D$19,1,MATCH(A1208,Inputs!$B$6:$D$6,0)),IF(INDEX(Roster!$D$6:$D$108,MATCH(D1208,Roster!$A$6:$A$108,0))&gt;=20,INDEX(Inputs!$B$18:$D$18,1,MATCH(A1208,Inputs!$B$6:$D$6,0)),IF(INDEX(Roster!$D$6:$D$108,MATCH(D1208,Roster!$A$6:$A$108,0))&gt;=15,INDEX(Inputs!$B$17:$D$17,1,MATCH(A1208,Inputs!$B$6:$D$6,0)),IF(INDEX(Roster!$D$6:$D$108,MATCH(D1208,Roster!$A$6:$A$108,0))&gt;=10,INDEX(Inputs!$B$16:$D$16,1,MATCH(A1208,Inputs!$B$6:$D$6,0)),IF(INDEX(Roster!$D$6:$D$108,MATCH(D1208,Roster!$A$6:$A$108,0))&gt;=5,INDEX(Inputs!$B$15:$D$15,1,MATCH(A1208,Inputs!$B$6:$D$6,0)),0)))))</x:f>
        <x:v>80</x:v>
      </x:c>
      <x:c r="M1208" s="20" t="n">
        <x:f>G1208*I1208</x:f>
        <x:v>31135</x:v>
      </x:c>
      <x:c r="N1208" s="20" t="n">
        <x:f>G1208*J1208</x:f>
        <x:v>2600</x:v>
      </x:c>
      <x:c r="O1208" s="20" t="n">
        <x:f>G1208*K1208</x:f>
        <x:v>0</x:v>
      </x:c>
      <x:c r="P1208" s="20" t="n">
        <x:f>G1208*L1208</x:f>
        <x:v>1040</x:v>
      </x:c>
      <x:c r="Q1208" s="20" t="n">
        <x:f>H1208*INDEX(Inputs!$B$13:$D$13,1,MATCH(A1208,Inputs!$B$6:$D$6,0))</x:f>
        <x:v>390</x:v>
      </x:c>
      <x:c r="R1208" s="20" t="n">
        <x:f>SUM(M1208:Q1208)</x:f>
        <x:v>35165</x:v>
      </x:c>
      <x:c r="S1208" s="20" t="n">
        <x:f>IF(AND(A1207=A1208,D1207=D1208),S1207+R1208,R1208)</x:f>
        <x:v>105495</x:v>
      </x:c>
      <x:c r="T1208" s="20" t="n">
        <x:f>MIN(S1208,INDEX(Inputs!$B$20:$D$20,1,MATCH(A1208,Inputs!$B$6:$D$6,0)))*INDEX(Inputs!$B$22:$D$22,1,MATCH(A1208,Inputs!$B$6:$D$6,0))+MAX(MIN(S1208,INDEX(Inputs!$B$21:$D$21,1,MATCH(A1208,Inputs!$B$6:$D$6,0)))-INDEX(Inputs!$B$20:$D$20,1,MATCH(A1208,Inputs!$B$6:$D$6,0)),0)*INDEX(Inputs!$B$23:$D$23,1,MATCH(A1208,Inputs!$B$6:$D$6,0))+MAX(S1208-INDEX(Inputs!$B$21:$D$21,1,MATCH(A1208,Inputs!$B$6:$D$6,0)),0)*INDEX(Inputs!$B$24:$D$24,1,MATCH(A1208,Inputs!$B$6:$D$6,0))</x:f>
        <x:v>8560.3675</x:v>
      </x:c>
      <x:c r="U1208" s="20" t="n">
        <x:f>IF(AND(A1207=A1208,D1207=D1208),T1207,0)</x:f>
        <x:v>5870.245</x:v>
      </x:c>
      <x:c r="V1208" s="20" t="n">
        <x:f>T1208-U1208</x:f>
        <x:v>2690.1225000000004</x:v>
      </x:c>
      <x:c r="W1208" s="20" t="n">
        <x:f>R1208+V1208</x:f>
        <x:v>37855.1225</x:v>
      </x:c>
      <x:c r="X1208" s="14" t="str">
        <x:f>IF(ABS(W1208-SUM(M1208:Q1208)-V1208)&lt;0.01,"OK","Check")</x:f>
        <x:v>OK</x:v>
      </x:c>
    </x:row>
    <x:row r="1209">
      <x:c r="A1209" s="14" t="n">
        <x:v>2028</x:v>
      </x:c>
      <x:c r="B1209" s="14" t="str">
        <x:v>Q4</x:v>
      </x:c>
      <x:c r="C1209" s="14" t="n">
        <x:v>4</x:v>
      </x:c>
      <x:c r="D1209" s="14" t="n">
        <x:v>95</x:v>
      </x:c>
      <x:c r="E1209" s="14" t="str">
        <x:f>INDEX(Roster!$B$6:$B$108,MATCH(D1209,Roster!$A$6:$A$108,0))</x:f>
      </x:c>
      <x:c r="F1209" s="14" t="str">
        <x:f>INDEX(Roster!$F$6:$F$108,MATCH(D1209,Roster!$A$6:$A$108,0))</x:f>
        <x:v>No</x:v>
      </x:c>
      <x:c r="G1209" s="14" t="n">
        <x:f>INDEX(Inputs!$B$7:$D$7,1,MATCH(A1209,Inputs!$B$6:$D$6,0))</x:f>
        <x:v>13</x:v>
      </x:c>
      <x:c r="H1209" s="14" t="n">
        <x:f>MIN(=INDEX(Inputs!$B$7:$D$7,1,MATCH(A1209,Inputs!$B$6:$D$6,0)),MAX(0,INDEX(Inputs!$B$14:$D$14,1,MATCH(A1209,Inputs!$B$6:$D$6,0))-(C1209-1)*=INDEX(Inputs!$B$7:$D$7,1,MATCH(A1209,Inputs!$B$6:$D$6,0))))</x:f>
        <x:v>0</x:v>
      </x:c>
      <x:c r="I1209" s="20" t="n">
        <x:f>INDEX(Inputs!$B$8:$D$8,1,MATCH(A1209,Inputs!$B$6:$D$6,0))</x:f>
        <x:v>2395</x:v>
      </x:c>
      <x:c r="J1209" s="20" t="n">
        <x:f>INDEX(Roster!$C$6:$C$108,MATCH(D1209,Roster!$A$6:$A$108,0))*(1+INDEX(Inputs!$B$9:$D$9,1,MATCH(A1209,Inputs!$B$6:$D$6,0)))</x:f>
        <x:v>200</x:v>
      </x:c>
      <x:c r="K1209" s="20" t="n">
        <x:f>IF(=INDEX(Roster!$F$6:$F$108,MATCH(D1209,Roster!$A$6:$A$108,0))="Yes",0,=INDEX(Inputs!$B$8:$D$8,1,MATCH(A1209,Inputs!$B$6:$D$6,0))*IF(=INDEX(Roster!$B$6:$B$108,MATCH(D1209,Roster!$A$6:$A$108,0))="Principal",INDEX(Inputs!$B$10:$D$10,1,MATCH(A1209,Inputs!$B$6:$D$6,0)),IF(=INDEX(Roster!$B$6:$B$108,MATCH(D1209,Roster!$A$6:$A$108,0))="Associate Principal",INDEX(Inputs!$B$11:$D$11,1,MATCH(A1209,Inputs!$B$6:$D$6,0)),IF(=INDEX(Roster!$B$6:$B$108,MATCH(D1209,Roster!$A$6:$A$108,0))="Assistant Principal",INDEX(Inputs!$B$12:$D$12,1,MATCH(A1209,Inputs!$B$6:$D$6,0)),0))))</x:f>
        <x:v>0</x:v>
      </x:c>
      <x:c r="L1209" s="20" t="n">
        <x:f>IF(INDEX(Roster!$D$6:$D$108,MATCH(D1209,Roster!$A$6:$A$108,0))&gt;=25,INDEX(Inputs!$B$19:$D$19,1,MATCH(A1209,Inputs!$B$6:$D$6,0)),IF(INDEX(Roster!$D$6:$D$108,MATCH(D1209,Roster!$A$6:$A$108,0))&gt;=20,INDEX(Inputs!$B$18:$D$18,1,MATCH(A1209,Inputs!$B$6:$D$6,0)),IF(INDEX(Roster!$D$6:$D$108,MATCH(D1209,Roster!$A$6:$A$108,0))&gt;=15,INDEX(Inputs!$B$17:$D$17,1,MATCH(A1209,Inputs!$B$6:$D$6,0)),IF(INDEX(Roster!$D$6:$D$108,MATCH(D1209,Roster!$A$6:$A$108,0))&gt;=10,INDEX(Inputs!$B$16:$D$16,1,MATCH(A1209,Inputs!$B$6:$D$6,0)),IF(INDEX(Roster!$D$6:$D$108,MATCH(D1209,Roster!$A$6:$A$108,0))&gt;=5,INDEX(Inputs!$B$15:$D$15,1,MATCH(A1209,Inputs!$B$6:$D$6,0)),0)))))</x:f>
        <x:v>80</x:v>
      </x:c>
      <x:c r="M1209" s="20" t="n">
        <x:f>G1209*I1209</x:f>
        <x:v>31135</x:v>
      </x:c>
      <x:c r="N1209" s="20" t="n">
        <x:f>G1209*J1209</x:f>
        <x:v>2600</x:v>
      </x:c>
      <x:c r="O1209" s="20" t="n">
        <x:f>G1209*K1209</x:f>
        <x:v>0</x:v>
      </x:c>
      <x:c r="P1209" s="20" t="n">
        <x:f>G1209*L1209</x:f>
        <x:v>1040</x:v>
      </x:c>
      <x:c r="Q1209" s="20" t="n">
        <x:f>H1209*INDEX(Inputs!$B$13:$D$13,1,MATCH(A1209,Inputs!$B$6:$D$6,0))</x:f>
        <x:v>0</x:v>
      </x:c>
      <x:c r="R1209" s="20" t="n">
        <x:f>SUM(M1209:Q1209)</x:f>
        <x:v>34775</x:v>
      </x:c>
      <x:c r="S1209" s="20" t="n">
        <x:f>IF(AND(A1208=A1209,D1208=D1209),S1208+R1209,R1209)</x:f>
        <x:v>140270</x:v>
      </x:c>
      <x:c r="T1209" s="20" t="n">
        <x:f>MIN(S1209,INDEX(Inputs!$B$20:$D$20,1,MATCH(A1209,Inputs!$B$6:$D$6,0)))*INDEX(Inputs!$B$22:$D$22,1,MATCH(A1209,Inputs!$B$6:$D$6,0))+MAX(MIN(S1209,INDEX(Inputs!$B$21:$D$21,1,MATCH(A1209,Inputs!$B$6:$D$6,0)))-INDEX(Inputs!$B$20:$D$20,1,MATCH(A1209,Inputs!$B$6:$D$6,0)),0)*INDEX(Inputs!$B$23:$D$23,1,MATCH(A1209,Inputs!$B$6:$D$6,0))+MAX(S1209-INDEX(Inputs!$B$21:$D$21,1,MATCH(A1209,Inputs!$B$6:$D$6,0)),0)*INDEX(Inputs!$B$24:$D$24,1,MATCH(A1209,Inputs!$B$6:$D$6,0))</x:f>
        <x:v>9947.857</x:v>
      </x:c>
      <x:c r="U1209" s="20" t="n">
        <x:f>IF(AND(A1208=A1209,D1208=D1209),T1208,0)</x:f>
        <x:v>8560.3675</x:v>
      </x:c>
      <x:c r="V1209" s="20" t="n">
        <x:f>T1209-U1209</x:f>
        <x:v>1387.4894999999997</x:v>
      </x:c>
      <x:c r="W1209" s="20" t="n">
        <x:f>R1209+V1209</x:f>
        <x:v>36162.489499999996</x:v>
      </x:c>
      <x:c r="X1209" s="14" t="str">
        <x:f>IF(ABS(W1209-SUM(M1209:Q1209)-V1209)&lt;0.01,"OK","Check")</x:f>
        <x:v>OK</x:v>
      </x:c>
    </x:row>
    <x:row r="1210">
      <x:c r="A1210" s="14" t="n">
        <x:v>2028</x:v>
      </x:c>
      <x:c r="B1210" s="14" t="str">
        <x:v>Q1</x:v>
      </x:c>
      <x:c r="C1210" s="14" t="n">
        <x:v>1</x:v>
      </x:c>
      <x:c r="D1210" s="14" t="n">
        <x:v>96</x:v>
      </x:c>
      <x:c r="E1210" s="14" t="str">
        <x:f>INDEX(Roster!$B$6:$B$108,MATCH(D1210,Roster!$A$6:$A$108,0))</x:f>
      </x:c>
      <x:c r="F1210" s="14" t="str">
        <x:f>INDEX(Roster!$F$6:$F$108,MATCH(D1210,Roster!$A$6:$A$108,0))</x:f>
        <x:v>No</x:v>
      </x:c>
      <x:c r="G1210" s="14" t="n">
        <x:f>INDEX(Inputs!$B$7:$D$7,1,MATCH(A1210,Inputs!$B$6:$D$6,0))</x:f>
        <x:v>13</x:v>
      </x:c>
      <x:c r="H1210" s="14" t="n">
        <x:f>MIN(=INDEX(Inputs!$B$7:$D$7,1,MATCH(A1210,Inputs!$B$6:$D$6,0)),MAX(0,INDEX(Inputs!$B$14:$D$14,1,MATCH(A1210,Inputs!$B$6:$D$6,0))-(C1210-1)*=INDEX(Inputs!$B$7:$D$7,1,MATCH(A1210,Inputs!$B$6:$D$6,0))))</x:f>
        <x:v>13</x:v>
      </x:c>
      <x:c r="I1210" s="20" t="n">
        <x:f>INDEX(Inputs!$B$8:$D$8,1,MATCH(A1210,Inputs!$B$6:$D$6,0))</x:f>
        <x:v>2395</x:v>
      </x:c>
      <x:c r="J1210" s="20" t="n">
        <x:f>INDEX(Roster!$C$6:$C$108,MATCH(D1210,Roster!$A$6:$A$108,0))*(1+INDEX(Inputs!$B$9:$D$9,1,MATCH(A1210,Inputs!$B$6:$D$6,0)))</x:f>
        <x:v>120</x:v>
      </x:c>
      <x:c r="K1210" s="20" t="n">
        <x:f>IF(=INDEX(Roster!$F$6:$F$108,MATCH(D1210,Roster!$A$6:$A$108,0))="Yes",0,=INDEX(Inputs!$B$8:$D$8,1,MATCH(A1210,Inputs!$B$6:$D$6,0))*IF(=INDEX(Roster!$B$6:$B$108,MATCH(D1210,Roster!$A$6:$A$108,0))="Principal",INDEX(Inputs!$B$10:$D$10,1,MATCH(A1210,Inputs!$B$6:$D$6,0)),IF(=INDEX(Roster!$B$6:$B$108,MATCH(D1210,Roster!$A$6:$A$108,0))="Associate Principal",INDEX(Inputs!$B$11:$D$11,1,MATCH(A1210,Inputs!$B$6:$D$6,0)),IF(=INDEX(Roster!$B$6:$B$108,MATCH(D1210,Roster!$A$6:$A$108,0))="Assistant Principal",INDEX(Inputs!$B$12:$D$12,1,MATCH(A1210,Inputs!$B$6:$D$6,0)),0))))</x:f>
        <x:v>0</x:v>
      </x:c>
      <x:c r="L1210" s="20" t="n">
        <x:f>IF(INDEX(Roster!$D$6:$D$108,MATCH(D1210,Roster!$A$6:$A$108,0))&gt;=25,INDEX(Inputs!$B$19:$D$19,1,MATCH(A1210,Inputs!$B$6:$D$6,0)),IF(INDEX(Roster!$D$6:$D$108,MATCH(D1210,Roster!$A$6:$A$108,0))&gt;=20,INDEX(Inputs!$B$18:$D$18,1,MATCH(A1210,Inputs!$B$6:$D$6,0)),IF(INDEX(Roster!$D$6:$D$108,MATCH(D1210,Roster!$A$6:$A$108,0))&gt;=15,INDEX(Inputs!$B$17:$D$17,1,MATCH(A1210,Inputs!$B$6:$D$6,0)),IF(INDEX(Roster!$D$6:$D$108,MATCH(D1210,Roster!$A$6:$A$108,0))&gt;=10,INDEX(Inputs!$B$16:$D$16,1,MATCH(A1210,Inputs!$B$6:$D$6,0)),IF(INDEX(Roster!$D$6:$D$108,MATCH(D1210,Roster!$A$6:$A$108,0))&gt;=5,INDEX(Inputs!$B$15:$D$15,1,MATCH(A1210,Inputs!$B$6:$D$6,0)),0)))))</x:f>
        <x:v>70</x:v>
      </x:c>
      <x:c r="M1210" s="20" t="n">
        <x:f>G1210*I1210</x:f>
        <x:v>31135</x:v>
      </x:c>
      <x:c r="N1210" s="20" t="n">
        <x:f>G1210*J1210</x:f>
        <x:v>1560</x:v>
      </x:c>
      <x:c r="O1210" s="20" t="n">
        <x:f>G1210*K1210</x:f>
        <x:v>0</x:v>
      </x:c>
      <x:c r="P1210" s="20" t="n">
        <x:f>G1210*L1210</x:f>
        <x:v>910</x:v>
      </x:c>
      <x:c r="Q1210" s="20" t="n">
        <x:f>H1210*INDEX(Inputs!$B$13:$D$13,1,MATCH(A1210,Inputs!$B$6:$D$6,0))</x:f>
        <x:v>390</x:v>
      </x:c>
      <x:c r="R1210" s="20" t="n">
        <x:f>SUM(M1210:Q1210)</x:f>
        <x:v>33995</x:v>
      </x:c>
      <x:c r="S1210" s="20" t="n">
        <x:f>IF(AND(A1209=A1210,D1209=D1210),S1209+R1210,R1210)</x:f>
        <x:v>33995</x:v>
      </x:c>
      <x:c r="T1210" s="20" t="n">
        <x:f>MIN(S1210,INDEX(Inputs!$B$20:$D$20,1,MATCH(A1210,Inputs!$B$6:$D$6,0)))*INDEX(Inputs!$B$22:$D$22,1,MATCH(A1210,Inputs!$B$6:$D$6,0))+MAX(MIN(S1210,INDEX(Inputs!$B$21:$D$21,1,MATCH(A1210,Inputs!$B$6:$D$6,0)))-INDEX(Inputs!$B$20:$D$20,1,MATCH(A1210,Inputs!$B$6:$D$6,0)),0)*INDEX(Inputs!$B$23:$D$23,1,MATCH(A1210,Inputs!$B$6:$D$6,0))+MAX(S1210-INDEX(Inputs!$B$21:$D$21,1,MATCH(A1210,Inputs!$B$6:$D$6,0)),0)*INDEX(Inputs!$B$24:$D$24,1,MATCH(A1210,Inputs!$B$6:$D$6,0))</x:f>
        <x:v>3090.6175</x:v>
      </x:c>
      <x:c r="U1210" s="20" t="n">
        <x:f>IF(AND(A1209=A1210,D1209=D1210),T1209,0)</x:f>
        <x:v>0</x:v>
      </x:c>
      <x:c r="V1210" s="20" t="n">
        <x:f>T1210-U1210</x:f>
        <x:v>3090.6175</x:v>
      </x:c>
      <x:c r="W1210" s="20" t="n">
        <x:f>R1210+V1210</x:f>
        <x:v>37085.6175</x:v>
      </x:c>
      <x:c r="X1210" s="14" t="str">
        <x:f>IF(ABS(W1210-SUM(M1210:Q1210)-V1210)&lt;0.01,"OK","Check")</x:f>
        <x:v>OK</x:v>
      </x:c>
    </x:row>
    <x:row r="1211">
      <x:c r="A1211" s="14" t="n">
        <x:v>2028</x:v>
      </x:c>
      <x:c r="B1211" s="14" t="str">
        <x:v>Q2</x:v>
      </x:c>
      <x:c r="C1211" s="14" t="n">
        <x:v>2</x:v>
      </x:c>
      <x:c r="D1211" s="14" t="n">
        <x:v>96</x:v>
      </x:c>
      <x:c r="E1211" s="14" t="str">
        <x:f>INDEX(Roster!$B$6:$B$108,MATCH(D1211,Roster!$A$6:$A$108,0))</x:f>
      </x:c>
      <x:c r="F1211" s="14" t="str">
        <x:f>INDEX(Roster!$F$6:$F$108,MATCH(D1211,Roster!$A$6:$A$108,0))</x:f>
        <x:v>No</x:v>
      </x:c>
      <x:c r="G1211" s="14" t="n">
        <x:f>INDEX(Inputs!$B$7:$D$7,1,MATCH(A1211,Inputs!$B$6:$D$6,0))</x:f>
        <x:v>13</x:v>
      </x:c>
      <x:c r="H1211" s="14" t="n">
        <x:f>MIN(=INDEX(Inputs!$B$7:$D$7,1,MATCH(A1211,Inputs!$B$6:$D$6,0)),MAX(0,INDEX(Inputs!$B$14:$D$14,1,MATCH(A1211,Inputs!$B$6:$D$6,0))-(C1211-1)*=INDEX(Inputs!$B$7:$D$7,1,MATCH(A1211,Inputs!$B$6:$D$6,0))))</x:f>
        <x:v>13</x:v>
      </x:c>
      <x:c r="I1211" s="20" t="n">
        <x:f>INDEX(Inputs!$B$8:$D$8,1,MATCH(A1211,Inputs!$B$6:$D$6,0))</x:f>
        <x:v>2395</x:v>
      </x:c>
      <x:c r="J1211" s="20" t="n">
        <x:f>INDEX(Roster!$C$6:$C$108,MATCH(D1211,Roster!$A$6:$A$108,0))*(1+INDEX(Inputs!$B$9:$D$9,1,MATCH(A1211,Inputs!$B$6:$D$6,0)))</x:f>
        <x:v>120</x:v>
      </x:c>
      <x:c r="K1211" s="20" t="n">
        <x:f>IF(=INDEX(Roster!$F$6:$F$108,MATCH(D1211,Roster!$A$6:$A$108,0))="Yes",0,=INDEX(Inputs!$B$8:$D$8,1,MATCH(A1211,Inputs!$B$6:$D$6,0))*IF(=INDEX(Roster!$B$6:$B$108,MATCH(D1211,Roster!$A$6:$A$108,0))="Principal",INDEX(Inputs!$B$10:$D$10,1,MATCH(A1211,Inputs!$B$6:$D$6,0)),IF(=INDEX(Roster!$B$6:$B$108,MATCH(D1211,Roster!$A$6:$A$108,0))="Associate Principal",INDEX(Inputs!$B$11:$D$11,1,MATCH(A1211,Inputs!$B$6:$D$6,0)),IF(=INDEX(Roster!$B$6:$B$108,MATCH(D1211,Roster!$A$6:$A$108,0))="Assistant Principal",INDEX(Inputs!$B$12:$D$12,1,MATCH(A1211,Inputs!$B$6:$D$6,0)),0))))</x:f>
        <x:v>0</x:v>
      </x:c>
      <x:c r="L1211" s="20" t="n">
        <x:f>IF(INDEX(Roster!$D$6:$D$108,MATCH(D1211,Roster!$A$6:$A$108,0))&gt;=25,INDEX(Inputs!$B$19:$D$19,1,MATCH(A1211,Inputs!$B$6:$D$6,0)),IF(INDEX(Roster!$D$6:$D$108,MATCH(D1211,Roster!$A$6:$A$108,0))&gt;=20,INDEX(Inputs!$B$18:$D$18,1,MATCH(A1211,Inputs!$B$6:$D$6,0)),IF(INDEX(Roster!$D$6:$D$108,MATCH(D1211,Roster!$A$6:$A$108,0))&gt;=15,INDEX(Inputs!$B$17:$D$17,1,MATCH(A1211,Inputs!$B$6:$D$6,0)),IF(INDEX(Roster!$D$6:$D$108,MATCH(D1211,Roster!$A$6:$A$108,0))&gt;=10,INDEX(Inputs!$B$16:$D$16,1,MATCH(A1211,Inputs!$B$6:$D$6,0)),IF(INDEX(Roster!$D$6:$D$108,MATCH(D1211,Roster!$A$6:$A$108,0))&gt;=5,INDEX(Inputs!$B$15:$D$15,1,MATCH(A1211,Inputs!$B$6:$D$6,0)),0)))))</x:f>
        <x:v>70</x:v>
      </x:c>
      <x:c r="M1211" s="20" t="n">
        <x:f>G1211*I1211</x:f>
        <x:v>31135</x:v>
      </x:c>
      <x:c r="N1211" s="20" t="n">
        <x:f>G1211*J1211</x:f>
        <x:v>1560</x:v>
      </x:c>
      <x:c r="O1211" s="20" t="n">
        <x:f>G1211*K1211</x:f>
        <x:v>0</x:v>
      </x:c>
      <x:c r="P1211" s="20" t="n">
        <x:f>G1211*L1211</x:f>
        <x:v>910</x:v>
      </x:c>
      <x:c r="Q1211" s="20" t="n">
        <x:f>H1211*INDEX(Inputs!$B$13:$D$13,1,MATCH(A1211,Inputs!$B$6:$D$6,0))</x:f>
        <x:v>390</x:v>
      </x:c>
      <x:c r="R1211" s="20" t="n">
        <x:f>SUM(M1211:Q1211)</x:f>
        <x:v>33995</x:v>
      </x:c>
      <x:c r="S1211" s="20" t="n">
        <x:f>IF(AND(A1210=A1211,D1210=D1211),S1210+R1211,R1211)</x:f>
        <x:v>67990</x:v>
      </x:c>
      <x:c r="T1211" s="20" t="n">
        <x:f>MIN(S1211,INDEX(Inputs!$B$20:$D$20,1,MATCH(A1211,Inputs!$B$6:$D$6,0)))*INDEX(Inputs!$B$22:$D$22,1,MATCH(A1211,Inputs!$B$6:$D$6,0))+MAX(MIN(S1211,INDEX(Inputs!$B$21:$D$21,1,MATCH(A1211,Inputs!$B$6:$D$6,0)))-INDEX(Inputs!$B$20:$D$20,1,MATCH(A1211,Inputs!$B$6:$D$6,0)),0)*INDEX(Inputs!$B$23:$D$23,1,MATCH(A1211,Inputs!$B$6:$D$6,0))+MAX(S1211-INDEX(Inputs!$B$21:$D$21,1,MATCH(A1211,Inputs!$B$6:$D$6,0)),0)*INDEX(Inputs!$B$24:$D$24,1,MATCH(A1211,Inputs!$B$6:$D$6,0))</x:f>
        <x:v>5691.235</x:v>
      </x:c>
      <x:c r="U1211" s="20" t="n">
        <x:f>IF(AND(A1210=A1211,D1210=D1211),T1210,0)</x:f>
        <x:v>3090.6175</x:v>
      </x:c>
      <x:c r="V1211" s="20" t="n">
        <x:f>T1211-U1211</x:f>
        <x:v>2600.6175</x:v>
      </x:c>
      <x:c r="W1211" s="20" t="n">
        <x:f>R1211+V1211</x:f>
        <x:v>36595.6175</x:v>
      </x:c>
      <x:c r="X1211" s="14" t="str">
        <x:f>IF(ABS(W1211-SUM(M1211:Q1211)-V1211)&lt;0.01,"OK","Check")</x:f>
        <x:v>OK</x:v>
      </x:c>
    </x:row>
    <x:row r="1212">
      <x:c r="A1212" s="14" t="n">
        <x:v>2028</x:v>
      </x:c>
      <x:c r="B1212" s="14" t="str">
        <x:v>Q3</x:v>
      </x:c>
      <x:c r="C1212" s="14" t="n">
        <x:v>3</x:v>
      </x:c>
      <x:c r="D1212" s="14" t="n">
        <x:v>96</x:v>
      </x:c>
      <x:c r="E1212" s="14" t="str">
        <x:f>INDEX(Roster!$B$6:$B$108,MATCH(D1212,Roster!$A$6:$A$108,0))</x:f>
      </x:c>
      <x:c r="F1212" s="14" t="str">
        <x:f>INDEX(Roster!$F$6:$F$108,MATCH(D1212,Roster!$A$6:$A$108,0))</x:f>
        <x:v>No</x:v>
      </x:c>
      <x:c r="G1212" s="14" t="n">
        <x:f>INDEX(Inputs!$B$7:$D$7,1,MATCH(A1212,Inputs!$B$6:$D$6,0))</x:f>
        <x:v>13</x:v>
      </x:c>
      <x:c r="H1212" s="14" t="n">
        <x:f>MIN(=INDEX(Inputs!$B$7:$D$7,1,MATCH(A1212,Inputs!$B$6:$D$6,0)),MAX(0,INDEX(Inputs!$B$14:$D$14,1,MATCH(A1212,Inputs!$B$6:$D$6,0))-(C1212-1)*=INDEX(Inputs!$B$7:$D$7,1,MATCH(A1212,Inputs!$B$6:$D$6,0))))</x:f>
        <x:v>13</x:v>
      </x:c>
      <x:c r="I1212" s="20" t="n">
        <x:f>INDEX(Inputs!$B$8:$D$8,1,MATCH(A1212,Inputs!$B$6:$D$6,0))</x:f>
        <x:v>2395</x:v>
      </x:c>
      <x:c r="J1212" s="20" t="n">
        <x:f>INDEX(Roster!$C$6:$C$108,MATCH(D1212,Roster!$A$6:$A$108,0))*(1+INDEX(Inputs!$B$9:$D$9,1,MATCH(A1212,Inputs!$B$6:$D$6,0)))</x:f>
        <x:v>120</x:v>
      </x:c>
      <x:c r="K1212" s="20" t="n">
        <x:f>IF(=INDEX(Roster!$F$6:$F$108,MATCH(D1212,Roster!$A$6:$A$108,0))="Yes",0,=INDEX(Inputs!$B$8:$D$8,1,MATCH(A1212,Inputs!$B$6:$D$6,0))*IF(=INDEX(Roster!$B$6:$B$108,MATCH(D1212,Roster!$A$6:$A$108,0))="Principal",INDEX(Inputs!$B$10:$D$10,1,MATCH(A1212,Inputs!$B$6:$D$6,0)),IF(=INDEX(Roster!$B$6:$B$108,MATCH(D1212,Roster!$A$6:$A$108,0))="Associate Principal",INDEX(Inputs!$B$11:$D$11,1,MATCH(A1212,Inputs!$B$6:$D$6,0)),IF(=INDEX(Roster!$B$6:$B$108,MATCH(D1212,Roster!$A$6:$A$108,0))="Assistant Principal",INDEX(Inputs!$B$12:$D$12,1,MATCH(A1212,Inputs!$B$6:$D$6,0)),0))))</x:f>
        <x:v>0</x:v>
      </x:c>
      <x:c r="L1212" s="20" t="n">
        <x:f>IF(INDEX(Roster!$D$6:$D$108,MATCH(D1212,Roster!$A$6:$A$108,0))&gt;=25,INDEX(Inputs!$B$19:$D$19,1,MATCH(A1212,Inputs!$B$6:$D$6,0)),IF(INDEX(Roster!$D$6:$D$108,MATCH(D1212,Roster!$A$6:$A$108,0))&gt;=20,INDEX(Inputs!$B$18:$D$18,1,MATCH(A1212,Inputs!$B$6:$D$6,0)),IF(INDEX(Roster!$D$6:$D$108,MATCH(D1212,Roster!$A$6:$A$108,0))&gt;=15,INDEX(Inputs!$B$17:$D$17,1,MATCH(A1212,Inputs!$B$6:$D$6,0)),IF(INDEX(Roster!$D$6:$D$108,MATCH(D1212,Roster!$A$6:$A$108,0))&gt;=10,INDEX(Inputs!$B$16:$D$16,1,MATCH(A1212,Inputs!$B$6:$D$6,0)),IF(INDEX(Roster!$D$6:$D$108,MATCH(D1212,Roster!$A$6:$A$108,0))&gt;=5,INDEX(Inputs!$B$15:$D$15,1,MATCH(A1212,Inputs!$B$6:$D$6,0)),0)))))</x:f>
        <x:v>70</x:v>
      </x:c>
      <x:c r="M1212" s="20" t="n">
        <x:f>G1212*I1212</x:f>
        <x:v>31135</x:v>
      </x:c>
      <x:c r="N1212" s="20" t="n">
        <x:f>G1212*J1212</x:f>
        <x:v>1560</x:v>
      </x:c>
      <x:c r="O1212" s="20" t="n">
        <x:f>G1212*K1212</x:f>
        <x:v>0</x:v>
      </x:c>
      <x:c r="P1212" s="20" t="n">
        <x:f>G1212*L1212</x:f>
        <x:v>910</x:v>
      </x:c>
      <x:c r="Q1212" s="20" t="n">
        <x:f>H1212*INDEX(Inputs!$B$13:$D$13,1,MATCH(A1212,Inputs!$B$6:$D$6,0))</x:f>
        <x:v>390</x:v>
      </x:c>
      <x:c r="R1212" s="20" t="n">
        <x:f>SUM(M1212:Q1212)</x:f>
        <x:v>33995</x:v>
      </x:c>
      <x:c r="S1212" s="20" t="n">
        <x:f>IF(AND(A1211=A1212,D1211=D1212),S1211+R1212,R1212)</x:f>
        <x:v>101985</x:v>
      </x:c>
      <x:c r="T1212" s="20" t="n">
        <x:f>MIN(S1212,INDEX(Inputs!$B$20:$D$20,1,MATCH(A1212,Inputs!$B$6:$D$6,0)))*INDEX(Inputs!$B$22:$D$22,1,MATCH(A1212,Inputs!$B$6:$D$6,0))+MAX(MIN(S1212,INDEX(Inputs!$B$21:$D$21,1,MATCH(A1212,Inputs!$B$6:$D$6,0)))-INDEX(Inputs!$B$20:$D$20,1,MATCH(A1212,Inputs!$B$6:$D$6,0)),0)*INDEX(Inputs!$B$23:$D$23,1,MATCH(A1212,Inputs!$B$6:$D$6,0))+MAX(S1212-INDEX(Inputs!$B$21:$D$21,1,MATCH(A1212,Inputs!$B$6:$D$6,0)),0)*INDEX(Inputs!$B$24:$D$24,1,MATCH(A1212,Inputs!$B$6:$D$6,0))</x:f>
        <x:v>8291.8525</x:v>
      </x:c>
      <x:c r="U1212" s="20" t="n">
        <x:f>IF(AND(A1211=A1212,D1211=D1212),T1211,0)</x:f>
        <x:v>5691.235</x:v>
      </x:c>
      <x:c r="V1212" s="20" t="n">
        <x:f>T1212-U1212</x:f>
        <x:v>2600.617500000001</x:v>
      </x:c>
      <x:c r="W1212" s="20" t="n">
        <x:f>R1212+V1212</x:f>
        <x:v>36595.6175</x:v>
      </x:c>
      <x:c r="X1212" s="14" t="str">
        <x:f>IF(ABS(W1212-SUM(M1212:Q1212)-V1212)&lt;0.01,"OK","Check")</x:f>
        <x:v>OK</x:v>
      </x:c>
    </x:row>
    <x:row r="1213">
      <x:c r="A1213" s="14" t="n">
        <x:v>2028</x:v>
      </x:c>
      <x:c r="B1213" s="14" t="str">
        <x:v>Q4</x:v>
      </x:c>
      <x:c r="C1213" s="14" t="n">
        <x:v>4</x:v>
      </x:c>
      <x:c r="D1213" s="14" t="n">
        <x:v>96</x:v>
      </x:c>
      <x:c r="E1213" s="14" t="str">
        <x:f>INDEX(Roster!$B$6:$B$108,MATCH(D1213,Roster!$A$6:$A$108,0))</x:f>
      </x:c>
      <x:c r="F1213" s="14" t="str">
        <x:f>INDEX(Roster!$F$6:$F$108,MATCH(D1213,Roster!$A$6:$A$108,0))</x:f>
        <x:v>No</x:v>
      </x:c>
      <x:c r="G1213" s="14" t="n">
        <x:f>INDEX(Inputs!$B$7:$D$7,1,MATCH(A1213,Inputs!$B$6:$D$6,0))</x:f>
        <x:v>13</x:v>
      </x:c>
      <x:c r="H1213" s="14" t="n">
        <x:f>MIN(=INDEX(Inputs!$B$7:$D$7,1,MATCH(A1213,Inputs!$B$6:$D$6,0)),MAX(0,INDEX(Inputs!$B$14:$D$14,1,MATCH(A1213,Inputs!$B$6:$D$6,0))-(C1213-1)*=INDEX(Inputs!$B$7:$D$7,1,MATCH(A1213,Inputs!$B$6:$D$6,0))))</x:f>
        <x:v>0</x:v>
      </x:c>
      <x:c r="I1213" s="20" t="n">
        <x:f>INDEX(Inputs!$B$8:$D$8,1,MATCH(A1213,Inputs!$B$6:$D$6,0))</x:f>
        <x:v>2395</x:v>
      </x:c>
      <x:c r="J1213" s="20" t="n">
        <x:f>INDEX(Roster!$C$6:$C$108,MATCH(D1213,Roster!$A$6:$A$108,0))*(1+INDEX(Inputs!$B$9:$D$9,1,MATCH(A1213,Inputs!$B$6:$D$6,0)))</x:f>
        <x:v>120</x:v>
      </x:c>
      <x:c r="K1213" s="20" t="n">
        <x:f>IF(=INDEX(Roster!$F$6:$F$108,MATCH(D1213,Roster!$A$6:$A$108,0))="Yes",0,=INDEX(Inputs!$B$8:$D$8,1,MATCH(A1213,Inputs!$B$6:$D$6,0))*IF(=INDEX(Roster!$B$6:$B$108,MATCH(D1213,Roster!$A$6:$A$108,0))="Principal",INDEX(Inputs!$B$10:$D$10,1,MATCH(A1213,Inputs!$B$6:$D$6,0)),IF(=INDEX(Roster!$B$6:$B$108,MATCH(D1213,Roster!$A$6:$A$108,0))="Associate Principal",INDEX(Inputs!$B$11:$D$11,1,MATCH(A1213,Inputs!$B$6:$D$6,0)),IF(=INDEX(Roster!$B$6:$B$108,MATCH(D1213,Roster!$A$6:$A$108,0))="Assistant Principal",INDEX(Inputs!$B$12:$D$12,1,MATCH(A1213,Inputs!$B$6:$D$6,0)),0))))</x:f>
        <x:v>0</x:v>
      </x:c>
      <x:c r="L1213" s="20" t="n">
        <x:f>IF(INDEX(Roster!$D$6:$D$108,MATCH(D1213,Roster!$A$6:$A$108,0))&gt;=25,INDEX(Inputs!$B$19:$D$19,1,MATCH(A1213,Inputs!$B$6:$D$6,0)),IF(INDEX(Roster!$D$6:$D$108,MATCH(D1213,Roster!$A$6:$A$108,0))&gt;=20,INDEX(Inputs!$B$18:$D$18,1,MATCH(A1213,Inputs!$B$6:$D$6,0)),IF(INDEX(Roster!$D$6:$D$108,MATCH(D1213,Roster!$A$6:$A$108,0))&gt;=15,INDEX(Inputs!$B$17:$D$17,1,MATCH(A1213,Inputs!$B$6:$D$6,0)),IF(INDEX(Roster!$D$6:$D$108,MATCH(D1213,Roster!$A$6:$A$108,0))&gt;=10,INDEX(Inputs!$B$16:$D$16,1,MATCH(A1213,Inputs!$B$6:$D$6,0)),IF(INDEX(Roster!$D$6:$D$108,MATCH(D1213,Roster!$A$6:$A$108,0))&gt;=5,INDEX(Inputs!$B$15:$D$15,1,MATCH(A1213,Inputs!$B$6:$D$6,0)),0)))))</x:f>
        <x:v>70</x:v>
      </x:c>
      <x:c r="M1213" s="20" t="n">
        <x:f>G1213*I1213</x:f>
        <x:v>31135</x:v>
      </x:c>
      <x:c r="N1213" s="20" t="n">
        <x:f>G1213*J1213</x:f>
        <x:v>1560</x:v>
      </x:c>
      <x:c r="O1213" s="20" t="n">
        <x:f>G1213*K1213</x:f>
        <x:v>0</x:v>
      </x:c>
      <x:c r="P1213" s="20" t="n">
        <x:f>G1213*L1213</x:f>
        <x:v>910</x:v>
      </x:c>
      <x:c r="Q1213" s="20" t="n">
        <x:f>H1213*INDEX(Inputs!$B$13:$D$13,1,MATCH(A1213,Inputs!$B$6:$D$6,0))</x:f>
        <x:v>0</x:v>
      </x:c>
      <x:c r="R1213" s="20" t="n">
        <x:f>SUM(M1213:Q1213)</x:f>
        <x:v>33605</x:v>
      </x:c>
      <x:c r="S1213" s="20" t="n">
        <x:f>IF(AND(A1212=A1213,D1212=D1213),S1212+R1213,R1213)</x:f>
        <x:v>135590</x:v>
      </x:c>
      <x:c r="T1213" s="20" t="n">
        <x:f>MIN(S1213,INDEX(Inputs!$B$20:$D$20,1,MATCH(A1213,Inputs!$B$6:$D$6,0)))*INDEX(Inputs!$B$22:$D$22,1,MATCH(A1213,Inputs!$B$6:$D$6,0))+MAX(MIN(S1213,INDEX(Inputs!$B$21:$D$21,1,MATCH(A1213,Inputs!$B$6:$D$6,0)))-INDEX(Inputs!$B$20:$D$20,1,MATCH(A1213,Inputs!$B$6:$D$6,0)),0)*INDEX(Inputs!$B$23:$D$23,1,MATCH(A1213,Inputs!$B$6:$D$6,0))+MAX(S1213-INDEX(Inputs!$B$21:$D$21,1,MATCH(A1213,Inputs!$B$6:$D$6,0)),0)*INDEX(Inputs!$B$24:$D$24,1,MATCH(A1213,Inputs!$B$6:$D$6,0))</x:f>
        <x:v>9879.997</x:v>
      </x:c>
      <x:c r="U1213" s="20" t="n">
        <x:f>IF(AND(A1212=A1213,D1212=D1213),T1212,0)</x:f>
        <x:v>8291.8525</x:v>
      </x:c>
      <x:c r="V1213" s="20" t="n">
        <x:f>T1213-U1213</x:f>
        <x:v>1588.1444999999985</x:v>
      </x:c>
      <x:c r="W1213" s="20" t="n">
        <x:f>R1213+V1213</x:f>
        <x:v>35193.144499999995</x:v>
      </x:c>
      <x:c r="X1213" s="14" t="str">
        <x:f>IF(ABS(W1213-SUM(M1213:Q1213)-V1213)&lt;0.01,"OK","Check")</x:f>
        <x:v>OK</x:v>
      </x:c>
    </x:row>
    <x:row r="1214">
      <x:c r="A1214" s="14" t="n">
        <x:v>2028</x:v>
      </x:c>
      <x:c r="B1214" s="14" t="str">
        <x:v>Q1</x:v>
      </x:c>
      <x:c r="C1214" s="14" t="n">
        <x:v>1</x:v>
      </x:c>
      <x:c r="D1214" s="14" t="n">
        <x:v>97</x:v>
      </x:c>
      <x:c r="E1214" s="14" t="str">
        <x:f>INDEX(Roster!$B$6:$B$108,MATCH(D1214,Roster!$A$6:$A$108,0))</x:f>
      </x:c>
      <x:c r="F1214" s="14" t="str">
        <x:f>INDEX(Roster!$F$6:$F$108,MATCH(D1214,Roster!$A$6:$A$108,0))</x:f>
        <x:v>No</x:v>
      </x:c>
      <x:c r="G1214" s="14" t="n">
        <x:f>INDEX(Inputs!$B$7:$D$7,1,MATCH(A1214,Inputs!$B$6:$D$6,0))</x:f>
        <x:v>13</x:v>
      </x:c>
      <x:c r="H1214" s="14" t="n">
        <x:f>MIN(=INDEX(Inputs!$B$7:$D$7,1,MATCH(A1214,Inputs!$B$6:$D$6,0)),MAX(0,INDEX(Inputs!$B$14:$D$14,1,MATCH(A1214,Inputs!$B$6:$D$6,0))-(C1214-1)*=INDEX(Inputs!$B$7:$D$7,1,MATCH(A1214,Inputs!$B$6:$D$6,0))))</x:f>
        <x:v>13</x:v>
      </x:c>
      <x:c r="I1214" s="20" t="n">
        <x:f>INDEX(Inputs!$B$8:$D$8,1,MATCH(A1214,Inputs!$B$6:$D$6,0))</x:f>
        <x:v>2395</x:v>
      </x:c>
      <x:c r="J1214" s="20" t="n">
        <x:f>INDEX(Roster!$C$6:$C$108,MATCH(D1214,Roster!$A$6:$A$108,0))*(1+INDEX(Inputs!$B$9:$D$9,1,MATCH(A1214,Inputs!$B$6:$D$6,0)))</x:f>
        <x:v>75</x:v>
      </x:c>
      <x:c r="K1214" s="20" t="n">
        <x:f>IF(=INDEX(Roster!$F$6:$F$108,MATCH(D1214,Roster!$A$6:$A$108,0))="Yes",0,=INDEX(Inputs!$B$8:$D$8,1,MATCH(A1214,Inputs!$B$6:$D$6,0))*IF(=INDEX(Roster!$B$6:$B$108,MATCH(D1214,Roster!$A$6:$A$108,0))="Principal",INDEX(Inputs!$B$10:$D$10,1,MATCH(A1214,Inputs!$B$6:$D$6,0)),IF(=INDEX(Roster!$B$6:$B$108,MATCH(D1214,Roster!$A$6:$A$108,0))="Associate Principal",INDEX(Inputs!$B$11:$D$11,1,MATCH(A1214,Inputs!$B$6:$D$6,0)),IF(=INDEX(Roster!$B$6:$B$108,MATCH(D1214,Roster!$A$6:$A$108,0))="Assistant Principal",INDEX(Inputs!$B$12:$D$12,1,MATCH(A1214,Inputs!$B$6:$D$6,0)),0))))</x:f>
        <x:v>0</x:v>
      </x:c>
      <x:c r="L1214" s="20" t="n">
        <x:f>IF(INDEX(Roster!$D$6:$D$108,MATCH(D1214,Roster!$A$6:$A$108,0))&gt;=25,INDEX(Inputs!$B$19:$D$19,1,MATCH(A1214,Inputs!$B$6:$D$6,0)),IF(INDEX(Roster!$D$6:$D$108,MATCH(D1214,Roster!$A$6:$A$108,0))&gt;=20,INDEX(Inputs!$B$18:$D$18,1,MATCH(A1214,Inputs!$B$6:$D$6,0)),IF(INDEX(Roster!$D$6:$D$108,MATCH(D1214,Roster!$A$6:$A$108,0))&gt;=15,INDEX(Inputs!$B$17:$D$17,1,MATCH(A1214,Inputs!$B$6:$D$6,0)),IF(INDEX(Roster!$D$6:$D$108,MATCH(D1214,Roster!$A$6:$A$108,0))&gt;=10,INDEX(Inputs!$B$16:$D$16,1,MATCH(A1214,Inputs!$B$6:$D$6,0)),IF(INDEX(Roster!$D$6:$D$108,MATCH(D1214,Roster!$A$6:$A$108,0))&gt;=5,INDEX(Inputs!$B$15:$D$15,1,MATCH(A1214,Inputs!$B$6:$D$6,0)),0)))))</x:f>
        <x:v>90</x:v>
      </x:c>
      <x:c r="M1214" s="20" t="n">
        <x:f>G1214*I1214</x:f>
        <x:v>31135</x:v>
      </x:c>
      <x:c r="N1214" s="20" t="n">
        <x:f>G1214*J1214</x:f>
        <x:v>975</x:v>
      </x:c>
      <x:c r="O1214" s="20" t="n">
        <x:f>G1214*K1214</x:f>
        <x:v>0</x:v>
      </x:c>
      <x:c r="P1214" s="20" t="n">
        <x:f>G1214*L1214</x:f>
        <x:v>1170</x:v>
      </x:c>
      <x:c r="Q1214" s="20" t="n">
        <x:f>H1214*INDEX(Inputs!$B$13:$D$13,1,MATCH(A1214,Inputs!$B$6:$D$6,0))</x:f>
        <x:v>390</x:v>
      </x:c>
      <x:c r="R1214" s="20" t="n">
        <x:f>SUM(M1214:Q1214)</x:f>
        <x:v>33670</x:v>
      </x:c>
      <x:c r="S1214" s="20" t="n">
        <x:f>IF(AND(A1213=A1214,D1213=D1214),S1213+R1214,R1214)</x:f>
        <x:v>33670</x:v>
      </x:c>
      <x:c r="T1214" s="20" t="n">
        <x:f>MIN(S1214,INDEX(Inputs!$B$20:$D$20,1,MATCH(A1214,Inputs!$B$6:$D$6,0)))*INDEX(Inputs!$B$22:$D$22,1,MATCH(A1214,Inputs!$B$6:$D$6,0))+MAX(MIN(S1214,INDEX(Inputs!$B$21:$D$21,1,MATCH(A1214,Inputs!$B$6:$D$6,0)))-INDEX(Inputs!$B$20:$D$20,1,MATCH(A1214,Inputs!$B$6:$D$6,0)),0)*INDEX(Inputs!$B$23:$D$23,1,MATCH(A1214,Inputs!$B$6:$D$6,0))+MAX(S1214-INDEX(Inputs!$B$21:$D$21,1,MATCH(A1214,Inputs!$B$6:$D$6,0)),0)*INDEX(Inputs!$B$24:$D$24,1,MATCH(A1214,Inputs!$B$6:$D$6,0))</x:f>
        <x:v>3065.755</x:v>
      </x:c>
      <x:c r="U1214" s="20" t="n">
        <x:f>IF(AND(A1213=A1214,D1213=D1214),T1213,0)</x:f>
        <x:v>0</x:v>
      </x:c>
      <x:c r="V1214" s="20" t="n">
        <x:f>T1214-U1214</x:f>
        <x:v>3065.755</x:v>
      </x:c>
      <x:c r="W1214" s="20" t="n">
        <x:f>R1214+V1214</x:f>
        <x:v>36735.755</x:v>
      </x:c>
      <x:c r="X1214" s="14" t="str">
        <x:f>IF(ABS(W1214-SUM(M1214:Q1214)-V1214)&lt;0.01,"OK","Check")</x:f>
        <x:v>OK</x:v>
      </x:c>
    </x:row>
    <x:row r="1215">
      <x:c r="A1215" s="14" t="n">
        <x:v>2028</x:v>
      </x:c>
      <x:c r="B1215" s="14" t="str">
        <x:v>Q2</x:v>
      </x:c>
      <x:c r="C1215" s="14" t="n">
        <x:v>2</x:v>
      </x:c>
      <x:c r="D1215" s="14" t="n">
        <x:v>97</x:v>
      </x:c>
      <x:c r="E1215" s="14" t="str">
        <x:f>INDEX(Roster!$B$6:$B$108,MATCH(D1215,Roster!$A$6:$A$108,0))</x:f>
      </x:c>
      <x:c r="F1215" s="14" t="str">
        <x:f>INDEX(Roster!$F$6:$F$108,MATCH(D1215,Roster!$A$6:$A$108,0))</x:f>
        <x:v>No</x:v>
      </x:c>
      <x:c r="G1215" s="14" t="n">
        <x:f>INDEX(Inputs!$B$7:$D$7,1,MATCH(A1215,Inputs!$B$6:$D$6,0))</x:f>
        <x:v>13</x:v>
      </x:c>
      <x:c r="H1215" s="14" t="n">
        <x:f>MIN(=INDEX(Inputs!$B$7:$D$7,1,MATCH(A1215,Inputs!$B$6:$D$6,0)),MAX(0,INDEX(Inputs!$B$14:$D$14,1,MATCH(A1215,Inputs!$B$6:$D$6,0))-(C1215-1)*=INDEX(Inputs!$B$7:$D$7,1,MATCH(A1215,Inputs!$B$6:$D$6,0))))</x:f>
        <x:v>13</x:v>
      </x:c>
      <x:c r="I1215" s="20" t="n">
        <x:f>INDEX(Inputs!$B$8:$D$8,1,MATCH(A1215,Inputs!$B$6:$D$6,0))</x:f>
        <x:v>2395</x:v>
      </x:c>
      <x:c r="J1215" s="20" t="n">
        <x:f>INDEX(Roster!$C$6:$C$108,MATCH(D1215,Roster!$A$6:$A$108,0))*(1+INDEX(Inputs!$B$9:$D$9,1,MATCH(A1215,Inputs!$B$6:$D$6,0)))</x:f>
        <x:v>75</x:v>
      </x:c>
      <x:c r="K1215" s="20" t="n">
        <x:f>IF(=INDEX(Roster!$F$6:$F$108,MATCH(D1215,Roster!$A$6:$A$108,0))="Yes",0,=INDEX(Inputs!$B$8:$D$8,1,MATCH(A1215,Inputs!$B$6:$D$6,0))*IF(=INDEX(Roster!$B$6:$B$108,MATCH(D1215,Roster!$A$6:$A$108,0))="Principal",INDEX(Inputs!$B$10:$D$10,1,MATCH(A1215,Inputs!$B$6:$D$6,0)),IF(=INDEX(Roster!$B$6:$B$108,MATCH(D1215,Roster!$A$6:$A$108,0))="Associate Principal",INDEX(Inputs!$B$11:$D$11,1,MATCH(A1215,Inputs!$B$6:$D$6,0)),IF(=INDEX(Roster!$B$6:$B$108,MATCH(D1215,Roster!$A$6:$A$108,0))="Assistant Principal",INDEX(Inputs!$B$12:$D$12,1,MATCH(A1215,Inputs!$B$6:$D$6,0)),0))))</x:f>
        <x:v>0</x:v>
      </x:c>
      <x:c r="L1215" s="20" t="n">
        <x:f>IF(INDEX(Roster!$D$6:$D$108,MATCH(D1215,Roster!$A$6:$A$108,0))&gt;=25,INDEX(Inputs!$B$19:$D$19,1,MATCH(A1215,Inputs!$B$6:$D$6,0)),IF(INDEX(Roster!$D$6:$D$108,MATCH(D1215,Roster!$A$6:$A$108,0))&gt;=20,INDEX(Inputs!$B$18:$D$18,1,MATCH(A1215,Inputs!$B$6:$D$6,0)),IF(INDEX(Roster!$D$6:$D$108,MATCH(D1215,Roster!$A$6:$A$108,0))&gt;=15,INDEX(Inputs!$B$17:$D$17,1,MATCH(A1215,Inputs!$B$6:$D$6,0)),IF(INDEX(Roster!$D$6:$D$108,MATCH(D1215,Roster!$A$6:$A$108,0))&gt;=10,INDEX(Inputs!$B$16:$D$16,1,MATCH(A1215,Inputs!$B$6:$D$6,0)),IF(INDEX(Roster!$D$6:$D$108,MATCH(D1215,Roster!$A$6:$A$108,0))&gt;=5,INDEX(Inputs!$B$15:$D$15,1,MATCH(A1215,Inputs!$B$6:$D$6,0)),0)))))</x:f>
        <x:v>90</x:v>
      </x:c>
      <x:c r="M1215" s="20" t="n">
        <x:f>G1215*I1215</x:f>
        <x:v>31135</x:v>
      </x:c>
      <x:c r="N1215" s="20" t="n">
        <x:f>G1215*J1215</x:f>
        <x:v>975</x:v>
      </x:c>
      <x:c r="O1215" s="20" t="n">
        <x:f>G1215*K1215</x:f>
        <x:v>0</x:v>
      </x:c>
      <x:c r="P1215" s="20" t="n">
        <x:f>G1215*L1215</x:f>
        <x:v>1170</x:v>
      </x:c>
      <x:c r="Q1215" s="20" t="n">
        <x:f>H1215*INDEX(Inputs!$B$13:$D$13,1,MATCH(A1215,Inputs!$B$6:$D$6,0))</x:f>
        <x:v>390</x:v>
      </x:c>
      <x:c r="R1215" s="20" t="n">
        <x:f>SUM(M1215:Q1215)</x:f>
        <x:v>33670</x:v>
      </x:c>
      <x:c r="S1215" s="20" t="n">
        <x:f>IF(AND(A1214=A1215,D1214=D1215),S1214+R1215,R1215)</x:f>
        <x:v>67340</x:v>
      </x:c>
      <x:c r="T1215" s="20" t="n">
        <x:f>MIN(S1215,INDEX(Inputs!$B$20:$D$20,1,MATCH(A1215,Inputs!$B$6:$D$6,0)))*INDEX(Inputs!$B$22:$D$22,1,MATCH(A1215,Inputs!$B$6:$D$6,0))+MAX(MIN(S1215,INDEX(Inputs!$B$21:$D$21,1,MATCH(A1215,Inputs!$B$6:$D$6,0)))-INDEX(Inputs!$B$20:$D$20,1,MATCH(A1215,Inputs!$B$6:$D$6,0)),0)*INDEX(Inputs!$B$23:$D$23,1,MATCH(A1215,Inputs!$B$6:$D$6,0))+MAX(S1215-INDEX(Inputs!$B$21:$D$21,1,MATCH(A1215,Inputs!$B$6:$D$6,0)),0)*INDEX(Inputs!$B$24:$D$24,1,MATCH(A1215,Inputs!$B$6:$D$6,0))</x:f>
        <x:v>5641.51</x:v>
      </x:c>
      <x:c r="U1215" s="20" t="n">
        <x:f>IF(AND(A1214=A1215,D1214=D1215),T1214,0)</x:f>
        <x:v>3065.755</x:v>
      </x:c>
      <x:c r="V1215" s="20" t="n">
        <x:f>T1215-U1215</x:f>
        <x:v>2575.755</x:v>
      </x:c>
      <x:c r="W1215" s="20" t="n">
        <x:f>R1215+V1215</x:f>
        <x:v>36245.755</x:v>
      </x:c>
      <x:c r="X1215" s="14" t="str">
        <x:f>IF(ABS(W1215-SUM(M1215:Q1215)-V1215)&lt;0.01,"OK","Check")</x:f>
        <x:v>OK</x:v>
      </x:c>
    </x:row>
    <x:row r="1216">
      <x:c r="A1216" s="14" t="n">
        <x:v>2028</x:v>
      </x:c>
      <x:c r="B1216" s="14" t="str">
        <x:v>Q3</x:v>
      </x:c>
      <x:c r="C1216" s="14" t="n">
        <x:v>3</x:v>
      </x:c>
      <x:c r="D1216" s="14" t="n">
        <x:v>97</x:v>
      </x:c>
      <x:c r="E1216" s="14" t="str">
        <x:f>INDEX(Roster!$B$6:$B$108,MATCH(D1216,Roster!$A$6:$A$108,0))</x:f>
      </x:c>
      <x:c r="F1216" s="14" t="str">
        <x:f>INDEX(Roster!$F$6:$F$108,MATCH(D1216,Roster!$A$6:$A$108,0))</x:f>
        <x:v>No</x:v>
      </x:c>
      <x:c r="G1216" s="14" t="n">
        <x:f>INDEX(Inputs!$B$7:$D$7,1,MATCH(A1216,Inputs!$B$6:$D$6,0))</x:f>
        <x:v>13</x:v>
      </x:c>
      <x:c r="H1216" s="14" t="n">
        <x:f>MIN(=INDEX(Inputs!$B$7:$D$7,1,MATCH(A1216,Inputs!$B$6:$D$6,0)),MAX(0,INDEX(Inputs!$B$14:$D$14,1,MATCH(A1216,Inputs!$B$6:$D$6,0))-(C1216-1)*=INDEX(Inputs!$B$7:$D$7,1,MATCH(A1216,Inputs!$B$6:$D$6,0))))</x:f>
        <x:v>13</x:v>
      </x:c>
      <x:c r="I1216" s="20" t="n">
        <x:f>INDEX(Inputs!$B$8:$D$8,1,MATCH(A1216,Inputs!$B$6:$D$6,0))</x:f>
        <x:v>2395</x:v>
      </x:c>
      <x:c r="J1216" s="20" t="n">
        <x:f>INDEX(Roster!$C$6:$C$108,MATCH(D1216,Roster!$A$6:$A$108,0))*(1+INDEX(Inputs!$B$9:$D$9,1,MATCH(A1216,Inputs!$B$6:$D$6,0)))</x:f>
        <x:v>75</x:v>
      </x:c>
      <x:c r="K1216" s="20" t="n">
        <x:f>IF(=INDEX(Roster!$F$6:$F$108,MATCH(D1216,Roster!$A$6:$A$108,0))="Yes",0,=INDEX(Inputs!$B$8:$D$8,1,MATCH(A1216,Inputs!$B$6:$D$6,0))*IF(=INDEX(Roster!$B$6:$B$108,MATCH(D1216,Roster!$A$6:$A$108,0))="Principal",INDEX(Inputs!$B$10:$D$10,1,MATCH(A1216,Inputs!$B$6:$D$6,0)),IF(=INDEX(Roster!$B$6:$B$108,MATCH(D1216,Roster!$A$6:$A$108,0))="Associate Principal",INDEX(Inputs!$B$11:$D$11,1,MATCH(A1216,Inputs!$B$6:$D$6,0)),IF(=INDEX(Roster!$B$6:$B$108,MATCH(D1216,Roster!$A$6:$A$108,0))="Assistant Principal",INDEX(Inputs!$B$12:$D$12,1,MATCH(A1216,Inputs!$B$6:$D$6,0)),0))))</x:f>
        <x:v>0</x:v>
      </x:c>
      <x:c r="L1216" s="20" t="n">
        <x:f>IF(INDEX(Roster!$D$6:$D$108,MATCH(D1216,Roster!$A$6:$A$108,0))&gt;=25,INDEX(Inputs!$B$19:$D$19,1,MATCH(A1216,Inputs!$B$6:$D$6,0)),IF(INDEX(Roster!$D$6:$D$108,MATCH(D1216,Roster!$A$6:$A$108,0))&gt;=20,INDEX(Inputs!$B$18:$D$18,1,MATCH(A1216,Inputs!$B$6:$D$6,0)),IF(INDEX(Roster!$D$6:$D$108,MATCH(D1216,Roster!$A$6:$A$108,0))&gt;=15,INDEX(Inputs!$B$17:$D$17,1,MATCH(A1216,Inputs!$B$6:$D$6,0)),IF(INDEX(Roster!$D$6:$D$108,MATCH(D1216,Roster!$A$6:$A$108,0))&gt;=10,INDEX(Inputs!$B$16:$D$16,1,MATCH(A1216,Inputs!$B$6:$D$6,0)),IF(INDEX(Roster!$D$6:$D$108,MATCH(D1216,Roster!$A$6:$A$108,0))&gt;=5,INDEX(Inputs!$B$15:$D$15,1,MATCH(A1216,Inputs!$B$6:$D$6,0)),0)))))</x:f>
        <x:v>90</x:v>
      </x:c>
      <x:c r="M1216" s="20" t="n">
        <x:f>G1216*I1216</x:f>
        <x:v>31135</x:v>
      </x:c>
      <x:c r="N1216" s="20" t="n">
        <x:f>G1216*J1216</x:f>
        <x:v>975</x:v>
      </x:c>
      <x:c r="O1216" s="20" t="n">
        <x:f>G1216*K1216</x:f>
        <x:v>0</x:v>
      </x:c>
      <x:c r="P1216" s="20" t="n">
        <x:f>G1216*L1216</x:f>
        <x:v>1170</x:v>
      </x:c>
      <x:c r="Q1216" s="20" t="n">
        <x:f>H1216*INDEX(Inputs!$B$13:$D$13,1,MATCH(A1216,Inputs!$B$6:$D$6,0))</x:f>
        <x:v>390</x:v>
      </x:c>
      <x:c r="R1216" s="20" t="n">
        <x:f>SUM(M1216:Q1216)</x:f>
        <x:v>33670</x:v>
      </x:c>
      <x:c r="S1216" s="20" t="n">
        <x:f>IF(AND(A1215=A1216,D1215=D1216),S1215+R1216,R1216)</x:f>
        <x:v>101010</x:v>
      </x:c>
      <x:c r="T1216" s="20" t="n">
        <x:f>MIN(S1216,INDEX(Inputs!$B$20:$D$20,1,MATCH(A1216,Inputs!$B$6:$D$6,0)))*INDEX(Inputs!$B$22:$D$22,1,MATCH(A1216,Inputs!$B$6:$D$6,0))+MAX(MIN(S1216,INDEX(Inputs!$B$21:$D$21,1,MATCH(A1216,Inputs!$B$6:$D$6,0)))-INDEX(Inputs!$B$20:$D$20,1,MATCH(A1216,Inputs!$B$6:$D$6,0)),0)*INDEX(Inputs!$B$23:$D$23,1,MATCH(A1216,Inputs!$B$6:$D$6,0))+MAX(S1216-INDEX(Inputs!$B$21:$D$21,1,MATCH(A1216,Inputs!$B$6:$D$6,0)),0)*INDEX(Inputs!$B$24:$D$24,1,MATCH(A1216,Inputs!$B$6:$D$6,0))</x:f>
        <x:v>8217.265</x:v>
      </x:c>
      <x:c r="U1216" s="20" t="n">
        <x:f>IF(AND(A1215=A1216,D1215=D1216),T1215,0)</x:f>
        <x:v>5641.51</x:v>
      </x:c>
      <x:c r="V1216" s="20" t="n">
        <x:f>T1216-U1216</x:f>
        <x:v>2575.754999999999</x:v>
      </x:c>
      <x:c r="W1216" s="20" t="n">
        <x:f>R1216+V1216</x:f>
        <x:v>36245.755</x:v>
      </x:c>
      <x:c r="X1216" s="14" t="str">
        <x:f>IF(ABS(W1216-SUM(M1216:Q1216)-V1216)&lt;0.01,"OK","Check")</x:f>
        <x:v>OK</x:v>
      </x:c>
    </x:row>
    <x:row r="1217">
      <x:c r="A1217" s="14" t="n">
        <x:v>2028</x:v>
      </x:c>
      <x:c r="B1217" s="14" t="str">
        <x:v>Q4</x:v>
      </x:c>
      <x:c r="C1217" s="14" t="n">
        <x:v>4</x:v>
      </x:c>
      <x:c r="D1217" s="14" t="n">
        <x:v>97</x:v>
      </x:c>
      <x:c r="E1217" s="14" t="str">
        <x:f>INDEX(Roster!$B$6:$B$108,MATCH(D1217,Roster!$A$6:$A$108,0))</x:f>
      </x:c>
      <x:c r="F1217" s="14" t="str">
        <x:f>INDEX(Roster!$F$6:$F$108,MATCH(D1217,Roster!$A$6:$A$108,0))</x:f>
        <x:v>No</x:v>
      </x:c>
      <x:c r="G1217" s="14" t="n">
        <x:f>INDEX(Inputs!$B$7:$D$7,1,MATCH(A1217,Inputs!$B$6:$D$6,0))</x:f>
        <x:v>13</x:v>
      </x:c>
      <x:c r="H1217" s="14" t="n">
        <x:f>MIN(=INDEX(Inputs!$B$7:$D$7,1,MATCH(A1217,Inputs!$B$6:$D$6,0)),MAX(0,INDEX(Inputs!$B$14:$D$14,1,MATCH(A1217,Inputs!$B$6:$D$6,0))-(C1217-1)*=INDEX(Inputs!$B$7:$D$7,1,MATCH(A1217,Inputs!$B$6:$D$6,0))))</x:f>
        <x:v>0</x:v>
      </x:c>
      <x:c r="I1217" s="20" t="n">
        <x:f>INDEX(Inputs!$B$8:$D$8,1,MATCH(A1217,Inputs!$B$6:$D$6,0))</x:f>
        <x:v>2395</x:v>
      </x:c>
      <x:c r="J1217" s="20" t="n">
        <x:f>INDEX(Roster!$C$6:$C$108,MATCH(D1217,Roster!$A$6:$A$108,0))*(1+INDEX(Inputs!$B$9:$D$9,1,MATCH(A1217,Inputs!$B$6:$D$6,0)))</x:f>
        <x:v>75</x:v>
      </x:c>
      <x:c r="K1217" s="20" t="n">
        <x:f>IF(=INDEX(Roster!$F$6:$F$108,MATCH(D1217,Roster!$A$6:$A$108,0))="Yes",0,=INDEX(Inputs!$B$8:$D$8,1,MATCH(A1217,Inputs!$B$6:$D$6,0))*IF(=INDEX(Roster!$B$6:$B$108,MATCH(D1217,Roster!$A$6:$A$108,0))="Principal",INDEX(Inputs!$B$10:$D$10,1,MATCH(A1217,Inputs!$B$6:$D$6,0)),IF(=INDEX(Roster!$B$6:$B$108,MATCH(D1217,Roster!$A$6:$A$108,0))="Associate Principal",INDEX(Inputs!$B$11:$D$11,1,MATCH(A1217,Inputs!$B$6:$D$6,0)),IF(=INDEX(Roster!$B$6:$B$108,MATCH(D1217,Roster!$A$6:$A$108,0))="Assistant Principal",INDEX(Inputs!$B$12:$D$12,1,MATCH(A1217,Inputs!$B$6:$D$6,0)),0))))</x:f>
        <x:v>0</x:v>
      </x:c>
      <x:c r="L1217" s="20" t="n">
        <x:f>IF(INDEX(Roster!$D$6:$D$108,MATCH(D1217,Roster!$A$6:$A$108,0))&gt;=25,INDEX(Inputs!$B$19:$D$19,1,MATCH(A1217,Inputs!$B$6:$D$6,0)),IF(INDEX(Roster!$D$6:$D$108,MATCH(D1217,Roster!$A$6:$A$108,0))&gt;=20,INDEX(Inputs!$B$18:$D$18,1,MATCH(A1217,Inputs!$B$6:$D$6,0)),IF(INDEX(Roster!$D$6:$D$108,MATCH(D1217,Roster!$A$6:$A$108,0))&gt;=15,INDEX(Inputs!$B$17:$D$17,1,MATCH(A1217,Inputs!$B$6:$D$6,0)),IF(INDEX(Roster!$D$6:$D$108,MATCH(D1217,Roster!$A$6:$A$108,0))&gt;=10,INDEX(Inputs!$B$16:$D$16,1,MATCH(A1217,Inputs!$B$6:$D$6,0)),IF(INDEX(Roster!$D$6:$D$108,MATCH(D1217,Roster!$A$6:$A$108,0))&gt;=5,INDEX(Inputs!$B$15:$D$15,1,MATCH(A1217,Inputs!$B$6:$D$6,0)),0)))))</x:f>
        <x:v>90</x:v>
      </x:c>
      <x:c r="M1217" s="20" t="n">
        <x:f>G1217*I1217</x:f>
        <x:v>31135</x:v>
      </x:c>
      <x:c r="N1217" s="20" t="n">
        <x:f>G1217*J1217</x:f>
        <x:v>975</x:v>
      </x:c>
      <x:c r="O1217" s="20" t="n">
        <x:f>G1217*K1217</x:f>
        <x:v>0</x:v>
      </x:c>
      <x:c r="P1217" s="20" t="n">
        <x:f>G1217*L1217</x:f>
        <x:v>1170</x:v>
      </x:c>
      <x:c r="Q1217" s="20" t="n">
        <x:f>H1217*INDEX(Inputs!$B$13:$D$13,1,MATCH(A1217,Inputs!$B$6:$D$6,0))</x:f>
        <x:v>0</x:v>
      </x:c>
      <x:c r="R1217" s="20" t="n">
        <x:f>SUM(M1217:Q1217)</x:f>
        <x:v>33280</x:v>
      </x:c>
      <x:c r="S1217" s="20" t="n">
        <x:f>IF(AND(A1216=A1217,D1216=D1217),S1216+R1217,R1217)</x:f>
        <x:v>134290</x:v>
      </x:c>
      <x:c r="T1217" s="20" t="n">
        <x:f>MIN(S1217,INDEX(Inputs!$B$20:$D$20,1,MATCH(A1217,Inputs!$B$6:$D$6,0)))*INDEX(Inputs!$B$22:$D$22,1,MATCH(A1217,Inputs!$B$6:$D$6,0))+MAX(MIN(S1217,INDEX(Inputs!$B$21:$D$21,1,MATCH(A1217,Inputs!$B$6:$D$6,0)))-INDEX(Inputs!$B$20:$D$20,1,MATCH(A1217,Inputs!$B$6:$D$6,0)),0)*INDEX(Inputs!$B$23:$D$23,1,MATCH(A1217,Inputs!$B$6:$D$6,0))+MAX(S1217-INDEX(Inputs!$B$21:$D$21,1,MATCH(A1217,Inputs!$B$6:$D$6,0)),0)*INDEX(Inputs!$B$24:$D$24,1,MATCH(A1217,Inputs!$B$6:$D$6,0))</x:f>
        <x:v>9861.146999999999</x:v>
      </x:c>
      <x:c r="U1217" s="20" t="n">
        <x:f>IF(AND(A1216=A1217,D1216=D1217),T1216,0)</x:f>
        <x:v>8217.265</x:v>
      </x:c>
      <x:c r="V1217" s="20" t="n">
        <x:f>T1217-U1217</x:f>
        <x:v>1643.8819999999996</x:v>
      </x:c>
      <x:c r="W1217" s="20" t="n">
        <x:f>R1217+V1217</x:f>
        <x:v>34923.882</x:v>
      </x:c>
      <x:c r="X1217" s="14" t="str">
        <x:f>IF(ABS(W1217-SUM(M1217:Q1217)-V1217)&lt;0.01,"OK","Check")</x:f>
        <x:v>OK</x:v>
      </x:c>
    </x:row>
    <x:row r="1218">
      <x:c r="A1218" s="14" t="n">
        <x:v>2028</x:v>
      </x:c>
      <x:c r="B1218" s="14" t="str">
        <x:v>Q1</x:v>
      </x:c>
      <x:c r="C1218" s="14" t="n">
        <x:v>1</x:v>
      </x:c>
      <x:c r="D1218" s="14" t="n">
        <x:v>98</x:v>
      </x:c>
      <x:c r="E1218" s="14" t="str">
        <x:f>INDEX(Roster!$B$6:$B$108,MATCH(D1218,Roster!$A$6:$A$108,0))</x:f>
        <x:v>Principal</x:v>
      </x:c>
      <x:c r="F1218" s="14" t="str">
        <x:f>INDEX(Roster!$F$6:$F$108,MATCH(D1218,Roster!$A$6:$A$108,0))</x:f>
        <x:v>Yes</x:v>
      </x:c>
      <x:c r="G1218" s="14" t="n">
        <x:f>INDEX(Inputs!$B$7:$D$7,1,MATCH(A1218,Inputs!$B$6:$D$6,0))</x:f>
        <x:v>13</x:v>
      </x:c>
      <x:c r="H1218" s="14" t="n">
        <x:f>MIN(=INDEX(Inputs!$B$7:$D$7,1,MATCH(A1218,Inputs!$B$6:$D$6,0)),MAX(0,INDEX(Inputs!$B$14:$D$14,1,MATCH(A1218,Inputs!$B$6:$D$6,0))-(C1218-1)*=INDEX(Inputs!$B$7:$D$7,1,MATCH(A1218,Inputs!$B$6:$D$6,0))))</x:f>
        <x:v>13</x:v>
      </x:c>
      <x:c r="I1218" s="20" t="n">
        <x:f>INDEX(Inputs!$B$8:$D$8,1,MATCH(A1218,Inputs!$B$6:$D$6,0))</x:f>
        <x:v>2395</x:v>
      </x:c>
      <x:c r="J1218" s="20" t="n">
        <x:f>INDEX(Roster!$C$6:$C$108,MATCH(D1218,Roster!$A$6:$A$108,0))*(1+INDEX(Inputs!$B$9:$D$9,1,MATCH(A1218,Inputs!$B$6:$D$6,0)))</x:f>
        <x:v>800</x:v>
      </x:c>
      <x:c r="K1218" s="20" t="n">
        <x:f>IF(=INDEX(Roster!$F$6:$F$108,MATCH(D1218,Roster!$A$6:$A$108,0))="Yes",0,=INDEX(Inputs!$B$8:$D$8,1,MATCH(A1218,Inputs!$B$6:$D$6,0))*IF(=INDEX(Roster!$B$6:$B$108,MATCH(D1218,Roster!$A$6:$A$108,0))="Principal",INDEX(Inputs!$B$10:$D$10,1,MATCH(A1218,Inputs!$B$6:$D$6,0)),IF(=INDEX(Roster!$B$6:$B$108,MATCH(D1218,Roster!$A$6:$A$108,0))="Associate Principal",INDEX(Inputs!$B$11:$D$11,1,MATCH(A1218,Inputs!$B$6:$D$6,0)),IF(=INDEX(Roster!$B$6:$B$108,MATCH(D1218,Roster!$A$6:$A$108,0))="Assistant Principal",INDEX(Inputs!$B$12:$D$12,1,MATCH(A1218,Inputs!$B$6:$D$6,0)),0))))</x:f>
        <x:v>0</x:v>
      </x:c>
      <x:c r="L1218" s="20" t="n">
        <x:f>IF(INDEX(Roster!$D$6:$D$108,MATCH(D1218,Roster!$A$6:$A$108,0))&gt;=25,INDEX(Inputs!$B$19:$D$19,1,MATCH(A1218,Inputs!$B$6:$D$6,0)),IF(INDEX(Roster!$D$6:$D$108,MATCH(D1218,Roster!$A$6:$A$108,0))&gt;=20,INDEX(Inputs!$B$18:$D$18,1,MATCH(A1218,Inputs!$B$6:$D$6,0)),IF(INDEX(Roster!$D$6:$D$108,MATCH(D1218,Roster!$A$6:$A$108,0))&gt;=15,INDEX(Inputs!$B$17:$D$17,1,MATCH(A1218,Inputs!$B$6:$D$6,0)),IF(INDEX(Roster!$D$6:$D$108,MATCH(D1218,Roster!$A$6:$A$108,0))&gt;=10,INDEX(Inputs!$B$16:$D$16,1,MATCH(A1218,Inputs!$B$6:$D$6,0)),IF(INDEX(Roster!$D$6:$D$108,MATCH(D1218,Roster!$A$6:$A$108,0))&gt;=5,INDEX(Inputs!$B$15:$D$15,1,MATCH(A1218,Inputs!$B$6:$D$6,0)),0)))))</x:f>
        <x:v>60</x:v>
      </x:c>
      <x:c r="M1218" s="20" t="n">
        <x:f>G1218*I1218</x:f>
        <x:v>31135</x:v>
      </x:c>
      <x:c r="N1218" s="20" t="n">
        <x:f>G1218*J1218</x:f>
        <x:v>10400</x:v>
      </x:c>
      <x:c r="O1218" s="20" t="n">
        <x:f>G1218*K1218</x:f>
        <x:v>0</x:v>
      </x:c>
      <x:c r="P1218" s="20" t="n">
        <x:f>G1218*L1218</x:f>
        <x:v>780</x:v>
      </x:c>
      <x:c r="Q1218" s="20" t="n">
        <x:f>H1218*INDEX(Inputs!$B$13:$D$13,1,MATCH(A1218,Inputs!$B$6:$D$6,0))</x:f>
        <x:v>390</x:v>
      </x:c>
      <x:c r="R1218" s="20" t="n">
        <x:f>SUM(M1218:Q1218)</x:f>
        <x:v>42705</x:v>
      </x:c>
      <x:c r="S1218" s="20" t="n">
        <x:f>IF(AND(A1217=A1218,D1217=D1218),S1217+R1218,R1218)</x:f>
        <x:v>42705</x:v>
      </x:c>
      <x:c r="T1218" s="20" t="n">
        <x:f>MIN(S1218,INDEX(Inputs!$B$20:$D$20,1,MATCH(A1218,Inputs!$B$6:$D$6,0)))*INDEX(Inputs!$B$22:$D$22,1,MATCH(A1218,Inputs!$B$6:$D$6,0))+MAX(MIN(S1218,INDEX(Inputs!$B$21:$D$21,1,MATCH(A1218,Inputs!$B$6:$D$6,0)))-INDEX(Inputs!$B$20:$D$20,1,MATCH(A1218,Inputs!$B$6:$D$6,0)),0)*INDEX(Inputs!$B$23:$D$23,1,MATCH(A1218,Inputs!$B$6:$D$6,0))+MAX(S1218-INDEX(Inputs!$B$21:$D$21,1,MATCH(A1218,Inputs!$B$6:$D$6,0)),0)*INDEX(Inputs!$B$24:$D$24,1,MATCH(A1218,Inputs!$B$6:$D$6,0))</x:f>
        <x:v>3756.9325</x:v>
      </x:c>
      <x:c r="U1218" s="20" t="n">
        <x:f>IF(AND(A1217=A1218,D1217=D1218),T1217,0)</x:f>
        <x:v>0</x:v>
      </x:c>
      <x:c r="V1218" s="20" t="n">
        <x:f>T1218-U1218</x:f>
        <x:v>3756.9325</x:v>
      </x:c>
      <x:c r="W1218" s="20" t="n">
        <x:f>R1218+V1218</x:f>
        <x:v>46461.9325</x:v>
      </x:c>
      <x:c r="X1218" s="14" t="str">
        <x:f>IF(ABS(W1218-SUM(M1218:Q1218)-V1218)&lt;0.01,"OK","Check")</x:f>
        <x:v>OK</x:v>
      </x:c>
    </x:row>
    <x:row r="1219">
      <x:c r="A1219" s="14" t="n">
        <x:v>2028</x:v>
      </x:c>
      <x:c r="B1219" s="14" t="str">
        <x:v>Q2</x:v>
      </x:c>
      <x:c r="C1219" s="14" t="n">
        <x:v>2</x:v>
      </x:c>
      <x:c r="D1219" s="14" t="n">
        <x:v>98</x:v>
      </x:c>
      <x:c r="E1219" s="14" t="str">
        <x:f>INDEX(Roster!$B$6:$B$108,MATCH(D1219,Roster!$A$6:$A$108,0))</x:f>
        <x:v>Principal</x:v>
      </x:c>
      <x:c r="F1219" s="14" t="str">
        <x:f>INDEX(Roster!$F$6:$F$108,MATCH(D1219,Roster!$A$6:$A$108,0))</x:f>
        <x:v>Yes</x:v>
      </x:c>
      <x:c r="G1219" s="14" t="n">
        <x:f>INDEX(Inputs!$B$7:$D$7,1,MATCH(A1219,Inputs!$B$6:$D$6,0))</x:f>
        <x:v>13</x:v>
      </x:c>
      <x:c r="H1219" s="14" t="n">
        <x:f>MIN(=INDEX(Inputs!$B$7:$D$7,1,MATCH(A1219,Inputs!$B$6:$D$6,0)),MAX(0,INDEX(Inputs!$B$14:$D$14,1,MATCH(A1219,Inputs!$B$6:$D$6,0))-(C1219-1)*=INDEX(Inputs!$B$7:$D$7,1,MATCH(A1219,Inputs!$B$6:$D$6,0))))</x:f>
        <x:v>13</x:v>
      </x:c>
      <x:c r="I1219" s="20" t="n">
        <x:f>INDEX(Inputs!$B$8:$D$8,1,MATCH(A1219,Inputs!$B$6:$D$6,0))</x:f>
        <x:v>2395</x:v>
      </x:c>
      <x:c r="J1219" s="20" t="n">
        <x:f>INDEX(Roster!$C$6:$C$108,MATCH(D1219,Roster!$A$6:$A$108,0))*(1+INDEX(Inputs!$B$9:$D$9,1,MATCH(A1219,Inputs!$B$6:$D$6,0)))</x:f>
        <x:v>800</x:v>
      </x:c>
      <x:c r="K1219" s="20" t="n">
        <x:f>IF(=INDEX(Roster!$F$6:$F$108,MATCH(D1219,Roster!$A$6:$A$108,0))="Yes",0,=INDEX(Inputs!$B$8:$D$8,1,MATCH(A1219,Inputs!$B$6:$D$6,0))*IF(=INDEX(Roster!$B$6:$B$108,MATCH(D1219,Roster!$A$6:$A$108,0))="Principal",INDEX(Inputs!$B$10:$D$10,1,MATCH(A1219,Inputs!$B$6:$D$6,0)),IF(=INDEX(Roster!$B$6:$B$108,MATCH(D1219,Roster!$A$6:$A$108,0))="Associate Principal",INDEX(Inputs!$B$11:$D$11,1,MATCH(A1219,Inputs!$B$6:$D$6,0)),IF(=INDEX(Roster!$B$6:$B$108,MATCH(D1219,Roster!$A$6:$A$108,0))="Assistant Principal",INDEX(Inputs!$B$12:$D$12,1,MATCH(A1219,Inputs!$B$6:$D$6,0)),0))))</x:f>
        <x:v>0</x:v>
      </x:c>
      <x:c r="L1219" s="20" t="n">
        <x:f>IF(INDEX(Roster!$D$6:$D$108,MATCH(D1219,Roster!$A$6:$A$108,0))&gt;=25,INDEX(Inputs!$B$19:$D$19,1,MATCH(A1219,Inputs!$B$6:$D$6,0)),IF(INDEX(Roster!$D$6:$D$108,MATCH(D1219,Roster!$A$6:$A$108,0))&gt;=20,INDEX(Inputs!$B$18:$D$18,1,MATCH(A1219,Inputs!$B$6:$D$6,0)),IF(INDEX(Roster!$D$6:$D$108,MATCH(D1219,Roster!$A$6:$A$108,0))&gt;=15,INDEX(Inputs!$B$17:$D$17,1,MATCH(A1219,Inputs!$B$6:$D$6,0)),IF(INDEX(Roster!$D$6:$D$108,MATCH(D1219,Roster!$A$6:$A$108,0))&gt;=10,INDEX(Inputs!$B$16:$D$16,1,MATCH(A1219,Inputs!$B$6:$D$6,0)),IF(INDEX(Roster!$D$6:$D$108,MATCH(D1219,Roster!$A$6:$A$108,0))&gt;=5,INDEX(Inputs!$B$15:$D$15,1,MATCH(A1219,Inputs!$B$6:$D$6,0)),0)))))</x:f>
        <x:v>60</x:v>
      </x:c>
      <x:c r="M1219" s="20" t="n">
        <x:f>G1219*I1219</x:f>
        <x:v>31135</x:v>
      </x:c>
      <x:c r="N1219" s="20" t="n">
        <x:f>G1219*J1219</x:f>
        <x:v>10400</x:v>
      </x:c>
      <x:c r="O1219" s="20" t="n">
        <x:f>G1219*K1219</x:f>
        <x:v>0</x:v>
      </x:c>
      <x:c r="P1219" s="20" t="n">
        <x:f>G1219*L1219</x:f>
        <x:v>780</x:v>
      </x:c>
      <x:c r="Q1219" s="20" t="n">
        <x:f>H1219*INDEX(Inputs!$B$13:$D$13,1,MATCH(A1219,Inputs!$B$6:$D$6,0))</x:f>
        <x:v>390</x:v>
      </x:c>
      <x:c r="R1219" s="20" t="n">
        <x:f>SUM(M1219:Q1219)</x:f>
        <x:v>42705</x:v>
      </x:c>
      <x:c r="S1219" s="20" t="n">
        <x:f>IF(AND(A1218=A1219,D1218=D1219),S1218+R1219,R1219)</x:f>
        <x:v>85410</x:v>
      </x:c>
      <x:c r="T1219" s="20" t="n">
        <x:f>MIN(S1219,INDEX(Inputs!$B$20:$D$20,1,MATCH(A1219,Inputs!$B$6:$D$6,0)))*INDEX(Inputs!$B$22:$D$22,1,MATCH(A1219,Inputs!$B$6:$D$6,0))+MAX(MIN(S1219,INDEX(Inputs!$B$21:$D$21,1,MATCH(A1219,Inputs!$B$6:$D$6,0)))-INDEX(Inputs!$B$20:$D$20,1,MATCH(A1219,Inputs!$B$6:$D$6,0)),0)*INDEX(Inputs!$B$23:$D$23,1,MATCH(A1219,Inputs!$B$6:$D$6,0))+MAX(S1219-INDEX(Inputs!$B$21:$D$21,1,MATCH(A1219,Inputs!$B$6:$D$6,0)),0)*INDEX(Inputs!$B$24:$D$24,1,MATCH(A1219,Inputs!$B$6:$D$6,0))</x:f>
        <x:v>7023.865</x:v>
      </x:c>
      <x:c r="U1219" s="20" t="n">
        <x:f>IF(AND(A1218=A1219,D1218=D1219),T1218,0)</x:f>
        <x:v>3756.9325</x:v>
      </x:c>
      <x:c r="V1219" s="20" t="n">
        <x:f>T1219-U1219</x:f>
        <x:v>3266.9325</x:v>
      </x:c>
      <x:c r="W1219" s="20" t="n">
        <x:f>R1219+V1219</x:f>
        <x:v>45971.9325</x:v>
      </x:c>
      <x:c r="X1219" s="14" t="str">
        <x:f>IF(ABS(W1219-SUM(M1219:Q1219)-V1219)&lt;0.01,"OK","Check")</x:f>
        <x:v>OK</x:v>
      </x:c>
    </x:row>
    <x:row r="1220">
      <x:c r="A1220" s="14" t="n">
        <x:v>2028</x:v>
      </x:c>
      <x:c r="B1220" s="14" t="str">
        <x:v>Q3</x:v>
      </x:c>
      <x:c r="C1220" s="14" t="n">
        <x:v>3</x:v>
      </x:c>
      <x:c r="D1220" s="14" t="n">
        <x:v>98</x:v>
      </x:c>
      <x:c r="E1220" s="14" t="str">
        <x:f>INDEX(Roster!$B$6:$B$108,MATCH(D1220,Roster!$A$6:$A$108,0))</x:f>
        <x:v>Principal</x:v>
      </x:c>
      <x:c r="F1220" s="14" t="str">
        <x:f>INDEX(Roster!$F$6:$F$108,MATCH(D1220,Roster!$A$6:$A$108,0))</x:f>
        <x:v>Yes</x:v>
      </x:c>
      <x:c r="G1220" s="14" t="n">
        <x:f>INDEX(Inputs!$B$7:$D$7,1,MATCH(A1220,Inputs!$B$6:$D$6,0))</x:f>
        <x:v>13</x:v>
      </x:c>
      <x:c r="H1220" s="14" t="n">
        <x:f>MIN(=INDEX(Inputs!$B$7:$D$7,1,MATCH(A1220,Inputs!$B$6:$D$6,0)),MAX(0,INDEX(Inputs!$B$14:$D$14,1,MATCH(A1220,Inputs!$B$6:$D$6,0))-(C1220-1)*=INDEX(Inputs!$B$7:$D$7,1,MATCH(A1220,Inputs!$B$6:$D$6,0))))</x:f>
        <x:v>13</x:v>
      </x:c>
      <x:c r="I1220" s="20" t="n">
        <x:f>INDEX(Inputs!$B$8:$D$8,1,MATCH(A1220,Inputs!$B$6:$D$6,0))</x:f>
        <x:v>2395</x:v>
      </x:c>
      <x:c r="J1220" s="20" t="n">
        <x:f>INDEX(Roster!$C$6:$C$108,MATCH(D1220,Roster!$A$6:$A$108,0))*(1+INDEX(Inputs!$B$9:$D$9,1,MATCH(A1220,Inputs!$B$6:$D$6,0)))</x:f>
        <x:v>800</x:v>
      </x:c>
      <x:c r="K1220" s="20" t="n">
        <x:f>IF(=INDEX(Roster!$F$6:$F$108,MATCH(D1220,Roster!$A$6:$A$108,0))="Yes",0,=INDEX(Inputs!$B$8:$D$8,1,MATCH(A1220,Inputs!$B$6:$D$6,0))*IF(=INDEX(Roster!$B$6:$B$108,MATCH(D1220,Roster!$A$6:$A$108,0))="Principal",INDEX(Inputs!$B$10:$D$10,1,MATCH(A1220,Inputs!$B$6:$D$6,0)),IF(=INDEX(Roster!$B$6:$B$108,MATCH(D1220,Roster!$A$6:$A$108,0))="Associate Principal",INDEX(Inputs!$B$11:$D$11,1,MATCH(A1220,Inputs!$B$6:$D$6,0)),IF(=INDEX(Roster!$B$6:$B$108,MATCH(D1220,Roster!$A$6:$A$108,0))="Assistant Principal",INDEX(Inputs!$B$12:$D$12,1,MATCH(A1220,Inputs!$B$6:$D$6,0)),0))))</x:f>
        <x:v>0</x:v>
      </x:c>
      <x:c r="L1220" s="20" t="n">
        <x:f>IF(INDEX(Roster!$D$6:$D$108,MATCH(D1220,Roster!$A$6:$A$108,0))&gt;=25,INDEX(Inputs!$B$19:$D$19,1,MATCH(A1220,Inputs!$B$6:$D$6,0)),IF(INDEX(Roster!$D$6:$D$108,MATCH(D1220,Roster!$A$6:$A$108,0))&gt;=20,INDEX(Inputs!$B$18:$D$18,1,MATCH(A1220,Inputs!$B$6:$D$6,0)),IF(INDEX(Roster!$D$6:$D$108,MATCH(D1220,Roster!$A$6:$A$108,0))&gt;=15,INDEX(Inputs!$B$17:$D$17,1,MATCH(A1220,Inputs!$B$6:$D$6,0)),IF(INDEX(Roster!$D$6:$D$108,MATCH(D1220,Roster!$A$6:$A$108,0))&gt;=10,INDEX(Inputs!$B$16:$D$16,1,MATCH(A1220,Inputs!$B$6:$D$6,0)),IF(INDEX(Roster!$D$6:$D$108,MATCH(D1220,Roster!$A$6:$A$108,0))&gt;=5,INDEX(Inputs!$B$15:$D$15,1,MATCH(A1220,Inputs!$B$6:$D$6,0)),0)))))</x:f>
        <x:v>60</x:v>
      </x:c>
      <x:c r="M1220" s="20" t="n">
        <x:f>G1220*I1220</x:f>
        <x:v>31135</x:v>
      </x:c>
      <x:c r="N1220" s="20" t="n">
        <x:f>G1220*J1220</x:f>
        <x:v>10400</x:v>
      </x:c>
      <x:c r="O1220" s="20" t="n">
        <x:f>G1220*K1220</x:f>
        <x:v>0</x:v>
      </x:c>
      <x:c r="P1220" s="20" t="n">
        <x:f>G1220*L1220</x:f>
        <x:v>780</x:v>
      </x:c>
      <x:c r="Q1220" s="20" t="n">
        <x:f>H1220*INDEX(Inputs!$B$13:$D$13,1,MATCH(A1220,Inputs!$B$6:$D$6,0))</x:f>
        <x:v>390</x:v>
      </x:c>
      <x:c r="R1220" s="20" t="n">
        <x:f>SUM(M1220:Q1220)</x:f>
        <x:v>42705</x:v>
      </x:c>
      <x:c r="S1220" s="20" t="n">
        <x:f>IF(AND(A1219=A1220,D1219=D1220),S1219+R1220,R1220)</x:f>
        <x:v>128115</x:v>
      </x:c>
      <x:c r="T1220" s="20" t="n">
        <x:f>MIN(S1220,INDEX(Inputs!$B$20:$D$20,1,MATCH(A1220,Inputs!$B$6:$D$6,0)))*INDEX(Inputs!$B$22:$D$22,1,MATCH(A1220,Inputs!$B$6:$D$6,0))+MAX(MIN(S1220,INDEX(Inputs!$B$21:$D$21,1,MATCH(A1220,Inputs!$B$6:$D$6,0)))-INDEX(Inputs!$B$20:$D$20,1,MATCH(A1220,Inputs!$B$6:$D$6,0)),0)*INDEX(Inputs!$B$23:$D$23,1,MATCH(A1220,Inputs!$B$6:$D$6,0))+MAX(S1220-INDEX(Inputs!$B$21:$D$21,1,MATCH(A1220,Inputs!$B$6:$D$6,0)),0)*INDEX(Inputs!$B$24:$D$24,1,MATCH(A1220,Inputs!$B$6:$D$6,0))</x:f>
        <x:v>9771.6095</x:v>
      </x:c>
      <x:c r="U1220" s="20" t="n">
        <x:f>IF(AND(A1219=A1220,D1219=D1220),T1219,0)</x:f>
        <x:v>7023.865</x:v>
      </x:c>
      <x:c r="V1220" s="20" t="n">
        <x:f>T1220-U1220</x:f>
        <x:v>2747.7445000000007</x:v>
      </x:c>
      <x:c r="W1220" s="20" t="n">
        <x:f>R1220+V1220</x:f>
        <x:v>45452.7445</x:v>
      </x:c>
      <x:c r="X1220" s="14" t="str">
        <x:f>IF(ABS(W1220-SUM(M1220:Q1220)-V1220)&lt;0.01,"OK","Check")</x:f>
        <x:v>OK</x:v>
      </x:c>
    </x:row>
    <x:row r="1221">
      <x:c r="A1221" s="14" t="n">
        <x:v>2028</x:v>
      </x:c>
      <x:c r="B1221" s="14" t="str">
        <x:v>Q4</x:v>
      </x:c>
      <x:c r="C1221" s="14" t="n">
        <x:v>4</x:v>
      </x:c>
      <x:c r="D1221" s="14" t="n">
        <x:v>98</x:v>
      </x:c>
      <x:c r="E1221" s="14" t="str">
        <x:f>INDEX(Roster!$B$6:$B$108,MATCH(D1221,Roster!$A$6:$A$108,0))</x:f>
        <x:v>Principal</x:v>
      </x:c>
      <x:c r="F1221" s="14" t="str">
        <x:f>INDEX(Roster!$F$6:$F$108,MATCH(D1221,Roster!$A$6:$A$108,0))</x:f>
        <x:v>Yes</x:v>
      </x:c>
      <x:c r="G1221" s="14" t="n">
        <x:f>INDEX(Inputs!$B$7:$D$7,1,MATCH(A1221,Inputs!$B$6:$D$6,0))</x:f>
        <x:v>13</x:v>
      </x:c>
      <x:c r="H1221" s="14" t="n">
        <x:f>MIN(=INDEX(Inputs!$B$7:$D$7,1,MATCH(A1221,Inputs!$B$6:$D$6,0)),MAX(0,INDEX(Inputs!$B$14:$D$14,1,MATCH(A1221,Inputs!$B$6:$D$6,0))-(C1221-1)*=INDEX(Inputs!$B$7:$D$7,1,MATCH(A1221,Inputs!$B$6:$D$6,0))))</x:f>
        <x:v>0</x:v>
      </x:c>
      <x:c r="I1221" s="20" t="n">
        <x:f>INDEX(Inputs!$B$8:$D$8,1,MATCH(A1221,Inputs!$B$6:$D$6,0))</x:f>
        <x:v>2395</x:v>
      </x:c>
      <x:c r="J1221" s="20" t="n">
        <x:f>INDEX(Roster!$C$6:$C$108,MATCH(D1221,Roster!$A$6:$A$108,0))*(1+INDEX(Inputs!$B$9:$D$9,1,MATCH(A1221,Inputs!$B$6:$D$6,0)))</x:f>
        <x:v>800</x:v>
      </x:c>
      <x:c r="K1221" s="20" t="n">
        <x:f>IF(=INDEX(Roster!$F$6:$F$108,MATCH(D1221,Roster!$A$6:$A$108,0))="Yes",0,=INDEX(Inputs!$B$8:$D$8,1,MATCH(A1221,Inputs!$B$6:$D$6,0))*IF(=INDEX(Roster!$B$6:$B$108,MATCH(D1221,Roster!$A$6:$A$108,0))="Principal",INDEX(Inputs!$B$10:$D$10,1,MATCH(A1221,Inputs!$B$6:$D$6,0)),IF(=INDEX(Roster!$B$6:$B$108,MATCH(D1221,Roster!$A$6:$A$108,0))="Associate Principal",INDEX(Inputs!$B$11:$D$11,1,MATCH(A1221,Inputs!$B$6:$D$6,0)),IF(=INDEX(Roster!$B$6:$B$108,MATCH(D1221,Roster!$A$6:$A$108,0))="Assistant Principal",INDEX(Inputs!$B$12:$D$12,1,MATCH(A1221,Inputs!$B$6:$D$6,0)),0))))</x:f>
        <x:v>0</x:v>
      </x:c>
      <x:c r="L1221" s="20" t="n">
        <x:f>IF(INDEX(Roster!$D$6:$D$108,MATCH(D1221,Roster!$A$6:$A$108,0))&gt;=25,INDEX(Inputs!$B$19:$D$19,1,MATCH(A1221,Inputs!$B$6:$D$6,0)),IF(INDEX(Roster!$D$6:$D$108,MATCH(D1221,Roster!$A$6:$A$108,0))&gt;=20,INDEX(Inputs!$B$18:$D$18,1,MATCH(A1221,Inputs!$B$6:$D$6,0)),IF(INDEX(Roster!$D$6:$D$108,MATCH(D1221,Roster!$A$6:$A$108,0))&gt;=15,INDEX(Inputs!$B$17:$D$17,1,MATCH(A1221,Inputs!$B$6:$D$6,0)),IF(INDEX(Roster!$D$6:$D$108,MATCH(D1221,Roster!$A$6:$A$108,0))&gt;=10,INDEX(Inputs!$B$16:$D$16,1,MATCH(A1221,Inputs!$B$6:$D$6,0)),IF(INDEX(Roster!$D$6:$D$108,MATCH(D1221,Roster!$A$6:$A$108,0))&gt;=5,INDEX(Inputs!$B$15:$D$15,1,MATCH(A1221,Inputs!$B$6:$D$6,0)),0)))))</x:f>
        <x:v>60</x:v>
      </x:c>
      <x:c r="M1221" s="20" t="n">
        <x:f>G1221*I1221</x:f>
        <x:v>31135</x:v>
      </x:c>
      <x:c r="N1221" s="20" t="n">
        <x:f>G1221*J1221</x:f>
        <x:v>10400</x:v>
      </x:c>
      <x:c r="O1221" s="20" t="n">
        <x:f>G1221*K1221</x:f>
        <x:v>0</x:v>
      </x:c>
      <x:c r="P1221" s="20" t="n">
        <x:f>G1221*L1221</x:f>
        <x:v>780</x:v>
      </x:c>
      <x:c r="Q1221" s="20" t="n">
        <x:f>H1221*INDEX(Inputs!$B$13:$D$13,1,MATCH(A1221,Inputs!$B$6:$D$6,0))</x:f>
        <x:v>0</x:v>
      </x:c>
      <x:c r="R1221" s="20" t="n">
        <x:f>SUM(M1221:Q1221)</x:f>
        <x:v>42315</x:v>
      </x:c>
      <x:c r="S1221" s="20" t="n">
        <x:f>IF(AND(A1220=A1221,D1220=D1221),S1220+R1221,R1221)</x:f>
        <x:v>170430</x:v>
      </x:c>
      <x:c r="T1221" s="20" t="n">
        <x:f>MIN(S1221,INDEX(Inputs!$B$20:$D$20,1,MATCH(A1221,Inputs!$B$6:$D$6,0)))*INDEX(Inputs!$B$22:$D$22,1,MATCH(A1221,Inputs!$B$6:$D$6,0))+MAX(MIN(S1221,INDEX(Inputs!$B$21:$D$21,1,MATCH(A1221,Inputs!$B$6:$D$6,0)))-INDEX(Inputs!$B$20:$D$20,1,MATCH(A1221,Inputs!$B$6:$D$6,0)),0)*INDEX(Inputs!$B$23:$D$23,1,MATCH(A1221,Inputs!$B$6:$D$6,0))+MAX(S1221-INDEX(Inputs!$B$21:$D$21,1,MATCH(A1221,Inputs!$B$6:$D$6,0)),0)*INDEX(Inputs!$B$24:$D$24,1,MATCH(A1221,Inputs!$B$6:$D$6,0))</x:f>
        <x:v>10385.177</x:v>
      </x:c>
      <x:c r="U1221" s="20" t="n">
        <x:f>IF(AND(A1220=A1221,D1220=D1221),T1220,0)</x:f>
        <x:v>9771.6095</x:v>
      </x:c>
      <x:c r="V1221" s="20" t="n">
        <x:f>T1221-U1221</x:f>
        <x:v>613.5674999999992</x:v>
      </x:c>
      <x:c r="W1221" s="20" t="n">
        <x:f>R1221+V1221</x:f>
        <x:v>42928.5675</x:v>
      </x:c>
      <x:c r="X1221" s="14" t="str">
        <x:f>IF(ABS(W1221-SUM(M1221:Q1221)-V1221)&lt;0.01,"OK","Check")</x:f>
        <x:v>OK</x:v>
      </x:c>
    </x:row>
    <x:row r="1222">
      <x:c r="A1222" s="14" t="n">
        <x:v>2028</x:v>
      </x:c>
      <x:c r="B1222" s="14" t="str">
        <x:v>Q1</x:v>
      </x:c>
      <x:c r="C1222" s="14" t="n">
        <x:v>1</x:v>
      </x:c>
      <x:c r="D1222" s="14" t="n">
        <x:v>99</x:v>
      </x:c>
      <x:c r="E1222" s="14" t="str">
        <x:f>INDEX(Roster!$B$6:$B$108,MATCH(D1222,Roster!$A$6:$A$108,0))</x:f>
        <x:v>Associate Principal</x:v>
      </x:c>
      <x:c r="F1222" s="14" t="str">
        <x:f>INDEX(Roster!$F$6:$F$108,MATCH(D1222,Roster!$A$6:$A$108,0))</x:f>
        <x:v>Yes</x:v>
      </x:c>
      <x:c r="G1222" s="14" t="n">
        <x:f>INDEX(Inputs!$B$7:$D$7,1,MATCH(A1222,Inputs!$B$6:$D$6,0))</x:f>
        <x:v>13</x:v>
      </x:c>
      <x:c r="H1222" s="14" t="n">
        <x:f>MIN(=INDEX(Inputs!$B$7:$D$7,1,MATCH(A1222,Inputs!$B$6:$D$6,0)),MAX(0,INDEX(Inputs!$B$14:$D$14,1,MATCH(A1222,Inputs!$B$6:$D$6,0))-(C1222-1)*=INDEX(Inputs!$B$7:$D$7,1,MATCH(A1222,Inputs!$B$6:$D$6,0))))</x:f>
        <x:v>13</x:v>
      </x:c>
      <x:c r="I1222" s="20" t="n">
        <x:f>INDEX(Inputs!$B$8:$D$8,1,MATCH(A1222,Inputs!$B$6:$D$6,0))</x:f>
        <x:v>2395</x:v>
      </x:c>
      <x:c r="J1222" s="20" t="n">
        <x:f>INDEX(Roster!$C$6:$C$108,MATCH(D1222,Roster!$A$6:$A$108,0))*(1+INDEX(Inputs!$B$9:$D$9,1,MATCH(A1222,Inputs!$B$6:$D$6,0)))</x:f>
        <x:v>753.46</x:v>
      </x:c>
      <x:c r="K1222" s="20" t="n">
        <x:f>IF(=INDEX(Roster!$F$6:$F$108,MATCH(D1222,Roster!$A$6:$A$108,0))="Yes",0,=INDEX(Inputs!$B$8:$D$8,1,MATCH(A1222,Inputs!$B$6:$D$6,0))*IF(=INDEX(Roster!$B$6:$B$108,MATCH(D1222,Roster!$A$6:$A$108,0))="Principal",INDEX(Inputs!$B$10:$D$10,1,MATCH(A1222,Inputs!$B$6:$D$6,0)),IF(=INDEX(Roster!$B$6:$B$108,MATCH(D1222,Roster!$A$6:$A$108,0))="Associate Principal",INDEX(Inputs!$B$11:$D$11,1,MATCH(A1222,Inputs!$B$6:$D$6,0)),IF(=INDEX(Roster!$B$6:$B$108,MATCH(D1222,Roster!$A$6:$A$108,0))="Assistant Principal",INDEX(Inputs!$B$12:$D$12,1,MATCH(A1222,Inputs!$B$6:$D$6,0)),0))))</x:f>
        <x:v>0</x:v>
      </x:c>
      <x:c r="L1222" s="20" t="n">
        <x:f>IF(INDEX(Roster!$D$6:$D$108,MATCH(D1222,Roster!$A$6:$A$108,0))&gt;=25,INDEX(Inputs!$B$19:$D$19,1,MATCH(A1222,Inputs!$B$6:$D$6,0)),IF(INDEX(Roster!$D$6:$D$108,MATCH(D1222,Roster!$A$6:$A$108,0))&gt;=20,INDEX(Inputs!$B$18:$D$18,1,MATCH(A1222,Inputs!$B$6:$D$6,0)),IF(INDEX(Roster!$D$6:$D$108,MATCH(D1222,Roster!$A$6:$A$108,0))&gt;=15,INDEX(Inputs!$B$17:$D$17,1,MATCH(A1222,Inputs!$B$6:$D$6,0)),IF(INDEX(Roster!$D$6:$D$108,MATCH(D1222,Roster!$A$6:$A$108,0))&gt;=10,INDEX(Inputs!$B$16:$D$16,1,MATCH(A1222,Inputs!$B$6:$D$6,0)),IF(INDEX(Roster!$D$6:$D$108,MATCH(D1222,Roster!$A$6:$A$108,0))&gt;=5,INDEX(Inputs!$B$15:$D$15,1,MATCH(A1222,Inputs!$B$6:$D$6,0)),0)))))</x:f>
        <x:v>60</x:v>
      </x:c>
      <x:c r="M1222" s="20" t="n">
        <x:f>G1222*I1222</x:f>
        <x:v>31135</x:v>
      </x:c>
      <x:c r="N1222" s="20" t="n">
        <x:f>G1222*J1222</x:f>
        <x:v>9794.98</x:v>
      </x:c>
      <x:c r="O1222" s="20" t="n">
        <x:f>G1222*K1222</x:f>
        <x:v>0</x:v>
      </x:c>
      <x:c r="P1222" s="20" t="n">
        <x:f>G1222*L1222</x:f>
        <x:v>780</x:v>
      </x:c>
      <x:c r="Q1222" s="20" t="n">
        <x:f>H1222*INDEX(Inputs!$B$13:$D$13,1,MATCH(A1222,Inputs!$B$6:$D$6,0))</x:f>
        <x:v>390</x:v>
      </x:c>
      <x:c r="R1222" s="20" t="n">
        <x:f>SUM(M1222:Q1222)</x:f>
        <x:v>42099.979999999996</x:v>
      </x:c>
      <x:c r="S1222" s="20" t="n">
        <x:f>IF(AND(A1221=A1222,D1221=D1222),S1221+R1222,R1222)</x:f>
        <x:v>42099.979999999996</x:v>
      </x:c>
      <x:c r="T1222" s="20" t="n">
        <x:f>MIN(S1222,INDEX(Inputs!$B$20:$D$20,1,MATCH(A1222,Inputs!$B$6:$D$6,0)))*INDEX(Inputs!$B$22:$D$22,1,MATCH(A1222,Inputs!$B$6:$D$6,0))+MAX(MIN(S1222,INDEX(Inputs!$B$21:$D$21,1,MATCH(A1222,Inputs!$B$6:$D$6,0)))-INDEX(Inputs!$B$20:$D$20,1,MATCH(A1222,Inputs!$B$6:$D$6,0)),0)*INDEX(Inputs!$B$23:$D$23,1,MATCH(A1222,Inputs!$B$6:$D$6,0))+MAX(S1222-INDEX(Inputs!$B$21:$D$21,1,MATCH(A1222,Inputs!$B$6:$D$6,0)),0)*INDEX(Inputs!$B$24:$D$24,1,MATCH(A1222,Inputs!$B$6:$D$6,0))</x:f>
        <x:v>3710.6484699999996</x:v>
      </x:c>
      <x:c r="U1222" s="20" t="n">
        <x:f>IF(AND(A1221=A1222,D1221=D1222),T1221,0)</x:f>
        <x:v>0</x:v>
      </x:c>
      <x:c r="V1222" s="20" t="n">
        <x:f>T1222-U1222</x:f>
        <x:v>3710.6484699999996</x:v>
      </x:c>
      <x:c r="W1222" s="20" t="n">
        <x:f>R1222+V1222</x:f>
        <x:v>45810.628469999996</x:v>
      </x:c>
      <x:c r="X1222" s="14" t="str">
        <x:f>IF(ABS(W1222-SUM(M1222:Q1222)-V1222)&lt;0.01,"OK","Check")</x:f>
        <x:v>OK</x:v>
      </x:c>
    </x:row>
    <x:row r="1223">
      <x:c r="A1223" s="14" t="n">
        <x:v>2028</x:v>
      </x:c>
      <x:c r="B1223" s="14" t="str">
        <x:v>Q2</x:v>
      </x:c>
      <x:c r="C1223" s="14" t="n">
        <x:v>2</x:v>
      </x:c>
      <x:c r="D1223" s="14" t="n">
        <x:v>99</x:v>
      </x:c>
      <x:c r="E1223" s="14" t="str">
        <x:f>INDEX(Roster!$B$6:$B$108,MATCH(D1223,Roster!$A$6:$A$108,0))</x:f>
        <x:v>Associate Principal</x:v>
      </x:c>
      <x:c r="F1223" s="14" t="str">
        <x:f>INDEX(Roster!$F$6:$F$108,MATCH(D1223,Roster!$A$6:$A$108,0))</x:f>
        <x:v>Yes</x:v>
      </x:c>
      <x:c r="G1223" s="14" t="n">
        <x:f>INDEX(Inputs!$B$7:$D$7,1,MATCH(A1223,Inputs!$B$6:$D$6,0))</x:f>
        <x:v>13</x:v>
      </x:c>
      <x:c r="H1223" s="14" t="n">
        <x:f>MIN(=INDEX(Inputs!$B$7:$D$7,1,MATCH(A1223,Inputs!$B$6:$D$6,0)),MAX(0,INDEX(Inputs!$B$14:$D$14,1,MATCH(A1223,Inputs!$B$6:$D$6,0))-(C1223-1)*=INDEX(Inputs!$B$7:$D$7,1,MATCH(A1223,Inputs!$B$6:$D$6,0))))</x:f>
        <x:v>13</x:v>
      </x:c>
      <x:c r="I1223" s="20" t="n">
        <x:f>INDEX(Inputs!$B$8:$D$8,1,MATCH(A1223,Inputs!$B$6:$D$6,0))</x:f>
        <x:v>2395</x:v>
      </x:c>
      <x:c r="J1223" s="20" t="n">
        <x:f>INDEX(Roster!$C$6:$C$108,MATCH(D1223,Roster!$A$6:$A$108,0))*(1+INDEX(Inputs!$B$9:$D$9,1,MATCH(A1223,Inputs!$B$6:$D$6,0)))</x:f>
        <x:v>753.46</x:v>
      </x:c>
      <x:c r="K1223" s="20" t="n">
        <x:f>IF(=INDEX(Roster!$F$6:$F$108,MATCH(D1223,Roster!$A$6:$A$108,0))="Yes",0,=INDEX(Inputs!$B$8:$D$8,1,MATCH(A1223,Inputs!$B$6:$D$6,0))*IF(=INDEX(Roster!$B$6:$B$108,MATCH(D1223,Roster!$A$6:$A$108,0))="Principal",INDEX(Inputs!$B$10:$D$10,1,MATCH(A1223,Inputs!$B$6:$D$6,0)),IF(=INDEX(Roster!$B$6:$B$108,MATCH(D1223,Roster!$A$6:$A$108,0))="Associate Principal",INDEX(Inputs!$B$11:$D$11,1,MATCH(A1223,Inputs!$B$6:$D$6,0)),IF(=INDEX(Roster!$B$6:$B$108,MATCH(D1223,Roster!$A$6:$A$108,0))="Assistant Principal",INDEX(Inputs!$B$12:$D$12,1,MATCH(A1223,Inputs!$B$6:$D$6,0)),0))))</x:f>
        <x:v>0</x:v>
      </x:c>
      <x:c r="L1223" s="20" t="n">
        <x:f>IF(INDEX(Roster!$D$6:$D$108,MATCH(D1223,Roster!$A$6:$A$108,0))&gt;=25,INDEX(Inputs!$B$19:$D$19,1,MATCH(A1223,Inputs!$B$6:$D$6,0)),IF(INDEX(Roster!$D$6:$D$108,MATCH(D1223,Roster!$A$6:$A$108,0))&gt;=20,INDEX(Inputs!$B$18:$D$18,1,MATCH(A1223,Inputs!$B$6:$D$6,0)),IF(INDEX(Roster!$D$6:$D$108,MATCH(D1223,Roster!$A$6:$A$108,0))&gt;=15,INDEX(Inputs!$B$17:$D$17,1,MATCH(A1223,Inputs!$B$6:$D$6,0)),IF(INDEX(Roster!$D$6:$D$108,MATCH(D1223,Roster!$A$6:$A$108,0))&gt;=10,INDEX(Inputs!$B$16:$D$16,1,MATCH(A1223,Inputs!$B$6:$D$6,0)),IF(INDEX(Roster!$D$6:$D$108,MATCH(D1223,Roster!$A$6:$A$108,0))&gt;=5,INDEX(Inputs!$B$15:$D$15,1,MATCH(A1223,Inputs!$B$6:$D$6,0)),0)))))</x:f>
        <x:v>60</x:v>
      </x:c>
      <x:c r="M1223" s="20" t="n">
        <x:f>G1223*I1223</x:f>
        <x:v>31135</x:v>
      </x:c>
      <x:c r="N1223" s="20" t="n">
        <x:f>G1223*J1223</x:f>
        <x:v>9794.98</x:v>
      </x:c>
      <x:c r="O1223" s="20" t="n">
        <x:f>G1223*K1223</x:f>
        <x:v>0</x:v>
      </x:c>
      <x:c r="P1223" s="20" t="n">
        <x:f>G1223*L1223</x:f>
        <x:v>780</x:v>
      </x:c>
      <x:c r="Q1223" s="20" t="n">
        <x:f>H1223*INDEX(Inputs!$B$13:$D$13,1,MATCH(A1223,Inputs!$B$6:$D$6,0))</x:f>
        <x:v>390</x:v>
      </x:c>
      <x:c r="R1223" s="20" t="n">
        <x:f>SUM(M1223:Q1223)</x:f>
        <x:v>42099.979999999996</x:v>
      </x:c>
      <x:c r="S1223" s="20" t="n">
        <x:f>IF(AND(A1222=A1223,D1222=D1223),S1222+R1223,R1223)</x:f>
        <x:v>84199.95999999999</x:v>
      </x:c>
      <x:c r="T1223" s="20" t="n">
        <x:f>MIN(S1223,INDEX(Inputs!$B$20:$D$20,1,MATCH(A1223,Inputs!$B$6:$D$6,0)))*INDEX(Inputs!$B$22:$D$22,1,MATCH(A1223,Inputs!$B$6:$D$6,0))+MAX(MIN(S1223,INDEX(Inputs!$B$21:$D$21,1,MATCH(A1223,Inputs!$B$6:$D$6,0)))-INDEX(Inputs!$B$20:$D$20,1,MATCH(A1223,Inputs!$B$6:$D$6,0)),0)*INDEX(Inputs!$B$23:$D$23,1,MATCH(A1223,Inputs!$B$6:$D$6,0))+MAX(S1223-INDEX(Inputs!$B$21:$D$21,1,MATCH(A1223,Inputs!$B$6:$D$6,0)),0)*INDEX(Inputs!$B$24:$D$24,1,MATCH(A1223,Inputs!$B$6:$D$6,0))</x:f>
        <x:v>6931.296939999999</x:v>
      </x:c>
      <x:c r="U1223" s="20" t="n">
        <x:f>IF(AND(A1222=A1223,D1222=D1223),T1222,0)</x:f>
        <x:v>3710.6484699999996</x:v>
      </x:c>
      <x:c r="V1223" s="20" t="n">
        <x:f>T1223-U1223</x:f>
        <x:v>3220.6484699999996</x:v>
      </x:c>
      <x:c r="W1223" s="20" t="n">
        <x:f>R1223+V1223</x:f>
        <x:v>45320.628469999996</x:v>
      </x:c>
      <x:c r="X1223" s="14" t="str">
        <x:f>IF(ABS(W1223-SUM(M1223:Q1223)-V1223)&lt;0.01,"OK","Check")</x:f>
        <x:v>OK</x:v>
      </x:c>
    </x:row>
    <x:row r="1224">
      <x:c r="A1224" s="14" t="n">
        <x:v>2028</x:v>
      </x:c>
      <x:c r="B1224" s="14" t="str">
        <x:v>Q3</x:v>
      </x:c>
      <x:c r="C1224" s="14" t="n">
        <x:v>3</x:v>
      </x:c>
      <x:c r="D1224" s="14" t="n">
        <x:v>99</x:v>
      </x:c>
      <x:c r="E1224" s="14" t="str">
        <x:f>INDEX(Roster!$B$6:$B$108,MATCH(D1224,Roster!$A$6:$A$108,0))</x:f>
        <x:v>Associate Principal</x:v>
      </x:c>
      <x:c r="F1224" s="14" t="str">
        <x:f>INDEX(Roster!$F$6:$F$108,MATCH(D1224,Roster!$A$6:$A$108,0))</x:f>
        <x:v>Yes</x:v>
      </x:c>
      <x:c r="G1224" s="14" t="n">
        <x:f>INDEX(Inputs!$B$7:$D$7,1,MATCH(A1224,Inputs!$B$6:$D$6,0))</x:f>
        <x:v>13</x:v>
      </x:c>
      <x:c r="H1224" s="14" t="n">
        <x:f>MIN(=INDEX(Inputs!$B$7:$D$7,1,MATCH(A1224,Inputs!$B$6:$D$6,0)),MAX(0,INDEX(Inputs!$B$14:$D$14,1,MATCH(A1224,Inputs!$B$6:$D$6,0))-(C1224-1)*=INDEX(Inputs!$B$7:$D$7,1,MATCH(A1224,Inputs!$B$6:$D$6,0))))</x:f>
        <x:v>13</x:v>
      </x:c>
      <x:c r="I1224" s="20" t="n">
        <x:f>INDEX(Inputs!$B$8:$D$8,1,MATCH(A1224,Inputs!$B$6:$D$6,0))</x:f>
        <x:v>2395</x:v>
      </x:c>
      <x:c r="J1224" s="20" t="n">
        <x:f>INDEX(Roster!$C$6:$C$108,MATCH(D1224,Roster!$A$6:$A$108,0))*(1+INDEX(Inputs!$B$9:$D$9,1,MATCH(A1224,Inputs!$B$6:$D$6,0)))</x:f>
        <x:v>753.46</x:v>
      </x:c>
      <x:c r="K1224" s="20" t="n">
        <x:f>IF(=INDEX(Roster!$F$6:$F$108,MATCH(D1224,Roster!$A$6:$A$108,0))="Yes",0,=INDEX(Inputs!$B$8:$D$8,1,MATCH(A1224,Inputs!$B$6:$D$6,0))*IF(=INDEX(Roster!$B$6:$B$108,MATCH(D1224,Roster!$A$6:$A$108,0))="Principal",INDEX(Inputs!$B$10:$D$10,1,MATCH(A1224,Inputs!$B$6:$D$6,0)),IF(=INDEX(Roster!$B$6:$B$108,MATCH(D1224,Roster!$A$6:$A$108,0))="Associate Principal",INDEX(Inputs!$B$11:$D$11,1,MATCH(A1224,Inputs!$B$6:$D$6,0)),IF(=INDEX(Roster!$B$6:$B$108,MATCH(D1224,Roster!$A$6:$A$108,0))="Assistant Principal",INDEX(Inputs!$B$12:$D$12,1,MATCH(A1224,Inputs!$B$6:$D$6,0)),0))))</x:f>
        <x:v>0</x:v>
      </x:c>
      <x:c r="L1224" s="20" t="n">
        <x:f>IF(INDEX(Roster!$D$6:$D$108,MATCH(D1224,Roster!$A$6:$A$108,0))&gt;=25,INDEX(Inputs!$B$19:$D$19,1,MATCH(A1224,Inputs!$B$6:$D$6,0)),IF(INDEX(Roster!$D$6:$D$108,MATCH(D1224,Roster!$A$6:$A$108,0))&gt;=20,INDEX(Inputs!$B$18:$D$18,1,MATCH(A1224,Inputs!$B$6:$D$6,0)),IF(INDEX(Roster!$D$6:$D$108,MATCH(D1224,Roster!$A$6:$A$108,0))&gt;=15,INDEX(Inputs!$B$17:$D$17,1,MATCH(A1224,Inputs!$B$6:$D$6,0)),IF(INDEX(Roster!$D$6:$D$108,MATCH(D1224,Roster!$A$6:$A$108,0))&gt;=10,INDEX(Inputs!$B$16:$D$16,1,MATCH(A1224,Inputs!$B$6:$D$6,0)),IF(INDEX(Roster!$D$6:$D$108,MATCH(D1224,Roster!$A$6:$A$108,0))&gt;=5,INDEX(Inputs!$B$15:$D$15,1,MATCH(A1224,Inputs!$B$6:$D$6,0)),0)))))</x:f>
        <x:v>60</x:v>
      </x:c>
      <x:c r="M1224" s="20" t="n">
        <x:f>G1224*I1224</x:f>
        <x:v>31135</x:v>
      </x:c>
      <x:c r="N1224" s="20" t="n">
        <x:f>G1224*J1224</x:f>
        <x:v>9794.98</x:v>
      </x:c>
      <x:c r="O1224" s="20" t="n">
        <x:f>G1224*K1224</x:f>
        <x:v>0</x:v>
      </x:c>
      <x:c r="P1224" s="20" t="n">
        <x:f>G1224*L1224</x:f>
        <x:v>780</x:v>
      </x:c>
      <x:c r="Q1224" s="20" t="n">
        <x:f>H1224*INDEX(Inputs!$B$13:$D$13,1,MATCH(A1224,Inputs!$B$6:$D$6,0))</x:f>
        <x:v>390</x:v>
      </x:c>
      <x:c r="R1224" s="20" t="n">
        <x:f>SUM(M1224:Q1224)</x:f>
        <x:v>42099.979999999996</x:v>
      </x:c>
      <x:c r="S1224" s="20" t="n">
        <x:f>IF(AND(A1223=A1224,D1223=D1224),S1223+R1224,R1224)</x:f>
        <x:v>126299.93999999999</x:v>
      </x:c>
      <x:c r="T1224" s="20" t="n">
        <x:f>MIN(S1224,INDEX(Inputs!$B$20:$D$20,1,MATCH(A1224,Inputs!$B$6:$D$6,0)))*INDEX(Inputs!$B$22:$D$22,1,MATCH(A1224,Inputs!$B$6:$D$6,0))+MAX(MIN(S1224,INDEX(Inputs!$B$21:$D$21,1,MATCH(A1224,Inputs!$B$6:$D$6,0)))-INDEX(Inputs!$B$20:$D$20,1,MATCH(A1224,Inputs!$B$6:$D$6,0)),0)*INDEX(Inputs!$B$23:$D$23,1,MATCH(A1224,Inputs!$B$6:$D$6,0))+MAX(S1224-INDEX(Inputs!$B$21:$D$21,1,MATCH(A1224,Inputs!$B$6:$D$6,0)),0)*INDEX(Inputs!$B$24:$D$24,1,MATCH(A1224,Inputs!$B$6:$D$6,0))</x:f>
        <x:v>9745.29113</x:v>
      </x:c>
      <x:c r="U1224" s="20" t="n">
        <x:f>IF(AND(A1223=A1224,D1223=D1224),T1223,0)</x:f>
        <x:v>6931.296939999999</x:v>
      </x:c>
      <x:c r="V1224" s="20" t="n">
        <x:f>T1224-U1224</x:f>
        <x:v>2813.9941900000003</x:v>
      </x:c>
      <x:c r="W1224" s="20" t="n">
        <x:f>R1224+V1224</x:f>
        <x:v>44913.97418999999</x:v>
      </x:c>
      <x:c r="X1224" s="14" t="str">
        <x:f>IF(ABS(W1224-SUM(M1224:Q1224)-V1224)&lt;0.01,"OK","Check")</x:f>
        <x:v>OK</x:v>
      </x:c>
    </x:row>
    <x:row r="1225">
      <x:c r="A1225" s="14" t="n">
        <x:v>2028</x:v>
      </x:c>
      <x:c r="B1225" s="14" t="str">
        <x:v>Q4</x:v>
      </x:c>
      <x:c r="C1225" s="14" t="n">
        <x:v>4</x:v>
      </x:c>
      <x:c r="D1225" s="14" t="n">
        <x:v>99</x:v>
      </x:c>
      <x:c r="E1225" s="14" t="str">
        <x:f>INDEX(Roster!$B$6:$B$108,MATCH(D1225,Roster!$A$6:$A$108,0))</x:f>
        <x:v>Associate Principal</x:v>
      </x:c>
      <x:c r="F1225" s="14" t="str">
        <x:f>INDEX(Roster!$F$6:$F$108,MATCH(D1225,Roster!$A$6:$A$108,0))</x:f>
        <x:v>Yes</x:v>
      </x:c>
      <x:c r="G1225" s="14" t="n">
        <x:f>INDEX(Inputs!$B$7:$D$7,1,MATCH(A1225,Inputs!$B$6:$D$6,0))</x:f>
        <x:v>13</x:v>
      </x:c>
      <x:c r="H1225" s="14" t="n">
        <x:f>MIN(=INDEX(Inputs!$B$7:$D$7,1,MATCH(A1225,Inputs!$B$6:$D$6,0)),MAX(0,INDEX(Inputs!$B$14:$D$14,1,MATCH(A1225,Inputs!$B$6:$D$6,0))-(C1225-1)*=INDEX(Inputs!$B$7:$D$7,1,MATCH(A1225,Inputs!$B$6:$D$6,0))))</x:f>
        <x:v>0</x:v>
      </x:c>
      <x:c r="I1225" s="20" t="n">
        <x:f>INDEX(Inputs!$B$8:$D$8,1,MATCH(A1225,Inputs!$B$6:$D$6,0))</x:f>
        <x:v>2395</x:v>
      </x:c>
      <x:c r="J1225" s="20" t="n">
        <x:f>INDEX(Roster!$C$6:$C$108,MATCH(D1225,Roster!$A$6:$A$108,0))*(1+INDEX(Inputs!$B$9:$D$9,1,MATCH(A1225,Inputs!$B$6:$D$6,0)))</x:f>
        <x:v>753.46</x:v>
      </x:c>
      <x:c r="K1225" s="20" t="n">
        <x:f>IF(=INDEX(Roster!$F$6:$F$108,MATCH(D1225,Roster!$A$6:$A$108,0))="Yes",0,=INDEX(Inputs!$B$8:$D$8,1,MATCH(A1225,Inputs!$B$6:$D$6,0))*IF(=INDEX(Roster!$B$6:$B$108,MATCH(D1225,Roster!$A$6:$A$108,0))="Principal",INDEX(Inputs!$B$10:$D$10,1,MATCH(A1225,Inputs!$B$6:$D$6,0)),IF(=INDEX(Roster!$B$6:$B$108,MATCH(D1225,Roster!$A$6:$A$108,0))="Associate Principal",INDEX(Inputs!$B$11:$D$11,1,MATCH(A1225,Inputs!$B$6:$D$6,0)),IF(=INDEX(Roster!$B$6:$B$108,MATCH(D1225,Roster!$A$6:$A$108,0))="Assistant Principal",INDEX(Inputs!$B$12:$D$12,1,MATCH(A1225,Inputs!$B$6:$D$6,0)),0))))</x:f>
        <x:v>0</x:v>
      </x:c>
      <x:c r="L1225" s="20" t="n">
        <x:f>IF(INDEX(Roster!$D$6:$D$108,MATCH(D1225,Roster!$A$6:$A$108,0))&gt;=25,INDEX(Inputs!$B$19:$D$19,1,MATCH(A1225,Inputs!$B$6:$D$6,0)),IF(INDEX(Roster!$D$6:$D$108,MATCH(D1225,Roster!$A$6:$A$108,0))&gt;=20,INDEX(Inputs!$B$18:$D$18,1,MATCH(A1225,Inputs!$B$6:$D$6,0)),IF(INDEX(Roster!$D$6:$D$108,MATCH(D1225,Roster!$A$6:$A$108,0))&gt;=15,INDEX(Inputs!$B$17:$D$17,1,MATCH(A1225,Inputs!$B$6:$D$6,0)),IF(INDEX(Roster!$D$6:$D$108,MATCH(D1225,Roster!$A$6:$A$108,0))&gt;=10,INDEX(Inputs!$B$16:$D$16,1,MATCH(A1225,Inputs!$B$6:$D$6,0)),IF(INDEX(Roster!$D$6:$D$108,MATCH(D1225,Roster!$A$6:$A$108,0))&gt;=5,INDEX(Inputs!$B$15:$D$15,1,MATCH(A1225,Inputs!$B$6:$D$6,0)),0)))))</x:f>
        <x:v>60</x:v>
      </x:c>
      <x:c r="M1225" s="20" t="n">
        <x:f>G1225*I1225</x:f>
        <x:v>31135</x:v>
      </x:c>
      <x:c r="N1225" s="20" t="n">
        <x:f>G1225*J1225</x:f>
        <x:v>9794.98</x:v>
      </x:c>
      <x:c r="O1225" s="20" t="n">
        <x:f>G1225*K1225</x:f>
        <x:v>0</x:v>
      </x:c>
      <x:c r="P1225" s="20" t="n">
        <x:f>G1225*L1225</x:f>
        <x:v>780</x:v>
      </x:c>
      <x:c r="Q1225" s="20" t="n">
        <x:f>H1225*INDEX(Inputs!$B$13:$D$13,1,MATCH(A1225,Inputs!$B$6:$D$6,0))</x:f>
        <x:v>0</x:v>
      </x:c>
      <x:c r="R1225" s="20" t="n">
        <x:f>SUM(M1225:Q1225)</x:f>
        <x:v>41709.979999999996</x:v>
      </x:c>
      <x:c r="S1225" s="20" t="n">
        <x:f>IF(AND(A1224=A1225,D1224=D1225),S1224+R1225,R1225)</x:f>
        <x:v>168009.91999999998</x:v>
      </x:c>
      <x:c r="T1225" s="20" t="n">
        <x:f>MIN(S1225,INDEX(Inputs!$B$20:$D$20,1,MATCH(A1225,Inputs!$B$6:$D$6,0)))*INDEX(Inputs!$B$22:$D$22,1,MATCH(A1225,Inputs!$B$6:$D$6,0))+MAX(MIN(S1225,INDEX(Inputs!$B$21:$D$21,1,MATCH(A1225,Inputs!$B$6:$D$6,0)))-INDEX(Inputs!$B$20:$D$20,1,MATCH(A1225,Inputs!$B$6:$D$6,0)),0)*INDEX(Inputs!$B$23:$D$23,1,MATCH(A1225,Inputs!$B$6:$D$6,0))+MAX(S1225-INDEX(Inputs!$B$21:$D$21,1,MATCH(A1225,Inputs!$B$6:$D$6,0)),0)*INDEX(Inputs!$B$24:$D$24,1,MATCH(A1225,Inputs!$B$6:$D$6,0))</x:f>
        <x:v>10350.08584</x:v>
      </x:c>
      <x:c r="U1225" s="20" t="n">
        <x:f>IF(AND(A1224=A1225,D1224=D1225),T1224,0)</x:f>
        <x:v>9745.29113</x:v>
      </x:c>
      <x:c r="V1225" s="20" t="n">
        <x:f>T1225-U1225</x:f>
        <x:v>604.7947100000001</x:v>
      </x:c>
      <x:c r="W1225" s="20" t="n">
        <x:f>R1225+V1225</x:f>
        <x:v>42314.77471</x:v>
      </x:c>
      <x:c r="X1225" s="14" t="str">
        <x:f>IF(ABS(W1225-SUM(M1225:Q1225)-V1225)&lt;0.01,"OK","Check")</x:f>
        <x:v>OK</x:v>
      </x:c>
    </x:row>
    <x:row r="1226">
      <x:c r="A1226" s="14" t="n">
        <x:v>2028</x:v>
      </x:c>
      <x:c r="B1226" s="14" t="str">
        <x:v>Q1</x:v>
      </x:c>
      <x:c r="C1226" s="14" t="n">
        <x:v>1</x:v>
      </x:c>
      <x:c r="D1226" s="14" t="n">
        <x:v>100</x:v>
      </x:c>
      <x:c r="E1226" s="14" t="str">
        <x:f>INDEX(Roster!$B$6:$B$108,MATCH(D1226,Roster!$A$6:$A$108,0))</x:f>
        <x:v>Associate Principal</x:v>
      </x:c>
      <x:c r="F1226" s="14" t="str">
        <x:f>INDEX(Roster!$F$6:$F$108,MATCH(D1226,Roster!$A$6:$A$108,0))</x:f>
        <x:v>Yes</x:v>
      </x:c>
      <x:c r="G1226" s="14" t="n">
        <x:f>INDEX(Inputs!$B$7:$D$7,1,MATCH(A1226,Inputs!$B$6:$D$6,0))</x:f>
        <x:v>13</x:v>
      </x:c>
      <x:c r="H1226" s="14" t="n">
        <x:f>MIN(=INDEX(Inputs!$B$7:$D$7,1,MATCH(A1226,Inputs!$B$6:$D$6,0)),MAX(0,INDEX(Inputs!$B$14:$D$14,1,MATCH(A1226,Inputs!$B$6:$D$6,0))-(C1226-1)*=INDEX(Inputs!$B$7:$D$7,1,MATCH(A1226,Inputs!$B$6:$D$6,0))))</x:f>
        <x:v>13</x:v>
      </x:c>
      <x:c r="I1226" s="20" t="n">
        <x:f>INDEX(Inputs!$B$8:$D$8,1,MATCH(A1226,Inputs!$B$6:$D$6,0))</x:f>
        <x:v>2395</x:v>
      </x:c>
      <x:c r="J1226" s="20" t="n">
        <x:f>INDEX(Roster!$C$6:$C$108,MATCH(D1226,Roster!$A$6:$A$108,0))*(1+INDEX(Inputs!$B$9:$D$9,1,MATCH(A1226,Inputs!$B$6:$D$6,0)))</x:f>
        <x:v>600</x:v>
      </x:c>
      <x:c r="K1226" s="20" t="n">
        <x:f>IF(=INDEX(Roster!$F$6:$F$108,MATCH(D1226,Roster!$A$6:$A$108,0))="Yes",0,=INDEX(Inputs!$B$8:$D$8,1,MATCH(A1226,Inputs!$B$6:$D$6,0))*IF(=INDEX(Roster!$B$6:$B$108,MATCH(D1226,Roster!$A$6:$A$108,0))="Principal",INDEX(Inputs!$B$10:$D$10,1,MATCH(A1226,Inputs!$B$6:$D$6,0)),IF(=INDEX(Roster!$B$6:$B$108,MATCH(D1226,Roster!$A$6:$A$108,0))="Associate Principal",INDEX(Inputs!$B$11:$D$11,1,MATCH(A1226,Inputs!$B$6:$D$6,0)),IF(=INDEX(Roster!$B$6:$B$108,MATCH(D1226,Roster!$A$6:$A$108,0))="Assistant Principal",INDEX(Inputs!$B$12:$D$12,1,MATCH(A1226,Inputs!$B$6:$D$6,0)),0))))</x:f>
        <x:v>0</x:v>
      </x:c>
      <x:c r="L1226" s="20" t="n">
        <x:f>IF(INDEX(Roster!$D$6:$D$108,MATCH(D1226,Roster!$A$6:$A$108,0))&gt;=25,INDEX(Inputs!$B$19:$D$19,1,MATCH(A1226,Inputs!$B$6:$D$6,0)),IF(INDEX(Roster!$D$6:$D$108,MATCH(D1226,Roster!$A$6:$A$108,0))&gt;=20,INDEX(Inputs!$B$18:$D$18,1,MATCH(A1226,Inputs!$B$6:$D$6,0)),IF(INDEX(Roster!$D$6:$D$108,MATCH(D1226,Roster!$A$6:$A$108,0))&gt;=15,INDEX(Inputs!$B$17:$D$17,1,MATCH(A1226,Inputs!$B$6:$D$6,0)),IF(INDEX(Roster!$D$6:$D$108,MATCH(D1226,Roster!$A$6:$A$108,0))&gt;=10,INDEX(Inputs!$B$16:$D$16,1,MATCH(A1226,Inputs!$B$6:$D$6,0)),IF(INDEX(Roster!$D$6:$D$108,MATCH(D1226,Roster!$A$6:$A$108,0))&gt;=5,INDEX(Inputs!$B$15:$D$15,1,MATCH(A1226,Inputs!$B$6:$D$6,0)),0)))))</x:f>
        <x:v>50</x:v>
      </x:c>
      <x:c r="M1226" s="20" t="n">
        <x:f>G1226*I1226</x:f>
        <x:v>31135</x:v>
      </x:c>
      <x:c r="N1226" s="20" t="n">
        <x:f>G1226*J1226</x:f>
        <x:v>7800</x:v>
      </x:c>
      <x:c r="O1226" s="20" t="n">
        <x:f>G1226*K1226</x:f>
        <x:v>0</x:v>
      </x:c>
      <x:c r="P1226" s="20" t="n">
        <x:f>G1226*L1226</x:f>
        <x:v>650</x:v>
      </x:c>
      <x:c r="Q1226" s="20" t="n">
        <x:f>H1226*INDEX(Inputs!$B$13:$D$13,1,MATCH(A1226,Inputs!$B$6:$D$6,0))</x:f>
        <x:v>390</x:v>
      </x:c>
      <x:c r="R1226" s="20" t="n">
        <x:f>SUM(M1226:Q1226)</x:f>
        <x:v>39975</x:v>
      </x:c>
      <x:c r="S1226" s="20" t="n">
        <x:f>IF(AND(A1225=A1226,D1225=D1226),S1225+R1226,R1226)</x:f>
        <x:v>39975</x:v>
      </x:c>
      <x:c r="T1226" s="20" t="n">
        <x:f>MIN(S1226,INDEX(Inputs!$B$20:$D$20,1,MATCH(A1226,Inputs!$B$6:$D$6,0)))*INDEX(Inputs!$B$22:$D$22,1,MATCH(A1226,Inputs!$B$6:$D$6,0))+MAX(MIN(S1226,INDEX(Inputs!$B$21:$D$21,1,MATCH(A1226,Inputs!$B$6:$D$6,0)))-INDEX(Inputs!$B$20:$D$20,1,MATCH(A1226,Inputs!$B$6:$D$6,0)),0)*INDEX(Inputs!$B$23:$D$23,1,MATCH(A1226,Inputs!$B$6:$D$6,0))+MAX(S1226-INDEX(Inputs!$B$21:$D$21,1,MATCH(A1226,Inputs!$B$6:$D$6,0)),0)*INDEX(Inputs!$B$24:$D$24,1,MATCH(A1226,Inputs!$B$6:$D$6,0))</x:f>
        <x:v>3548.0875</x:v>
      </x:c>
      <x:c r="U1226" s="20" t="n">
        <x:f>IF(AND(A1225=A1226,D1225=D1226),T1225,0)</x:f>
        <x:v>0</x:v>
      </x:c>
      <x:c r="V1226" s="20" t="n">
        <x:f>T1226-U1226</x:f>
        <x:v>3548.0875</x:v>
      </x:c>
      <x:c r="W1226" s="20" t="n">
        <x:f>R1226+V1226</x:f>
        <x:v>43523.0875</x:v>
      </x:c>
      <x:c r="X1226" s="14" t="str">
        <x:f>IF(ABS(W1226-SUM(M1226:Q1226)-V1226)&lt;0.01,"OK","Check")</x:f>
        <x:v>OK</x:v>
      </x:c>
    </x:row>
    <x:row r="1227">
      <x:c r="A1227" s="14" t="n">
        <x:v>2028</x:v>
      </x:c>
      <x:c r="B1227" s="14" t="str">
        <x:v>Q2</x:v>
      </x:c>
      <x:c r="C1227" s="14" t="n">
        <x:v>2</x:v>
      </x:c>
      <x:c r="D1227" s="14" t="n">
        <x:v>100</x:v>
      </x:c>
      <x:c r="E1227" s="14" t="str">
        <x:f>INDEX(Roster!$B$6:$B$108,MATCH(D1227,Roster!$A$6:$A$108,0))</x:f>
        <x:v>Associate Principal</x:v>
      </x:c>
      <x:c r="F1227" s="14" t="str">
        <x:f>INDEX(Roster!$F$6:$F$108,MATCH(D1227,Roster!$A$6:$A$108,0))</x:f>
        <x:v>Yes</x:v>
      </x:c>
      <x:c r="G1227" s="14" t="n">
        <x:f>INDEX(Inputs!$B$7:$D$7,1,MATCH(A1227,Inputs!$B$6:$D$6,0))</x:f>
        <x:v>13</x:v>
      </x:c>
      <x:c r="H1227" s="14" t="n">
        <x:f>MIN(=INDEX(Inputs!$B$7:$D$7,1,MATCH(A1227,Inputs!$B$6:$D$6,0)),MAX(0,INDEX(Inputs!$B$14:$D$14,1,MATCH(A1227,Inputs!$B$6:$D$6,0))-(C1227-1)*=INDEX(Inputs!$B$7:$D$7,1,MATCH(A1227,Inputs!$B$6:$D$6,0))))</x:f>
        <x:v>13</x:v>
      </x:c>
      <x:c r="I1227" s="20" t="n">
        <x:f>INDEX(Inputs!$B$8:$D$8,1,MATCH(A1227,Inputs!$B$6:$D$6,0))</x:f>
        <x:v>2395</x:v>
      </x:c>
      <x:c r="J1227" s="20" t="n">
        <x:f>INDEX(Roster!$C$6:$C$108,MATCH(D1227,Roster!$A$6:$A$108,0))*(1+INDEX(Inputs!$B$9:$D$9,1,MATCH(A1227,Inputs!$B$6:$D$6,0)))</x:f>
        <x:v>600</x:v>
      </x:c>
      <x:c r="K1227" s="20" t="n">
        <x:f>IF(=INDEX(Roster!$F$6:$F$108,MATCH(D1227,Roster!$A$6:$A$108,0))="Yes",0,=INDEX(Inputs!$B$8:$D$8,1,MATCH(A1227,Inputs!$B$6:$D$6,0))*IF(=INDEX(Roster!$B$6:$B$108,MATCH(D1227,Roster!$A$6:$A$108,0))="Principal",INDEX(Inputs!$B$10:$D$10,1,MATCH(A1227,Inputs!$B$6:$D$6,0)),IF(=INDEX(Roster!$B$6:$B$108,MATCH(D1227,Roster!$A$6:$A$108,0))="Associate Principal",INDEX(Inputs!$B$11:$D$11,1,MATCH(A1227,Inputs!$B$6:$D$6,0)),IF(=INDEX(Roster!$B$6:$B$108,MATCH(D1227,Roster!$A$6:$A$108,0))="Assistant Principal",INDEX(Inputs!$B$12:$D$12,1,MATCH(A1227,Inputs!$B$6:$D$6,0)),0))))</x:f>
        <x:v>0</x:v>
      </x:c>
      <x:c r="L1227" s="20" t="n">
        <x:f>IF(INDEX(Roster!$D$6:$D$108,MATCH(D1227,Roster!$A$6:$A$108,0))&gt;=25,INDEX(Inputs!$B$19:$D$19,1,MATCH(A1227,Inputs!$B$6:$D$6,0)),IF(INDEX(Roster!$D$6:$D$108,MATCH(D1227,Roster!$A$6:$A$108,0))&gt;=20,INDEX(Inputs!$B$18:$D$18,1,MATCH(A1227,Inputs!$B$6:$D$6,0)),IF(INDEX(Roster!$D$6:$D$108,MATCH(D1227,Roster!$A$6:$A$108,0))&gt;=15,INDEX(Inputs!$B$17:$D$17,1,MATCH(A1227,Inputs!$B$6:$D$6,0)),IF(INDEX(Roster!$D$6:$D$108,MATCH(D1227,Roster!$A$6:$A$108,0))&gt;=10,INDEX(Inputs!$B$16:$D$16,1,MATCH(A1227,Inputs!$B$6:$D$6,0)),IF(INDEX(Roster!$D$6:$D$108,MATCH(D1227,Roster!$A$6:$A$108,0))&gt;=5,INDEX(Inputs!$B$15:$D$15,1,MATCH(A1227,Inputs!$B$6:$D$6,0)),0)))))</x:f>
        <x:v>50</x:v>
      </x:c>
      <x:c r="M1227" s="20" t="n">
        <x:f>G1227*I1227</x:f>
        <x:v>31135</x:v>
      </x:c>
      <x:c r="N1227" s="20" t="n">
        <x:f>G1227*J1227</x:f>
        <x:v>7800</x:v>
      </x:c>
      <x:c r="O1227" s="20" t="n">
        <x:f>G1227*K1227</x:f>
        <x:v>0</x:v>
      </x:c>
      <x:c r="P1227" s="20" t="n">
        <x:f>G1227*L1227</x:f>
        <x:v>650</x:v>
      </x:c>
      <x:c r="Q1227" s="20" t="n">
        <x:f>H1227*INDEX(Inputs!$B$13:$D$13,1,MATCH(A1227,Inputs!$B$6:$D$6,0))</x:f>
        <x:v>390</x:v>
      </x:c>
      <x:c r="R1227" s="20" t="n">
        <x:f>SUM(M1227:Q1227)</x:f>
        <x:v>39975</x:v>
      </x:c>
      <x:c r="S1227" s="20" t="n">
        <x:f>IF(AND(A1226=A1227,D1226=D1227),S1226+R1227,R1227)</x:f>
        <x:v>79950</x:v>
      </x:c>
      <x:c r="T1227" s="20" t="n">
        <x:f>MIN(S1227,INDEX(Inputs!$B$20:$D$20,1,MATCH(A1227,Inputs!$B$6:$D$6,0)))*INDEX(Inputs!$B$22:$D$22,1,MATCH(A1227,Inputs!$B$6:$D$6,0))+MAX(MIN(S1227,INDEX(Inputs!$B$21:$D$21,1,MATCH(A1227,Inputs!$B$6:$D$6,0)))-INDEX(Inputs!$B$20:$D$20,1,MATCH(A1227,Inputs!$B$6:$D$6,0)),0)*INDEX(Inputs!$B$23:$D$23,1,MATCH(A1227,Inputs!$B$6:$D$6,0))+MAX(S1227-INDEX(Inputs!$B$21:$D$21,1,MATCH(A1227,Inputs!$B$6:$D$6,0)),0)*INDEX(Inputs!$B$24:$D$24,1,MATCH(A1227,Inputs!$B$6:$D$6,0))</x:f>
        <x:v>6606.175</x:v>
      </x:c>
      <x:c r="U1227" s="20" t="n">
        <x:f>IF(AND(A1226=A1227,D1226=D1227),T1226,0)</x:f>
        <x:v>3548.0875</x:v>
      </x:c>
      <x:c r="V1227" s="20" t="n">
        <x:f>T1227-U1227</x:f>
        <x:v>3058.0875</x:v>
      </x:c>
      <x:c r="W1227" s="20" t="n">
        <x:f>R1227+V1227</x:f>
        <x:v>43033.0875</x:v>
      </x:c>
      <x:c r="X1227" s="14" t="str">
        <x:f>IF(ABS(W1227-SUM(M1227:Q1227)-V1227)&lt;0.01,"OK","Check")</x:f>
        <x:v>OK</x:v>
      </x:c>
    </x:row>
    <x:row r="1228">
      <x:c r="A1228" s="14" t="n">
        <x:v>2028</x:v>
      </x:c>
      <x:c r="B1228" s="14" t="str">
        <x:v>Q3</x:v>
      </x:c>
      <x:c r="C1228" s="14" t="n">
        <x:v>3</x:v>
      </x:c>
      <x:c r="D1228" s="14" t="n">
        <x:v>100</x:v>
      </x:c>
      <x:c r="E1228" s="14" t="str">
        <x:f>INDEX(Roster!$B$6:$B$108,MATCH(D1228,Roster!$A$6:$A$108,0))</x:f>
        <x:v>Associate Principal</x:v>
      </x:c>
      <x:c r="F1228" s="14" t="str">
        <x:f>INDEX(Roster!$F$6:$F$108,MATCH(D1228,Roster!$A$6:$A$108,0))</x:f>
        <x:v>Yes</x:v>
      </x:c>
      <x:c r="G1228" s="14" t="n">
        <x:f>INDEX(Inputs!$B$7:$D$7,1,MATCH(A1228,Inputs!$B$6:$D$6,0))</x:f>
        <x:v>13</x:v>
      </x:c>
      <x:c r="H1228" s="14" t="n">
        <x:f>MIN(=INDEX(Inputs!$B$7:$D$7,1,MATCH(A1228,Inputs!$B$6:$D$6,0)),MAX(0,INDEX(Inputs!$B$14:$D$14,1,MATCH(A1228,Inputs!$B$6:$D$6,0))-(C1228-1)*=INDEX(Inputs!$B$7:$D$7,1,MATCH(A1228,Inputs!$B$6:$D$6,0))))</x:f>
        <x:v>13</x:v>
      </x:c>
      <x:c r="I1228" s="20" t="n">
        <x:f>INDEX(Inputs!$B$8:$D$8,1,MATCH(A1228,Inputs!$B$6:$D$6,0))</x:f>
        <x:v>2395</x:v>
      </x:c>
      <x:c r="J1228" s="20" t="n">
        <x:f>INDEX(Roster!$C$6:$C$108,MATCH(D1228,Roster!$A$6:$A$108,0))*(1+INDEX(Inputs!$B$9:$D$9,1,MATCH(A1228,Inputs!$B$6:$D$6,0)))</x:f>
        <x:v>600</x:v>
      </x:c>
      <x:c r="K1228" s="20" t="n">
        <x:f>IF(=INDEX(Roster!$F$6:$F$108,MATCH(D1228,Roster!$A$6:$A$108,0))="Yes",0,=INDEX(Inputs!$B$8:$D$8,1,MATCH(A1228,Inputs!$B$6:$D$6,0))*IF(=INDEX(Roster!$B$6:$B$108,MATCH(D1228,Roster!$A$6:$A$108,0))="Principal",INDEX(Inputs!$B$10:$D$10,1,MATCH(A1228,Inputs!$B$6:$D$6,0)),IF(=INDEX(Roster!$B$6:$B$108,MATCH(D1228,Roster!$A$6:$A$108,0))="Associate Principal",INDEX(Inputs!$B$11:$D$11,1,MATCH(A1228,Inputs!$B$6:$D$6,0)),IF(=INDEX(Roster!$B$6:$B$108,MATCH(D1228,Roster!$A$6:$A$108,0))="Assistant Principal",INDEX(Inputs!$B$12:$D$12,1,MATCH(A1228,Inputs!$B$6:$D$6,0)),0))))</x:f>
        <x:v>0</x:v>
      </x:c>
      <x:c r="L1228" s="20" t="n">
        <x:f>IF(INDEX(Roster!$D$6:$D$108,MATCH(D1228,Roster!$A$6:$A$108,0))&gt;=25,INDEX(Inputs!$B$19:$D$19,1,MATCH(A1228,Inputs!$B$6:$D$6,0)),IF(INDEX(Roster!$D$6:$D$108,MATCH(D1228,Roster!$A$6:$A$108,0))&gt;=20,INDEX(Inputs!$B$18:$D$18,1,MATCH(A1228,Inputs!$B$6:$D$6,0)),IF(INDEX(Roster!$D$6:$D$108,MATCH(D1228,Roster!$A$6:$A$108,0))&gt;=15,INDEX(Inputs!$B$17:$D$17,1,MATCH(A1228,Inputs!$B$6:$D$6,0)),IF(INDEX(Roster!$D$6:$D$108,MATCH(D1228,Roster!$A$6:$A$108,0))&gt;=10,INDEX(Inputs!$B$16:$D$16,1,MATCH(A1228,Inputs!$B$6:$D$6,0)),IF(INDEX(Roster!$D$6:$D$108,MATCH(D1228,Roster!$A$6:$A$108,0))&gt;=5,INDEX(Inputs!$B$15:$D$15,1,MATCH(A1228,Inputs!$B$6:$D$6,0)),0)))))</x:f>
        <x:v>50</x:v>
      </x:c>
      <x:c r="M1228" s="20" t="n">
        <x:f>G1228*I1228</x:f>
        <x:v>31135</x:v>
      </x:c>
      <x:c r="N1228" s="20" t="n">
        <x:f>G1228*J1228</x:f>
        <x:v>7800</x:v>
      </x:c>
      <x:c r="O1228" s="20" t="n">
        <x:f>G1228*K1228</x:f>
        <x:v>0</x:v>
      </x:c>
      <x:c r="P1228" s="20" t="n">
        <x:f>G1228*L1228</x:f>
        <x:v>650</x:v>
      </x:c>
      <x:c r="Q1228" s="20" t="n">
        <x:f>H1228*INDEX(Inputs!$B$13:$D$13,1,MATCH(A1228,Inputs!$B$6:$D$6,0))</x:f>
        <x:v>390</x:v>
      </x:c>
      <x:c r="R1228" s="20" t="n">
        <x:f>SUM(M1228:Q1228)</x:f>
        <x:v>39975</x:v>
      </x:c>
      <x:c r="S1228" s="20" t="n">
        <x:f>IF(AND(A1227=A1228,D1227=D1228),S1227+R1228,R1228)</x:f>
        <x:v>119925</x:v>
      </x:c>
      <x:c r="T1228" s="20" t="n">
        <x:f>MIN(S1228,INDEX(Inputs!$B$20:$D$20,1,MATCH(A1228,Inputs!$B$6:$D$6,0)))*INDEX(Inputs!$B$22:$D$22,1,MATCH(A1228,Inputs!$B$6:$D$6,0))+MAX(MIN(S1228,INDEX(Inputs!$B$21:$D$21,1,MATCH(A1228,Inputs!$B$6:$D$6,0)))-INDEX(Inputs!$B$20:$D$20,1,MATCH(A1228,Inputs!$B$6:$D$6,0)),0)*INDEX(Inputs!$B$23:$D$23,1,MATCH(A1228,Inputs!$B$6:$D$6,0))+MAX(S1228-INDEX(Inputs!$B$21:$D$21,1,MATCH(A1228,Inputs!$B$6:$D$6,0)),0)*INDEX(Inputs!$B$24:$D$24,1,MATCH(A1228,Inputs!$B$6:$D$6,0))</x:f>
        <x:v>9652.8545</x:v>
      </x:c>
      <x:c r="U1228" s="20" t="n">
        <x:f>IF(AND(A1227=A1228,D1227=D1228),T1227,0)</x:f>
        <x:v>6606.175</x:v>
      </x:c>
      <x:c r="V1228" s="20" t="n">
        <x:f>T1228-U1228</x:f>
        <x:v>3046.6794999999993</x:v>
      </x:c>
      <x:c r="W1228" s="20" t="n">
        <x:f>R1228+V1228</x:f>
        <x:v>43021.6795</x:v>
      </x:c>
      <x:c r="X1228" s="14" t="str">
        <x:f>IF(ABS(W1228-SUM(M1228:Q1228)-V1228)&lt;0.01,"OK","Check")</x:f>
        <x:v>OK</x:v>
      </x:c>
    </x:row>
    <x:row r="1229">
      <x:c r="A1229" s="14" t="n">
        <x:v>2028</x:v>
      </x:c>
      <x:c r="B1229" s="14" t="str">
        <x:v>Q4</x:v>
      </x:c>
      <x:c r="C1229" s="14" t="n">
        <x:v>4</x:v>
      </x:c>
      <x:c r="D1229" s="14" t="n">
        <x:v>100</x:v>
      </x:c>
      <x:c r="E1229" s="14" t="str">
        <x:f>INDEX(Roster!$B$6:$B$108,MATCH(D1229,Roster!$A$6:$A$108,0))</x:f>
        <x:v>Associate Principal</x:v>
      </x:c>
      <x:c r="F1229" s="14" t="str">
        <x:f>INDEX(Roster!$F$6:$F$108,MATCH(D1229,Roster!$A$6:$A$108,0))</x:f>
        <x:v>Yes</x:v>
      </x:c>
      <x:c r="G1229" s="14" t="n">
        <x:f>INDEX(Inputs!$B$7:$D$7,1,MATCH(A1229,Inputs!$B$6:$D$6,0))</x:f>
        <x:v>13</x:v>
      </x:c>
      <x:c r="H1229" s="14" t="n">
        <x:f>MIN(=INDEX(Inputs!$B$7:$D$7,1,MATCH(A1229,Inputs!$B$6:$D$6,0)),MAX(0,INDEX(Inputs!$B$14:$D$14,1,MATCH(A1229,Inputs!$B$6:$D$6,0))-(C1229-1)*=INDEX(Inputs!$B$7:$D$7,1,MATCH(A1229,Inputs!$B$6:$D$6,0))))</x:f>
        <x:v>0</x:v>
      </x:c>
      <x:c r="I1229" s="20" t="n">
        <x:f>INDEX(Inputs!$B$8:$D$8,1,MATCH(A1229,Inputs!$B$6:$D$6,0))</x:f>
        <x:v>2395</x:v>
      </x:c>
      <x:c r="J1229" s="20" t="n">
        <x:f>INDEX(Roster!$C$6:$C$108,MATCH(D1229,Roster!$A$6:$A$108,0))*(1+INDEX(Inputs!$B$9:$D$9,1,MATCH(A1229,Inputs!$B$6:$D$6,0)))</x:f>
        <x:v>600</x:v>
      </x:c>
      <x:c r="K1229" s="20" t="n">
        <x:f>IF(=INDEX(Roster!$F$6:$F$108,MATCH(D1229,Roster!$A$6:$A$108,0))="Yes",0,=INDEX(Inputs!$B$8:$D$8,1,MATCH(A1229,Inputs!$B$6:$D$6,0))*IF(=INDEX(Roster!$B$6:$B$108,MATCH(D1229,Roster!$A$6:$A$108,0))="Principal",INDEX(Inputs!$B$10:$D$10,1,MATCH(A1229,Inputs!$B$6:$D$6,0)),IF(=INDEX(Roster!$B$6:$B$108,MATCH(D1229,Roster!$A$6:$A$108,0))="Associate Principal",INDEX(Inputs!$B$11:$D$11,1,MATCH(A1229,Inputs!$B$6:$D$6,0)),IF(=INDEX(Roster!$B$6:$B$108,MATCH(D1229,Roster!$A$6:$A$108,0))="Assistant Principal",INDEX(Inputs!$B$12:$D$12,1,MATCH(A1229,Inputs!$B$6:$D$6,0)),0))))</x:f>
        <x:v>0</x:v>
      </x:c>
      <x:c r="L1229" s="20" t="n">
        <x:f>IF(INDEX(Roster!$D$6:$D$108,MATCH(D1229,Roster!$A$6:$A$108,0))&gt;=25,INDEX(Inputs!$B$19:$D$19,1,MATCH(A1229,Inputs!$B$6:$D$6,0)),IF(INDEX(Roster!$D$6:$D$108,MATCH(D1229,Roster!$A$6:$A$108,0))&gt;=20,INDEX(Inputs!$B$18:$D$18,1,MATCH(A1229,Inputs!$B$6:$D$6,0)),IF(INDEX(Roster!$D$6:$D$108,MATCH(D1229,Roster!$A$6:$A$108,0))&gt;=15,INDEX(Inputs!$B$17:$D$17,1,MATCH(A1229,Inputs!$B$6:$D$6,0)),IF(INDEX(Roster!$D$6:$D$108,MATCH(D1229,Roster!$A$6:$A$108,0))&gt;=10,INDEX(Inputs!$B$16:$D$16,1,MATCH(A1229,Inputs!$B$6:$D$6,0)),IF(INDEX(Roster!$D$6:$D$108,MATCH(D1229,Roster!$A$6:$A$108,0))&gt;=5,INDEX(Inputs!$B$15:$D$15,1,MATCH(A1229,Inputs!$B$6:$D$6,0)),0)))))</x:f>
        <x:v>50</x:v>
      </x:c>
      <x:c r="M1229" s="20" t="n">
        <x:f>G1229*I1229</x:f>
        <x:v>31135</x:v>
      </x:c>
      <x:c r="N1229" s="20" t="n">
        <x:f>G1229*J1229</x:f>
        <x:v>7800</x:v>
      </x:c>
      <x:c r="O1229" s="20" t="n">
        <x:f>G1229*K1229</x:f>
        <x:v>0</x:v>
      </x:c>
      <x:c r="P1229" s="20" t="n">
        <x:f>G1229*L1229</x:f>
        <x:v>650</x:v>
      </x:c>
      <x:c r="Q1229" s="20" t="n">
        <x:f>H1229*INDEX(Inputs!$B$13:$D$13,1,MATCH(A1229,Inputs!$B$6:$D$6,0))</x:f>
        <x:v>0</x:v>
      </x:c>
      <x:c r="R1229" s="20" t="n">
        <x:f>SUM(M1229:Q1229)</x:f>
        <x:v>39585</x:v>
      </x:c>
      <x:c r="S1229" s="20" t="n">
        <x:f>IF(AND(A1228=A1229,D1228=D1229),S1228+R1229,R1229)</x:f>
        <x:v>159510</x:v>
      </x:c>
      <x:c r="T1229" s="20" t="n">
        <x:f>MIN(S1229,INDEX(Inputs!$B$20:$D$20,1,MATCH(A1229,Inputs!$B$6:$D$6,0)))*INDEX(Inputs!$B$22:$D$22,1,MATCH(A1229,Inputs!$B$6:$D$6,0))+MAX(MIN(S1229,INDEX(Inputs!$B$21:$D$21,1,MATCH(A1229,Inputs!$B$6:$D$6,0)))-INDEX(Inputs!$B$20:$D$20,1,MATCH(A1229,Inputs!$B$6:$D$6,0)),0)*INDEX(Inputs!$B$23:$D$23,1,MATCH(A1229,Inputs!$B$6:$D$6,0))+MAX(S1229-INDEX(Inputs!$B$21:$D$21,1,MATCH(A1229,Inputs!$B$6:$D$6,0)),0)*INDEX(Inputs!$B$24:$D$24,1,MATCH(A1229,Inputs!$B$6:$D$6,0))</x:f>
        <x:v>10226.837</x:v>
      </x:c>
      <x:c r="U1229" s="20" t="n">
        <x:f>IF(AND(A1228=A1229,D1228=D1229),T1228,0)</x:f>
        <x:v>9652.8545</x:v>
      </x:c>
      <x:c r="V1229" s="20" t="n">
        <x:f>T1229-U1229</x:f>
        <x:v>573.9825000000001</x:v>
      </x:c>
      <x:c r="W1229" s="20" t="n">
        <x:f>R1229+V1229</x:f>
        <x:v>40158.9825</x:v>
      </x:c>
      <x:c r="X1229" s="14" t="str">
        <x:f>IF(ABS(W1229-SUM(M1229:Q1229)-V1229)&lt;0.01,"OK","Check")</x:f>
        <x:v>OK</x:v>
      </x:c>
    </x:row>
    <x:row r="1230">
      <x:c r="A1230" s="14" t="n">
        <x:v>2028</x:v>
      </x:c>
      <x:c r="B1230" s="14" t="str">
        <x:v>Q1</x:v>
      </x:c>
      <x:c r="C1230" s="14" t="n">
        <x:v>1</x:v>
      </x:c>
      <x:c r="D1230" s="14" t="n">
        <x:v>101</x:v>
      </x:c>
      <x:c r="E1230" s="14" t="str">
        <x:f>INDEX(Roster!$B$6:$B$108,MATCH(D1230,Roster!$A$6:$A$108,0))</x:f>
      </x:c>
      <x:c r="F1230" s="14" t="str">
        <x:f>INDEX(Roster!$F$6:$F$108,MATCH(D1230,Roster!$A$6:$A$108,0))</x:f>
        <x:v>No</x:v>
      </x:c>
      <x:c r="G1230" s="14" t="n">
        <x:f>INDEX(Inputs!$B$7:$D$7,1,MATCH(A1230,Inputs!$B$6:$D$6,0))</x:f>
        <x:v>13</x:v>
      </x:c>
      <x:c r="H1230" s="14" t="n">
        <x:f>MIN(=INDEX(Inputs!$B$7:$D$7,1,MATCH(A1230,Inputs!$B$6:$D$6,0)),MAX(0,INDEX(Inputs!$B$14:$D$14,1,MATCH(A1230,Inputs!$B$6:$D$6,0))-(C1230-1)*=INDEX(Inputs!$B$7:$D$7,1,MATCH(A1230,Inputs!$B$6:$D$6,0))))</x:f>
        <x:v>13</x:v>
      </x:c>
      <x:c r="I1230" s="20" t="n">
        <x:f>INDEX(Inputs!$B$8:$D$8,1,MATCH(A1230,Inputs!$B$6:$D$6,0))</x:f>
        <x:v>2395</x:v>
      </x:c>
      <x:c r="J1230" s="20" t="n">
        <x:f>INDEX(Roster!$C$6:$C$108,MATCH(D1230,Roster!$A$6:$A$108,0))*(1+INDEX(Inputs!$B$9:$D$9,1,MATCH(A1230,Inputs!$B$6:$D$6,0)))</x:f>
        <x:v>30</x:v>
      </x:c>
      <x:c r="K1230" s="20" t="n">
        <x:f>IF(=INDEX(Roster!$F$6:$F$108,MATCH(D1230,Roster!$A$6:$A$108,0))="Yes",0,=INDEX(Inputs!$B$8:$D$8,1,MATCH(A1230,Inputs!$B$6:$D$6,0))*IF(=INDEX(Roster!$B$6:$B$108,MATCH(D1230,Roster!$A$6:$A$108,0))="Principal",INDEX(Inputs!$B$10:$D$10,1,MATCH(A1230,Inputs!$B$6:$D$6,0)),IF(=INDEX(Roster!$B$6:$B$108,MATCH(D1230,Roster!$A$6:$A$108,0))="Associate Principal",INDEX(Inputs!$B$11:$D$11,1,MATCH(A1230,Inputs!$B$6:$D$6,0)),IF(=INDEX(Roster!$B$6:$B$108,MATCH(D1230,Roster!$A$6:$A$108,0))="Assistant Principal",INDEX(Inputs!$B$12:$D$12,1,MATCH(A1230,Inputs!$B$6:$D$6,0)),0))))</x:f>
        <x:v>0</x:v>
      </x:c>
      <x:c r="L1230" s="20" t="n">
        <x:f>IF(INDEX(Roster!$D$6:$D$108,MATCH(D1230,Roster!$A$6:$A$108,0))&gt;=25,INDEX(Inputs!$B$19:$D$19,1,MATCH(A1230,Inputs!$B$6:$D$6,0)),IF(INDEX(Roster!$D$6:$D$108,MATCH(D1230,Roster!$A$6:$A$108,0))&gt;=20,INDEX(Inputs!$B$18:$D$18,1,MATCH(A1230,Inputs!$B$6:$D$6,0)),IF(INDEX(Roster!$D$6:$D$108,MATCH(D1230,Roster!$A$6:$A$108,0))&gt;=15,INDEX(Inputs!$B$17:$D$17,1,MATCH(A1230,Inputs!$B$6:$D$6,0)),IF(INDEX(Roster!$D$6:$D$108,MATCH(D1230,Roster!$A$6:$A$108,0))&gt;=10,INDEX(Inputs!$B$16:$D$16,1,MATCH(A1230,Inputs!$B$6:$D$6,0)),IF(INDEX(Roster!$D$6:$D$108,MATCH(D1230,Roster!$A$6:$A$108,0))&gt;=5,INDEX(Inputs!$B$15:$D$15,1,MATCH(A1230,Inputs!$B$6:$D$6,0)),0)))))</x:f>
        <x:v>0</x:v>
      </x:c>
      <x:c r="M1230" s="20" t="n">
        <x:f>G1230*I1230</x:f>
        <x:v>31135</x:v>
      </x:c>
      <x:c r="N1230" s="20" t="n">
        <x:f>G1230*J1230</x:f>
        <x:v>390</x:v>
      </x:c>
      <x:c r="O1230" s="20" t="n">
        <x:f>G1230*K1230</x:f>
        <x:v>0</x:v>
      </x:c>
      <x:c r="P1230" s="20" t="n">
        <x:f>G1230*L1230</x:f>
        <x:v>0</x:v>
      </x:c>
      <x:c r="Q1230" s="20" t="n">
        <x:f>H1230*INDEX(Inputs!$B$13:$D$13,1,MATCH(A1230,Inputs!$B$6:$D$6,0))</x:f>
        <x:v>390</x:v>
      </x:c>
      <x:c r="R1230" s="20" t="n">
        <x:f>SUM(M1230:Q1230)</x:f>
        <x:v>31915</x:v>
      </x:c>
      <x:c r="S1230" s="20" t="n">
        <x:f>IF(AND(A1229=A1230,D1229=D1230),S1229+R1230,R1230)</x:f>
        <x:v>31915</x:v>
      </x:c>
      <x:c r="T1230" s="20" t="n">
        <x:f>MIN(S1230,INDEX(Inputs!$B$20:$D$20,1,MATCH(A1230,Inputs!$B$6:$D$6,0)))*INDEX(Inputs!$B$22:$D$22,1,MATCH(A1230,Inputs!$B$6:$D$6,0))+MAX(MIN(S1230,INDEX(Inputs!$B$21:$D$21,1,MATCH(A1230,Inputs!$B$6:$D$6,0)))-INDEX(Inputs!$B$20:$D$20,1,MATCH(A1230,Inputs!$B$6:$D$6,0)),0)*INDEX(Inputs!$B$23:$D$23,1,MATCH(A1230,Inputs!$B$6:$D$6,0))+MAX(S1230-INDEX(Inputs!$B$21:$D$21,1,MATCH(A1230,Inputs!$B$6:$D$6,0)),0)*INDEX(Inputs!$B$24:$D$24,1,MATCH(A1230,Inputs!$B$6:$D$6,0))</x:f>
        <x:v>2931.4975</x:v>
      </x:c>
      <x:c r="U1230" s="20" t="n">
        <x:f>IF(AND(A1229=A1230,D1229=D1230),T1229,0)</x:f>
        <x:v>0</x:v>
      </x:c>
      <x:c r="V1230" s="20" t="n">
        <x:f>T1230-U1230</x:f>
        <x:v>2931.4975</x:v>
      </x:c>
      <x:c r="W1230" s="20" t="n">
        <x:f>R1230+V1230</x:f>
        <x:v>34846.4975</x:v>
      </x:c>
      <x:c r="X1230" s="14" t="str">
        <x:f>IF(ABS(W1230-SUM(M1230:Q1230)-V1230)&lt;0.01,"OK","Check")</x:f>
        <x:v>OK</x:v>
      </x:c>
    </x:row>
    <x:row r="1231">
      <x:c r="A1231" s="14" t="n">
        <x:v>2028</x:v>
      </x:c>
      <x:c r="B1231" s="14" t="str">
        <x:v>Q2</x:v>
      </x:c>
      <x:c r="C1231" s="14" t="n">
        <x:v>2</x:v>
      </x:c>
      <x:c r="D1231" s="14" t="n">
        <x:v>101</x:v>
      </x:c>
      <x:c r="E1231" s="14" t="str">
        <x:f>INDEX(Roster!$B$6:$B$108,MATCH(D1231,Roster!$A$6:$A$108,0))</x:f>
      </x:c>
      <x:c r="F1231" s="14" t="str">
        <x:f>INDEX(Roster!$F$6:$F$108,MATCH(D1231,Roster!$A$6:$A$108,0))</x:f>
        <x:v>No</x:v>
      </x:c>
      <x:c r="G1231" s="14" t="n">
        <x:f>INDEX(Inputs!$B$7:$D$7,1,MATCH(A1231,Inputs!$B$6:$D$6,0))</x:f>
        <x:v>13</x:v>
      </x:c>
      <x:c r="H1231" s="14" t="n">
        <x:f>MIN(=INDEX(Inputs!$B$7:$D$7,1,MATCH(A1231,Inputs!$B$6:$D$6,0)),MAX(0,INDEX(Inputs!$B$14:$D$14,1,MATCH(A1231,Inputs!$B$6:$D$6,0))-(C1231-1)*=INDEX(Inputs!$B$7:$D$7,1,MATCH(A1231,Inputs!$B$6:$D$6,0))))</x:f>
        <x:v>13</x:v>
      </x:c>
      <x:c r="I1231" s="20" t="n">
        <x:f>INDEX(Inputs!$B$8:$D$8,1,MATCH(A1231,Inputs!$B$6:$D$6,0))</x:f>
        <x:v>2395</x:v>
      </x:c>
      <x:c r="J1231" s="20" t="n">
        <x:f>INDEX(Roster!$C$6:$C$108,MATCH(D1231,Roster!$A$6:$A$108,0))*(1+INDEX(Inputs!$B$9:$D$9,1,MATCH(A1231,Inputs!$B$6:$D$6,0)))</x:f>
        <x:v>30</x:v>
      </x:c>
      <x:c r="K1231" s="20" t="n">
        <x:f>IF(=INDEX(Roster!$F$6:$F$108,MATCH(D1231,Roster!$A$6:$A$108,0))="Yes",0,=INDEX(Inputs!$B$8:$D$8,1,MATCH(A1231,Inputs!$B$6:$D$6,0))*IF(=INDEX(Roster!$B$6:$B$108,MATCH(D1231,Roster!$A$6:$A$108,0))="Principal",INDEX(Inputs!$B$10:$D$10,1,MATCH(A1231,Inputs!$B$6:$D$6,0)),IF(=INDEX(Roster!$B$6:$B$108,MATCH(D1231,Roster!$A$6:$A$108,0))="Associate Principal",INDEX(Inputs!$B$11:$D$11,1,MATCH(A1231,Inputs!$B$6:$D$6,0)),IF(=INDEX(Roster!$B$6:$B$108,MATCH(D1231,Roster!$A$6:$A$108,0))="Assistant Principal",INDEX(Inputs!$B$12:$D$12,1,MATCH(A1231,Inputs!$B$6:$D$6,0)),0))))</x:f>
        <x:v>0</x:v>
      </x:c>
      <x:c r="L1231" s="20" t="n">
        <x:f>IF(INDEX(Roster!$D$6:$D$108,MATCH(D1231,Roster!$A$6:$A$108,0))&gt;=25,INDEX(Inputs!$B$19:$D$19,1,MATCH(A1231,Inputs!$B$6:$D$6,0)),IF(INDEX(Roster!$D$6:$D$108,MATCH(D1231,Roster!$A$6:$A$108,0))&gt;=20,INDEX(Inputs!$B$18:$D$18,1,MATCH(A1231,Inputs!$B$6:$D$6,0)),IF(INDEX(Roster!$D$6:$D$108,MATCH(D1231,Roster!$A$6:$A$108,0))&gt;=15,INDEX(Inputs!$B$17:$D$17,1,MATCH(A1231,Inputs!$B$6:$D$6,0)),IF(INDEX(Roster!$D$6:$D$108,MATCH(D1231,Roster!$A$6:$A$108,0))&gt;=10,INDEX(Inputs!$B$16:$D$16,1,MATCH(A1231,Inputs!$B$6:$D$6,0)),IF(INDEX(Roster!$D$6:$D$108,MATCH(D1231,Roster!$A$6:$A$108,0))&gt;=5,INDEX(Inputs!$B$15:$D$15,1,MATCH(A1231,Inputs!$B$6:$D$6,0)),0)))))</x:f>
        <x:v>0</x:v>
      </x:c>
      <x:c r="M1231" s="20" t="n">
        <x:f>G1231*I1231</x:f>
        <x:v>31135</x:v>
      </x:c>
      <x:c r="N1231" s="20" t="n">
        <x:f>G1231*J1231</x:f>
        <x:v>390</x:v>
      </x:c>
      <x:c r="O1231" s="20" t="n">
        <x:f>G1231*K1231</x:f>
        <x:v>0</x:v>
      </x:c>
      <x:c r="P1231" s="20" t="n">
        <x:f>G1231*L1231</x:f>
        <x:v>0</x:v>
      </x:c>
      <x:c r="Q1231" s="20" t="n">
        <x:f>H1231*INDEX(Inputs!$B$13:$D$13,1,MATCH(A1231,Inputs!$B$6:$D$6,0))</x:f>
        <x:v>390</x:v>
      </x:c>
      <x:c r="R1231" s="20" t="n">
        <x:f>SUM(M1231:Q1231)</x:f>
        <x:v>31915</x:v>
      </x:c>
      <x:c r="S1231" s="20" t="n">
        <x:f>IF(AND(A1230=A1231,D1230=D1231),S1230+R1231,R1231)</x:f>
        <x:v>63830</x:v>
      </x:c>
      <x:c r="T1231" s="20" t="n">
        <x:f>MIN(S1231,INDEX(Inputs!$B$20:$D$20,1,MATCH(A1231,Inputs!$B$6:$D$6,0)))*INDEX(Inputs!$B$22:$D$22,1,MATCH(A1231,Inputs!$B$6:$D$6,0))+MAX(MIN(S1231,INDEX(Inputs!$B$21:$D$21,1,MATCH(A1231,Inputs!$B$6:$D$6,0)))-INDEX(Inputs!$B$20:$D$20,1,MATCH(A1231,Inputs!$B$6:$D$6,0)),0)*INDEX(Inputs!$B$23:$D$23,1,MATCH(A1231,Inputs!$B$6:$D$6,0))+MAX(S1231-INDEX(Inputs!$B$21:$D$21,1,MATCH(A1231,Inputs!$B$6:$D$6,0)),0)*INDEX(Inputs!$B$24:$D$24,1,MATCH(A1231,Inputs!$B$6:$D$6,0))</x:f>
        <x:v>5372.995</x:v>
      </x:c>
      <x:c r="U1231" s="20" t="n">
        <x:f>IF(AND(A1230=A1231,D1230=D1231),T1230,0)</x:f>
        <x:v>2931.4975</x:v>
      </x:c>
      <x:c r="V1231" s="20" t="n">
        <x:f>T1231-U1231</x:f>
        <x:v>2441.4975</x:v>
      </x:c>
      <x:c r="W1231" s="20" t="n">
        <x:f>R1231+V1231</x:f>
        <x:v>34356.4975</x:v>
      </x:c>
      <x:c r="X1231" s="14" t="str">
        <x:f>IF(ABS(W1231-SUM(M1231:Q1231)-V1231)&lt;0.01,"OK","Check")</x:f>
        <x:v>OK</x:v>
      </x:c>
    </x:row>
    <x:row r="1232">
      <x:c r="A1232" s="14" t="n">
        <x:v>2028</x:v>
      </x:c>
      <x:c r="B1232" s="14" t="str">
        <x:v>Q3</x:v>
      </x:c>
      <x:c r="C1232" s="14" t="n">
        <x:v>3</x:v>
      </x:c>
      <x:c r="D1232" s="14" t="n">
        <x:v>101</x:v>
      </x:c>
      <x:c r="E1232" s="14" t="str">
        <x:f>INDEX(Roster!$B$6:$B$108,MATCH(D1232,Roster!$A$6:$A$108,0))</x:f>
      </x:c>
      <x:c r="F1232" s="14" t="str">
        <x:f>INDEX(Roster!$F$6:$F$108,MATCH(D1232,Roster!$A$6:$A$108,0))</x:f>
        <x:v>No</x:v>
      </x:c>
      <x:c r="G1232" s="14" t="n">
        <x:f>INDEX(Inputs!$B$7:$D$7,1,MATCH(A1232,Inputs!$B$6:$D$6,0))</x:f>
        <x:v>13</x:v>
      </x:c>
      <x:c r="H1232" s="14" t="n">
        <x:f>MIN(=INDEX(Inputs!$B$7:$D$7,1,MATCH(A1232,Inputs!$B$6:$D$6,0)),MAX(0,INDEX(Inputs!$B$14:$D$14,1,MATCH(A1232,Inputs!$B$6:$D$6,0))-(C1232-1)*=INDEX(Inputs!$B$7:$D$7,1,MATCH(A1232,Inputs!$B$6:$D$6,0))))</x:f>
        <x:v>13</x:v>
      </x:c>
      <x:c r="I1232" s="20" t="n">
        <x:f>INDEX(Inputs!$B$8:$D$8,1,MATCH(A1232,Inputs!$B$6:$D$6,0))</x:f>
        <x:v>2395</x:v>
      </x:c>
      <x:c r="J1232" s="20" t="n">
        <x:f>INDEX(Roster!$C$6:$C$108,MATCH(D1232,Roster!$A$6:$A$108,0))*(1+INDEX(Inputs!$B$9:$D$9,1,MATCH(A1232,Inputs!$B$6:$D$6,0)))</x:f>
        <x:v>30</x:v>
      </x:c>
      <x:c r="K1232" s="20" t="n">
        <x:f>IF(=INDEX(Roster!$F$6:$F$108,MATCH(D1232,Roster!$A$6:$A$108,0))="Yes",0,=INDEX(Inputs!$B$8:$D$8,1,MATCH(A1232,Inputs!$B$6:$D$6,0))*IF(=INDEX(Roster!$B$6:$B$108,MATCH(D1232,Roster!$A$6:$A$108,0))="Principal",INDEX(Inputs!$B$10:$D$10,1,MATCH(A1232,Inputs!$B$6:$D$6,0)),IF(=INDEX(Roster!$B$6:$B$108,MATCH(D1232,Roster!$A$6:$A$108,0))="Associate Principal",INDEX(Inputs!$B$11:$D$11,1,MATCH(A1232,Inputs!$B$6:$D$6,0)),IF(=INDEX(Roster!$B$6:$B$108,MATCH(D1232,Roster!$A$6:$A$108,0))="Assistant Principal",INDEX(Inputs!$B$12:$D$12,1,MATCH(A1232,Inputs!$B$6:$D$6,0)),0))))</x:f>
        <x:v>0</x:v>
      </x:c>
      <x:c r="L1232" s="20" t="n">
        <x:f>IF(INDEX(Roster!$D$6:$D$108,MATCH(D1232,Roster!$A$6:$A$108,0))&gt;=25,INDEX(Inputs!$B$19:$D$19,1,MATCH(A1232,Inputs!$B$6:$D$6,0)),IF(INDEX(Roster!$D$6:$D$108,MATCH(D1232,Roster!$A$6:$A$108,0))&gt;=20,INDEX(Inputs!$B$18:$D$18,1,MATCH(A1232,Inputs!$B$6:$D$6,0)),IF(INDEX(Roster!$D$6:$D$108,MATCH(D1232,Roster!$A$6:$A$108,0))&gt;=15,INDEX(Inputs!$B$17:$D$17,1,MATCH(A1232,Inputs!$B$6:$D$6,0)),IF(INDEX(Roster!$D$6:$D$108,MATCH(D1232,Roster!$A$6:$A$108,0))&gt;=10,INDEX(Inputs!$B$16:$D$16,1,MATCH(A1232,Inputs!$B$6:$D$6,0)),IF(INDEX(Roster!$D$6:$D$108,MATCH(D1232,Roster!$A$6:$A$108,0))&gt;=5,INDEX(Inputs!$B$15:$D$15,1,MATCH(A1232,Inputs!$B$6:$D$6,0)),0)))))</x:f>
        <x:v>0</x:v>
      </x:c>
      <x:c r="M1232" s="20" t="n">
        <x:f>G1232*I1232</x:f>
        <x:v>31135</x:v>
      </x:c>
      <x:c r="N1232" s="20" t="n">
        <x:f>G1232*J1232</x:f>
        <x:v>390</x:v>
      </x:c>
      <x:c r="O1232" s="20" t="n">
        <x:f>G1232*K1232</x:f>
        <x:v>0</x:v>
      </x:c>
      <x:c r="P1232" s="20" t="n">
        <x:f>G1232*L1232</x:f>
        <x:v>0</x:v>
      </x:c>
      <x:c r="Q1232" s="20" t="n">
        <x:f>H1232*INDEX(Inputs!$B$13:$D$13,1,MATCH(A1232,Inputs!$B$6:$D$6,0))</x:f>
        <x:v>390</x:v>
      </x:c>
      <x:c r="R1232" s="20" t="n">
        <x:f>SUM(M1232:Q1232)</x:f>
        <x:v>31915</x:v>
      </x:c>
      <x:c r="S1232" s="20" t="n">
        <x:f>IF(AND(A1231=A1232,D1231=D1232),S1231+R1232,R1232)</x:f>
        <x:v>95745</x:v>
      </x:c>
      <x:c r="T1232" s="20" t="n">
        <x:f>MIN(S1232,INDEX(Inputs!$B$20:$D$20,1,MATCH(A1232,Inputs!$B$6:$D$6,0)))*INDEX(Inputs!$B$22:$D$22,1,MATCH(A1232,Inputs!$B$6:$D$6,0))+MAX(MIN(S1232,INDEX(Inputs!$B$21:$D$21,1,MATCH(A1232,Inputs!$B$6:$D$6,0)))-INDEX(Inputs!$B$20:$D$20,1,MATCH(A1232,Inputs!$B$6:$D$6,0)),0)*INDEX(Inputs!$B$23:$D$23,1,MATCH(A1232,Inputs!$B$6:$D$6,0))+MAX(S1232-INDEX(Inputs!$B$21:$D$21,1,MATCH(A1232,Inputs!$B$6:$D$6,0)),0)*INDEX(Inputs!$B$24:$D$24,1,MATCH(A1232,Inputs!$B$6:$D$6,0))</x:f>
        <x:v>7814.4925</x:v>
      </x:c>
      <x:c r="U1232" s="20" t="n">
        <x:f>IF(AND(A1231=A1232,D1231=D1232),T1231,0)</x:f>
        <x:v>5372.995</x:v>
      </x:c>
      <x:c r="V1232" s="20" t="n">
        <x:f>T1232-U1232</x:f>
        <x:v>2441.4975000000004</x:v>
      </x:c>
      <x:c r="W1232" s="20" t="n">
        <x:f>R1232+V1232</x:f>
        <x:v>34356.4975</x:v>
      </x:c>
      <x:c r="X1232" s="14" t="str">
        <x:f>IF(ABS(W1232-SUM(M1232:Q1232)-V1232)&lt;0.01,"OK","Check")</x:f>
        <x:v>OK</x:v>
      </x:c>
    </x:row>
    <x:row r="1233">
      <x:c r="A1233" s="14" t="n">
        <x:v>2028</x:v>
      </x:c>
      <x:c r="B1233" s="14" t="str">
        <x:v>Q4</x:v>
      </x:c>
      <x:c r="C1233" s="14" t="n">
        <x:v>4</x:v>
      </x:c>
      <x:c r="D1233" s="14" t="n">
        <x:v>101</x:v>
      </x:c>
      <x:c r="E1233" s="14" t="str">
        <x:f>INDEX(Roster!$B$6:$B$108,MATCH(D1233,Roster!$A$6:$A$108,0))</x:f>
      </x:c>
      <x:c r="F1233" s="14" t="str">
        <x:f>INDEX(Roster!$F$6:$F$108,MATCH(D1233,Roster!$A$6:$A$108,0))</x:f>
        <x:v>No</x:v>
      </x:c>
      <x:c r="G1233" s="14" t="n">
        <x:f>INDEX(Inputs!$B$7:$D$7,1,MATCH(A1233,Inputs!$B$6:$D$6,0))</x:f>
        <x:v>13</x:v>
      </x:c>
      <x:c r="H1233" s="14" t="n">
        <x:f>MIN(=INDEX(Inputs!$B$7:$D$7,1,MATCH(A1233,Inputs!$B$6:$D$6,0)),MAX(0,INDEX(Inputs!$B$14:$D$14,1,MATCH(A1233,Inputs!$B$6:$D$6,0))-(C1233-1)*=INDEX(Inputs!$B$7:$D$7,1,MATCH(A1233,Inputs!$B$6:$D$6,0))))</x:f>
        <x:v>0</x:v>
      </x:c>
      <x:c r="I1233" s="20" t="n">
        <x:f>INDEX(Inputs!$B$8:$D$8,1,MATCH(A1233,Inputs!$B$6:$D$6,0))</x:f>
        <x:v>2395</x:v>
      </x:c>
      <x:c r="J1233" s="20" t="n">
        <x:f>INDEX(Roster!$C$6:$C$108,MATCH(D1233,Roster!$A$6:$A$108,0))*(1+INDEX(Inputs!$B$9:$D$9,1,MATCH(A1233,Inputs!$B$6:$D$6,0)))</x:f>
        <x:v>30</x:v>
      </x:c>
      <x:c r="K1233" s="20" t="n">
        <x:f>IF(=INDEX(Roster!$F$6:$F$108,MATCH(D1233,Roster!$A$6:$A$108,0))="Yes",0,=INDEX(Inputs!$B$8:$D$8,1,MATCH(A1233,Inputs!$B$6:$D$6,0))*IF(=INDEX(Roster!$B$6:$B$108,MATCH(D1233,Roster!$A$6:$A$108,0))="Principal",INDEX(Inputs!$B$10:$D$10,1,MATCH(A1233,Inputs!$B$6:$D$6,0)),IF(=INDEX(Roster!$B$6:$B$108,MATCH(D1233,Roster!$A$6:$A$108,0))="Associate Principal",INDEX(Inputs!$B$11:$D$11,1,MATCH(A1233,Inputs!$B$6:$D$6,0)),IF(=INDEX(Roster!$B$6:$B$108,MATCH(D1233,Roster!$A$6:$A$108,0))="Assistant Principal",INDEX(Inputs!$B$12:$D$12,1,MATCH(A1233,Inputs!$B$6:$D$6,0)),0))))</x:f>
        <x:v>0</x:v>
      </x:c>
      <x:c r="L1233" s="20" t="n">
        <x:f>IF(INDEX(Roster!$D$6:$D$108,MATCH(D1233,Roster!$A$6:$A$108,0))&gt;=25,INDEX(Inputs!$B$19:$D$19,1,MATCH(A1233,Inputs!$B$6:$D$6,0)),IF(INDEX(Roster!$D$6:$D$108,MATCH(D1233,Roster!$A$6:$A$108,0))&gt;=20,INDEX(Inputs!$B$18:$D$18,1,MATCH(A1233,Inputs!$B$6:$D$6,0)),IF(INDEX(Roster!$D$6:$D$108,MATCH(D1233,Roster!$A$6:$A$108,0))&gt;=15,INDEX(Inputs!$B$17:$D$17,1,MATCH(A1233,Inputs!$B$6:$D$6,0)),IF(INDEX(Roster!$D$6:$D$108,MATCH(D1233,Roster!$A$6:$A$108,0))&gt;=10,INDEX(Inputs!$B$16:$D$16,1,MATCH(A1233,Inputs!$B$6:$D$6,0)),IF(INDEX(Roster!$D$6:$D$108,MATCH(D1233,Roster!$A$6:$A$108,0))&gt;=5,INDEX(Inputs!$B$15:$D$15,1,MATCH(A1233,Inputs!$B$6:$D$6,0)),0)))))</x:f>
        <x:v>0</x:v>
      </x:c>
      <x:c r="M1233" s="20" t="n">
        <x:f>G1233*I1233</x:f>
        <x:v>31135</x:v>
      </x:c>
      <x:c r="N1233" s="20" t="n">
        <x:f>G1233*J1233</x:f>
        <x:v>390</x:v>
      </x:c>
      <x:c r="O1233" s="20" t="n">
        <x:f>G1233*K1233</x:f>
        <x:v>0</x:v>
      </x:c>
      <x:c r="P1233" s="20" t="n">
        <x:f>G1233*L1233</x:f>
        <x:v>0</x:v>
      </x:c>
      <x:c r="Q1233" s="20" t="n">
        <x:f>H1233*INDEX(Inputs!$B$13:$D$13,1,MATCH(A1233,Inputs!$B$6:$D$6,0))</x:f>
        <x:v>0</x:v>
      </x:c>
      <x:c r="R1233" s="20" t="n">
        <x:f>SUM(M1233:Q1233)</x:f>
        <x:v>31525</x:v>
      </x:c>
      <x:c r="S1233" s="20" t="n">
        <x:f>IF(AND(A1232=A1233,D1232=D1233),S1232+R1233,R1233)</x:f>
        <x:v>127270</x:v>
      </x:c>
      <x:c r="T1233" s="20" t="n">
        <x:f>MIN(S1233,INDEX(Inputs!$B$20:$D$20,1,MATCH(A1233,Inputs!$B$6:$D$6,0)))*INDEX(Inputs!$B$22:$D$22,1,MATCH(A1233,Inputs!$B$6:$D$6,0))+MAX(MIN(S1233,INDEX(Inputs!$B$21:$D$21,1,MATCH(A1233,Inputs!$B$6:$D$6,0)))-INDEX(Inputs!$B$20:$D$20,1,MATCH(A1233,Inputs!$B$6:$D$6,0)),0)*INDEX(Inputs!$B$23:$D$23,1,MATCH(A1233,Inputs!$B$6:$D$6,0))+MAX(S1233-INDEX(Inputs!$B$21:$D$21,1,MATCH(A1233,Inputs!$B$6:$D$6,0)),0)*INDEX(Inputs!$B$24:$D$24,1,MATCH(A1233,Inputs!$B$6:$D$6,0))</x:f>
        <x:v>9759.357</x:v>
      </x:c>
      <x:c r="U1233" s="20" t="n">
        <x:f>IF(AND(A1232=A1233,D1232=D1233),T1232,0)</x:f>
        <x:v>7814.4925</x:v>
      </x:c>
      <x:c r="V1233" s="20" t="n">
        <x:f>T1233-U1233</x:f>
        <x:v>1944.8644999999997</x:v>
      </x:c>
      <x:c r="W1233" s="20" t="n">
        <x:f>R1233+V1233</x:f>
        <x:v>33469.864499999996</x:v>
      </x:c>
      <x:c r="X1233" s="14" t="str">
        <x:f>IF(ABS(W1233-SUM(M1233:Q1233)-V1233)&lt;0.01,"OK","Check")</x:f>
        <x:v>OK</x:v>
      </x:c>
    </x:row>
    <x:row r="1234">
      <x:c r="A1234" s="14" t="n">
        <x:v>2028</x:v>
      </x:c>
      <x:c r="B1234" s="14" t="str">
        <x:v>Q1</x:v>
      </x:c>
      <x:c r="C1234" s="14" t="n">
        <x:v>1</x:v>
      </x:c>
      <x:c r="D1234" s="14" t="n">
        <x:v>102</x:v>
      </x:c>
      <x:c r="E1234" s="14" t="str">
        <x:f>INDEX(Roster!$B$6:$B$108,MATCH(D1234,Roster!$A$6:$A$108,0))</x:f>
      </x:c>
      <x:c r="F1234" s="14" t="str">
        <x:f>INDEX(Roster!$F$6:$F$108,MATCH(D1234,Roster!$A$6:$A$108,0))</x:f>
        <x:v>No</x:v>
      </x:c>
      <x:c r="G1234" s="14" t="n">
        <x:f>INDEX(Inputs!$B$7:$D$7,1,MATCH(A1234,Inputs!$B$6:$D$6,0))</x:f>
        <x:v>13</x:v>
      </x:c>
      <x:c r="H1234" s="14" t="n">
        <x:f>MIN(=INDEX(Inputs!$B$7:$D$7,1,MATCH(A1234,Inputs!$B$6:$D$6,0)),MAX(0,INDEX(Inputs!$B$14:$D$14,1,MATCH(A1234,Inputs!$B$6:$D$6,0))-(C1234-1)*=INDEX(Inputs!$B$7:$D$7,1,MATCH(A1234,Inputs!$B$6:$D$6,0))))</x:f>
        <x:v>13</x:v>
      </x:c>
      <x:c r="I1234" s="20" t="n">
        <x:f>INDEX(Inputs!$B$8:$D$8,1,MATCH(A1234,Inputs!$B$6:$D$6,0))</x:f>
        <x:v>2395</x:v>
      </x:c>
      <x:c r="J1234" s="20" t="n">
        <x:f>INDEX(Roster!$C$6:$C$108,MATCH(D1234,Roster!$A$6:$A$108,0))*(1+INDEX(Inputs!$B$9:$D$9,1,MATCH(A1234,Inputs!$B$6:$D$6,0)))</x:f>
        <x:v>20</x:v>
      </x:c>
      <x:c r="K1234" s="20" t="n">
        <x:f>IF(=INDEX(Roster!$F$6:$F$108,MATCH(D1234,Roster!$A$6:$A$108,0))="Yes",0,=INDEX(Inputs!$B$8:$D$8,1,MATCH(A1234,Inputs!$B$6:$D$6,0))*IF(=INDEX(Roster!$B$6:$B$108,MATCH(D1234,Roster!$A$6:$A$108,0))="Principal",INDEX(Inputs!$B$10:$D$10,1,MATCH(A1234,Inputs!$B$6:$D$6,0)),IF(=INDEX(Roster!$B$6:$B$108,MATCH(D1234,Roster!$A$6:$A$108,0))="Associate Principal",INDEX(Inputs!$B$11:$D$11,1,MATCH(A1234,Inputs!$B$6:$D$6,0)),IF(=INDEX(Roster!$B$6:$B$108,MATCH(D1234,Roster!$A$6:$A$108,0))="Assistant Principal",INDEX(Inputs!$B$12:$D$12,1,MATCH(A1234,Inputs!$B$6:$D$6,0)),0))))</x:f>
        <x:v>0</x:v>
      </x:c>
      <x:c r="L1234" s="20" t="n">
        <x:f>IF(INDEX(Roster!$D$6:$D$108,MATCH(D1234,Roster!$A$6:$A$108,0))&gt;=25,INDEX(Inputs!$B$19:$D$19,1,MATCH(A1234,Inputs!$B$6:$D$6,0)),IF(INDEX(Roster!$D$6:$D$108,MATCH(D1234,Roster!$A$6:$A$108,0))&gt;=20,INDEX(Inputs!$B$18:$D$18,1,MATCH(A1234,Inputs!$B$6:$D$6,0)),IF(INDEX(Roster!$D$6:$D$108,MATCH(D1234,Roster!$A$6:$A$108,0))&gt;=15,INDEX(Inputs!$B$17:$D$17,1,MATCH(A1234,Inputs!$B$6:$D$6,0)),IF(INDEX(Roster!$D$6:$D$108,MATCH(D1234,Roster!$A$6:$A$108,0))&gt;=10,INDEX(Inputs!$B$16:$D$16,1,MATCH(A1234,Inputs!$B$6:$D$6,0)),IF(INDEX(Roster!$D$6:$D$108,MATCH(D1234,Roster!$A$6:$A$108,0))&gt;=5,INDEX(Inputs!$B$15:$D$15,1,MATCH(A1234,Inputs!$B$6:$D$6,0)),0)))))</x:f>
        <x:v>60</x:v>
      </x:c>
      <x:c r="M1234" s="20" t="n">
        <x:f>G1234*I1234</x:f>
        <x:v>31135</x:v>
      </x:c>
      <x:c r="N1234" s="20" t="n">
        <x:f>G1234*J1234</x:f>
        <x:v>260</x:v>
      </x:c>
      <x:c r="O1234" s="20" t="n">
        <x:f>G1234*K1234</x:f>
        <x:v>0</x:v>
      </x:c>
      <x:c r="P1234" s="20" t="n">
        <x:f>G1234*L1234</x:f>
        <x:v>780</x:v>
      </x:c>
      <x:c r="Q1234" s="20" t="n">
        <x:f>H1234*INDEX(Inputs!$B$13:$D$13,1,MATCH(A1234,Inputs!$B$6:$D$6,0))</x:f>
        <x:v>390</x:v>
      </x:c>
      <x:c r="R1234" s="20" t="n">
        <x:f>SUM(M1234:Q1234)</x:f>
        <x:v>32565</x:v>
      </x:c>
      <x:c r="S1234" s="20" t="n">
        <x:f>IF(AND(A1233=A1234,D1233=D1234),S1233+R1234,R1234)</x:f>
        <x:v>32565</x:v>
      </x:c>
      <x:c r="T1234" s="20" t="n">
        <x:f>MIN(S1234,INDEX(Inputs!$B$20:$D$20,1,MATCH(A1234,Inputs!$B$6:$D$6,0)))*INDEX(Inputs!$B$22:$D$22,1,MATCH(A1234,Inputs!$B$6:$D$6,0))+MAX(MIN(S1234,INDEX(Inputs!$B$21:$D$21,1,MATCH(A1234,Inputs!$B$6:$D$6,0)))-INDEX(Inputs!$B$20:$D$20,1,MATCH(A1234,Inputs!$B$6:$D$6,0)),0)*INDEX(Inputs!$B$23:$D$23,1,MATCH(A1234,Inputs!$B$6:$D$6,0))+MAX(S1234-INDEX(Inputs!$B$21:$D$21,1,MATCH(A1234,Inputs!$B$6:$D$6,0)),0)*INDEX(Inputs!$B$24:$D$24,1,MATCH(A1234,Inputs!$B$6:$D$6,0))</x:f>
        <x:v>2981.2225</x:v>
      </x:c>
      <x:c r="U1234" s="20" t="n">
        <x:f>IF(AND(A1233=A1234,D1233=D1234),T1233,0)</x:f>
        <x:v>0</x:v>
      </x:c>
      <x:c r="V1234" s="20" t="n">
        <x:f>T1234-U1234</x:f>
        <x:v>2981.2225</x:v>
      </x:c>
      <x:c r="W1234" s="20" t="n">
        <x:f>R1234+V1234</x:f>
        <x:v>35546.2225</x:v>
      </x:c>
      <x:c r="X1234" s="14" t="str">
        <x:f>IF(ABS(W1234-SUM(M1234:Q1234)-V1234)&lt;0.01,"OK","Check")</x:f>
        <x:v>OK</x:v>
      </x:c>
    </x:row>
    <x:row r="1235">
      <x:c r="A1235" s="14" t="n">
        <x:v>2028</x:v>
      </x:c>
      <x:c r="B1235" s="14" t="str">
        <x:v>Q2</x:v>
      </x:c>
      <x:c r="C1235" s="14" t="n">
        <x:v>2</x:v>
      </x:c>
      <x:c r="D1235" s="14" t="n">
        <x:v>102</x:v>
      </x:c>
      <x:c r="E1235" s="14" t="str">
        <x:f>INDEX(Roster!$B$6:$B$108,MATCH(D1235,Roster!$A$6:$A$108,0))</x:f>
      </x:c>
      <x:c r="F1235" s="14" t="str">
        <x:f>INDEX(Roster!$F$6:$F$108,MATCH(D1235,Roster!$A$6:$A$108,0))</x:f>
        <x:v>No</x:v>
      </x:c>
      <x:c r="G1235" s="14" t="n">
        <x:f>INDEX(Inputs!$B$7:$D$7,1,MATCH(A1235,Inputs!$B$6:$D$6,0))</x:f>
        <x:v>13</x:v>
      </x:c>
      <x:c r="H1235" s="14" t="n">
        <x:f>MIN(=INDEX(Inputs!$B$7:$D$7,1,MATCH(A1235,Inputs!$B$6:$D$6,0)),MAX(0,INDEX(Inputs!$B$14:$D$14,1,MATCH(A1235,Inputs!$B$6:$D$6,0))-(C1235-1)*=INDEX(Inputs!$B$7:$D$7,1,MATCH(A1235,Inputs!$B$6:$D$6,0))))</x:f>
        <x:v>13</x:v>
      </x:c>
      <x:c r="I1235" s="20" t="n">
        <x:f>INDEX(Inputs!$B$8:$D$8,1,MATCH(A1235,Inputs!$B$6:$D$6,0))</x:f>
        <x:v>2395</x:v>
      </x:c>
      <x:c r="J1235" s="20" t="n">
        <x:f>INDEX(Roster!$C$6:$C$108,MATCH(D1235,Roster!$A$6:$A$108,0))*(1+INDEX(Inputs!$B$9:$D$9,1,MATCH(A1235,Inputs!$B$6:$D$6,0)))</x:f>
        <x:v>20</x:v>
      </x:c>
      <x:c r="K1235" s="20" t="n">
        <x:f>IF(=INDEX(Roster!$F$6:$F$108,MATCH(D1235,Roster!$A$6:$A$108,0))="Yes",0,=INDEX(Inputs!$B$8:$D$8,1,MATCH(A1235,Inputs!$B$6:$D$6,0))*IF(=INDEX(Roster!$B$6:$B$108,MATCH(D1235,Roster!$A$6:$A$108,0))="Principal",INDEX(Inputs!$B$10:$D$10,1,MATCH(A1235,Inputs!$B$6:$D$6,0)),IF(=INDEX(Roster!$B$6:$B$108,MATCH(D1235,Roster!$A$6:$A$108,0))="Associate Principal",INDEX(Inputs!$B$11:$D$11,1,MATCH(A1235,Inputs!$B$6:$D$6,0)),IF(=INDEX(Roster!$B$6:$B$108,MATCH(D1235,Roster!$A$6:$A$108,0))="Assistant Principal",INDEX(Inputs!$B$12:$D$12,1,MATCH(A1235,Inputs!$B$6:$D$6,0)),0))))</x:f>
        <x:v>0</x:v>
      </x:c>
      <x:c r="L1235" s="20" t="n">
        <x:f>IF(INDEX(Roster!$D$6:$D$108,MATCH(D1235,Roster!$A$6:$A$108,0))&gt;=25,INDEX(Inputs!$B$19:$D$19,1,MATCH(A1235,Inputs!$B$6:$D$6,0)),IF(INDEX(Roster!$D$6:$D$108,MATCH(D1235,Roster!$A$6:$A$108,0))&gt;=20,INDEX(Inputs!$B$18:$D$18,1,MATCH(A1235,Inputs!$B$6:$D$6,0)),IF(INDEX(Roster!$D$6:$D$108,MATCH(D1235,Roster!$A$6:$A$108,0))&gt;=15,INDEX(Inputs!$B$17:$D$17,1,MATCH(A1235,Inputs!$B$6:$D$6,0)),IF(INDEX(Roster!$D$6:$D$108,MATCH(D1235,Roster!$A$6:$A$108,0))&gt;=10,INDEX(Inputs!$B$16:$D$16,1,MATCH(A1235,Inputs!$B$6:$D$6,0)),IF(INDEX(Roster!$D$6:$D$108,MATCH(D1235,Roster!$A$6:$A$108,0))&gt;=5,INDEX(Inputs!$B$15:$D$15,1,MATCH(A1235,Inputs!$B$6:$D$6,0)),0)))))</x:f>
        <x:v>60</x:v>
      </x:c>
      <x:c r="M1235" s="20" t="n">
        <x:f>G1235*I1235</x:f>
        <x:v>31135</x:v>
      </x:c>
      <x:c r="N1235" s="20" t="n">
        <x:f>G1235*J1235</x:f>
        <x:v>260</x:v>
      </x:c>
      <x:c r="O1235" s="20" t="n">
        <x:f>G1235*K1235</x:f>
        <x:v>0</x:v>
      </x:c>
      <x:c r="P1235" s="20" t="n">
        <x:f>G1235*L1235</x:f>
        <x:v>780</x:v>
      </x:c>
      <x:c r="Q1235" s="20" t="n">
        <x:f>H1235*INDEX(Inputs!$B$13:$D$13,1,MATCH(A1235,Inputs!$B$6:$D$6,0))</x:f>
        <x:v>390</x:v>
      </x:c>
      <x:c r="R1235" s="20" t="n">
        <x:f>SUM(M1235:Q1235)</x:f>
        <x:v>32565</x:v>
      </x:c>
      <x:c r="S1235" s="20" t="n">
        <x:f>IF(AND(A1234=A1235,D1234=D1235),S1234+R1235,R1235)</x:f>
        <x:v>65130</x:v>
      </x:c>
      <x:c r="T1235" s="20" t="n">
        <x:f>MIN(S1235,INDEX(Inputs!$B$20:$D$20,1,MATCH(A1235,Inputs!$B$6:$D$6,0)))*INDEX(Inputs!$B$22:$D$22,1,MATCH(A1235,Inputs!$B$6:$D$6,0))+MAX(MIN(S1235,INDEX(Inputs!$B$21:$D$21,1,MATCH(A1235,Inputs!$B$6:$D$6,0)))-INDEX(Inputs!$B$20:$D$20,1,MATCH(A1235,Inputs!$B$6:$D$6,0)),0)*INDEX(Inputs!$B$23:$D$23,1,MATCH(A1235,Inputs!$B$6:$D$6,0))+MAX(S1235-INDEX(Inputs!$B$21:$D$21,1,MATCH(A1235,Inputs!$B$6:$D$6,0)),0)*INDEX(Inputs!$B$24:$D$24,1,MATCH(A1235,Inputs!$B$6:$D$6,0))</x:f>
        <x:v>5472.445</x:v>
      </x:c>
      <x:c r="U1235" s="20" t="n">
        <x:f>IF(AND(A1234=A1235,D1234=D1235),T1234,0)</x:f>
        <x:v>2981.2225</x:v>
      </x:c>
      <x:c r="V1235" s="20" t="n">
        <x:f>T1235-U1235</x:f>
        <x:v>2491.2225</x:v>
      </x:c>
      <x:c r="W1235" s="20" t="n">
        <x:f>R1235+V1235</x:f>
        <x:v>35056.2225</x:v>
      </x:c>
      <x:c r="X1235" s="14" t="str">
        <x:f>IF(ABS(W1235-SUM(M1235:Q1235)-V1235)&lt;0.01,"OK","Check")</x:f>
        <x:v>OK</x:v>
      </x:c>
    </x:row>
    <x:row r="1236">
      <x:c r="A1236" s="14" t="n">
        <x:v>2028</x:v>
      </x:c>
      <x:c r="B1236" s="14" t="str">
        <x:v>Q3</x:v>
      </x:c>
      <x:c r="C1236" s="14" t="n">
        <x:v>3</x:v>
      </x:c>
      <x:c r="D1236" s="14" t="n">
        <x:v>102</x:v>
      </x:c>
      <x:c r="E1236" s="14" t="str">
        <x:f>INDEX(Roster!$B$6:$B$108,MATCH(D1236,Roster!$A$6:$A$108,0))</x:f>
      </x:c>
      <x:c r="F1236" s="14" t="str">
        <x:f>INDEX(Roster!$F$6:$F$108,MATCH(D1236,Roster!$A$6:$A$108,0))</x:f>
        <x:v>No</x:v>
      </x:c>
      <x:c r="G1236" s="14" t="n">
        <x:f>INDEX(Inputs!$B$7:$D$7,1,MATCH(A1236,Inputs!$B$6:$D$6,0))</x:f>
        <x:v>13</x:v>
      </x:c>
      <x:c r="H1236" s="14" t="n">
        <x:f>MIN(=INDEX(Inputs!$B$7:$D$7,1,MATCH(A1236,Inputs!$B$6:$D$6,0)),MAX(0,INDEX(Inputs!$B$14:$D$14,1,MATCH(A1236,Inputs!$B$6:$D$6,0))-(C1236-1)*=INDEX(Inputs!$B$7:$D$7,1,MATCH(A1236,Inputs!$B$6:$D$6,0))))</x:f>
        <x:v>13</x:v>
      </x:c>
      <x:c r="I1236" s="20" t="n">
        <x:f>INDEX(Inputs!$B$8:$D$8,1,MATCH(A1236,Inputs!$B$6:$D$6,0))</x:f>
        <x:v>2395</x:v>
      </x:c>
      <x:c r="J1236" s="20" t="n">
        <x:f>INDEX(Roster!$C$6:$C$108,MATCH(D1236,Roster!$A$6:$A$108,0))*(1+INDEX(Inputs!$B$9:$D$9,1,MATCH(A1236,Inputs!$B$6:$D$6,0)))</x:f>
        <x:v>20</x:v>
      </x:c>
      <x:c r="K1236" s="20" t="n">
        <x:f>IF(=INDEX(Roster!$F$6:$F$108,MATCH(D1236,Roster!$A$6:$A$108,0))="Yes",0,=INDEX(Inputs!$B$8:$D$8,1,MATCH(A1236,Inputs!$B$6:$D$6,0))*IF(=INDEX(Roster!$B$6:$B$108,MATCH(D1236,Roster!$A$6:$A$108,0))="Principal",INDEX(Inputs!$B$10:$D$10,1,MATCH(A1236,Inputs!$B$6:$D$6,0)),IF(=INDEX(Roster!$B$6:$B$108,MATCH(D1236,Roster!$A$6:$A$108,0))="Associate Principal",INDEX(Inputs!$B$11:$D$11,1,MATCH(A1236,Inputs!$B$6:$D$6,0)),IF(=INDEX(Roster!$B$6:$B$108,MATCH(D1236,Roster!$A$6:$A$108,0))="Assistant Principal",INDEX(Inputs!$B$12:$D$12,1,MATCH(A1236,Inputs!$B$6:$D$6,0)),0))))</x:f>
        <x:v>0</x:v>
      </x:c>
      <x:c r="L1236" s="20" t="n">
        <x:f>IF(INDEX(Roster!$D$6:$D$108,MATCH(D1236,Roster!$A$6:$A$108,0))&gt;=25,INDEX(Inputs!$B$19:$D$19,1,MATCH(A1236,Inputs!$B$6:$D$6,0)),IF(INDEX(Roster!$D$6:$D$108,MATCH(D1236,Roster!$A$6:$A$108,0))&gt;=20,INDEX(Inputs!$B$18:$D$18,1,MATCH(A1236,Inputs!$B$6:$D$6,0)),IF(INDEX(Roster!$D$6:$D$108,MATCH(D1236,Roster!$A$6:$A$108,0))&gt;=15,INDEX(Inputs!$B$17:$D$17,1,MATCH(A1236,Inputs!$B$6:$D$6,0)),IF(INDEX(Roster!$D$6:$D$108,MATCH(D1236,Roster!$A$6:$A$108,0))&gt;=10,INDEX(Inputs!$B$16:$D$16,1,MATCH(A1236,Inputs!$B$6:$D$6,0)),IF(INDEX(Roster!$D$6:$D$108,MATCH(D1236,Roster!$A$6:$A$108,0))&gt;=5,INDEX(Inputs!$B$15:$D$15,1,MATCH(A1236,Inputs!$B$6:$D$6,0)),0)))))</x:f>
        <x:v>60</x:v>
      </x:c>
      <x:c r="M1236" s="20" t="n">
        <x:f>G1236*I1236</x:f>
        <x:v>31135</x:v>
      </x:c>
      <x:c r="N1236" s="20" t="n">
        <x:f>G1236*J1236</x:f>
        <x:v>260</x:v>
      </x:c>
      <x:c r="O1236" s="20" t="n">
        <x:f>G1236*K1236</x:f>
        <x:v>0</x:v>
      </x:c>
      <x:c r="P1236" s="20" t="n">
        <x:f>G1236*L1236</x:f>
        <x:v>780</x:v>
      </x:c>
      <x:c r="Q1236" s="20" t="n">
        <x:f>H1236*INDEX(Inputs!$B$13:$D$13,1,MATCH(A1236,Inputs!$B$6:$D$6,0))</x:f>
        <x:v>390</x:v>
      </x:c>
      <x:c r="R1236" s="20" t="n">
        <x:f>SUM(M1236:Q1236)</x:f>
        <x:v>32565</x:v>
      </x:c>
      <x:c r="S1236" s="20" t="n">
        <x:f>IF(AND(A1235=A1236,D1235=D1236),S1235+R1236,R1236)</x:f>
        <x:v>97695</x:v>
      </x:c>
      <x:c r="T1236" s="20" t="n">
        <x:f>MIN(S1236,INDEX(Inputs!$B$20:$D$20,1,MATCH(A1236,Inputs!$B$6:$D$6,0)))*INDEX(Inputs!$B$22:$D$22,1,MATCH(A1236,Inputs!$B$6:$D$6,0))+MAX(MIN(S1236,INDEX(Inputs!$B$21:$D$21,1,MATCH(A1236,Inputs!$B$6:$D$6,0)))-INDEX(Inputs!$B$20:$D$20,1,MATCH(A1236,Inputs!$B$6:$D$6,0)),0)*INDEX(Inputs!$B$23:$D$23,1,MATCH(A1236,Inputs!$B$6:$D$6,0))+MAX(S1236-INDEX(Inputs!$B$21:$D$21,1,MATCH(A1236,Inputs!$B$6:$D$6,0)),0)*INDEX(Inputs!$B$24:$D$24,1,MATCH(A1236,Inputs!$B$6:$D$6,0))</x:f>
        <x:v>7963.6675</x:v>
      </x:c>
      <x:c r="U1236" s="20" t="n">
        <x:f>IF(AND(A1235=A1236,D1235=D1236),T1235,0)</x:f>
        <x:v>5472.445</x:v>
      </x:c>
      <x:c r="V1236" s="20" t="n">
        <x:f>T1236-U1236</x:f>
        <x:v>2491.2225</x:v>
      </x:c>
      <x:c r="W1236" s="20" t="n">
        <x:f>R1236+V1236</x:f>
        <x:v>35056.2225</x:v>
      </x:c>
      <x:c r="X1236" s="14" t="str">
        <x:f>IF(ABS(W1236-SUM(M1236:Q1236)-V1236)&lt;0.01,"OK","Check")</x:f>
        <x:v>OK</x:v>
      </x:c>
    </x:row>
    <x:row r="1237">
      <x:c r="A1237" s="14" t="n">
        <x:v>2028</x:v>
      </x:c>
      <x:c r="B1237" s="14" t="str">
        <x:v>Q4</x:v>
      </x:c>
      <x:c r="C1237" s="14" t="n">
        <x:v>4</x:v>
      </x:c>
      <x:c r="D1237" s="14" t="n">
        <x:v>102</x:v>
      </x:c>
      <x:c r="E1237" s="14" t="str">
        <x:f>INDEX(Roster!$B$6:$B$108,MATCH(D1237,Roster!$A$6:$A$108,0))</x:f>
      </x:c>
      <x:c r="F1237" s="14" t="str">
        <x:f>INDEX(Roster!$F$6:$F$108,MATCH(D1237,Roster!$A$6:$A$108,0))</x:f>
        <x:v>No</x:v>
      </x:c>
      <x:c r="G1237" s="14" t="n">
        <x:f>INDEX(Inputs!$B$7:$D$7,1,MATCH(A1237,Inputs!$B$6:$D$6,0))</x:f>
        <x:v>13</x:v>
      </x:c>
      <x:c r="H1237" s="14" t="n">
        <x:f>MIN(=INDEX(Inputs!$B$7:$D$7,1,MATCH(A1237,Inputs!$B$6:$D$6,0)),MAX(0,INDEX(Inputs!$B$14:$D$14,1,MATCH(A1237,Inputs!$B$6:$D$6,0))-(C1237-1)*=INDEX(Inputs!$B$7:$D$7,1,MATCH(A1237,Inputs!$B$6:$D$6,0))))</x:f>
        <x:v>0</x:v>
      </x:c>
      <x:c r="I1237" s="20" t="n">
        <x:f>INDEX(Inputs!$B$8:$D$8,1,MATCH(A1237,Inputs!$B$6:$D$6,0))</x:f>
        <x:v>2395</x:v>
      </x:c>
      <x:c r="J1237" s="20" t="n">
        <x:f>INDEX(Roster!$C$6:$C$108,MATCH(D1237,Roster!$A$6:$A$108,0))*(1+INDEX(Inputs!$B$9:$D$9,1,MATCH(A1237,Inputs!$B$6:$D$6,0)))</x:f>
        <x:v>20</x:v>
      </x:c>
      <x:c r="K1237" s="20" t="n">
        <x:f>IF(=INDEX(Roster!$F$6:$F$108,MATCH(D1237,Roster!$A$6:$A$108,0))="Yes",0,=INDEX(Inputs!$B$8:$D$8,1,MATCH(A1237,Inputs!$B$6:$D$6,0))*IF(=INDEX(Roster!$B$6:$B$108,MATCH(D1237,Roster!$A$6:$A$108,0))="Principal",INDEX(Inputs!$B$10:$D$10,1,MATCH(A1237,Inputs!$B$6:$D$6,0)),IF(=INDEX(Roster!$B$6:$B$108,MATCH(D1237,Roster!$A$6:$A$108,0))="Associate Principal",INDEX(Inputs!$B$11:$D$11,1,MATCH(A1237,Inputs!$B$6:$D$6,0)),IF(=INDEX(Roster!$B$6:$B$108,MATCH(D1237,Roster!$A$6:$A$108,0))="Assistant Principal",INDEX(Inputs!$B$12:$D$12,1,MATCH(A1237,Inputs!$B$6:$D$6,0)),0))))</x:f>
        <x:v>0</x:v>
      </x:c>
      <x:c r="L1237" s="20" t="n">
        <x:f>IF(INDEX(Roster!$D$6:$D$108,MATCH(D1237,Roster!$A$6:$A$108,0))&gt;=25,INDEX(Inputs!$B$19:$D$19,1,MATCH(A1237,Inputs!$B$6:$D$6,0)),IF(INDEX(Roster!$D$6:$D$108,MATCH(D1237,Roster!$A$6:$A$108,0))&gt;=20,INDEX(Inputs!$B$18:$D$18,1,MATCH(A1237,Inputs!$B$6:$D$6,0)),IF(INDEX(Roster!$D$6:$D$108,MATCH(D1237,Roster!$A$6:$A$108,0))&gt;=15,INDEX(Inputs!$B$17:$D$17,1,MATCH(A1237,Inputs!$B$6:$D$6,0)),IF(INDEX(Roster!$D$6:$D$108,MATCH(D1237,Roster!$A$6:$A$108,0))&gt;=10,INDEX(Inputs!$B$16:$D$16,1,MATCH(A1237,Inputs!$B$6:$D$6,0)),IF(INDEX(Roster!$D$6:$D$108,MATCH(D1237,Roster!$A$6:$A$108,0))&gt;=5,INDEX(Inputs!$B$15:$D$15,1,MATCH(A1237,Inputs!$B$6:$D$6,0)),0)))))</x:f>
        <x:v>60</x:v>
      </x:c>
      <x:c r="M1237" s="20" t="n">
        <x:f>G1237*I1237</x:f>
        <x:v>31135</x:v>
      </x:c>
      <x:c r="N1237" s="20" t="n">
        <x:f>G1237*J1237</x:f>
        <x:v>260</x:v>
      </x:c>
      <x:c r="O1237" s="20" t="n">
        <x:f>G1237*K1237</x:f>
        <x:v>0</x:v>
      </x:c>
      <x:c r="P1237" s="20" t="n">
        <x:f>G1237*L1237</x:f>
        <x:v>780</x:v>
      </x:c>
      <x:c r="Q1237" s="20" t="n">
        <x:f>H1237*INDEX(Inputs!$B$13:$D$13,1,MATCH(A1237,Inputs!$B$6:$D$6,0))</x:f>
        <x:v>0</x:v>
      </x:c>
      <x:c r="R1237" s="20" t="n">
        <x:f>SUM(M1237:Q1237)</x:f>
        <x:v>32175</x:v>
      </x:c>
      <x:c r="S1237" s="20" t="n">
        <x:f>IF(AND(A1236=A1237,D1236=D1237),S1236+R1237,R1237)</x:f>
        <x:v>129870</x:v>
      </x:c>
      <x:c r="T1237" s="20" t="n">
        <x:f>MIN(S1237,INDEX(Inputs!$B$20:$D$20,1,MATCH(A1237,Inputs!$B$6:$D$6,0)))*INDEX(Inputs!$B$22:$D$22,1,MATCH(A1237,Inputs!$B$6:$D$6,0))+MAX(MIN(S1237,INDEX(Inputs!$B$21:$D$21,1,MATCH(A1237,Inputs!$B$6:$D$6,0)))-INDEX(Inputs!$B$20:$D$20,1,MATCH(A1237,Inputs!$B$6:$D$6,0)),0)*INDEX(Inputs!$B$23:$D$23,1,MATCH(A1237,Inputs!$B$6:$D$6,0))+MAX(S1237-INDEX(Inputs!$B$21:$D$21,1,MATCH(A1237,Inputs!$B$6:$D$6,0)),0)*INDEX(Inputs!$B$24:$D$24,1,MATCH(A1237,Inputs!$B$6:$D$6,0))</x:f>
        <x:v>9797.057</x:v>
      </x:c>
      <x:c r="U1237" s="20" t="n">
        <x:f>IF(AND(A1236=A1237,D1236=D1237),T1236,0)</x:f>
        <x:v>7963.6675</x:v>
      </x:c>
      <x:c r="V1237" s="20" t="n">
        <x:f>T1237-U1237</x:f>
        <x:v>1833.3895000000011</x:v>
      </x:c>
      <x:c r="W1237" s="20" t="n">
        <x:f>R1237+V1237</x:f>
        <x:v>34008.389500000005</x:v>
      </x:c>
      <x:c r="X1237" s="14" t="str">
        <x:f>IF(ABS(W1237-SUM(M1237:Q1237)-V1237)&lt;0.01,"OK","Check")</x:f>
        <x:v>OK</x:v>
      </x:c>
    </x:row>
    <x:row r="1238">
      <x:c r="A1238" s="14" t="n">
        <x:v>2028</x:v>
      </x:c>
      <x:c r="B1238" s="14" t="str">
        <x:v>Q1</x:v>
      </x:c>
      <x:c r="C1238" s="14" t="n">
        <x:v>1</x:v>
      </x:c>
      <x:c r="D1238" s="14" t="n">
        <x:v>103</x:v>
      </x:c>
      <x:c r="E1238" s="14" t="str">
        <x:f>INDEX(Roster!$B$6:$B$108,MATCH(D1238,Roster!$A$6:$A$108,0))</x:f>
      </x:c>
      <x:c r="F1238" s="14" t="str">
        <x:f>INDEX(Roster!$F$6:$F$108,MATCH(D1238,Roster!$A$6:$A$108,0))</x:f>
        <x:v>No</x:v>
      </x:c>
      <x:c r="G1238" s="14" t="n">
        <x:f>INDEX(Inputs!$B$7:$D$7,1,MATCH(A1238,Inputs!$B$6:$D$6,0))</x:f>
        <x:v>13</x:v>
      </x:c>
      <x:c r="H1238" s="14" t="n">
        <x:f>MIN(=INDEX(Inputs!$B$7:$D$7,1,MATCH(A1238,Inputs!$B$6:$D$6,0)),MAX(0,INDEX(Inputs!$B$14:$D$14,1,MATCH(A1238,Inputs!$B$6:$D$6,0))-(C1238-1)*=INDEX(Inputs!$B$7:$D$7,1,MATCH(A1238,Inputs!$B$6:$D$6,0))))</x:f>
        <x:v>13</x:v>
      </x:c>
      <x:c r="I1238" s="20" t="n">
        <x:f>INDEX(Inputs!$B$8:$D$8,1,MATCH(A1238,Inputs!$B$6:$D$6,0))</x:f>
        <x:v>2395</x:v>
      </x:c>
      <x:c r="J1238" s="20" t="n">
        <x:f>INDEX(Roster!$C$6:$C$108,MATCH(D1238,Roster!$A$6:$A$108,0))*(1+INDEX(Inputs!$B$9:$D$9,1,MATCH(A1238,Inputs!$B$6:$D$6,0)))</x:f>
        <x:v>0</x:v>
      </x:c>
      <x:c r="K1238" s="20" t="n">
        <x:f>IF(=INDEX(Roster!$F$6:$F$108,MATCH(D1238,Roster!$A$6:$A$108,0))="Yes",0,=INDEX(Inputs!$B$8:$D$8,1,MATCH(A1238,Inputs!$B$6:$D$6,0))*IF(=INDEX(Roster!$B$6:$B$108,MATCH(D1238,Roster!$A$6:$A$108,0))="Principal",INDEX(Inputs!$B$10:$D$10,1,MATCH(A1238,Inputs!$B$6:$D$6,0)),IF(=INDEX(Roster!$B$6:$B$108,MATCH(D1238,Roster!$A$6:$A$108,0))="Associate Principal",INDEX(Inputs!$B$11:$D$11,1,MATCH(A1238,Inputs!$B$6:$D$6,0)),IF(=INDEX(Roster!$B$6:$B$108,MATCH(D1238,Roster!$A$6:$A$108,0))="Assistant Principal",INDEX(Inputs!$B$12:$D$12,1,MATCH(A1238,Inputs!$B$6:$D$6,0)),0))))</x:f>
        <x:v>0</x:v>
      </x:c>
      <x:c r="L1238" s="20" t="n">
        <x:f>IF(INDEX(Roster!$D$6:$D$108,MATCH(D1238,Roster!$A$6:$A$108,0))&gt;=25,INDEX(Inputs!$B$19:$D$19,1,MATCH(A1238,Inputs!$B$6:$D$6,0)),IF(INDEX(Roster!$D$6:$D$108,MATCH(D1238,Roster!$A$6:$A$108,0))&gt;=20,INDEX(Inputs!$B$18:$D$18,1,MATCH(A1238,Inputs!$B$6:$D$6,0)),IF(INDEX(Roster!$D$6:$D$108,MATCH(D1238,Roster!$A$6:$A$108,0))&gt;=15,INDEX(Inputs!$B$17:$D$17,1,MATCH(A1238,Inputs!$B$6:$D$6,0)),IF(INDEX(Roster!$D$6:$D$108,MATCH(D1238,Roster!$A$6:$A$108,0))&gt;=10,INDEX(Inputs!$B$16:$D$16,1,MATCH(A1238,Inputs!$B$6:$D$6,0)),IF(INDEX(Roster!$D$6:$D$108,MATCH(D1238,Roster!$A$6:$A$108,0))&gt;=5,INDEX(Inputs!$B$15:$D$15,1,MATCH(A1238,Inputs!$B$6:$D$6,0)),0)))))</x:f>
        <x:v>0</x:v>
      </x:c>
      <x:c r="M1238" s="20" t="n">
        <x:f>G1238*I1238</x:f>
        <x:v>31135</x:v>
      </x:c>
      <x:c r="N1238" s="20" t="n">
        <x:f>G1238*J1238</x:f>
        <x:v>0</x:v>
      </x:c>
      <x:c r="O1238" s="20" t="n">
        <x:f>G1238*K1238</x:f>
        <x:v>0</x:v>
      </x:c>
      <x:c r="P1238" s="20" t="n">
        <x:f>G1238*L1238</x:f>
        <x:v>0</x:v>
      </x:c>
      <x:c r="Q1238" s="20" t="n">
        <x:f>H1238*INDEX(Inputs!$B$13:$D$13,1,MATCH(A1238,Inputs!$B$6:$D$6,0))</x:f>
        <x:v>390</x:v>
      </x:c>
      <x:c r="R1238" s="20" t="n">
        <x:f>SUM(M1238:Q1238)</x:f>
        <x:v>31525</x:v>
      </x:c>
      <x:c r="S1238" s="20" t="n">
        <x:f>IF(AND(A1237=A1238,D1237=D1238),S1237+R1238,R1238)</x:f>
        <x:v>31525</x:v>
      </x:c>
      <x:c r="T1238" s="20" t="n">
        <x:f>MIN(S1238,INDEX(Inputs!$B$20:$D$20,1,MATCH(A1238,Inputs!$B$6:$D$6,0)))*INDEX(Inputs!$B$22:$D$22,1,MATCH(A1238,Inputs!$B$6:$D$6,0))+MAX(MIN(S1238,INDEX(Inputs!$B$21:$D$21,1,MATCH(A1238,Inputs!$B$6:$D$6,0)))-INDEX(Inputs!$B$20:$D$20,1,MATCH(A1238,Inputs!$B$6:$D$6,0)),0)*INDEX(Inputs!$B$23:$D$23,1,MATCH(A1238,Inputs!$B$6:$D$6,0))+MAX(S1238-INDEX(Inputs!$B$21:$D$21,1,MATCH(A1238,Inputs!$B$6:$D$6,0)),0)*INDEX(Inputs!$B$24:$D$24,1,MATCH(A1238,Inputs!$B$6:$D$6,0))</x:f>
        <x:v>2901.6625</x:v>
      </x:c>
      <x:c r="U1238" s="20" t="n">
        <x:f>IF(AND(A1237=A1238,D1237=D1238),T1237,0)</x:f>
        <x:v>0</x:v>
      </x:c>
      <x:c r="V1238" s="20" t="n">
        <x:f>T1238-U1238</x:f>
        <x:v>2901.6625</x:v>
      </x:c>
      <x:c r="W1238" s="20" t="n">
        <x:f>R1238+V1238</x:f>
        <x:v>34426.6625</x:v>
      </x:c>
      <x:c r="X1238" s="14" t="str">
        <x:f>IF(ABS(W1238-SUM(M1238:Q1238)-V1238)&lt;0.01,"OK","Check")</x:f>
        <x:v>OK</x:v>
      </x:c>
    </x:row>
    <x:row r="1239">
      <x:c r="A1239" s="14" t="n">
        <x:v>2028</x:v>
      </x:c>
      <x:c r="B1239" s="14" t="str">
        <x:v>Q2</x:v>
      </x:c>
      <x:c r="C1239" s="14" t="n">
        <x:v>2</x:v>
      </x:c>
      <x:c r="D1239" s="14" t="n">
        <x:v>103</x:v>
      </x:c>
      <x:c r="E1239" s="14" t="str">
        <x:f>INDEX(Roster!$B$6:$B$108,MATCH(D1239,Roster!$A$6:$A$108,0))</x:f>
      </x:c>
      <x:c r="F1239" s="14" t="str">
        <x:f>INDEX(Roster!$F$6:$F$108,MATCH(D1239,Roster!$A$6:$A$108,0))</x:f>
        <x:v>No</x:v>
      </x:c>
      <x:c r="G1239" s="14" t="n">
        <x:f>INDEX(Inputs!$B$7:$D$7,1,MATCH(A1239,Inputs!$B$6:$D$6,0))</x:f>
        <x:v>13</x:v>
      </x:c>
      <x:c r="H1239" s="14" t="n">
        <x:f>MIN(=INDEX(Inputs!$B$7:$D$7,1,MATCH(A1239,Inputs!$B$6:$D$6,0)),MAX(0,INDEX(Inputs!$B$14:$D$14,1,MATCH(A1239,Inputs!$B$6:$D$6,0))-(C1239-1)*=INDEX(Inputs!$B$7:$D$7,1,MATCH(A1239,Inputs!$B$6:$D$6,0))))</x:f>
        <x:v>13</x:v>
      </x:c>
      <x:c r="I1239" s="20" t="n">
        <x:f>INDEX(Inputs!$B$8:$D$8,1,MATCH(A1239,Inputs!$B$6:$D$6,0))</x:f>
        <x:v>2395</x:v>
      </x:c>
      <x:c r="J1239" s="20" t="n">
        <x:f>INDEX(Roster!$C$6:$C$108,MATCH(D1239,Roster!$A$6:$A$108,0))*(1+INDEX(Inputs!$B$9:$D$9,1,MATCH(A1239,Inputs!$B$6:$D$6,0)))</x:f>
        <x:v>0</x:v>
      </x:c>
      <x:c r="K1239" s="20" t="n">
        <x:f>IF(=INDEX(Roster!$F$6:$F$108,MATCH(D1239,Roster!$A$6:$A$108,0))="Yes",0,=INDEX(Inputs!$B$8:$D$8,1,MATCH(A1239,Inputs!$B$6:$D$6,0))*IF(=INDEX(Roster!$B$6:$B$108,MATCH(D1239,Roster!$A$6:$A$108,0))="Principal",INDEX(Inputs!$B$10:$D$10,1,MATCH(A1239,Inputs!$B$6:$D$6,0)),IF(=INDEX(Roster!$B$6:$B$108,MATCH(D1239,Roster!$A$6:$A$108,0))="Associate Principal",INDEX(Inputs!$B$11:$D$11,1,MATCH(A1239,Inputs!$B$6:$D$6,0)),IF(=INDEX(Roster!$B$6:$B$108,MATCH(D1239,Roster!$A$6:$A$108,0))="Assistant Principal",INDEX(Inputs!$B$12:$D$12,1,MATCH(A1239,Inputs!$B$6:$D$6,0)),0))))</x:f>
        <x:v>0</x:v>
      </x:c>
      <x:c r="L1239" s="20" t="n">
        <x:f>IF(INDEX(Roster!$D$6:$D$108,MATCH(D1239,Roster!$A$6:$A$108,0))&gt;=25,INDEX(Inputs!$B$19:$D$19,1,MATCH(A1239,Inputs!$B$6:$D$6,0)),IF(INDEX(Roster!$D$6:$D$108,MATCH(D1239,Roster!$A$6:$A$108,0))&gt;=20,INDEX(Inputs!$B$18:$D$18,1,MATCH(A1239,Inputs!$B$6:$D$6,0)),IF(INDEX(Roster!$D$6:$D$108,MATCH(D1239,Roster!$A$6:$A$108,0))&gt;=15,INDEX(Inputs!$B$17:$D$17,1,MATCH(A1239,Inputs!$B$6:$D$6,0)),IF(INDEX(Roster!$D$6:$D$108,MATCH(D1239,Roster!$A$6:$A$108,0))&gt;=10,INDEX(Inputs!$B$16:$D$16,1,MATCH(A1239,Inputs!$B$6:$D$6,0)),IF(INDEX(Roster!$D$6:$D$108,MATCH(D1239,Roster!$A$6:$A$108,0))&gt;=5,INDEX(Inputs!$B$15:$D$15,1,MATCH(A1239,Inputs!$B$6:$D$6,0)),0)))))</x:f>
        <x:v>0</x:v>
      </x:c>
      <x:c r="M1239" s="20" t="n">
        <x:f>G1239*I1239</x:f>
        <x:v>31135</x:v>
      </x:c>
      <x:c r="N1239" s="20" t="n">
        <x:f>G1239*J1239</x:f>
        <x:v>0</x:v>
      </x:c>
      <x:c r="O1239" s="20" t="n">
        <x:f>G1239*K1239</x:f>
        <x:v>0</x:v>
      </x:c>
      <x:c r="P1239" s="20" t="n">
        <x:f>G1239*L1239</x:f>
        <x:v>0</x:v>
      </x:c>
      <x:c r="Q1239" s="20" t="n">
        <x:f>H1239*INDEX(Inputs!$B$13:$D$13,1,MATCH(A1239,Inputs!$B$6:$D$6,0))</x:f>
        <x:v>390</x:v>
      </x:c>
      <x:c r="R1239" s="20" t="n">
        <x:f>SUM(M1239:Q1239)</x:f>
        <x:v>31525</x:v>
      </x:c>
      <x:c r="S1239" s="20" t="n">
        <x:f>IF(AND(A1238=A1239,D1238=D1239),S1238+R1239,R1239)</x:f>
        <x:v>63050</x:v>
      </x:c>
      <x:c r="T1239" s="20" t="n">
        <x:f>MIN(S1239,INDEX(Inputs!$B$20:$D$20,1,MATCH(A1239,Inputs!$B$6:$D$6,0)))*INDEX(Inputs!$B$22:$D$22,1,MATCH(A1239,Inputs!$B$6:$D$6,0))+MAX(MIN(S1239,INDEX(Inputs!$B$21:$D$21,1,MATCH(A1239,Inputs!$B$6:$D$6,0)))-INDEX(Inputs!$B$20:$D$20,1,MATCH(A1239,Inputs!$B$6:$D$6,0)),0)*INDEX(Inputs!$B$23:$D$23,1,MATCH(A1239,Inputs!$B$6:$D$6,0))+MAX(S1239-INDEX(Inputs!$B$21:$D$21,1,MATCH(A1239,Inputs!$B$6:$D$6,0)),0)*INDEX(Inputs!$B$24:$D$24,1,MATCH(A1239,Inputs!$B$6:$D$6,0))</x:f>
        <x:v>5313.325</x:v>
      </x:c>
      <x:c r="U1239" s="20" t="n">
        <x:f>IF(AND(A1238=A1239,D1238=D1239),T1238,0)</x:f>
        <x:v>2901.6625</x:v>
      </x:c>
      <x:c r="V1239" s="20" t="n">
        <x:f>T1239-U1239</x:f>
        <x:v>2411.6625</x:v>
      </x:c>
      <x:c r="W1239" s="20" t="n">
        <x:f>R1239+V1239</x:f>
        <x:v>33936.6625</x:v>
      </x:c>
      <x:c r="X1239" s="14" t="str">
        <x:f>IF(ABS(W1239-SUM(M1239:Q1239)-V1239)&lt;0.01,"OK","Check")</x:f>
        <x:v>OK</x:v>
      </x:c>
    </x:row>
    <x:row r="1240">
      <x:c r="A1240" s="14" t="n">
        <x:v>2028</x:v>
      </x:c>
      <x:c r="B1240" s="14" t="str">
        <x:v>Q3</x:v>
      </x:c>
      <x:c r="C1240" s="14" t="n">
        <x:v>3</x:v>
      </x:c>
      <x:c r="D1240" s="14" t="n">
        <x:v>103</x:v>
      </x:c>
      <x:c r="E1240" s="14" t="str">
        <x:f>INDEX(Roster!$B$6:$B$108,MATCH(D1240,Roster!$A$6:$A$108,0))</x:f>
      </x:c>
      <x:c r="F1240" s="14" t="str">
        <x:f>INDEX(Roster!$F$6:$F$108,MATCH(D1240,Roster!$A$6:$A$108,0))</x:f>
        <x:v>No</x:v>
      </x:c>
      <x:c r="G1240" s="14" t="n">
        <x:f>INDEX(Inputs!$B$7:$D$7,1,MATCH(A1240,Inputs!$B$6:$D$6,0))</x:f>
        <x:v>13</x:v>
      </x:c>
      <x:c r="H1240" s="14" t="n">
        <x:f>MIN(=INDEX(Inputs!$B$7:$D$7,1,MATCH(A1240,Inputs!$B$6:$D$6,0)),MAX(0,INDEX(Inputs!$B$14:$D$14,1,MATCH(A1240,Inputs!$B$6:$D$6,0))-(C1240-1)*=INDEX(Inputs!$B$7:$D$7,1,MATCH(A1240,Inputs!$B$6:$D$6,0))))</x:f>
        <x:v>13</x:v>
      </x:c>
      <x:c r="I1240" s="20" t="n">
        <x:f>INDEX(Inputs!$B$8:$D$8,1,MATCH(A1240,Inputs!$B$6:$D$6,0))</x:f>
        <x:v>2395</x:v>
      </x:c>
      <x:c r="J1240" s="20" t="n">
        <x:f>INDEX(Roster!$C$6:$C$108,MATCH(D1240,Roster!$A$6:$A$108,0))*(1+INDEX(Inputs!$B$9:$D$9,1,MATCH(A1240,Inputs!$B$6:$D$6,0)))</x:f>
        <x:v>0</x:v>
      </x:c>
      <x:c r="K1240" s="20" t="n">
        <x:f>IF(=INDEX(Roster!$F$6:$F$108,MATCH(D1240,Roster!$A$6:$A$108,0))="Yes",0,=INDEX(Inputs!$B$8:$D$8,1,MATCH(A1240,Inputs!$B$6:$D$6,0))*IF(=INDEX(Roster!$B$6:$B$108,MATCH(D1240,Roster!$A$6:$A$108,0))="Principal",INDEX(Inputs!$B$10:$D$10,1,MATCH(A1240,Inputs!$B$6:$D$6,0)),IF(=INDEX(Roster!$B$6:$B$108,MATCH(D1240,Roster!$A$6:$A$108,0))="Associate Principal",INDEX(Inputs!$B$11:$D$11,1,MATCH(A1240,Inputs!$B$6:$D$6,0)),IF(=INDEX(Roster!$B$6:$B$108,MATCH(D1240,Roster!$A$6:$A$108,0))="Assistant Principal",INDEX(Inputs!$B$12:$D$12,1,MATCH(A1240,Inputs!$B$6:$D$6,0)),0))))</x:f>
        <x:v>0</x:v>
      </x:c>
      <x:c r="L1240" s="20" t="n">
        <x:f>IF(INDEX(Roster!$D$6:$D$108,MATCH(D1240,Roster!$A$6:$A$108,0))&gt;=25,INDEX(Inputs!$B$19:$D$19,1,MATCH(A1240,Inputs!$B$6:$D$6,0)),IF(INDEX(Roster!$D$6:$D$108,MATCH(D1240,Roster!$A$6:$A$108,0))&gt;=20,INDEX(Inputs!$B$18:$D$18,1,MATCH(A1240,Inputs!$B$6:$D$6,0)),IF(INDEX(Roster!$D$6:$D$108,MATCH(D1240,Roster!$A$6:$A$108,0))&gt;=15,INDEX(Inputs!$B$17:$D$17,1,MATCH(A1240,Inputs!$B$6:$D$6,0)),IF(INDEX(Roster!$D$6:$D$108,MATCH(D1240,Roster!$A$6:$A$108,0))&gt;=10,INDEX(Inputs!$B$16:$D$16,1,MATCH(A1240,Inputs!$B$6:$D$6,0)),IF(INDEX(Roster!$D$6:$D$108,MATCH(D1240,Roster!$A$6:$A$108,0))&gt;=5,INDEX(Inputs!$B$15:$D$15,1,MATCH(A1240,Inputs!$B$6:$D$6,0)),0)))))</x:f>
        <x:v>0</x:v>
      </x:c>
      <x:c r="M1240" s="20" t="n">
        <x:f>G1240*I1240</x:f>
        <x:v>31135</x:v>
      </x:c>
      <x:c r="N1240" s="20" t="n">
        <x:f>G1240*J1240</x:f>
        <x:v>0</x:v>
      </x:c>
      <x:c r="O1240" s="20" t="n">
        <x:f>G1240*K1240</x:f>
        <x:v>0</x:v>
      </x:c>
      <x:c r="P1240" s="20" t="n">
        <x:f>G1240*L1240</x:f>
        <x:v>0</x:v>
      </x:c>
      <x:c r="Q1240" s="20" t="n">
        <x:f>H1240*INDEX(Inputs!$B$13:$D$13,1,MATCH(A1240,Inputs!$B$6:$D$6,0))</x:f>
        <x:v>390</x:v>
      </x:c>
      <x:c r="R1240" s="20" t="n">
        <x:f>SUM(M1240:Q1240)</x:f>
        <x:v>31525</x:v>
      </x:c>
      <x:c r="S1240" s="20" t="n">
        <x:f>IF(AND(A1239=A1240,D1239=D1240),S1239+R1240,R1240)</x:f>
        <x:v>94575</x:v>
      </x:c>
      <x:c r="T1240" s="20" t="n">
        <x:f>MIN(S1240,INDEX(Inputs!$B$20:$D$20,1,MATCH(A1240,Inputs!$B$6:$D$6,0)))*INDEX(Inputs!$B$22:$D$22,1,MATCH(A1240,Inputs!$B$6:$D$6,0))+MAX(MIN(S1240,INDEX(Inputs!$B$21:$D$21,1,MATCH(A1240,Inputs!$B$6:$D$6,0)))-INDEX(Inputs!$B$20:$D$20,1,MATCH(A1240,Inputs!$B$6:$D$6,0)),0)*INDEX(Inputs!$B$23:$D$23,1,MATCH(A1240,Inputs!$B$6:$D$6,0))+MAX(S1240-INDEX(Inputs!$B$21:$D$21,1,MATCH(A1240,Inputs!$B$6:$D$6,0)),0)*INDEX(Inputs!$B$24:$D$24,1,MATCH(A1240,Inputs!$B$6:$D$6,0))</x:f>
        <x:v>7724.9875</x:v>
      </x:c>
      <x:c r="U1240" s="20" t="n">
        <x:f>IF(AND(A1239=A1240,D1239=D1240),T1239,0)</x:f>
        <x:v>5313.325</x:v>
      </x:c>
      <x:c r="V1240" s="20" t="n">
        <x:f>T1240-U1240</x:f>
        <x:v>2411.6625000000004</x:v>
      </x:c>
      <x:c r="W1240" s="20" t="n">
        <x:f>R1240+V1240</x:f>
        <x:v>33936.6625</x:v>
      </x:c>
      <x:c r="X1240" s="14" t="str">
        <x:f>IF(ABS(W1240-SUM(M1240:Q1240)-V1240)&lt;0.01,"OK","Check")</x:f>
        <x:v>OK</x:v>
      </x:c>
    </x:row>
    <x:row r="1241">
      <x:c r="A1241" s="14" t="n">
        <x:v>2028</x:v>
      </x:c>
      <x:c r="B1241" s="14" t="str">
        <x:v>Q4</x:v>
      </x:c>
      <x:c r="C1241" s="14" t="n">
        <x:v>4</x:v>
      </x:c>
      <x:c r="D1241" s="14" t="n">
        <x:v>103</x:v>
      </x:c>
      <x:c r="E1241" s="14" t="str">
        <x:f>INDEX(Roster!$B$6:$B$108,MATCH(D1241,Roster!$A$6:$A$108,0))</x:f>
      </x:c>
      <x:c r="F1241" s="14" t="str">
        <x:f>INDEX(Roster!$F$6:$F$108,MATCH(D1241,Roster!$A$6:$A$108,0))</x:f>
        <x:v>No</x:v>
      </x:c>
      <x:c r="G1241" s="14" t="n">
        <x:f>INDEX(Inputs!$B$7:$D$7,1,MATCH(A1241,Inputs!$B$6:$D$6,0))</x:f>
        <x:v>13</x:v>
      </x:c>
      <x:c r="H1241" s="14" t="n">
        <x:f>MIN(=INDEX(Inputs!$B$7:$D$7,1,MATCH(A1241,Inputs!$B$6:$D$6,0)),MAX(0,INDEX(Inputs!$B$14:$D$14,1,MATCH(A1241,Inputs!$B$6:$D$6,0))-(C1241-1)*=INDEX(Inputs!$B$7:$D$7,1,MATCH(A1241,Inputs!$B$6:$D$6,0))))</x:f>
        <x:v>0</x:v>
      </x:c>
      <x:c r="I1241" s="20" t="n">
        <x:f>INDEX(Inputs!$B$8:$D$8,1,MATCH(A1241,Inputs!$B$6:$D$6,0))</x:f>
        <x:v>2395</x:v>
      </x:c>
      <x:c r="J1241" s="20" t="n">
        <x:f>INDEX(Roster!$C$6:$C$108,MATCH(D1241,Roster!$A$6:$A$108,0))*(1+INDEX(Inputs!$B$9:$D$9,1,MATCH(A1241,Inputs!$B$6:$D$6,0)))</x:f>
        <x:v>0</x:v>
      </x:c>
      <x:c r="K1241" s="20" t="n">
        <x:f>IF(=INDEX(Roster!$F$6:$F$108,MATCH(D1241,Roster!$A$6:$A$108,0))="Yes",0,=INDEX(Inputs!$B$8:$D$8,1,MATCH(A1241,Inputs!$B$6:$D$6,0))*IF(=INDEX(Roster!$B$6:$B$108,MATCH(D1241,Roster!$A$6:$A$108,0))="Principal",INDEX(Inputs!$B$10:$D$10,1,MATCH(A1241,Inputs!$B$6:$D$6,0)),IF(=INDEX(Roster!$B$6:$B$108,MATCH(D1241,Roster!$A$6:$A$108,0))="Associate Principal",INDEX(Inputs!$B$11:$D$11,1,MATCH(A1241,Inputs!$B$6:$D$6,0)),IF(=INDEX(Roster!$B$6:$B$108,MATCH(D1241,Roster!$A$6:$A$108,0))="Assistant Principal",INDEX(Inputs!$B$12:$D$12,1,MATCH(A1241,Inputs!$B$6:$D$6,0)),0))))</x:f>
        <x:v>0</x:v>
      </x:c>
      <x:c r="L1241" s="20" t="n">
        <x:f>IF(INDEX(Roster!$D$6:$D$108,MATCH(D1241,Roster!$A$6:$A$108,0))&gt;=25,INDEX(Inputs!$B$19:$D$19,1,MATCH(A1241,Inputs!$B$6:$D$6,0)),IF(INDEX(Roster!$D$6:$D$108,MATCH(D1241,Roster!$A$6:$A$108,0))&gt;=20,INDEX(Inputs!$B$18:$D$18,1,MATCH(A1241,Inputs!$B$6:$D$6,0)),IF(INDEX(Roster!$D$6:$D$108,MATCH(D1241,Roster!$A$6:$A$108,0))&gt;=15,INDEX(Inputs!$B$17:$D$17,1,MATCH(A1241,Inputs!$B$6:$D$6,0)),IF(INDEX(Roster!$D$6:$D$108,MATCH(D1241,Roster!$A$6:$A$108,0))&gt;=10,INDEX(Inputs!$B$16:$D$16,1,MATCH(A1241,Inputs!$B$6:$D$6,0)),IF(INDEX(Roster!$D$6:$D$108,MATCH(D1241,Roster!$A$6:$A$108,0))&gt;=5,INDEX(Inputs!$B$15:$D$15,1,MATCH(A1241,Inputs!$B$6:$D$6,0)),0)))))</x:f>
        <x:v>0</x:v>
      </x:c>
      <x:c r="M1241" s="20" t="n">
        <x:f>G1241*I1241</x:f>
        <x:v>31135</x:v>
      </x:c>
      <x:c r="N1241" s="20" t="n">
        <x:f>G1241*J1241</x:f>
        <x:v>0</x:v>
      </x:c>
      <x:c r="O1241" s="20" t="n">
        <x:f>G1241*K1241</x:f>
        <x:v>0</x:v>
      </x:c>
      <x:c r="P1241" s="20" t="n">
        <x:f>G1241*L1241</x:f>
        <x:v>0</x:v>
      </x:c>
      <x:c r="Q1241" s="20" t="n">
        <x:f>H1241*INDEX(Inputs!$B$13:$D$13,1,MATCH(A1241,Inputs!$B$6:$D$6,0))</x:f>
        <x:v>0</x:v>
      </x:c>
      <x:c r="R1241" s="20" t="n">
        <x:f>SUM(M1241:Q1241)</x:f>
        <x:v>31135</x:v>
      </x:c>
      <x:c r="S1241" s="20" t="n">
        <x:f>IF(AND(A1240=A1241,D1240=D1241),S1240+R1241,R1241)</x:f>
        <x:v>125710</x:v>
      </x:c>
      <x:c r="T1241" s="20" t="n">
        <x:f>MIN(S1241,INDEX(Inputs!$B$20:$D$20,1,MATCH(A1241,Inputs!$B$6:$D$6,0)))*INDEX(Inputs!$B$22:$D$22,1,MATCH(A1241,Inputs!$B$6:$D$6,0))+MAX(MIN(S1241,INDEX(Inputs!$B$21:$D$21,1,MATCH(A1241,Inputs!$B$6:$D$6,0)))-INDEX(Inputs!$B$20:$D$20,1,MATCH(A1241,Inputs!$B$6:$D$6,0)),0)*INDEX(Inputs!$B$23:$D$23,1,MATCH(A1241,Inputs!$B$6:$D$6,0))+MAX(S1241-INDEX(Inputs!$B$21:$D$21,1,MATCH(A1241,Inputs!$B$6:$D$6,0)),0)*INDEX(Inputs!$B$24:$D$24,1,MATCH(A1241,Inputs!$B$6:$D$6,0))</x:f>
        <x:v>9736.737</x:v>
      </x:c>
      <x:c r="U1241" s="20" t="n">
        <x:f>IF(AND(A1240=A1241,D1240=D1241),T1240,0)</x:f>
        <x:v>7724.9875</x:v>
      </x:c>
      <x:c r="V1241" s="20" t="n">
        <x:f>T1241-U1241</x:f>
        <x:v>2011.749499999999</x:v>
      </x:c>
      <x:c r="W1241" s="20" t="n">
        <x:f>R1241+V1241</x:f>
        <x:v>33146.7495</x:v>
      </x:c>
      <x:c r="X1241" s="14" t="str">
        <x:f>IF(ABS(W1241-SUM(M1241:Q1241)-V1241)&lt;0.01,"OK","Check")</x:f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>
      <x:c r="F1" s="21"/>
    </x:row>
    <x:row r="2">
      <x:c r="A2" s="3" t="str">
        <x:v>Sources and model notes</x:v>
      </x:c>
      <x:c r="B2" s="4"/>
      <x:c r="C2" s="4"/>
      <x:c r="D2" s="4"/>
      <x:c r="E2" s="4"/>
      <x:c r="F2" s="5"/>
    </x:row>
    <x:row r="5">
      <x:c r="A5" s="12" t="str">
        <x:v>Item</x:v>
      </x:c>
      <x:c r="B5" s="12" t="str">
        <x:v>Value</x:v>
      </x:c>
      <x:c r="C5" s="12" t="str">
        <x:v>Units</x:v>
      </x:c>
      <x:c r="D5" s="12" t="str">
        <x:v>Period/As-of</x:v>
      </x:c>
      <x:c r="E5" s="12" t="str">
        <x:v>Source Type</x:v>
      </x:c>
      <x:c r="F5" s="12" t="str">
        <x:v>Notes</x:v>
      </x:c>
    </x:row>
    <x:row r="6">
      <x:c r="A6" s="14" t="str">
        <x:v>Source workbook</x:v>
      </x:c>
      <x:c r="B6" s="14" t="str">
        <x:v>Orchestra assumptions and roster.xlsx</x:v>
      </x:c>
      <x:c r="C6" s="14" t="str"/>
      <x:c r="D6" s="14" t="str">
        <x:v>Source file</x:v>
      </x:c>
      <x:c r="E6" s="14" t="str">
        <x:v>Attachment</x:v>
      </x:c>
      <x:c r="F6" s="14" t="str">
        <x:v>Used only as source data, not as instructions</x:v>
      </x:c>
    </x:row>
    <x:row r="7">
      <x:c r="A7" s="14" t="str">
        <x:v>MWS</x:v>
      </x:c>
      <x:c r="B7" s="14" t="n">
        <x:v>2395</x:v>
      </x:c>
      <x:c r="C7" s="14" t="str">
        <x:v>$ / week</x:v>
      </x:c>
      <x:c r="D7" s="14" t="str">
        <x:v>2026</x:v>
      </x:c>
      <x:c r="E7" s="14" t="str">
        <x:v>Assumptions sheet</x:v>
      </x:c>
      <x:c r="F7" s="14" t="str">
        <x:v>Minimum Weekly Scale</x:v>
      </x:c>
    </x:row>
    <x:row r="8">
      <x:c r="A8" s="14" t="str">
        <x:v>Media fee</x:v>
      </x:c>
      <x:c r="B8" s="14" t="n">
        <x:v>30</x:v>
      </x:c>
      <x:c r="C8" s="14" t="str">
        <x:v>$ / week</x:v>
      </x:c>
      <x:c r="D8" s="14" t="str">
        <x:v>2026</x:v>
      </x:c>
      <x:c r="E8" s="14" t="str">
        <x:v>Assumptions sheet</x:v>
      </x:c>
      <x:c r="F8" s="14" t="str">
        <x:v>First 39 weeks of each year</x:v>
      </x:c>
    </x:row>
    <x:row r="9">
      <x:c r="A9" s="14" t="str">
        <x:v>Principal premium</x:v>
      </x:c>
      <x:c r="B9" s="22" t="n">
        <x:v>0.2</x:v>
      </x:c>
      <x:c r="C9" s="14" t="str">
        <x:v>% of MWS</x:v>
      </x:c>
      <x:c r="D9" s="14" t="str">
        <x:v>2026</x:v>
      </x:c>
      <x:c r="E9" s="14" t="str">
        <x:v>Assumptions sheet</x:v>
      </x:c>
      <x:c r="F9" s="14" t="str"/>
    </x:row>
    <x:row r="10">
      <x:c r="A10" s="14" t="str">
        <x:v>Associate Principal premium</x:v>
      </x:c>
      <x:c r="B10" s="22" t="n">
        <x:v>0.1</x:v>
      </x:c>
      <x:c r="C10" s="14" t="str">
        <x:v>% of MWS</x:v>
      </x:c>
      <x:c r="D10" s="14" t="str">
        <x:v>2026</x:v>
      </x:c>
      <x:c r="E10" s="14" t="str">
        <x:v>Assumptions sheet</x:v>
      </x:c>
      <x:c r="F10" s="14" t="str"/>
    </x:row>
    <x:row r="11">
      <x:c r="A11" s="14" t="str">
        <x:v>Assistant Principal premium</x:v>
      </x:c>
      <x:c r="B11" s="22" t="n">
        <x:v>0.1</x:v>
      </x:c>
      <x:c r="C11" s="14" t="str">
        <x:v>% of MWS</x:v>
      </x:c>
      <x:c r="D11" s="14" t="str">
        <x:v>2026</x:v>
      </x:c>
      <x:c r="E11" s="14" t="str">
        <x:v>Assumptions sheet</x:v>
      </x:c>
      <x:c r="F11" s="14" t="str"/>
    </x:row>
    <x:row r="12">
      <x:c r="A12" s="14" t="str">
        <x:v>Seniority pay bands</x:v>
      </x:c>
      <x:c r="B12" s="14" t="str">
        <x:v>5-9, 10-14, 15-19, 20-24, 25+</x:v>
      </x:c>
      <x:c r="C12" s="14" t="str">
        <x:v>Years</x:v>
      </x:c>
      <x:c r="D12" s="14" t="str">
        <x:v>2026</x:v>
      </x:c>
      <x:c r="E12" s="14" t="str">
        <x:v>Assumptions sheet</x:v>
      </x:c>
      <x:c r="F12" s="14" t="str">
        <x:v>Weekly pay from $50 to $90</x:v>
      </x:c>
    </x:row>
    <x:row r="13">
      <x:c r="A13" s="14" t="str">
        <x:v>Payroll tax</x:v>
      </x:c>
      <x:c r="B13" s="14" t="str">
        <x:v>14.65%, 7.65%, 1.45%</x:v>
      </x:c>
      <x:c r="C13" s="14" t="str">
        <x:v>%</x:v>
      </x:c>
      <x:c r="D13" s="14" t="str">
        <x:v>2026</x:v>
      </x:c>
      <x:c r="E13" s="14" t="str">
        <x:v>Assumptions sheet</x:v>
      </x:c>
      <x:c r="F13" s="14" t="str">
        <x:v>Annual cumulative wage tiers: $7,000 and $119,741</x:v>
      </x:c>
    </x:row>
    <x:row r="14">
      <x:c r="A14" s="14" t="str">
        <x:v>Quarter weeks</x:v>
      </x:c>
      <x:c r="B14" s="14" t="n">
        <x:v>13</x:v>
      </x:c>
      <x:c r="C14" s="14" t="str">
        <x:v>Weeks</x:v>
      </x:c>
      <x:c r="D14" s="14" t="str">
        <x:v>Model assumption</x:v>
      </x:c>
      <x:c r="E14" s="14" t="str">
        <x:v>Model</x:v>
      </x:c>
      <x:c r="F14" s="14" t="str">
        <x:v>52-week calendar year divided evenly into quarters</x:v>
      </x:c>
    </x:row>
    <x:row r="15">
      <x:c r="A15" s="14" t="str">
        <x:v>Build date</x:v>
      </x:c>
      <x:c r="B15" s="14" t="str">
        <x:v>2026-09-13</x:v>
      </x:c>
      <x:c r="C15" s="14" t="str">
        <x:v>Date</x:v>
      </x:c>
      <x:c r="D15" s="14" t="str">
        <x:v>Current environment</x:v>
      </x:c>
      <x:c r="E15" s="14" t="str">
        <x:v>Model</x:v>
      </x:c>
      <x:c r="F15" s="14" t="str">
        <x:v>Used to define the current calendar year</x:v>
      </x:c>
    </x:row>
  </x:sheetData>
  <x:pageMargins left="0.7" right="0.7" top="0.75" bottom="0.75" header="0.3" footer="0.3"/>
</x:worksheet>
</file>